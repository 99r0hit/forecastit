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 tabRatio="611" firstSheet="2" activeTab="6"/>
  </bookViews>
  <sheets>
    <sheet name="Swingtel_2021" sheetId="1" r:id="rId1"/>
    <sheet name="Swingtel_2022" sheetId="5" r:id="rId2"/>
    <sheet name="Staunch" sheetId="4" r:id="rId3"/>
    <sheet name="Swingtel_2023" sheetId="6" r:id="rId4"/>
    <sheet name="Swingtel_2024" sheetId="9" r:id="rId5"/>
    <sheet name="Swingtel_2025" sheetId="12" r:id="rId6"/>
    <sheet name="Swingtel 2026" sheetId="16" r:id="rId7"/>
  </sheets>
  <definedNames>
    <definedName name="_xlnm._FilterDatabase" localSheetId="0" hidden="1">Swingtel_2021!$B$1:$M$734</definedName>
    <definedName name="_xlnm._FilterDatabase" localSheetId="1" hidden="1">Swingtel_2022!$A$1:$N$782</definedName>
    <definedName name="_xlnm._FilterDatabase" localSheetId="3" hidden="1">Swingtel_2023!$1:$1448</definedName>
    <definedName name="_xlnm._FilterDatabase" localSheetId="4" hidden="1">Swingtel_2024!$1:$1563</definedName>
    <definedName name="_xlnm._FilterDatabase" localSheetId="5" hidden="1">Swingtel_2025!$1:$3835</definedName>
    <definedName name="_xlnm._FilterDatabase" localSheetId="6" hidden="1">'Swingtel 2026'!$1:$1249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aksha</author>
  </authors>
  <commentList>
    <comment ref="H37" authorId="0">
      <text>
        <r>
          <rPr>
            <b/>
            <sz val="9"/>
            <rFont val="Times New Roman"/>
            <charset val="134"/>
          </rPr>
          <t>aksha: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<sst xmlns="http://schemas.openxmlformats.org/spreadsheetml/2006/main" count="30379" uniqueCount="697">
  <si>
    <t>SCPL PO number</t>
  </si>
  <si>
    <t>Date of PO :</t>
  </si>
  <si>
    <t>Part No :</t>
  </si>
  <si>
    <t xml:space="preserve">PO Qty. </t>
  </si>
  <si>
    <t xml:space="preserve">POP Price :  </t>
  </si>
  <si>
    <t>Swingtel Request Date
 (SRD)</t>
  </si>
  <si>
    <t>Total</t>
  </si>
  <si>
    <t>Remark</t>
  </si>
  <si>
    <t>Priority</t>
  </si>
  <si>
    <t>264-15/T2C4-2SUA-L</t>
  </si>
  <si>
    <t>Loaded</t>
  </si>
  <si>
    <t>65-11-BUTT-MVABBBG7E-2T8-AM(EMM)</t>
  </si>
  <si>
    <t>99-213UMC/S1099-9/TR8/TL</t>
  </si>
  <si>
    <t>67-21S/KKW-H652633Z6/2T</t>
  </si>
  <si>
    <t>loaded</t>
  </si>
  <si>
    <t>EL-19-21BHC-AN1P23T</t>
  </si>
  <si>
    <t>67-21-UGD2035V1V22737Z2-2T0C-AM(EMM)</t>
  </si>
  <si>
    <t>19-113-BHC-A0P1Q1K0E-3T-AM(EMM)</t>
  </si>
  <si>
    <t>67-11-BST-YOBACAA6E-2T8-AM(EMM2)</t>
  </si>
  <si>
    <t xml:space="preserve">67-21-R7SC-CAR1S1B7E-2T8-AM </t>
  </si>
  <si>
    <t xml:space="preserve">67-21-Y2SC-E9S1T2C1E-2T8-AM </t>
  </si>
  <si>
    <t xml:space="preserve">67-41A-UR0500M-1224BBCB1727-2T-AM(EMM) </t>
  </si>
  <si>
    <t xml:space="preserve">65-11-BUTT-MVABBBG7E-2T8-AM (EMM) </t>
  </si>
  <si>
    <t>67-41EP3-UYD8395DBFBZ5-ET0DAM(EMM)</t>
  </si>
  <si>
    <t>67-41EP3-UYD8395EAFA-ET0D-AM(EMM)</t>
  </si>
  <si>
    <t>333SRC/E-L</t>
  </si>
  <si>
    <t>204-10SDRD/S530-A3-L</t>
  </si>
  <si>
    <t>67-41EP3-URD1224EBFBZ5-ET0D-AM(EMM)
EMM)</t>
  </si>
  <si>
    <t>15-21SURC/S530-A3/TR8</t>
  </si>
  <si>
    <t>67-11-BST-HJABBBH6E-2T8-AM(MOST)</t>
  </si>
  <si>
    <t>67-11-BUTT-MVABBBG7E-2T8-AM(EMM)</t>
  </si>
  <si>
    <t>67-11-GHC-AFV1V2N0E-2T8-AM(EMM)</t>
  </si>
  <si>
    <t>67-21-R7SC-CAR1S1B7E-2T8-AM</t>
  </si>
  <si>
    <t>67-21-Y2SC-E9S1T2C1E-2T8-AM</t>
  </si>
  <si>
    <t>67-31AZ-BST-G0BACAA6E-2T8-AM</t>
  </si>
  <si>
    <t>67-41EUZ-NP56B64DBBDA2638Z3-2T0T-AM</t>
  </si>
  <si>
    <t>17-21-S2C-C0P2Q2B0E-3T-AM(EMM)</t>
  </si>
  <si>
    <t>19-213-Y2SC-9AS1T1B0E-3T-AM</t>
  </si>
  <si>
    <t>67-21S-WW60-5050EAFA2732-2T0R-AFM(HELLA)</t>
  </si>
  <si>
    <t>67-41A-UR0500M-1224BBCB1727-2T-AM(EMM)</t>
  </si>
  <si>
    <t>67-41EUZ-NP56B64DDAEA2737Z6-2T0T-AM(SD)</t>
  </si>
  <si>
    <t>CH3535E-UR3501L-1527F7F91727-1T-AM</t>
  </si>
  <si>
    <t>67-11S-C81000H-57A63DC0C52737-2T-AM</t>
  </si>
  <si>
    <t>65-11U-NPNMABBB2638Z2-2T0T-AM(SEAB)/EU</t>
  </si>
  <si>
    <t>67-11-BST-Y0BACAA6E-2T8-AM(EMM2)</t>
  </si>
  <si>
    <t>67-21S-SR60-2030CACB1727-2T0C-AFM(HELLA)</t>
  </si>
  <si>
    <t>67-21S-YK2C-D1720N4BPB2835Z15-4T-AFM(MH)</t>
  </si>
  <si>
    <t>67-21S-UY60-8595CBDB2027-2T0C-AFM(HELLA)</t>
  </si>
  <si>
    <t>67-21S/YK2C-D1720L8M42833Z6/2T(EMM)</t>
  </si>
  <si>
    <t>67-11S-C80600H-57B63CB4C52535-2T-AM</t>
  </si>
  <si>
    <t>67-11S-PA1500H-DF2F52737-2T-AM</t>
  </si>
  <si>
    <t>Sample PO</t>
  </si>
  <si>
    <t>67-41EP3-URD1224EBFBZ5-ET0D-AM(EMM)</t>
  </si>
  <si>
    <t>67-41A-UR0500M-1224BBCB1727-2T-AM(EMM</t>
  </si>
  <si>
    <t>67-21-UR0200H-2030V1AA2025-2T-AM</t>
  </si>
  <si>
    <t>Delivered, 17K</t>
  </si>
  <si>
    <t>67-21-YSC-C2U2AABPE-2T8-AM</t>
  </si>
  <si>
    <t>67-23/R6GHBHC-B01/2T</t>
  </si>
  <si>
    <t>67-21-Y2C-C4R1S2B7E-2T8-AM</t>
  </si>
  <si>
    <t>67-22ST/KKE-N6511568Z15/SZM/2T</t>
  </si>
  <si>
    <t>67-22S/KKE-M576833Z15/2T(EMM)</t>
  </si>
  <si>
    <t>67-21S-YK2C-D1720N4BPB2835Z15-2T-AFM(MH)</t>
  </si>
  <si>
    <t>67-22S/KKE-M656833Z15/2T(EMM)</t>
  </si>
  <si>
    <t>65-11-C70200H-HL0FL0ABCA2737-2T-AM</t>
  </si>
  <si>
    <t>65-21-G6C-8FQ1R1B7E-2T8-AM</t>
  </si>
  <si>
    <t xml:space="preserve"> Loaded</t>
  </si>
  <si>
    <t>67-11-BST-YOBACAA6E-2T8-AM(EMM)</t>
  </si>
  <si>
    <t>67-41E-UBD6577S2T22737Z3-2T0C-AM(EMM)</t>
  </si>
  <si>
    <t>11-22/R6G6C-A01/2T</t>
  </si>
  <si>
    <t>67-41E-URD1224V2AB1929Z5-2T0C-AM(EMM</t>
  </si>
  <si>
    <t>204-10SUGC/S400-A5-L</t>
  </si>
  <si>
    <t>204-10SDRC/S530-A6-L</t>
  </si>
  <si>
    <t>65-11U-NPNMABBB2638Z2-2T0TAM(SEAB)/EU</t>
  </si>
  <si>
    <t>67-21S-UY60-8595CBDB2027-2T0C-AFM(HELLA</t>
  </si>
  <si>
    <t>67-21-UR0200H-1827V2AB1727-2T-AM (EMM)</t>
  </si>
  <si>
    <t>Loaded Via DR</t>
  </si>
  <si>
    <t>67-21S/KKW-H572633Z6/2T</t>
  </si>
  <si>
    <t>67-21S/NR3C-D1530L6M41829Z15/2T-AFM</t>
  </si>
  <si>
    <t>67-21-R7SC-D8R2S1B0E-2T8-AM</t>
  </si>
  <si>
    <t>-</t>
  </si>
  <si>
    <t>XI3030-C03501H-56B60CJ3J52535-2T-AM(VAR)</t>
  </si>
  <si>
    <t>67-21-R2NC-HOT2U2D3E-2T8-AM</t>
  </si>
  <si>
    <t>PT204-6B-27</t>
  </si>
  <si>
    <t>IR204A(VC)</t>
  </si>
  <si>
    <t>A09K-UR1501H-1224DBEA1826-1T-AM</t>
  </si>
  <si>
    <t>67-21S-YK2C-D1720N4BPB2835Z15-2T-AFM(MH</t>
  </si>
  <si>
    <t xml:space="preserve"> 67-22S/KKE-M656833Z15/2T(EMM)</t>
  </si>
  <si>
    <t>19-21/RSC-DT1U1B/3T</t>
  </si>
  <si>
    <t>19-217/GHC-AQ1R1QY/3T</t>
  </si>
  <si>
    <t>67-21S/KKW-H272533Z6/ 2T/HU</t>
  </si>
  <si>
    <t>19-217/R6C-AL1M2VY/3T</t>
  </si>
  <si>
    <t>19-217/B7C-AN2Q1B16Y/3T</t>
  </si>
  <si>
    <t>19-217/Y5C-AP1Q2/3T</t>
  </si>
  <si>
    <t>67-41A-UR0501H-1224CADA1727-2T-AM</t>
  </si>
  <si>
    <t>67-21R-UR0200H-2027V1AA1727-2T-AM(EMM)</t>
  </si>
  <si>
    <t>30-01/T4C-4PRB</t>
  </si>
  <si>
    <t>67-21S/KK5C-H6565N32P02833Z6/2T(EMM)</t>
  </si>
  <si>
    <t>65-11-UG0200H-2035V2BB2737-2T-AM</t>
  </si>
  <si>
    <t>15-21/T1D-CP2R1HY/2T</t>
  </si>
  <si>
    <t>67-21-UY0200H-8594V1AA1727-2T-AM</t>
  </si>
  <si>
    <t>67-11-B7C-BOS1T2EOE-2T8-AM</t>
  </si>
  <si>
    <t>A09KU-NP56B64DEBFA2638Z15-1TOT-AM</t>
  </si>
  <si>
    <t>67-41A-UY0500M-8594ABBB1727-2T-AM(EMM)</t>
  </si>
  <si>
    <t>67-41E-URD1224V2AB1929Z5-2T0C-AM(EMM)</t>
  </si>
  <si>
    <t>67-41E-URD2739U2V21929Z5-2T0C-AM(EMM)</t>
  </si>
  <si>
    <t>XI3030-C03501H-53A64DJ1J52535-2T-AM</t>
  </si>
  <si>
    <t>67-21-UR0200H-2027V1AA1727-2T-AM(EMM)</t>
  </si>
  <si>
    <t>Loaded-OA</t>
  </si>
  <si>
    <t>11-22/R6GHC-A30/2T</t>
  </si>
  <si>
    <t>99-218-BUTT-MVAWBWA7E-2G-CS</t>
  </si>
  <si>
    <t xml:space="preserve"> Loaded-OA</t>
  </si>
  <si>
    <t>67-41A-UR0501H-1224CADA2027-2T-AM</t>
  </si>
  <si>
    <t>67-21S/KK5C-H272333Z6/2T</t>
  </si>
  <si>
    <t>67-21S-WW60-5050EAFA2732-2T 0R-AFM(HELLA)</t>
  </si>
  <si>
    <t>19-113-BHC-A0P1Q1K0E-3T-AM (EMM)</t>
  </si>
  <si>
    <t>1608-UG0100M-2030U2V12232-2T-AM(EMM)</t>
  </si>
  <si>
    <t>1608-UY0100M-8594T2U11525-2 T-AM(EMM)</t>
  </si>
  <si>
    <t>1608-UR0100M-1221T1T31525-2 T-AM(EMM)</t>
  </si>
  <si>
    <t>65-11-BUTT-MVABBBG7E-2T8-AM</t>
  </si>
  <si>
    <t>99-218-BUT-MVAWBWA7E-2G-CS</t>
  </si>
  <si>
    <t>67-11-C70300S-GL0FL0BBCB2727-2T-AM</t>
  </si>
  <si>
    <t>67-22S/KKE-M656833Z15/2T(EMM</t>
  </si>
  <si>
    <t>67-11S-C81500H-48A55DE0F52535-2T-AM</t>
  </si>
  <si>
    <t>15-21/GHC-XS1T1/T2</t>
  </si>
  <si>
    <t>333-2SURC/S400-A8-L</t>
  </si>
  <si>
    <t xml:space="preserve">67-21S/KKW-H272533Z6/2T </t>
  </si>
  <si>
    <t xml:space="preserve">67-41A-UR0501H-1224CADA2027-2T-AM </t>
  </si>
  <si>
    <t>1608-UG0100M-2030U2V12232-2T-AM</t>
  </si>
  <si>
    <t>1608-UY0100M-8594T2U11525-2T-AM(EMM)</t>
  </si>
  <si>
    <t>1608-UR0100M-1221T1T31525-2T-AM</t>
  </si>
  <si>
    <t>A09K-PA1501H-YAYBDBEB2737-1T-AM </t>
  </si>
  <si>
    <t>SP21121228</t>
  </si>
  <si>
    <t>A09K-UR1501H-1224EAFA1727-1T-AM </t>
  </si>
  <si>
    <t>SP21121229</t>
  </si>
  <si>
    <t>67-11-C70201H-HK0FK0ABCA2737-2T-AM</t>
  </si>
  <si>
    <t>67-11-GBC-Y0AABAN0E-2T8-AM</t>
  </si>
  <si>
    <t>67-11-B7C-B0T1U1E0E-2T8-AM</t>
  </si>
  <si>
    <t>67-21-R6C-F0R2T1B0E-2T8-AM</t>
  </si>
  <si>
    <t>67-21S/NB3C-D4555B4L12835Z15/2T</t>
  </si>
  <si>
    <t>67-22S/KKE- M656833Z15/2T(EMM)</t>
  </si>
  <si>
    <t>Ram Remark</t>
  </si>
  <si>
    <t>19-213-R7SC-F0R1R2B0E-3T-AM</t>
  </si>
  <si>
    <t>19-117-GHC-R1S1T1M0E-3T-AM</t>
  </si>
  <si>
    <t>65-11-UG0200H-2035V2BB2737-2T-AM  </t>
  </si>
  <si>
    <t>17-215/BHC-AP1Q2/3T(AOC-G)</t>
  </si>
  <si>
    <r>
      <rPr>
        <sz val="11"/>
        <color theme="9"/>
        <rFont val="Calibri"/>
        <charset val="134"/>
        <scheme val="minor"/>
      </rPr>
      <t>67-22S/KKE-M656833Z15/2T(EMM)</t>
    </r>
    <r>
      <rPr>
        <sz val="11"/>
        <color theme="9"/>
        <rFont val="Arial"/>
        <charset val="134"/>
      </rPr>
      <t>_x0002_</t>
    </r>
  </si>
  <si>
    <t>496k</t>
  </si>
  <si>
    <t xml:space="preserve"> 30-01/T4C-4PRB</t>
  </si>
  <si>
    <t xml:space="preserve"> 333SRC/E-L</t>
  </si>
  <si>
    <t>350K</t>
  </si>
  <si>
    <t xml:space="preserve"> PT204-6B-27</t>
  </si>
  <si>
    <t>19-21-RSC-DT1U1B-3T</t>
  </si>
  <si>
    <t>A09K-PA1501H-YAYBDBEB2737-1T-AM</t>
  </si>
  <si>
    <t>A09K-UR1501H-1224EAFA1727-1T-AM</t>
  </si>
  <si>
    <t>67-41EP3-URD1224EBFBZ5-ET0D-AM(EMM_x0002_</t>
  </si>
  <si>
    <t>ALFS3BD-C010001L153A64DD8E43A3C2T-AM(SJ)</t>
  </si>
  <si>
    <t>CH2016E-C07001L-53A64DJ6K23037-2T-AM</t>
  </si>
  <si>
    <t>67-21S/KKW-H272533Z6/2T</t>
  </si>
  <si>
    <t>CH2319-C07001H-53A64DK1K42737-2T-AM</t>
  </si>
  <si>
    <t xml:space="preserve">100k  </t>
  </si>
  <si>
    <t>300K</t>
  </si>
  <si>
    <t>67-41EP3-URD1224EBFBZ5-ET0D-AM(EMM)_x0002_</t>
  </si>
  <si>
    <t>67-11S-C81000H-59ECD5E02737-2T-AM(EMM)</t>
  </si>
  <si>
    <t>67-21S/KK5C-H652633Z6/2T</t>
  </si>
  <si>
    <t>15-21SURC/S530-A3/3T</t>
  </si>
  <si>
    <t>15-21/GHC-XS1T1/3T</t>
  </si>
  <si>
    <t>ALFS2BD-C010001H-53A64DD5D82A2C-1T-AM</t>
  </si>
  <si>
    <t>1608-UG0100H-2535UXVX2535-2T-AM</t>
  </si>
  <si>
    <t>Sample -PO</t>
  </si>
  <si>
    <t>1608-UY0100H-8389TYUY1525-2T-AM</t>
  </si>
  <si>
    <t>1608-SR0200H-2737UXVX1727-2T-AM</t>
  </si>
  <si>
    <t>2214-SO0201H-0309V1AA1727-2T-AM</t>
  </si>
  <si>
    <t>67-21S/KK5C-H652633Z6/2T(CLW)</t>
  </si>
  <si>
    <t>67-21S/KKE-M656833Z15/2T(EMM)</t>
  </si>
  <si>
    <t>67-41A-UR0501H-1224CADA1727-2T-AM(EMM)</t>
  </si>
  <si>
    <t>19-213/GVC-AMNB/3T</t>
  </si>
  <si>
    <t>23-21B/G6C-AM2P1/3A</t>
  </si>
  <si>
    <t>15-21/T1D-CP2R1HY/3T</t>
  </si>
  <si>
    <t>23-21B-G6C-AM2P1-2A</t>
  </si>
  <si>
    <t>XI3030-PA1500M-PAF4F62535-2T-AM</t>
  </si>
  <si>
    <t>204-10SUGC/S400-L</t>
  </si>
  <si>
    <t>67-21-UY0200H-8594V1AA1727-2T-AM(EMM)</t>
  </si>
  <si>
    <t>19-21/BHC-AN1P2/4T</t>
  </si>
  <si>
    <t>ALFS2BD-C0PA07001L1-A00-1T-AM</t>
  </si>
  <si>
    <t>EL3H7(J)(TA)-G</t>
  </si>
  <si>
    <t>65-11-BUTT-MVABBBG7E-2T8-AM (EMM)</t>
  </si>
  <si>
    <t xml:space="preserve">100000
</t>
  </si>
  <si>
    <t>1608-C70200H-JL0IL0AXBX2737-2T-AM(EMM)</t>
  </si>
  <si>
    <t>67-41EUZ-NP56B64DDAEA2737Z6 -2T0T-AM(SD)</t>
  </si>
  <si>
    <t>67-11-BUTT-MVABBBG7E-2T8-AM (EMM)</t>
  </si>
  <si>
    <t>67-41A-UR0500M-1224BBCB1727 -2T-AM(EMM)</t>
  </si>
  <si>
    <t>Load</t>
  </si>
  <si>
    <t>Wil Load in next Month</t>
  </si>
  <si>
    <t>67-41A-UR0501H-1224CADA1727- 2T-AM</t>
  </si>
  <si>
    <t>O7383/R7C3-AWAY-L(EMM-1)</t>
  </si>
  <si>
    <t>2820-C02001M-56B64DF6F92737-2T-AM</t>
  </si>
  <si>
    <t>67-21S-UR1500H-1221E8F21727-2T-AM</t>
  </si>
  <si>
    <t>ALFS1G-C010001H-60C64DC4D11A1B-1T-AM(VAL)</t>
  </si>
  <si>
    <t>67-21S-YK2C-L8M4</t>
  </si>
  <si>
    <t>204-15/FNC2-2TVA</t>
  </si>
  <si>
    <t>67-41EUZ-NP56B64DDAEA2737Z6
-2T0T-AM(SD)</t>
  </si>
  <si>
    <t>1608-C70200H-JL0IL0AXBX2737-2
T-AM(EMM)</t>
  </si>
  <si>
    <t>65-11-BUTT-MVABBBG7E-2T8-AM 
(EMM)</t>
  </si>
  <si>
    <t>67-11-BST-HJABBBH6E-2T8-AM(M
OST)</t>
  </si>
  <si>
    <t>67-11-GHC-AFV1V2N0E-2T8-AM(E
MM)</t>
  </si>
  <si>
    <r>
      <rPr>
        <sz val="11"/>
        <color rgb="FF92D050"/>
        <rFont val="Calibri"/>
        <charset val="134"/>
      </rPr>
      <t>XI3030-PA1500M-PAF4F62535-2T</t>
    </r>
    <r>
      <rPr>
        <sz val="11"/>
        <color rgb="FF92D050"/>
        <rFont val="Arial"/>
        <charset val="134"/>
      </rPr>
      <t>_</t>
    </r>
    <r>
      <rPr>
        <sz val="11"/>
        <color rgb="FF92D050"/>
        <rFont val="Calibri"/>
        <charset val="134"/>
      </rPr>
      <t>x005f</t>
    </r>
    <r>
      <rPr>
        <sz val="11"/>
        <color rgb="FF92D050"/>
        <rFont val="Arial"/>
        <charset val="134"/>
      </rPr>
      <t>_</t>
    </r>
    <r>
      <rPr>
        <sz val="11"/>
        <color rgb="FF92D050"/>
        <rFont val="Calibri"/>
        <charset val="134"/>
      </rPr>
      <t>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0002_AM</t>
    </r>
  </si>
  <si>
    <t>67-11S-C81000H-59ECD5E02737-
2T-AM(EMM)</t>
  </si>
  <si>
    <t>67-21-UY0200H-8594V1AA1727-2
T-AM(EMM)</t>
  </si>
  <si>
    <t xml:space="preserve">67-21-UY0200H-8594V1AA1727-2
T-AM(EMM)
</t>
  </si>
  <si>
    <t>67-21-UY0200H-8594V1AA1727-2
T-AM(EMM</t>
  </si>
  <si>
    <t>67-21S-SR60-2030CACB1727-2T0C
-AFM(HELLA)</t>
  </si>
  <si>
    <t>67-21S/YK2C-D1720L8M42833Z6/
2T(EMM)</t>
  </si>
  <si>
    <t xml:space="preserve"> IR204A(VC)</t>
  </si>
  <si>
    <t>65-11U-NPNMABBB2638Z2-2T0T_x0002_AM(SEAB)/EU</t>
  </si>
  <si>
    <t>67-11-C70300S-GL0FL0BBCB2727-
2T-AM</t>
  </si>
  <si>
    <t>67-11-BUTT-MVABBBG7E-2T8-AM
(EMM)</t>
  </si>
  <si>
    <t>67-41A-UR0501H-1224CADA2027-
2T-AM</t>
  </si>
  <si>
    <t>Staunch PO number</t>
  </si>
  <si>
    <t>Staunch Request Date (SRD)</t>
  </si>
  <si>
    <t>Status</t>
  </si>
  <si>
    <t>O7383/R7C3-AWYA-L(EMM-1)</t>
  </si>
  <si>
    <t>Priority to Load In Sysytem</t>
  </si>
  <si>
    <t>CH3535E-UR3501L-1527F7F91727
-1T-AM</t>
  </si>
  <si>
    <t>67-11S-PA1500H-DF2F52737-2T-A
M</t>
  </si>
  <si>
    <t>67-41EP3-URD1224EBFBZ5-ET0D_x0002_AM(EMM</t>
  </si>
  <si>
    <t>67-21S/NR3C-D1530L6M41829Z1
5/2T</t>
  </si>
  <si>
    <t>XI3030-PA1500M-PAF4F62535-2T_x0002_AM</t>
  </si>
  <si>
    <t>ALFS2BD-C0PA07001L1-A00-1T-A
M</t>
  </si>
  <si>
    <t>XI3030-UR3501H-0621F3F61730-
2T-AM</t>
  </si>
  <si>
    <t>7383GVC/S400-A5-L</t>
  </si>
  <si>
    <t>7383SURC/S400-A6-L</t>
  </si>
  <si>
    <t>17-21-S2C-C0P2Q2B0E-3T-AM(EM
M)</t>
  </si>
  <si>
    <t>2820-PA1501M-YAYBF1F32737-2T
-AM</t>
  </si>
  <si>
    <t>XI3030-PA3501H-YAYBF5F82535-2T-AM</t>
  </si>
  <si>
    <t>SP23040689</t>
  </si>
  <si>
    <t>67-21-UR0200H-2027V1AA1727-2
T-AM(EMM)</t>
  </si>
  <si>
    <t>67-22S/KKE_x0002_M656833Z15/2T(EMM)</t>
  </si>
  <si>
    <t>XI3030-C03501H-53A64DJ1J52535
-2T-AM</t>
  </si>
  <si>
    <t>1608-UG0100M-2030U2V12232-2
T-AM</t>
  </si>
  <si>
    <t>1608-UY0100M-8594T2U11525-2
T-AM(EMM)</t>
  </si>
  <si>
    <t>1608-UR0100M-1221T1T31525-2
T-AM</t>
  </si>
  <si>
    <t>S431SURWB-S530-A3</t>
  </si>
  <si>
    <t>204-15/T1C2-FTVA-L(EMM)</t>
  </si>
  <si>
    <t>67-21S-YK2C-D1720N4BPB2835Z1
5-4T-AFM(MH)</t>
  </si>
  <si>
    <t xml:space="preserve"> 67-22S/KKE_x0002_M656833Z15/2T(EMM</t>
  </si>
  <si>
    <t xml:space="preserve"> 67-22S/KKE_x0002_M656833Z15/2T(EMM)</t>
  </si>
  <si>
    <t>67-41EP3-URD1224EBFBZ5-ET0D_x0002_AM(EMM)</t>
  </si>
  <si>
    <t>67-41A-UR0501H-1224CADA1727-
2T-AM(EMM)</t>
  </si>
  <si>
    <t>67-11S-C81000H-57A63DC0C5273
7-2T-AM</t>
  </si>
  <si>
    <t>Two lines loaded of 300000</t>
  </si>
  <si>
    <t>1608-UG0100H-2535UXVX2535-2
T-AM(EMM)</t>
  </si>
  <si>
    <t>1608-SR0200H-2737UXVX1727-2T
-AM(EMM)</t>
  </si>
  <si>
    <t>2214-SO0201H-0309V1AA1727-2T
-AM(EMM)</t>
  </si>
  <si>
    <t>2820-PA1501M-YAYBF1F32737-2T
-AM(EMM)</t>
  </si>
  <si>
    <t>67-41A-UR0500M-1224BBCB1727
-2T-AM(EMM)</t>
  </si>
  <si>
    <t>67-11-BST-YOBACAA6E-2T8-AM(E
MM2)</t>
  </si>
  <si>
    <t>67-21-UGD2035V1V22737Z2-2T0
C-AM(EMM)</t>
  </si>
  <si>
    <t>67-21S-WW60-5050EAFA2732-2T
0R-AFM(HELLA)</t>
  </si>
  <si>
    <t>65-11-UG0200H-2035V2BB2737-2
T-AM</t>
  </si>
  <si>
    <t>67-41E-UBD6577S2T22737Z3-2T0
C-AM(EMM)</t>
  </si>
  <si>
    <t>23-22B/BHG6C-A30/2A</t>
  </si>
  <si>
    <t>19-217/Y5C-AP1Q2/6T</t>
  </si>
  <si>
    <t>19-217/R6C-AL1M2VY/6T</t>
  </si>
  <si>
    <t>19-217/B7C-AN2Q1B16Y/6T</t>
  </si>
  <si>
    <t>1608-SR0200H-2736UXVX1727-2T
-AM(EMM)</t>
  </si>
  <si>
    <t>XI3030-UR3501H-1224F6F72027-
2T-AM</t>
  </si>
  <si>
    <t>2820-PA3001M-YAYBF3F62737-2T
-AM</t>
  </si>
  <si>
    <t>67-22ST/KKE-N6511568Z15/SZM/
2T</t>
  </si>
  <si>
    <t>67-21S/KK4C-H5757R3R62835Z15
/2T-AFM</t>
  </si>
  <si>
    <t>67-41EUZ-NP56B64DBBDA2638Z3
-2T0T-AM</t>
  </si>
  <si>
    <t>67-11-BST-YOBACAA6E-2T8-AM(E
MM)</t>
  </si>
  <si>
    <t>67-21S-UY60-8595CBDB2027-2T0
C-AFM(HELLA)</t>
  </si>
  <si>
    <t>67-41A-UY0500M-8594ABBB1727
-2T-AM(EMM)</t>
  </si>
  <si>
    <t>67-41E-URD1224V2AB1929Z5-2T0
C-AM(EMM)</t>
  </si>
  <si>
    <t>67-41E-URD2739U2V21929Z5-2T0
C-AM(EMM)</t>
  </si>
  <si>
    <t>19-113-BHC-A0P1Q1K0E-3T-AM 
(EMM)</t>
  </si>
  <si>
    <t>seb</t>
  </si>
  <si>
    <t>XI3030EU-NAYAYBF5F9273-4Z35-
H41D-AM</t>
  </si>
  <si>
    <t>Cancle</t>
  </si>
  <si>
    <t xml:space="preserve"> </t>
  </si>
  <si>
    <t>67-11S-C81500H-48A55DE0F5253
5-2T-AM</t>
  </si>
  <si>
    <t xml:space="preserve"> ITR9606-F</t>
  </si>
  <si>
    <t>67-21-SSNC-F0V1AAG3E-2T8-AM</t>
  </si>
  <si>
    <t>65-11-C70100L-HM0GM0R1T1253
5-2T-AM</t>
  </si>
  <si>
    <t>67-11-C70201H-HK0FK0ABCA273
7-2T-AM</t>
  </si>
  <si>
    <t>19-217/BHC-AN1P2/6T</t>
  </si>
  <si>
    <t>19-217/S2C-AQ1R2B/6T</t>
  </si>
  <si>
    <t>19-213/R6C-AP1Q2B/5T</t>
  </si>
  <si>
    <t>19-217/GHC-YR1S2/6T</t>
  </si>
  <si>
    <t>67-21-GBC-Y0AABAN0E-2T8-AM</t>
  </si>
  <si>
    <t>67-41R-UY0504H-8894ABBA1727-
2T-AM(EMM)</t>
  </si>
  <si>
    <t>67-11-UB0200H-6375S2T22737-2
T-AM(EMM)</t>
  </si>
  <si>
    <t>67-21-UR0204M-1524S2T11727-2
T-AM(EMM)</t>
  </si>
  <si>
    <t>A09KU-NAYAYBDBEB2638Z15-1T0
T-AM</t>
  </si>
  <si>
    <t>250000/150000</t>
  </si>
  <si>
    <t>67-21S/NB3C-D4555B4L12835Z15
/2T</t>
  </si>
  <si>
    <t>65-11-C70100L-HM0GM0S1S2253
5-2T-AM</t>
  </si>
  <si>
    <t>XI3030EU-NAYAYBF5F92734Z35-H
41D-AM</t>
  </si>
  <si>
    <t>XI3030-PA3501H-YAYBF5F82535-2
T-AM</t>
  </si>
  <si>
    <t>67-21S/KK5C-H572633Z6/2T</t>
  </si>
  <si>
    <t>67-22ST/KKE-N5711568Z15/SZM/
2T</t>
  </si>
  <si>
    <t>67-21S-SR60-2030CACB1727-2T0C_x0002_AFM(HELLA)</t>
  </si>
  <si>
    <t>67-21S-UY60-8595CBDB2027-2T0C_x0002_AFM(HELLA)</t>
  </si>
  <si>
    <t>67-21-UR0204M-1524S2T11727-2T-AM(EMM)</t>
  </si>
  <si>
    <t>67-11-C70300H-LK0MK0BBCB273
7-AM(EMM)</t>
  </si>
  <si>
    <t>67-41-C70301H-60C64DBBCA273
7-2T-AM(VAR)</t>
  </si>
  <si>
    <t>sample po</t>
  </si>
  <si>
    <t>67-21S/KK5C-H6565N32P02833Z6
/2T(EMM)</t>
  </si>
  <si>
    <t>17-21SURC/S530-A2/4T</t>
  </si>
  <si>
    <t>17-21SYGC/S530-E1/4T</t>
  </si>
  <si>
    <t>17-21UYC/S530-A2/4T</t>
  </si>
  <si>
    <t xml:space="preserve">67-41E-URD1224V2AB1929Z5-2T0
C-AM(EMM)
</t>
  </si>
  <si>
    <t>67-11S-C80600H-57B63CB4C5253
5-2T-AM(EMM)</t>
  </si>
  <si>
    <t>65-21-UY0200H-8594V1AA1727-2
T-AM</t>
  </si>
  <si>
    <t>67-21R-UR0301H-1221AAAB1725-
2T-AM(VAL)</t>
  </si>
  <si>
    <t>67-42U-R6GBC-A01E-2T8-AM</t>
  </si>
  <si>
    <t>67-21R-UR0301H-1221AABA1722-
2T-AM(VAL)</t>
  </si>
  <si>
    <t>Not Loaded</t>
  </si>
  <si>
    <t>67-22KR-RQBAC-A2020-2T8-CS</t>
  </si>
  <si>
    <t>Sended</t>
  </si>
  <si>
    <t>67-22S/KKE-M576833Z15/2T(EM
M)</t>
  </si>
  <si>
    <t>67-11-C70300H-LK0MK0CACB273
7-2T-AM(EMM)</t>
  </si>
  <si>
    <t>67-21S/KK4C-H5757R3R62835Z15
/2T</t>
  </si>
  <si>
    <t>A09KU-URD0921DAEB1828Z15-1T
0C-AM</t>
  </si>
  <si>
    <t xml:space="preserve"> ELM3121(TA) (EMM)-VG</t>
  </si>
  <si>
    <t>Rohit</t>
  </si>
  <si>
    <t xml:space="preserve"> EL3120(EMM)-V</t>
  </si>
  <si>
    <t>pricol</t>
  </si>
  <si>
    <t>.</t>
  </si>
  <si>
    <t>IR204-A(VC)</t>
  </si>
  <si>
    <t>65-11-BUTT-MVABBBG7E-2T8-AM
(EMM-1)</t>
  </si>
  <si>
    <t>Sun Electro</t>
  </si>
  <si>
    <t>Uno Minda Katolic</t>
  </si>
  <si>
    <t>Load for June</t>
  </si>
  <si>
    <t>XI3030-UR3501H-1224F6F72027-
2T-AM(VG)</t>
  </si>
  <si>
    <t>A09K-UR1501H-1221EBFA1727-2T
-AM</t>
  </si>
  <si>
    <t xml:space="preserve"> IR204-A(VC)</t>
  </si>
  <si>
    <t>Fiem</t>
  </si>
  <si>
    <t>Load for july</t>
  </si>
  <si>
    <t>EL817(C )-FG</t>
  </si>
  <si>
    <t>EL817(B)-FG</t>
  </si>
  <si>
    <t>EL817(A)-FG</t>
  </si>
  <si>
    <t>IR333/HO-A(GEN)</t>
  </si>
  <si>
    <t>EL817(D)-FG</t>
  </si>
  <si>
    <t xml:space="preserve"> EL817S1(B)(TU)-FV</t>
  </si>
  <si>
    <t xml:space="preserve"> EL817S1(A)(TU)-FV</t>
  </si>
  <si>
    <t>EL817S1(D )(TU)-FG</t>
  </si>
  <si>
    <t>EL817S1(C )(TU)-FV</t>
  </si>
  <si>
    <t xml:space="preserve"> PT333-3C(GEN)</t>
  </si>
  <si>
    <t>O333-2UYD/S530-A3(EMM-1)</t>
  </si>
  <si>
    <t>Rohit / 06-05-2024</t>
  </si>
  <si>
    <t>O333-2SYGD/S530-E2(EMM-1)</t>
  </si>
  <si>
    <t>O333-2SURD/S530-A3(EMM-1)</t>
  </si>
  <si>
    <t>O204-10UYD/S530-A3(EMM-1)</t>
  </si>
  <si>
    <t>03-05-2024 / Rohit</t>
  </si>
  <si>
    <t>O204-10SYGD/S530-E3(EMM-1)</t>
  </si>
  <si>
    <t>O204-10SURD/S530-A3(EMM-1)</t>
  </si>
  <si>
    <t>O204-10SURC/S530-A3(EMM-1)</t>
  </si>
  <si>
    <t>Rohit / 13-09-2024</t>
  </si>
  <si>
    <t>O333-2SURC/S530-A3(EMM-1)</t>
  </si>
  <si>
    <t>cancle</t>
  </si>
  <si>
    <t>4.7 + GST</t>
  </si>
  <si>
    <t xml:space="preserve"> IRM-3638J16</t>
  </si>
  <si>
    <t>O3332SDRT/S530-A6-L(EMM)</t>
  </si>
  <si>
    <t>334-15/T2C3-4TVB-D</t>
  </si>
  <si>
    <t>Interface</t>
  </si>
  <si>
    <t>XI3030-UR3501H-1224F6F72027-
2T-AM(HMS)</t>
  </si>
  <si>
    <t>ALFS2BD-C0PA7001H-A0371025-1
T-AM(DEPO)</t>
  </si>
  <si>
    <t>Uno Minda Rinder</t>
  </si>
  <si>
    <t>Napino</t>
  </si>
  <si>
    <t>HNB2727W-OS06(EMM)</t>
  </si>
  <si>
    <t>A09KU-NP56B64DEBFA2638Z15-1
TOT-AM</t>
  </si>
  <si>
    <t xml:space="preserve"> EL817(B)-FG</t>
  </si>
  <si>
    <t>EL357N(C)(TA)-G</t>
  </si>
  <si>
    <t>17-21SURC/S530-A3/4T</t>
  </si>
  <si>
    <t xml:space="preserve"> PT91-21B/TR7</t>
  </si>
  <si>
    <t xml:space="preserve"> IR91-21C/TR7</t>
  </si>
  <si>
    <t>Lumax</t>
  </si>
  <si>
    <t>Kaynes</t>
  </si>
  <si>
    <t xml:space="preserve">Hella </t>
  </si>
  <si>
    <t>Neolite</t>
  </si>
  <si>
    <t>inynatra</t>
  </si>
  <si>
    <t>Nippon</t>
  </si>
  <si>
    <t>IRM-3638J16S27</t>
  </si>
  <si>
    <t>Rohit /17-07-2024</t>
  </si>
  <si>
    <t>Minda Instruments</t>
  </si>
  <si>
    <t>1608-UG0100H-2535UXVX2535-2T-AM(EMM)</t>
  </si>
  <si>
    <t>1608-SR0200H-2736UXVX1727-2T-AM(EMM)</t>
  </si>
  <si>
    <t>67-11-C70300S-GL0FL0BBCB2737-2T-AM</t>
  </si>
  <si>
    <t>uno Minda</t>
  </si>
  <si>
    <t>65-11-C70100L-HM0GM0S1S22535-2T-AM</t>
  </si>
  <si>
    <t>Dhoot</t>
  </si>
  <si>
    <t>SGS</t>
  </si>
  <si>
    <t>BEAM</t>
  </si>
  <si>
    <t>67-21S-YK2C-D1720N4BPB2835Z1
 5-4T-AFM(MH)</t>
  </si>
  <si>
    <t>15-21UTD/S5284/3T(EMM)</t>
  </si>
  <si>
    <t>Rohit/27-06-2024</t>
  </si>
  <si>
    <t>XI3030-RGB200BH-B01-2T-AM(E
MM)</t>
  </si>
  <si>
    <t>sample PO</t>
  </si>
  <si>
    <t>19-213SURC/S337/5T</t>
  </si>
  <si>
    <t>37-01/E74-SSC-C1S2T2-IH-AM(GD
E)</t>
  </si>
  <si>
    <t>IR95-21C/L491/TR7</t>
  </si>
  <si>
    <t>Rohit/ 04-07-2024</t>
  </si>
  <si>
    <t>62-117ET/KK2C-W7090M3N4293
5Z6-2T(EMM)</t>
  </si>
  <si>
    <t>67-41-C70301H-60C64DBBCA2732-2T-AM(VAR)</t>
  </si>
  <si>
    <t>Varroc</t>
  </si>
  <si>
    <t>IRM-3638J16</t>
  </si>
  <si>
    <t>Rohit/12-08-2024</t>
  </si>
  <si>
    <t>37-01/E74-SSC-C1S2T2JH-AM(GDE)</t>
  </si>
  <si>
    <t>Rohit / 28-08-2024</t>
  </si>
  <si>
    <t>3011L-C70201H-GK0FK0V2AB253
5-2T-AM (EMM)</t>
  </si>
  <si>
    <t>O204-10SYGC/S530-E2(EMM-1)</t>
  </si>
  <si>
    <t>Rohit/17-10-2024</t>
  </si>
  <si>
    <t>O204-10UYC/S530-A3</t>
  </si>
  <si>
    <t>O204-10SYGC/S530-A3</t>
  </si>
  <si>
    <t>Rohit/26-08-2024</t>
  </si>
  <si>
    <t>IRM-3638J16S27(EMM)</t>
  </si>
  <si>
    <t>Rohit/02-09-2024</t>
  </si>
  <si>
    <t>Rohit/02-11-2024</t>
  </si>
  <si>
    <t>67-21S/KKE-W1052633Z6/2T(ICE)</t>
  </si>
  <si>
    <t>Rohit/20-05-2024</t>
  </si>
  <si>
    <t>Rohit/07-10-2024</t>
  </si>
  <si>
    <t>Exicom</t>
  </si>
  <si>
    <t>Rohit/19-09-2024</t>
  </si>
  <si>
    <t xml:space="preserve"> IR95-21C/L491/TR7</t>
  </si>
  <si>
    <t>99-218-BUT-MVAWBWA7E-2G-CS(EMM-1)</t>
  </si>
  <si>
    <t>65-11-BUTT-MVABBBG7E-2T8-AM(EMM-1)</t>
  </si>
  <si>
    <t>A09K-UR1501H-1221EBFA1725-1T-AM(EMM)</t>
  </si>
  <si>
    <t>Rohit/08-10-2024</t>
  </si>
  <si>
    <t>204-10SUBD/S400-A4</t>
  </si>
  <si>
    <t>DEW</t>
  </si>
  <si>
    <t>inyantra</t>
  </si>
  <si>
    <t xml:space="preserve">Ever </t>
  </si>
  <si>
    <t>Rohit/ 16-10-2024</t>
  </si>
  <si>
    <t>67-21-Y9NC-9AU1V1A5E-2T8-AM</t>
  </si>
  <si>
    <t>JNS</t>
  </si>
  <si>
    <t>67-11-IB0300H-CD4CE5BBCB2737
-2T-AM</t>
  </si>
  <si>
    <t>Beam</t>
  </si>
  <si>
    <t>99-218-BUT-MVAWBWA7E-2G-CS(
EMM-1)</t>
  </si>
  <si>
    <t>Suprajit</t>
  </si>
  <si>
    <t>ALFS1G-C010001H-53B56CC5D11
A1B-1T-AM(EMM)</t>
  </si>
  <si>
    <t>2820-C02001M-56B64DF6F92737-
2T-AM(EMM)</t>
  </si>
  <si>
    <t>19-237DC/RSGHBHC-A01/2T</t>
  </si>
  <si>
    <t>57-11-C70200H-NM0LM0AABB27
37-BT-AM(EMM)</t>
  </si>
  <si>
    <t>57-21-UYG0200L-6774P2Q21723-
2T-AM(EMM</t>
  </si>
  <si>
    <t>Arete</t>
  </si>
  <si>
    <t>XI5050EE/LKE-H5775062Z64/2N</t>
  </si>
  <si>
    <t>Rohit/21-11-2024</t>
  </si>
  <si>
    <t>Rohit/4-12-2024</t>
  </si>
  <si>
    <t>67-23ST/JKE-6E6514594Z10/2T</t>
  </si>
  <si>
    <t>Rohit/22-11-2024</t>
  </si>
  <si>
    <t>67-41-C70301H-60C64DBBCA273
2-2T-AM(VAR)</t>
  </si>
  <si>
    <t>99-218-BUT-MVAWBWA7E-2G-CS(EMM)</t>
  </si>
  <si>
    <t>Mail ID</t>
  </si>
  <si>
    <t>pratik@rlelectrosolutions.com</t>
  </si>
  <si>
    <t xml:space="preserve">Password </t>
  </si>
  <si>
    <t>Abhi@2822</t>
  </si>
  <si>
    <t>3011L-C70201H-GK0FK0V2AB2535-2T-AM (EMM)</t>
  </si>
  <si>
    <t xml:space="preserve">siddhesh@rlelectrosolutions.com
</t>
  </si>
  <si>
    <t>Esbee</t>
  </si>
  <si>
    <t>CEM</t>
  </si>
  <si>
    <t>2820-PA1501M-YAYBF1F32737-2T-AM(EMM)</t>
  </si>
  <si>
    <t>67-63-RGB0200H-A04-2T-AM</t>
  </si>
  <si>
    <t>5515-RGB020AH-B01B-1T-AM</t>
  </si>
  <si>
    <t>A3T</t>
  </si>
  <si>
    <t>19-217/R6C-P1Q2/6T</t>
  </si>
  <si>
    <t>S431SURWB-S530-A</t>
  </si>
  <si>
    <t>Pricol</t>
  </si>
  <si>
    <t>67-11-IB0300H-CD4CE5BBCB2737-2T-AM</t>
  </si>
  <si>
    <t>Accolade</t>
  </si>
  <si>
    <t>Name</t>
  </si>
  <si>
    <t>Gender</t>
  </si>
  <si>
    <t>Age</t>
  </si>
  <si>
    <t>Aniket Shahane</t>
  </si>
  <si>
    <t>Male</t>
  </si>
  <si>
    <t>Priya shahane</t>
  </si>
  <si>
    <t>Female</t>
  </si>
  <si>
    <t>Shlok shahane</t>
  </si>
  <si>
    <t xml:space="preserve">Minda </t>
  </si>
  <si>
    <t>57-21-UYG0200L-6773P2Q21725-2T-AM(EMM)</t>
  </si>
  <si>
    <t>IR333/H0-A(GEN)</t>
  </si>
  <si>
    <t>PT333-3C(GEN)</t>
  </si>
  <si>
    <t>67-21R-UR0301H-1221AAAB1725-2T-AM(VAL)</t>
  </si>
  <si>
    <t>2820-C02001M-56B64DF6F92737-2T-AM(EMM)</t>
  </si>
  <si>
    <t>67-11-BLT-G0U1V1A6E-2T8-AM</t>
  </si>
  <si>
    <t>67-21-S2C-I6R2S2B0E-2T8-AM</t>
  </si>
  <si>
    <t>Uno Minda</t>
  </si>
  <si>
    <t>67-21S/KK4C-H5757R3R62835Z15/2T</t>
  </si>
  <si>
    <t>Nappino</t>
  </si>
  <si>
    <t>Sun</t>
  </si>
  <si>
    <t>264-15UYC/S400-A8</t>
  </si>
  <si>
    <t xml:space="preserve">LS </t>
  </si>
  <si>
    <t>264-10SYGC/S530-E6-L(EMM)</t>
  </si>
  <si>
    <t>Anand</t>
  </si>
  <si>
    <t>Behr Hella</t>
  </si>
  <si>
    <t>Ever</t>
  </si>
  <si>
    <t>sun</t>
  </si>
  <si>
    <t>XI3030-RGB200BH-B01-2T-AM(EMM)</t>
  </si>
  <si>
    <t>57-11-C70200H-NM0LM0AABB2737-2T-AM(EMM)</t>
  </si>
  <si>
    <t>Dew</t>
  </si>
  <si>
    <t>alfs2bd</t>
  </si>
  <si>
    <t xml:space="preserve">Rohit </t>
  </si>
  <si>
    <t>A09KU-URD0921DAEB1828Z15-1T0C-AM</t>
  </si>
  <si>
    <t>Allide</t>
  </si>
  <si>
    <t>EL817S1(C)(TU)-FV</t>
  </si>
  <si>
    <t>Rohit /05-03-2025</t>
  </si>
  <si>
    <t>Epro</t>
  </si>
  <si>
    <t>Rohit /14-03-2025</t>
  </si>
  <si>
    <t>Rohit /18-03-2025</t>
  </si>
  <si>
    <t>A09KU-NAYAYBDBEB2638Z15-1T0T-AM(EMM)</t>
  </si>
  <si>
    <t>Gp</t>
  </si>
  <si>
    <t>67-21S/NR3C-D1530L6M41829Z15/2T</t>
  </si>
  <si>
    <t>264-15UTD/S400-A2-L(EMM)</t>
  </si>
  <si>
    <t>Rahul</t>
  </si>
  <si>
    <t>Rohit/26-02-2025</t>
  </si>
  <si>
    <t>67-11-BST-Y0BACAA6E-2T8-AM(EMM)</t>
  </si>
  <si>
    <t>2214-SO0201H-0309V1AA1727-2T-AM(EMM)</t>
  </si>
  <si>
    <t>67-11-BST-Y0BACAA6E-2T8-AM(EMM-2)</t>
  </si>
  <si>
    <t>ALFS1G-C010001H-53B56CC5D11A1B-1T-AM(EMM)</t>
  </si>
  <si>
    <t>Kintic</t>
  </si>
  <si>
    <t>ITR9606-F</t>
  </si>
  <si>
    <t>XI3030-RGB200BH-B01-2T-AM(TEC)</t>
  </si>
  <si>
    <t>67-11-C70100M-JM0IM0S2U22737-2T-AM</t>
  </si>
  <si>
    <t>67-11-C70202H-G0U1V22537-2T_x0002_AM</t>
  </si>
  <si>
    <t>67-21-SO0201H-0309V2AB1925-2T-AM</t>
  </si>
  <si>
    <t>1608-UB0100M-5967R2S12535-2T-AM(EMM)</t>
  </si>
  <si>
    <t>67-11-UB0202H-6375S2U12737-2T-AM(EMM)</t>
  </si>
  <si>
    <t>67-41-UG0202H-2030ABBA2737-2T-AM(EMM)</t>
  </si>
  <si>
    <t>Minda</t>
  </si>
  <si>
    <t xml:space="preserve">EveryDay Follow </t>
  </si>
  <si>
    <t>67-11-B7C-B0S1T2E0E-2T8-AFM</t>
  </si>
  <si>
    <t>XI3030-UR3501H-1224F6F72027-2T-AM(VG)</t>
  </si>
  <si>
    <t>Rohit/21-03-2025</t>
  </si>
  <si>
    <t>1608-C70200H-JL0IL0AZBZ2737-2T-AM(EMM)</t>
  </si>
  <si>
    <t>Hella</t>
  </si>
  <si>
    <t>ESBEE</t>
  </si>
  <si>
    <t>Electrica</t>
  </si>
  <si>
    <t>Rohit /05-05-2025</t>
  </si>
  <si>
    <t>EL817(C)-FG</t>
  </si>
  <si>
    <t>67-41R-UY0504H-8894ABBA1727-2T-AM(EMM)</t>
  </si>
  <si>
    <t>1608-C70200H-KM0BXBY2833-2T_x0002_AM(EMM)</t>
  </si>
  <si>
    <t>Rohit /12-05-2025</t>
  </si>
  <si>
    <t>12-215/S2C-AQ1R1L/3C</t>
  </si>
  <si>
    <t>12-215/GHC-YR1S2/3C</t>
  </si>
  <si>
    <t>EL1012(TA)-VG E</t>
  </si>
  <si>
    <t>65-21-Y2SC-F0S2T2B7E-2T</t>
  </si>
  <si>
    <t>Shree Sai Copm</t>
  </si>
  <si>
    <t>67-11-UB0200H-6375S2T22737-2T-AM(EMM)</t>
  </si>
  <si>
    <t>11-06-2025/Rohit</t>
  </si>
  <si>
    <t>XI3030-UR3501H-0621F3F61730-2T-AM</t>
  </si>
  <si>
    <t>65-21R-UY0300M-8294AAAB2025-2T-AM(EMM)</t>
  </si>
  <si>
    <t>A09KU-NP56B64DEBFA2638Z15-1T0T-AM</t>
  </si>
  <si>
    <t>67-235/REGBB2C-A01/2T</t>
  </si>
  <si>
    <t>3011L-C70201H-GK0FK0V2AB2535-2T-AM(EMM)</t>
  </si>
  <si>
    <t>Rohit / 19-06-2025</t>
  </si>
  <si>
    <t>67-41R-UR0502H-1224V2AA1929-2T-AM(EMM)</t>
  </si>
  <si>
    <t>ram</t>
  </si>
  <si>
    <t>67-41A-UR0501H-1224CACB2025-2T-AM(EMM)</t>
  </si>
  <si>
    <t>XI3030-PA1500M-PAF5F62732-2T_x0002_AM(EMM</t>
  </si>
  <si>
    <t>XI3030-PA1500M-PAF4F62732-2T_x0002_AM(EMM)</t>
  </si>
  <si>
    <t>O333-2SURC/S530-A3(EMM-1</t>
  </si>
  <si>
    <t>333-2ASUBC/S400-X9-L</t>
  </si>
  <si>
    <t>Sandhar</t>
  </si>
  <si>
    <t>264-10SYGC/S530-E6-L</t>
  </si>
  <si>
    <t xml:space="preserve">Rahul </t>
  </si>
  <si>
    <t>XI3030P/KK3C-NAYAYBS6S828342Z35/2N</t>
  </si>
  <si>
    <t>Renu</t>
  </si>
  <si>
    <t>333-2SYGD/S530-E2-L</t>
  </si>
  <si>
    <t>333-2UYOC/S530-A3-L</t>
  </si>
  <si>
    <t>65-11-GHC-G7T2U2A6E-2T8-AM</t>
  </si>
  <si>
    <t>30-07-205</t>
  </si>
  <si>
    <t>ANR</t>
  </si>
  <si>
    <t>16-213SYGC/S530-E4/TR8</t>
  </si>
  <si>
    <t>1608-C70100H-JL0IL0V1V32535-2T-AM(QN)</t>
  </si>
  <si>
    <t>5515-RGB020AH-A01-1T-AM(EMM)</t>
  </si>
  <si>
    <t>XI3030-PR3501H-PROF6F72535-2T-AM(EMM)</t>
  </si>
  <si>
    <t>XI3030P/KK3C-NAYAYBS6S828342Z35/2N-AFM(EMM)</t>
  </si>
  <si>
    <t>67-23/REGBB7W-B32/2T</t>
  </si>
  <si>
    <t>65-11-UB0200L-6771T1T22733-2T-AM(EMM)</t>
  </si>
  <si>
    <t>65-21R-SR0300M-2427V2AA2022-2T-AM(EMM</t>
  </si>
  <si>
    <t>65-11-UG0200H-2530AAAB2730-2T-AM(EMM)</t>
  </si>
  <si>
    <t>67-11-UB0202H-6773T2U12732-2T-AM(EMM)</t>
  </si>
  <si>
    <t>Shared By Ram Sir</t>
  </si>
  <si>
    <t>67-21/RSC-FT2V1B/2T</t>
  </si>
  <si>
    <t>67-21/GHC-BV1/2T</t>
  </si>
  <si>
    <t>67-21/B7C-BS2U1K/2T</t>
  </si>
  <si>
    <t>JC Electronica</t>
  </si>
  <si>
    <t>67-11-C70300H-LK0MK0CACB2737-2T-AM(EMM)</t>
  </si>
  <si>
    <t>XI3030P/KK3C-NAYAYBS7S828342Z35/2N-AFM(EMM)</t>
  </si>
  <si>
    <t>19E-213/R6SC-AR2S2B/5T</t>
  </si>
  <si>
    <t>Deltron</t>
  </si>
  <si>
    <t>19-213/GHC-XS1T2N/5T</t>
  </si>
  <si>
    <t>19-213/B7C-AQ2S1B2/5T</t>
  </si>
  <si>
    <t>67-11S/KK4C-H6565R3R52834Z15/2T(SAM)</t>
  </si>
  <si>
    <t>BG</t>
  </si>
  <si>
    <t>234-7UYOD/S530-A3-L(EMM)</t>
  </si>
  <si>
    <t>234-7SYGD/S530-E2-L(EMM)</t>
  </si>
  <si>
    <t>234-7SURD/S530-A3-L(EMM)</t>
  </si>
  <si>
    <t>234-7SDRD/S530-A3-L(EMM)</t>
  </si>
  <si>
    <t>234-7UYD/S530-A3-L(EMM)</t>
  </si>
  <si>
    <t>234-15UTD/S400-A2-L(EMM)</t>
  </si>
  <si>
    <t>z</t>
  </si>
  <si>
    <t>67-21-UR0200L-2030T2U21826-2T-AM(EMM)</t>
  </si>
  <si>
    <t>67-21-UY0301H-8692ABBB1727-2T-AM(EMM)</t>
  </si>
  <si>
    <t>67-11-B7C-B0S1T2B0E-2T8-AFM</t>
  </si>
  <si>
    <t>O333-2SDRT/S530-A6-L(EMM)</t>
  </si>
  <si>
    <t>28-10-20025</t>
  </si>
  <si>
    <t>67-21-UY0200H-8894AAAB2025-2T-AM(EMM)</t>
  </si>
  <si>
    <t>67-11-UG0202H-2530AABA2732-2T8-AM(EMM)</t>
  </si>
  <si>
    <t>67-21-UR0201H-2024V2AA1823-2T-AM(EMM)</t>
  </si>
  <si>
    <t>2016-PA0501H-YAYBE5E72735-2T_x0002_AM</t>
  </si>
  <si>
    <t>67-42U-YR0501H-A01-2T-AM(EMM)</t>
  </si>
  <si>
    <t>65-21-UY0200H-8594V1AA1727-2T-AM</t>
  </si>
  <si>
    <t>67-11-C70202H-JK0KK0V2AB3035-2T-AM(EMM)</t>
  </si>
  <si>
    <t>67-11-UG0102L-2035U1V12532-2T-AM(EMM)</t>
  </si>
  <si>
    <t>Minda Ins</t>
  </si>
  <si>
    <t>XI3030P/KK3C-NAYAYBS6S828342Z35-AFM(EMM)</t>
  </si>
  <si>
    <t>XI3030P/KK3C-NAYAYBS7S828342Z35-AFM(EMM)</t>
  </si>
  <si>
    <t>67-41-SB0501H-6367V22AB2737-2T-AM(EMM)</t>
  </si>
  <si>
    <t>67-41-UR0501H-2127BACA1727-2T-AM(EMM)</t>
  </si>
  <si>
    <t>65-21R-SR0300M-2430V2AB2027-2T-AM(EMM)</t>
  </si>
  <si>
    <t>65-11-UG0200H-2531AAAB2735-2T-AM(EMM)</t>
  </si>
  <si>
    <t>15-21/Y2C-AN1P2 /3T</t>
  </si>
  <si>
    <t>XI3030-PA1500M-PAF5F62732-2T_x0002_AM(EMM)</t>
  </si>
  <si>
    <t>67-41EUZ-NP56B60CDAEA2737Z6-2T0T-AM(EMM)</t>
  </si>
  <si>
    <t>65-11-BUTT-MVABBBG7E-2T8-AM(EMM-3)</t>
  </si>
  <si>
    <t>67-11-B7C-B0S1T2E0E-2T8-AM</t>
  </si>
  <si>
    <t>Minda Cor</t>
  </si>
  <si>
    <t xml:space="preserve">Syrma </t>
  </si>
  <si>
    <t>234-15AUYOC/S530-A3-L(EMM)</t>
  </si>
  <si>
    <t>57-21-UY0200L-8591S2T11725-2T-AM(EMM)</t>
  </si>
  <si>
    <t>A09KX-UY1501H-8594EAEB2026-1T-AM(EMM)</t>
  </si>
  <si>
    <t>Balaji</t>
  </si>
  <si>
    <t>1608-C70200H-JM0KM0AZBZ2737-2T-AM(EMM)</t>
  </si>
  <si>
    <t>3011-C70201H-JL0IK0V2AB2735-2T-AM</t>
  </si>
  <si>
    <t>Mindarika</t>
  </si>
  <si>
    <t>67-11-UG0202H-2530AABA2732-2T-AM(EMM)</t>
  </si>
  <si>
    <t>67-11-C70202H-G0U1V22537-2T-AM</t>
  </si>
  <si>
    <t>Jay</t>
  </si>
  <si>
    <t>65-11-UG0100H-2432V2AB2535-2T-AM(EMM)</t>
  </si>
  <si>
    <t>67-41-PA0601H-8591BBDB2737-2T-AM</t>
  </si>
  <si>
    <t>42-51/Y5C-MV2W2B23/3T</t>
  </si>
  <si>
    <t>IL JIN ELECTRONIC</t>
  </si>
  <si>
    <t>load</t>
  </si>
  <si>
    <t>26-21/BHC-ATW/CT</t>
  </si>
  <si>
    <t>EULAR</t>
  </si>
  <si>
    <t>2214-C70301H-20FECACB2737-2T AM(EE)</t>
  </si>
  <si>
    <t>1608-C70200H-ML0LL0BXBY2833-2T-AM(EMM)</t>
  </si>
  <si>
    <t>1608-UB0200H-5967SYTY2737-2T-AM</t>
  </si>
  <si>
    <t>65-21R-UR0200M-1218AAAB2025-2T-AM(EMM)</t>
  </si>
  <si>
    <t>65-21-UR0200H-1827V1AA1727-2T-AM</t>
  </si>
  <si>
    <t>67-11-IB0201H-CE4CD5AABB2535-2T-AM(EMM))</t>
  </si>
  <si>
    <t>65-21R-UY0200M-8692V1AA1725-2T</t>
  </si>
  <si>
    <t>57-21-UYG0200L-6773Q1Q21725-2T-AM(EMM)</t>
  </si>
  <si>
    <t>2820-C02001M-58M61MF8F92735-2T-AM(EMM)</t>
  </si>
  <si>
    <t>42-51/R6C-BV2X1B23/3T</t>
  </si>
  <si>
    <t>42-51/GHC-YW2X2K/3T</t>
  </si>
  <si>
    <t>67-11S-C80600H-57B63CB4C52535-2T-AM(EMM)</t>
  </si>
  <si>
    <t>67-63-RGB0201H-A04-2T-AM (YURA)</t>
  </si>
  <si>
    <t>8224-26SURD/S530-A3 (ATC)</t>
  </si>
  <si>
    <t>Aug</t>
  </si>
  <si>
    <t>67-41-UB0302H-6775U2V12737-2T-AM(EMM)</t>
  </si>
  <si>
    <t>aglie</t>
  </si>
  <si>
    <t>aaj</t>
  </si>
  <si>
    <t>VVDN</t>
  </si>
  <si>
    <t>19-213/G6C-AP1Q2/5T</t>
  </si>
  <si>
    <t>urgent</t>
  </si>
  <si>
    <t>99-218-BUT-MVAWBWA7E-2G-CS(EMM-3)</t>
  </si>
  <si>
    <t>sended</t>
  </si>
  <si>
    <t>today</t>
  </si>
  <si>
    <t>26/06/2026</t>
  </si>
  <si>
    <t>23-06-2026</t>
  </si>
  <si>
    <t>67-21R-UR0201H-1224V1AA1722 2T-AM</t>
  </si>
  <si>
    <t>26/6/2026</t>
  </si>
  <si>
    <t>29//06/2026</t>
  </si>
  <si>
    <t>29/06/2026</t>
  </si>
  <si>
    <t>23/06/2026</t>
  </si>
  <si>
    <t>18/06/2026</t>
  </si>
  <si>
    <t>25/06/2026</t>
  </si>
  <si>
    <t>minda ins</t>
  </si>
  <si>
    <t xml:space="preserve">Arete </t>
  </si>
  <si>
    <t>RT vision</t>
  </si>
  <si>
    <t>30/06/2026</t>
  </si>
  <si>
    <t>Minda inst</t>
  </si>
  <si>
    <t>1608-UG0100H-2535UXVX2535-2 T-AM(EMM)</t>
  </si>
  <si>
    <t>30/06/2027</t>
  </si>
  <si>
    <t>30/06/2028</t>
  </si>
  <si>
    <t>1608-UG0100H-2535UXVX1727-2T-AM(EMM)</t>
  </si>
  <si>
    <t>30/06/2029</t>
  </si>
  <si>
    <t>264-15SYGC/H5/S530-E4/S1207-L</t>
  </si>
  <si>
    <t>LS</t>
  </si>
  <si>
    <t xml:space="preserve">264-15UYC/H5/S530-A3/S1207-L
</t>
  </si>
  <si>
    <t>264-15UYC/H5/S530-A3/S1207-L</t>
  </si>
  <si>
    <t>65-11-BUTT-MVABBBG7E-2T8-AM (EMM-3)</t>
  </si>
  <si>
    <t>E52232A61C</t>
  </si>
  <si>
    <t>Vishesh Innovative</t>
  </si>
  <si>
    <t>Kinetic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</si>
</sst>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/mm/yyyy"/>
    <numFmt numFmtId="180" formatCode="0.00000_ "/>
    <numFmt numFmtId="181" formatCode="0.000_ "/>
    <numFmt numFmtId="182" formatCode="dd/mmm"/>
    <numFmt numFmtId="183" formatCode="0.0000"/>
    <numFmt numFmtId="184" formatCode="0.0000_ "/>
    <numFmt numFmtId="185" formatCode="0.00_ "/>
  </numFmts>
  <fonts count="5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0"/>
      <color rgb="FF92D050"/>
      <name val="Calibri"/>
      <charset val="134"/>
    </font>
    <font>
      <b/>
      <sz val="10"/>
      <color theme="9"/>
      <name val="Calibri"/>
      <charset val="134"/>
    </font>
    <font>
      <sz val="10"/>
      <color theme="9"/>
      <name val="Arial Unicode MS"/>
      <charset val="136"/>
    </font>
    <font>
      <sz val="10"/>
      <color theme="9"/>
      <name val="Calibri Light"/>
      <charset val="134"/>
      <scheme val="major"/>
    </font>
    <font>
      <b/>
      <sz val="11"/>
      <color rgb="FF002060"/>
      <name val="Calibri"/>
      <charset val="134"/>
    </font>
    <font>
      <b/>
      <sz val="11"/>
      <color rgb="FF002060"/>
      <name val="Calibri"/>
      <charset val="134"/>
      <scheme val="minor"/>
    </font>
    <font>
      <sz val="11"/>
      <color theme="9"/>
      <name val="新細明體"/>
      <charset val="134"/>
    </font>
    <font>
      <sz val="11"/>
      <color theme="9"/>
      <name val="Calibri"/>
      <charset val="134"/>
    </font>
    <font>
      <sz val="11"/>
      <color rgb="FF70AD47"/>
      <name val="Calibri"/>
      <charset val="134"/>
    </font>
    <font>
      <sz val="11"/>
      <color rgb="FF92D050"/>
      <name val="Calibri"/>
      <charset val="134"/>
    </font>
    <font>
      <sz val="12"/>
      <color theme="9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rgb="FFFF0000"/>
      <name val="Calibri"/>
      <charset val="134"/>
    </font>
    <font>
      <sz val="12"/>
      <color rgb="FF00B050"/>
      <name val="Calibri"/>
      <charset val="134"/>
      <scheme val="minor"/>
    </font>
    <font>
      <sz val="12"/>
      <color rgb="FF00B050"/>
      <name val="新細明體"/>
      <charset val="134"/>
    </font>
    <font>
      <sz val="12"/>
      <color rgb="FF00B050"/>
      <name val="新細明體"/>
      <charset val="136"/>
    </font>
    <font>
      <sz val="12"/>
      <color theme="9"/>
      <name val="新細明體"/>
      <charset val="134"/>
    </font>
    <font>
      <sz val="12"/>
      <color theme="9"/>
      <name val="新細明體"/>
      <charset val="136"/>
    </font>
    <font>
      <sz val="12"/>
      <color theme="9"/>
      <name val="Calibri"/>
      <charset val="134"/>
    </font>
    <font>
      <sz val="12"/>
      <color theme="9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2D050"/>
      <name val="Arial"/>
      <charset val="134"/>
    </font>
    <font>
      <sz val="11"/>
      <color theme="9"/>
      <name val="Arial"/>
      <charset val="134"/>
    </font>
    <font>
      <b/>
      <sz val="9"/>
      <name val="Times New Roman"/>
      <charset val="134"/>
    </font>
    <font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11" applyNumberFormat="0" applyAlignment="0" applyProtection="0">
      <alignment vertical="center"/>
    </xf>
    <xf numFmtId="0" fontId="39" fillId="9" borderId="12" applyNumberFormat="0" applyAlignment="0" applyProtection="0">
      <alignment vertical="center"/>
    </xf>
    <xf numFmtId="0" fontId="40" fillId="9" borderId="11" applyNumberFormat="0" applyAlignment="0" applyProtection="0">
      <alignment vertical="center"/>
    </xf>
    <xf numFmtId="0" fontId="41" fillId="10" borderId="13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2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7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/>
    <xf numFmtId="179" fontId="4" fillId="0" borderId="1" xfId="0" applyNumberFormat="1" applyFont="1" applyBorder="1"/>
    <xf numFmtId="0" fontId="4" fillId="0" borderId="1" xfId="0" applyFont="1" applyBorder="1"/>
    <xf numFmtId="179" fontId="4" fillId="0" borderId="1" xfId="0" applyNumberFormat="1" applyFont="1" applyFill="1" applyBorder="1" applyAlignment="1"/>
    <xf numFmtId="0" fontId="4" fillId="0" borderId="1" xfId="0" applyFont="1" applyBorder="1" applyAlignment="1">
      <alignment horizontal="right"/>
    </xf>
    <xf numFmtId="179" fontId="5" fillId="0" borderId="1" xfId="0" applyNumberFormat="1" applyFont="1" applyBorder="1"/>
    <xf numFmtId="0" fontId="5" fillId="0" borderId="1" xfId="0" applyFont="1" applyFill="1" applyBorder="1" applyAlignment="1"/>
    <xf numFmtId="0" fontId="5" fillId="0" borderId="1" xfId="0" applyFont="1" applyBorder="1"/>
    <xf numFmtId="179" fontId="5" fillId="0" borderId="1" xfId="0" applyNumberFormat="1" applyFont="1" applyFill="1" applyBorder="1" applyAlignment="1"/>
    <xf numFmtId="0" fontId="5" fillId="0" borderId="1" xfId="0" applyFont="1" applyBorder="1" applyAlignment="1">
      <alignment horizontal="right"/>
    </xf>
    <xf numFmtId="178" fontId="5" fillId="0" borderId="1" xfId="0" applyNumberFormat="1" applyFont="1" applyFill="1" applyBorder="1" applyAlignment="1"/>
    <xf numFmtId="0" fontId="0" fillId="0" borderId="0" xfId="0" applyFont="1"/>
    <xf numFmtId="0" fontId="6" fillId="0" borderId="1" xfId="0" applyFont="1" applyFill="1" applyBorder="1" applyAlignment="1"/>
    <xf numFmtId="179" fontId="6" fillId="0" borderId="1" xfId="0" applyNumberFormat="1" applyFont="1" applyBorder="1"/>
    <xf numFmtId="0" fontId="6" fillId="0" borderId="1" xfId="0" applyFont="1" applyBorder="1"/>
    <xf numFmtId="178" fontId="6" fillId="0" borderId="1" xfId="0" applyNumberFormat="1" applyFont="1" applyFill="1" applyBorder="1" applyAlignment="1"/>
    <xf numFmtId="0" fontId="6" fillId="0" borderId="1" xfId="0" applyFont="1" applyBorder="1" applyAlignment="1">
      <alignment horizontal="right"/>
    </xf>
    <xf numFmtId="58" fontId="5" fillId="0" borderId="1" xfId="0" applyNumberFormat="1" applyFont="1" applyBorder="1"/>
    <xf numFmtId="0" fontId="5" fillId="0" borderId="0" xfId="0" applyFont="1"/>
    <xf numFmtId="0" fontId="5" fillId="0" borderId="1" xfId="0" applyFont="1" applyFill="1" applyBorder="1" applyAlignment="1">
      <alignment wrapText="1"/>
    </xf>
    <xf numFmtId="179" fontId="6" fillId="0" borderId="1" xfId="0" applyNumberFormat="1" applyFont="1" applyFill="1" applyBorder="1" applyAlignment="1"/>
    <xf numFmtId="0" fontId="6" fillId="0" borderId="0" xfId="0" applyFont="1"/>
    <xf numFmtId="0" fontId="0" fillId="0" borderId="0" xfId="0" applyFont="1" applyAlignment="1"/>
    <xf numFmtId="179" fontId="6" fillId="0" borderId="1" xfId="0" applyNumberFormat="1" applyFont="1" applyBorder="1" applyAlignment="1"/>
    <xf numFmtId="0" fontId="6" fillId="0" borderId="1" xfId="0" applyFont="1" applyBorder="1" applyAlignment="1"/>
    <xf numFmtId="0" fontId="5" fillId="0" borderId="1" xfId="0" applyFont="1" applyBorder="1" applyAlignment="1"/>
    <xf numFmtId="179" fontId="5" fillId="0" borderId="1" xfId="0" applyNumberFormat="1" applyFont="1" applyBorder="1" applyAlignment="1"/>
    <xf numFmtId="0" fontId="5" fillId="0" borderId="2" xfId="0" applyFont="1" applyFill="1" applyBorder="1" applyAlignment="1"/>
    <xf numFmtId="0" fontId="5" fillId="0" borderId="2" xfId="0" applyFont="1" applyFill="1" applyBorder="1"/>
    <xf numFmtId="0" fontId="5" fillId="0" borderId="2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0" fillId="0" borderId="0" xfId="0" applyFont="1" applyFill="1" applyBorder="1"/>
    <xf numFmtId="0" fontId="6" fillId="0" borderId="0" xfId="0" applyFont="1" applyFill="1" applyBorder="1" applyAlignment="1"/>
    <xf numFmtId="0" fontId="6" fillId="0" borderId="0" xfId="0" applyFont="1" applyFill="1" applyBorder="1"/>
    <xf numFmtId="0" fontId="6" fillId="0" borderId="2" xfId="0" applyFont="1" applyFill="1" applyBorder="1" applyAlignment="1"/>
    <xf numFmtId="178" fontId="6" fillId="0" borderId="0" xfId="0" applyNumberFormat="1" applyFont="1"/>
    <xf numFmtId="0" fontId="6" fillId="0" borderId="2" xfId="0" applyFont="1" applyFill="1" applyBorder="1" applyAlignment="1">
      <alignment horizontal="right"/>
    </xf>
    <xf numFmtId="58" fontId="0" fillId="0" borderId="0" xfId="0" applyNumberFormat="1" applyFont="1"/>
    <xf numFmtId="0" fontId="6" fillId="0" borderId="0" xfId="0" applyFont="1" applyAlignment="1"/>
    <xf numFmtId="58" fontId="0" fillId="0" borderId="0" xfId="0" applyNumberFormat="1" applyAlignment="1">
      <alignment horizontal="left"/>
    </xf>
    <xf numFmtId="58" fontId="0" fillId="0" borderId="0" xfId="0" applyNumberFormat="1"/>
    <xf numFmtId="180" fontId="0" fillId="0" borderId="0" xfId="0" applyNumberFormat="1"/>
    <xf numFmtId="0" fontId="4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Fill="1" applyBorder="1" applyAlignment="1"/>
    <xf numFmtId="179" fontId="7" fillId="0" borderId="1" xfId="0" applyNumberFormat="1" applyFont="1" applyBorder="1"/>
    <xf numFmtId="0" fontId="7" fillId="0" borderId="1" xfId="0" applyFont="1" applyFill="1" applyBorder="1" applyAlignment="1">
      <alignment wrapText="1"/>
    </xf>
    <xf numFmtId="0" fontId="7" fillId="0" borderId="1" xfId="0" applyFont="1" applyBorder="1"/>
    <xf numFmtId="179" fontId="7" fillId="0" borderId="1" xfId="0" applyNumberFormat="1" applyFont="1" applyFill="1" applyBorder="1" applyAlignment="1"/>
    <xf numFmtId="0" fontId="7" fillId="0" borderId="1" xfId="0" applyFont="1" applyBorder="1" applyAlignment="1">
      <alignment horizontal="right"/>
    </xf>
    <xf numFmtId="0" fontId="4" fillId="2" borderId="1" xfId="0" applyFont="1" applyFill="1" applyBorder="1" applyAlignment="1"/>
    <xf numFmtId="179" fontId="4" fillId="2" borderId="1" xfId="0" applyNumberFormat="1" applyFont="1" applyFill="1" applyBorder="1"/>
    <xf numFmtId="0" fontId="4" fillId="2" borderId="1" xfId="0" applyFont="1" applyFill="1" applyBorder="1"/>
    <xf numFmtId="179" fontId="4" fillId="2" borderId="1" xfId="0" applyNumberFormat="1" applyFont="1" applyFill="1" applyBorder="1" applyAlignment="1"/>
    <xf numFmtId="0" fontId="4" fillId="2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179" fontId="4" fillId="3" borderId="1" xfId="0" applyNumberFormat="1" applyFont="1" applyFill="1" applyBorder="1"/>
    <xf numFmtId="179" fontId="4" fillId="0" borderId="1" xfId="0" applyNumberFormat="1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181" fontId="4" fillId="0" borderId="1" xfId="0" applyNumberFormat="1" applyFont="1" applyFill="1" applyBorder="1" applyAlignment="1"/>
    <xf numFmtId="0" fontId="5" fillId="3" borderId="1" xfId="0" applyFont="1" applyFill="1" applyBorder="1" applyAlignment="1"/>
    <xf numFmtId="179" fontId="5" fillId="3" borderId="1" xfId="0" applyNumberFormat="1" applyFont="1" applyFill="1" applyBorder="1"/>
    <xf numFmtId="0" fontId="5" fillId="3" borderId="1" xfId="0" applyFont="1" applyFill="1" applyBorder="1"/>
    <xf numFmtId="179" fontId="5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right"/>
    </xf>
    <xf numFmtId="179" fontId="5" fillId="0" borderId="1" xfId="0" applyNumberFormat="1" applyFont="1" applyFill="1" applyBorder="1"/>
    <xf numFmtId="0" fontId="0" fillId="0" borderId="0" xfId="0" applyFill="1"/>
    <xf numFmtId="0" fontId="4" fillId="3" borderId="1" xfId="0" applyFont="1" applyFill="1" applyBorder="1"/>
    <xf numFmtId="179" fontId="4" fillId="3" borderId="1" xfId="0" applyNumberFormat="1" applyFont="1" applyFill="1" applyBorder="1" applyAlignment="1"/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wrapText="1"/>
    </xf>
    <xf numFmtId="182" fontId="5" fillId="0" borderId="1" xfId="0" applyNumberFormat="1" applyFont="1" applyBorder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179" fontId="4" fillId="0" borderId="1" xfId="0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0" fillId="0" borderId="2" xfId="0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7" fillId="0" borderId="0" xfId="0" applyFont="1" applyBorder="1"/>
    <xf numFmtId="179" fontId="4" fillId="0" borderId="1" xfId="0" applyNumberFormat="1" applyFont="1" applyBorder="1" applyAlignment="1"/>
    <xf numFmtId="0" fontId="5" fillId="5" borderId="1" xfId="0" applyFont="1" applyFill="1" applyBorder="1" applyAlignment="1"/>
    <xf numFmtId="179" fontId="5" fillId="5" borderId="1" xfId="0" applyNumberFormat="1" applyFont="1" applyFill="1" applyBorder="1"/>
    <xf numFmtId="0" fontId="5" fillId="5" borderId="1" xfId="0" applyFont="1" applyFill="1" applyBorder="1"/>
    <xf numFmtId="179" fontId="5" fillId="5" borderId="1" xfId="0" applyNumberFormat="1" applyFont="1" applyFill="1" applyBorder="1" applyAlignment="1"/>
    <xf numFmtId="0" fontId="5" fillId="5" borderId="1" xfId="0" applyFont="1" applyFill="1" applyBorder="1" applyAlignment="1">
      <alignment horizontal="right"/>
    </xf>
    <xf numFmtId="179" fontId="4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0" fontId="8" fillId="0" borderId="1" xfId="6" applyBorder="1" applyAlignment="1">
      <alignment horizontal="center"/>
    </xf>
    <xf numFmtId="0" fontId="4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76" fontId="1" fillId="0" borderId="0" xfId="1" applyFont="1" applyAlignment="1">
      <alignment horizontal="center" wrapText="1"/>
    </xf>
    <xf numFmtId="179" fontId="4" fillId="0" borderId="1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179" fontId="4" fillId="0" borderId="3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179" fontId="4" fillId="0" borderId="4" xfId="0" applyNumberFormat="1" applyFont="1" applyBorder="1"/>
    <xf numFmtId="0" fontId="4" fillId="0" borderId="4" xfId="0" applyFont="1" applyBorder="1" applyAlignment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179" fontId="4" fillId="0" borderId="3" xfId="0" applyNumberFormat="1" applyFont="1" applyFill="1" applyBorder="1"/>
    <xf numFmtId="0" fontId="4" fillId="0" borderId="3" xfId="0" applyFont="1" applyFill="1" applyBorder="1" applyAlignment="1"/>
    <xf numFmtId="0" fontId="4" fillId="0" borderId="3" xfId="0" applyFont="1" applyFill="1" applyBorder="1"/>
    <xf numFmtId="0" fontId="4" fillId="0" borderId="3" xfId="0" applyFont="1" applyFill="1" applyBorder="1" applyAlignment="1">
      <alignment horizontal="right"/>
    </xf>
    <xf numFmtId="0" fontId="7" fillId="0" borderId="3" xfId="0" applyFont="1" applyBorder="1"/>
    <xf numFmtId="0" fontId="7" fillId="0" borderId="4" xfId="0" applyFont="1" applyBorder="1"/>
    <xf numFmtId="0" fontId="7" fillId="0" borderId="1" xfId="0" applyFont="1" applyBorder="1" applyAlignment="1">
      <alignment horizontal="center"/>
    </xf>
    <xf numFmtId="0" fontId="4" fillId="0" borderId="3" xfId="0" applyFont="1" applyBorder="1" applyAlignment="1"/>
    <xf numFmtId="0" fontId="5" fillId="0" borderId="3" xfId="0" applyFont="1" applyBorder="1"/>
    <xf numFmtId="0" fontId="5" fillId="0" borderId="4" xfId="0" applyFont="1" applyBorder="1"/>
    <xf numFmtId="182" fontId="0" fillId="0" borderId="0" xfId="0" applyNumberFormat="1"/>
    <xf numFmtId="181" fontId="4" fillId="0" borderId="1" xfId="0" applyNumberFormat="1" applyFont="1" applyBorder="1"/>
    <xf numFmtId="179" fontId="9" fillId="0" borderId="0" xfId="0" applyNumberFormat="1" applyFont="1"/>
    <xf numFmtId="3" fontId="0" fillId="0" borderId="0" xfId="0" applyNumberFormat="1"/>
    <xf numFmtId="0" fontId="5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183" fontId="10" fillId="4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left" vertical="center"/>
    </xf>
    <xf numFmtId="179" fontId="11" fillId="0" borderId="1" xfId="0" applyNumberFormat="1" applyFont="1" applyBorder="1" applyAlignment="1">
      <alignment horizontal="left" vertical="center"/>
    </xf>
    <xf numFmtId="179" fontId="12" fillId="0" borderId="1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79" fontId="6" fillId="0" borderId="1" xfId="0" applyNumberFormat="1" applyFont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179" fontId="6" fillId="0" borderId="1" xfId="0" applyNumberFormat="1" applyFont="1" applyBorder="1" applyAlignment="1">
      <alignment horizontal="right"/>
    </xf>
    <xf numFmtId="0" fontId="0" fillId="0" borderId="1" xfId="0" applyFont="1" applyBorder="1"/>
    <xf numFmtId="0" fontId="15" fillId="0" borderId="1" xfId="0" applyFont="1" applyBorder="1" applyAlignment="1">
      <alignment horizontal="right"/>
    </xf>
    <xf numFmtId="0" fontId="16" fillId="0" borderId="1" xfId="0" applyFont="1" applyBorder="1" applyAlignment="1"/>
    <xf numFmtId="179" fontId="7" fillId="0" borderId="1" xfId="0" applyNumberFormat="1" applyFont="1" applyBorder="1" applyAlignment="1">
      <alignment horizontal="right"/>
    </xf>
    <xf numFmtId="184" fontId="6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18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wrapText="1"/>
    </xf>
    <xf numFmtId="185" fontId="6" fillId="0" borderId="1" xfId="0" applyNumberFormat="1" applyFont="1" applyBorder="1" applyAlignment="1">
      <alignment horizontal="right"/>
    </xf>
    <xf numFmtId="179" fontId="16" fillId="0" borderId="1" xfId="0" applyNumberFormat="1" applyFont="1" applyBorder="1" applyAlignment="1">
      <alignment horizontal="left"/>
    </xf>
    <xf numFmtId="179" fontId="1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179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right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179" fontId="4" fillId="0" borderId="1" xfId="0" applyNumberFormat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/>
    </xf>
    <xf numFmtId="179" fontId="17" fillId="0" borderId="1" xfId="0" applyNumberFormat="1" applyFont="1" applyFill="1" applyBorder="1" applyAlignment="1">
      <alignment horizontal="left"/>
    </xf>
    <xf numFmtId="0" fontId="17" fillId="0" borderId="1" xfId="0" applyFont="1" applyFill="1" applyBorder="1" applyAlignment="1"/>
    <xf numFmtId="0" fontId="17" fillId="0" borderId="1" xfId="0" applyFont="1" applyFill="1" applyBorder="1" applyAlignment="1">
      <alignment horizontal="right"/>
    </xf>
    <xf numFmtId="179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left"/>
    </xf>
    <xf numFmtId="179" fontId="18" fillId="0" borderId="1" xfId="0" applyNumberFormat="1" applyFont="1" applyFill="1" applyBorder="1" applyAlignment="1">
      <alignment horizontal="left"/>
    </xf>
    <xf numFmtId="0" fontId="18" fillId="0" borderId="1" xfId="0" applyFont="1" applyFill="1" applyBorder="1" applyAlignment="1"/>
    <xf numFmtId="0" fontId="18" fillId="0" borderId="1" xfId="0" applyFont="1" applyFill="1" applyBorder="1" applyAlignment="1">
      <alignment horizontal="right"/>
    </xf>
    <xf numFmtId="179" fontId="18" fillId="0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79" fontId="7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/>
    <xf numFmtId="0" fontId="0" fillId="0" borderId="1" xfId="0" applyFont="1" applyBorder="1" applyAlignment="1">
      <alignment horizontal="righ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4" borderId="1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wrapText="1"/>
    </xf>
    <xf numFmtId="0" fontId="24" fillId="0" borderId="4" xfId="0" applyFont="1" applyBorder="1"/>
    <xf numFmtId="179" fontId="24" fillId="0" borderId="4" xfId="0" applyNumberFormat="1" applyFont="1" applyBorder="1"/>
    <xf numFmtId="4" fontId="24" fillId="0" borderId="4" xfId="0" applyNumberFormat="1" applyFont="1" applyBorder="1"/>
    <xf numFmtId="0" fontId="21" fillId="0" borderId="0" xfId="0" applyFont="1" applyBorder="1"/>
    <xf numFmtId="0" fontId="24" fillId="0" borderId="1" xfId="0" applyFont="1" applyBorder="1"/>
    <xf numFmtId="179" fontId="24" fillId="0" borderId="1" xfId="0" applyNumberFormat="1" applyFont="1" applyBorder="1"/>
    <xf numFmtId="0" fontId="24" fillId="0" borderId="1" xfId="0" applyFont="1" applyBorder="1" applyAlignment="1">
      <alignment wrapText="1"/>
    </xf>
    <xf numFmtId="4" fontId="24" fillId="0" borderId="1" xfId="0" applyNumberFormat="1" applyFont="1" applyBorder="1"/>
    <xf numFmtId="0" fontId="24" fillId="0" borderId="1" xfId="0" applyFont="1" applyFill="1" applyBorder="1"/>
    <xf numFmtId="4" fontId="24" fillId="0" borderId="1" xfId="0" applyNumberFormat="1" applyFont="1" applyFill="1" applyBorder="1"/>
    <xf numFmtId="0" fontId="24" fillId="0" borderId="3" xfId="0" applyFont="1" applyBorder="1"/>
    <xf numFmtId="179" fontId="24" fillId="0" borderId="3" xfId="0" applyNumberFormat="1" applyFont="1" applyBorder="1"/>
    <xf numFmtId="0" fontId="24" fillId="0" borderId="3" xfId="0" applyFont="1" applyFill="1" applyBorder="1"/>
    <xf numFmtId="4" fontId="24" fillId="0" borderId="3" xfId="0" applyNumberFormat="1" applyFont="1" applyFill="1" applyBorder="1"/>
    <xf numFmtId="0" fontId="19" fillId="0" borderId="1" xfId="0" applyFont="1" applyBorder="1"/>
    <xf numFmtId="179" fontId="19" fillId="0" borderId="1" xfId="0" applyNumberFormat="1" applyFont="1" applyBorder="1"/>
    <xf numFmtId="0" fontId="19" fillId="0" borderId="1" xfId="0" applyFont="1" applyBorder="1" applyAlignment="1">
      <alignment wrapText="1"/>
    </xf>
    <xf numFmtId="0" fontId="19" fillId="0" borderId="1" xfId="0" applyFont="1" applyFill="1" applyBorder="1"/>
    <xf numFmtId="0" fontId="19" fillId="0" borderId="5" xfId="0" applyFont="1" applyFill="1" applyBorder="1"/>
    <xf numFmtId="0" fontId="24" fillId="0" borderId="4" xfId="0" applyFont="1" applyBorder="1" applyAlignment="1">
      <alignment wrapText="1"/>
    </xf>
    <xf numFmtId="0" fontId="24" fillId="0" borderId="4" xfId="0" applyFont="1" applyFill="1" applyBorder="1"/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vertical="center"/>
    </xf>
    <xf numFmtId="179" fontId="24" fillId="0" borderId="1" xfId="0" applyNumberFormat="1" applyFont="1" applyBorder="1" applyAlignment="1">
      <alignment vertical="center"/>
    </xf>
    <xf numFmtId="0" fontId="24" fillId="0" borderId="0" xfId="0" applyFont="1"/>
    <xf numFmtId="0" fontId="21" fillId="0" borderId="1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179" fontId="24" fillId="0" borderId="4" xfId="0" applyNumberFormat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179" fontId="24" fillId="0" borderId="3" xfId="0" applyNumberFormat="1" applyFont="1" applyBorder="1" applyAlignment="1">
      <alignment vertical="center"/>
    </xf>
    <xf numFmtId="0" fontId="19" fillId="0" borderId="1" xfId="0" applyFont="1" applyFill="1" applyBorder="1" applyAlignment="1">
      <alignment vertical="center"/>
    </xf>
    <xf numFmtId="179" fontId="24" fillId="0" borderId="0" xfId="0" applyNumberFormat="1" applyFont="1"/>
    <xf numFmtId="0" fontId="25" fillId="0" borderId="0" xfId="0" applyFont="1"/>
    <xf numFmtId="179" fontId="25" fillId="0" borderId="0" xfId="0" applyNumberFormat="1" applyFont="1"/>
    <xf numFmtId="0" fontId="26" fillId="0" borderId="0" xfId="0" applyFont="1"/>
    <xf numFmtId="0" fontId="25" fillId="0" borderId="1" xfId="0" applyFont="1" applyBorder="1"/>
    <xf numFmtId="179" fontId="25" fillId="0" borderId="1" xfId="0" applyNumberFormat="1" applyFont="1" applyBorder="1"/>
    <xf numFmtId="0" fontId="26" fillId="0" borderId="1" xfId="0" applyFont="1" applyBorder="1"/>
    <xf numFmtId="179" fontId="19" fillId="0" borderId="4" xfId="0" applyNumberFormat="1" applyFont="1" applyBorder="1"/>
    <xf numFmtId="0" fontId="27" fillId="0" borderId="4" xfId="0" applyFont="1" applyBorder="1"/>
    <xf numFmtId="179" fontId="27" fillId="0" borderId="4" xfId="0" applyNumberFormat="1" applyFont="1" applyBorder="1"/>
    <xf numFmtId="0" fontId="28" fillId="0" borderId="4" xfId="0" applyFont="1" applyBorder="1"/>
    <xf numFmtId="0" fontId="27" fillId="0" borderId="1" xfId="0" applyFont="1" applyBorder="1"/>
    <xf numFmtId="179" fontId="27" fillId="0" borderId="1" xfId="0" applyNumberFormat="1" applyFont="1" applyBorder="1"/>
    <xf numFmtId="0" fontId="28" fillId="0" borderId="1" xfId="0" applyFont="1" applyBorder="1"/>
    <xf numFmtId="179" fontId="19" fillId="0" borderId="0" xfId="0" applyNumberFormat="1" applyFont="1"/>
    <xf numFmtId="0" fontId="19" fillId="0" borderId="0" xfId="0" applyFont="1" applyAlignment="1">
      <alignment wrapText="1"/>
    </xf>
    <xf numFmtId="0" fontId="19" fillId="0" borderId="2" xfId="0" applyFont="1" applyFill="1" applyBorder="1"/>
    <xf numFmtId="179" fontId="19" fillId="0" borderId="4" xfId="0" applyNumberFormat="1" applyFont="1" applyBorder="1" applyAlignment="1">
      <alignment vertical="center" wrapText="1"/>
    </xf>
    <xf numFmtId="0" fontId="29" fillId="0" borderId="1" xfId="0" applyFont="1" applyBorder="1" applyAlignment="1">
      <alignment horizontal="right" vertical="center" wrapText="1"/>
    </xf>
    <xf numFmtId="179" fontId="29" fillId="0" borderId="1" xfId="0" applyNumberFormat="1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Fill="1" applyBorder="1" applyAlignment="1">
      <alignment horizontal="right" vertical="center" wrapText="1"/>
    </xf>
    <xf numFmtId="0" fontId="19" fillId="6" borderId="1" xfId="0" applyFont="1" applyFill="1" applyBorder="1"/>
    <xf numFmtId="179" fontId="19" fillId="6" borderId="1" xfId="0" applyNumberFormat="1" applyFont="1" applyFill="1" applyBorder="1"/>
    <xf numFmtId="0" fontId="19" fillId="6" borderId="1" xfId="0" applyFont="1" applyFill="1" applyBorder="1" applyAlignment="1">
      <alignment wrapText="1"/>
    </xf>
    <xf numFmtId="0" fontId="29" fillId="6" borderId="1" xfId="0" applyFont="1" applyFill="1" applyBorder="1" applyAlignment="1">
      <alignment horizontal="right" vertical="center" wrapText="1"/>
    </xf>
    <xf numFmtId="0" fontId="19" fillId="6" borderId="0" xfId="0" applyFont="1" applyFill="1"/>
    <xf numFmtId="0" fontId="19" fillId="0" borderId="0" xfId="0" applyFont="1" applyFill="1" applyBorder="1"/>
    <xf numFmtId="179" fontId="19" fillId="0" borderId="0" xfId="0" applyNumberFormat="1" applyFont="1" applyBorder="1"/>
    <xf numFmtId="179" fontId="19" fillId="6" borderId="0" xfId="0" applyNumberFormat="1" applyFont="1" applyFill="1"/>
    <xf numFmtId="0" fontId="29" fillId="0" borderId="0" xfId="0" applyFont="1" applyFill="1" applyBorder="1" applyAlignment="1">
      <alignment horizontal="right" vertical="center" wrapText="1"/>
    </xf>
    <xf numFmtId="0" fontId="29" fillId="0" borderId="0" xfId="0" applyFont="1" applyAlignment="1">
      <alignment horizontal="left" vertical="center"/>
    </xf>
    <xf numFmtId="179" fontId="21" fillId="0" borderId="0" xfId="0" applyNumberFormat="1" applyFont="1"/>
    <xf numFmtId="179" fontId="20" fillId="0" borderId="1" xfId="0" applyNumberFormat="1" applyFont="1" applyBorder="1"/>
    <xf numFmtId="0" fontId="19" fillId="0" borderId="3" xfId="0" applyFont="1" applyFill="1" applyBorder="1"/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0" fillId="0" borderId="1" xfId="0" applyFont="1" applyFill="1" applyBorder="1"/>
    <xf numFmtId="0" fontId="19" fillId="0" borderId="3" xfId="0" applyFont="1" applyBorder="1"/>
    <xf numFmtId="179" fontId="19" fillId="0" borderId="3" xfId="0" applyNumberFormat="1" applyFont="1" applyBorder="1"/>
    <xf numFmtId="0" fontId="29" fillId="0" borderId="3" xfId="0" applyFont="1" applyFill="1" applyBorder="1" applyAlignment="1">
      <alignment horizontal="right" vertical="center" wrapText="1"/>
    </xf>
    <xf numFmtId="0" fontId="19" fillId="0" borderId="4" xfId="0" applyFont="1" applyBorder="1"/>
    <xf numFmtId="0" fontId="19" fillId="0" borderId="4" xfId="0" applyFont="1" applyFill="1" applyBorder="1"/>
    <xf numFmtId="0" fontId="19" fillId="0" borderId="6" xfId="0" applyFont="1" applyFill="1" applyBorder="1"/>
    <xf numFmtId="0" fontId="29" fillId="0" borderId="0" xfId="0" applyFont="1"/>
    <xf numFmtId="0" fontId="30" fillId="0" borderId="7" xfId="0" applyFont="1" applyBorder="1" applyAlignment="1">
      <alignment vertical="top" wrapText="1"/>
    </xf>
    <xf numFmtId="0" fontId="29" fillId="0" borderId="7" xfId="0" applyFont="1" applyBorder="1" applyAlignment="1">
      <alignment wrapText="1"/>
    </xf>
    <xf numFmtId="179" fontId="19" fillId="0" borderId="1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iddhesh@rlelectrosolutions.com%0a" TargetMode="External"/><Relationship Id="rId2" Type="http://schemas.openxmlformats.org/officeDocument/2006/relationships/hyperlink" Target="mailto:Abhi@2822" TargetMode="External"/><Relationship Id="rId1" Type="http://schemas.openxmlformats.org/officeDocument/2006/relationships/hyperlink" Target="mailto:pratik@rlelectrosolutions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B1:M734"/>
  <sheetViews>
    <sheetView zoomScale="78" zoomScaleNormal="78" workbookViewId="0">
      <pane ySplit="1" topLeftCell="A2" activePane="bottomLeft" state="frozen"/>
      <selection/>
      <selection pane="bottomLeft" activeCell="F570" sqref="F570"/>
    </sheetView>
  </sheetViews>
  <sheetFormatPr defaultColWidth="9" defaultRowHeight="15.5"/>
  <cols>
    <col min="1" max="1" width="10.5454545454545" style="193"/>
    <col min="2" max="2" width="13.3636363636364" style="193" customWidth="1"/>
    <col min="3" max="3" width="15.7272727272727" style="193" customWidth="1"/>
    <col min="4" max="4" width="44.3636363636364" style="193" customWidth="1"/>
    <col min="5" max="5" width="12.8181818181818" style="193" customWidth="1"/>
    <col min="6" max="6" width="16.0909090909091" style="192" customWidth="1"/>
    <col min="7" max="7" width="16.3636363636364" style="193" customWidth="1"/>
    <col min="8" max="8" width="10.7272727272727" style="193" customWidth="1"/>
    <col min="9" max="9" width="13.4545454545455" style="193" customWidth="1"/>
    <col min="10" max="10" width="11.8181818181818" style="193" customWidth="1"/>
    <col min="11" max="13" width="9" style="193"/>
    <col min="14" max="14" width="9.45454545454546" style="193" customWidth="1"/>
    <col min="15" max="16384" width="9" style="193"/>
  </cols>
  <sheetData>
    <row r="1" ht="46.5" spans="2:10">
      <c r="B1" s="194" t="s">
        <v>0</v>
      </c>
      <c r="C1" s="194" t="s">
        <v>1</v>
      </c>
      <c r="D1" s="194" t="s">
        <v>2</v>
      </c>
      <c r="E1" s="194" t="s">
        <v>3</v>
      </c>
      <c r="F1" s="194" t="s">
        <v>4</v>
      </c>
      <c r="G1" s="195" t="s">
        <v>5</v>
      </c>
      <c r="H1" s="194" t="s">
        <v>6</v>
      </c>
      <c r="I1" s="194" t="s">
        <v>7</v>
      </c>
      <c r="J1" s="196" t="s">
        <v>8</v>
      </c>
    </row>
    <row r="2" hidden="1" spans="2:10">
      <c r="B2" s="197">
        <v>202100871</v>
      </c>
      <c r="C2" s="198">
        <v>44211</v>
      </c>
      <c r="D2" s="197" t="s">
        <v>9</v>
      </c>
      <c r="E2" s="197">
        <v>40000</v>
      </c>
      <c r="F2" s="192">
        <v>0.0254</v>
      </c>
      <c r="G2" s="198">
        <v>44242</v>
      </c>
      <c r="H2" s="199">
        <v>1016</v>
      </c>
      <c r="I2" s="197" t="s">
        <v>10</v>
      </c>
      <c r="J2" s="200"/>
    </row>
    <row r="3" hidden="1" spans="2:10">
      <c r="B3" s="201">
        <v>202100871</v>
      </c>
      <c r="C3" s="202">
        <v>44211</v>
      </c>
      <c r="D3" s="201" t="s">
        <v>9</v>
      </c>
      <c r="E3" s="201">
        <v>20000</v>
      </c>
      <c r="F3" s="192">
        <v>0.0254</v>
      </c>
      <c r="G3" s="202">
        <v>44270</v>
      </c>
      <c r="H3" s="201">
        <v>508</v>
      </c>
      <c r="I3" s="201" t="s">
        <v>10</v>
      </c>
      <c r="J3" s="200"/>
    </row>
    <row r="4" hidden="1" spans="2:10">
      <c r="B4" s="201">
        <v>202100871</v>
      </c>
      <c r="C4" s="202">
        <v>44211</v>
      </c>
      <c r="D4" s="203" t="s">
        <v>11</v>
      </c>
      <c r="E4" s="201">
        <v>250000</v>
      </c>
      <c r="F4" s="192">
        <v>0.065</v>
      </c>
      <c r="G4" s="202">
        <v>44301</v>
      </c>
      <c r="H4" s="204">
        <v>16250</v>
      </c>
      <c r="I4" s="201" t="s">
        <v>10</v>
      </c>
      <c r="J4" s="200"/>
    </row>
    <row r="5" hidden="1" spans="2:10">
      <c r="B5" s="201">
        <v>202100871</v>
      </c>
      <c r="C5" s="202">
        <v>44211</v>
      </c>
      <c r="D5" s="203" t="s">
        <v>11</v>
      </c>
      <c r="E5" s="201">
        <v>250000</v>
      </c>
      <c r="F5" s="192">
        <v>0.065</v>
      </c>
      <c r="G5" s="202">
        <v>44331</v>
      </c>
      <c r="H5" s="204">
        <v>16250</v>
      </c>
      <c r="I5" s="201" t="s">
        <v>10</v>
      </c>
      <c r="J5" s="200"/>
    </row>
    <row r="6" hidden="1" spans="2:10">
      <c r="B6" s="201">
        <v>202100871</v>
      </c>
      <c r="C6" s="202">
        <v>44211</v>
      </c>
      <c r="D6" s="201" t="s">
        <v>12</v>
      </c>
      <c r="E6" s="201">
        <v>20000</v>
      </c>
      <c r="F6" s="192">
        <v>0.06</v>
      </c>
      <c r="G6" s="202">
        <v>44280</v>
      </c>
      <c r="H6" s="204">
        <v>1200</v>
      </c>
      <c r="I6" s="201" t="s">
        <v>10</v>
      </c>
      <c r="J6" s="200"/>
    </row>
    <row r="7" hidden="1" spans="2:10">
      <c r="B7" s="201">
        <v>202100896</v>
      </c>
      <c r="C7" s="202">
        <v>44214</v>
      </c>
      <c r="D7" s="201" t="s">
        <v>13</v>
      </c>
      <c r="E7" s="205">
        <v>96000</v>
      </c>
      <c r="F7" s="192">
        <v>0.003</v>
      </c>
      <c r="G7" s="202">
        <v>44247</v>
      </c>
      <c r="H7" s="206">
        <v>288</v>
      </c>
      <c r="I7" s="201" t="s">
        <v>14</v>
      </c>
      <c r="J7" s="200"/>
    </row>
    <row r="8" hidden="1" spans="2:10">
      <c r="B8" s="201">
        <v>202100896</v>
      </c>
      <c r="C8" s="202">
        <v>44214</v>
      </c>
      <c r="D8" s="201" t="s">
        <v>13</v>
      </c>
      <c r="E8" s="205">
        <v>96000</v>
      </c>
      <c r="F8" s="192">
        <v>0.003</v>
      </c>
      <c r="G8" s="202">
        <v>44275</v>
      </c>
      <c r="H8" s="206">
        <v>288</v>
      </c>
      <c r="I8" s="201" t="s">
        <v>14</v>
      </c>
      <c r="J8" s="200"/>
    </row>
    <row r="9" hidden="1" spans="2:10">
      <c r="B9" s="201">
        <v>202100901</v>
      </c>
      <c r="C9" s="202">
        <v>44215</v>
      </c>
      <c r="D9" s="201" t="s">
        <v>15</v>
      </c>
      <c r="E9" s="205">
        <v>72000</v>
      </c>
      <c r="F9" s="192">
        <v>0.025</v>
      </c>
      <c r="G9" s="202">
        <v>44270</v>
      </c>
      <c r="H9" s="206">
        <v>1800</v>
      </c>
      <c r="I9" s="201" t="s">
        <v>10</v>
      </c>
      <c r="J9" s="200"/>
    </row>
    <row r="10" hidden="1" spans="2:10">
      <c r="B10" s="207">
        <v>202100901</v>
      </c>
      <c r="C10" s="208">
        <v>44215</v>
      </c>
      <c r="D10" s="207" t="s">
        <v>15</v>
      </c>
      <c r="E10" s="209">
        <v>72000</v>
      </c>
      <c r="F10" s="192">
        <v>0.025</v>
      </c>
      <c r="G10" s="208">
        <v>44301</v>
      </c>
      <c r="H10" s="210">
        <v>1800</v>
      </c>
      <c r="I10" s="201" t="s">
        <v>10</v>
      </c>
      <c r="J10" s="200"/>
    </row>
    <row r="11" s="191" customFormat="1" hidden="1" spans="2:10">
      <c r="B11" s="211">
        <v>202100916</v>
      </c>
      <c r="C11" s="212">
        <v>44217</v>
      </c>
      <c r="D11" s="213" t="s">
        <v>16</v>
      </c>
      <c r="E11" s="214">
        <v>52000</v>
      </c>
      <c r="F11" s="192">
        <v>0.0292</v>
      </c>
      <c r="G11" s="212">
        <v>44265</v>
      </c>
      <c r="H11" s="211">
        <f t="shared" ref="H11:H34" si="0">F11*E11</f>
        <v>1518.4</v>
      </c>
      <c r="I11" s="211" t="s">
        <v>10</v>
      </c>
      <c r="J11" s="215">
        <v>1</v>
      </c>
    </row>
    <row r="12" s="191" customFormat="1" hidden="1" spans="2:10">
      <c r="B12" s="211">
        <v>202100916</v>
      </c>
      <c r="C12" s="212">
        <v>44217</v>
      </c>
      <c r="D12" s="213" t="s">
        <v>16</v>
      </c>
      <c r="E12" s="214">
        <v>52000</v>
      </c>
      <c r="F12" s="192">
        <v>0.0292</v>
      </c>
      <c r="G12" s="212">
        <v>44296</v>
      </c>
      <c r="H12" s="211">
        <f t="shared" si="0"/>
        <v>1518.4</v>
      </c>
      <c r="I12" s="211" t="s">
        <v>10</v>
      </c>
      <c r="J12" s="215">
        <v>1</v>
      </c>
    </row>
    <row r="13" s="191" customFormat="1" hidden="1" spans="2:10">
      <c r="B13" s="211">
        <v>202100916</v>
      </c>
      <c r="C13" s="212">
        <v>44217</v>
      </c>
      <c r="D13" s="213" t="s">
        <v>16</v>
      </c>
      <c r="E13" s="214">
        <v>52000</v>
      </c>
      <c r="F13" s="192">
        <v>0.0292</v>
      </c>
      <c r="G13" s="212">
        <v>44357</v>
      </c>
      <c r="H13" s="211">
        <f t="shared" si="0"/>
        <v>1518.4</v>
      </c>
      <c r="I13" s="211" t="s">
        <v>10</v>
      </c>
      <c r="J13" s="215">
        <v>1</v>
      </c>
    </row>
    <row r="14" hidden="1" spans="2:10">
      <c r="B14" s="197">
        <v>202100916</v>
      </c>
      <c r="C14" s="198">
        <v>44217</v>
      </c>
      <c r="D14" s="216" t="s">
        <v>17</v>
      </c>
      <c r="E14" s="217">
        <v>120000</v>
      </c>
      <c r="F14" s="192">
        <v>0.0145</v>
      </c>
      <c r="G14" s="198">
        <v>44296</v>
      </c>
      <c r="H14" s="197">
        <f t="shared" si="0"/>
        <v>1740</v>
      </c>
      <c r="I14" s="201" t="s">
        <v>10</v>
      </c>
      <c r="J14" s="200"/>
    </row>
    <row r="15" hidden="1" spans="2:10">
      <c r="B15" s="201">
        <v>202100916</v>
      </c>
      <c r="C15" s="202">
        <v>44217</v>
      </c>
      <c r="D15" s="203" t="s">
        <v>17</v>
      </c>
      <c r="E15" s="205">
        <v>120000</v>
      </c>
      <c r="F15" s="192">
        <v>0.0145</v>
      </c>
      <c r="G15" s="202">
        <v>44326</v>
      </c>
      <c r="H15" s="201">
        <f t="shared" si="0"/>
        <v>1740</v>
      </c>
      <c r="I15" s="201" t="s">
        <v>10</v>
      </c>
      <c r="J15" s="200"/>
    </row>
    <row r="16" hidden="1" spans="2:10">
      <c r="B16" s="201">
        <v>202100916</v>
      </c>
      <c r="C16" s="202">
        <v>44217</v>
      </c>
      <c r="D16" s="203" t="s">
        <v>17</v>
      </c>
      <c r="E16" s="205">
        <v>120000</v>
      </c>
      <c r="F16" s="192">
        <v>0.0145</v>
      </c>
      <c r="G16" s="202">
        <v>44357</v>
      </c>
      <c r="H16" s="201">
        <f t="shared" si="0"/>
        <v>1740</v>
      </c>
      <c r="I16" s="201" t="s">
        <v>10</v>
      </c>
      <c r="J16" s="200"/>
    </row>
    <row r="17" hidden="1" spans="2:11">
      <c r="B17" s="201">
        <v>202100916</v>
      </c>
      <c r="C17" s="202">
        <v>44217</v>
      </c>
      <c r="D17" s="203" t="s">
        <v>18</v>
      </c>
      <c r="E17" s="205">
        <v>90000</v>
      </c>
      <c r="F17" s="192">
        <v>0.0238</v>
      </c>
      <c r="G17" s="202">
        <v>44265</v>
      </c>
      <c r="H17" s="201">
        <f t="shared" si="0"/>
        <v>2142</v>
      </c>
      <c r="I17" s="201" t="s">
        <v>10</v>
      </c>
      <c r="J17" s="200"/>
    </row>
    <row r="18" hidden="1" spans="2:11">
      <c r="B18" s="201">
        <v>202100916</v>
      </c>
      <c r="C18" s="202">
        <v>44217</v>
      </c>
      <c r="D18" s="203" t="s">
        <v>18</v>
      </c>
      <c r="E18" s="205">
        <v>90000</v>
      </c>
      <c r="F18" s="192">
        <v>0.0238</v>
      </c>
      <c r="G18" s="202">
        <v>44301</v>
      </c>
      <c r="H18" s="201">
        <f t="shared" si="0"/>
        <v>2142</v>
      </c>
      <c r="I18" s="201" t="s">
        <v>10</v>
      </c>
      <c r="J18" s="200"/>
    </row>
    <row r="19" hidden="1" spans="2:11">
      <c r="B19" s="207">
        <v>202100916</v>
      </c>
      <c r="C19" s="208">
        <v>44217</v>
      </c>
      <c r="D19" s="218" t="s">
        <v>18</v>
      </c>
      <c r="E19" s="209">
        <v>90000</v>
      </c>
      <c r="F19" s="192">
        <v>0.0238</v>
      </c>
      <c r="G19" s="208">
        <v>44362</v>
      </c>
      <c r="H19" s="207">
        <f t="shared" si="0"/>
        <v>2142</v>
      </c>
      <c r="I19" s="201" t="s">
        <v>10</v>
      </c>
      <c r="J19" s="200"/>
    </row>
    <row r="20" hidden="1" spans="2:11">
      <c r="B20" s="219">
        <v>202100802</v>
      </c>
      <c r="C20" s="220">
        <v>44195</v>
      </c>
      <c r="D20" s="219" t="s">
        <v>19</v>
      </c>
      <c r="E20" s="219">
        <v>40000</v>
      </c>
      <c r="F20" s="192">
        <v>0.02</v>
      </c>
      <c r="G20" s="201"/>
      <c r="H20" s="207">
        <f t="shared" si="0"/>
        <v>800</v>
      </c>
      <c r="I20" s="221" t="s">
        <v>10</v>
      </c>
      <c r="K20" s="222"/>
    </row>
    <row r="21" hidden="1" spans="2:11">
      <c r="B21" s="219">
        <v>202100802</v>
      </c>
      <c r="C21" s="220">
        <v>44195</v>
      </c>
      <c r="D21" s="219" t="s">
        <v>19</v>
      </c>
      <c r="E21" s="219">
        <v>50000</v>
      </c>
      <c r="F21" s="192">
        <v>0.02</v>
      </c>
      <c r="G21" s="201"/>
      <c r="H21" s="207">
        <f t="shared" si="0"/>
        <v>1000</v>
      </c>
      <c r="I21" s="221" t="s">
        <v>10</v>
      </c>
      <c r="K21" s="222"/>
    </row>
    <row r="22" hidden="1" spans="2:11">
      <c r="B22" s="219">
        <v>202100807</v>
      </c>
      <c r="C22" s="220">
        <v>44196</v>
      </c>
      <c r="D22" s="219" t="s">
        <v>19</v>
      </c>
      <c r="E22" s="219">
        <v>20000</v>
      </c>
      <c r="F22" s="192">
        <v>0.02</v>
      </c>
      <c r="G22" s="201"/>
      <c r="H22" s="207">
        <f t="shared" si="0"/>
        <v>400</v>
      </c>
      <c r="I22" s="221" t="s">
        <v>10</v>
      </c>
      <c r="K22" s="222"/>
    </row>
    <row r="23" hidden="1" spans="2:11">
      <c r="B23" s="219">
        <v>202100807</v>
      </c>
      <c r="C23" s="220">
        <v>44196</v>
      </c>
      <c r="D23" s="219" t="s">
        <v>19</v>
      </c>
      <c r="E23" s="219">
        <v>30000</v>
      </c>
      <c r="F23" s="192">
        <v>0.02</v>
      </c>
      <c r="G23" s="201"/>
      <c r="H23" s="207">
        <f t="shared" si="0"/>
        <v>600</v>
      </c>
      <c r="I23" s="221" t="s">
        <v>10</v>
      </c>
      <c r="K23" s="222"/>
    </row>
    <row r="24" hidden="1" spans="2:11">
      <c r="B24" s="219">
        <v>202100807</v>
      </c>
      <c r="C24" s="220">
        <v>44196</v>
      </c>
      <c r="D24" s="219" t="s">
        <v>19</v>
      </c>
      <c r="E24" s="219">
        <v>50000</v>
      </c>
      <c r="F24" s="192">
        <v>0.02</v>
      </c>
      <c r="G24" s="201"/>
      <c r="H24" s="207">
        <f t="shared" si="0"/>
        <v>1000</v>
      </c>
      <c r="I24" s="221" t="s">
        <v>10</v>
      </c>
      <c r="K24" s="222"/>
    </row>
    <row r="25" hidden="1" spans="2:11">
      <c r="B25" s="219">
        <v>202100807</v>
      </c>
      <c r="C25" s="220">
        <v>44196</v>
      </c>
      <c r="D25" s="219" t="s">
        <v>19</v>
      </c>
      <c r="E25" s="219">
        <v>300000</v>
      </c>
      <c r="F25" s="192">
        <v>0.02</v>
      </c>
      <c r="G25" s="201"/>
      <c r="H25" s="207">
        <f t="shared" si="0"/>
        <v>6000</v>
      </c>
      <c r="I25" s="221" t="s">
        <v>10</v>
      </c>
      <c r="K25" s="222"/>
    </row>
    <row r="26" hidden="1" spans="2:11">
      <c r="B26" s="219">
        <v>202100807</v>
      </c>
      <c r="C26" s="220">
        <v>44196</v>
      </c>
      <c r="D26" s="219" t="s">
        <v>20</v>
      </c>
      <c r="E26" s="219">
        <v>50000</v>
      </c>
      <c r="F26" s="192">
        <v>0.019</v>
      </c>
      <c r="G26" s="201"/>
      <c r="H26" s="207">
        <f t="shared" si="0"/>
        <v>950</v>
      </c>
      <c r="I26" s="221" t="s">
        <v>10</v>
      </c>
      <c r="K26" s="222"/>
    </row>
    <row r="27" hidden="1" spans="2:11">
      <c r="B27" s="219">
        <v>202100807</v>
      </c>
      <c r="C27" s="220">
        <v>44196</v>
      </c>
      <c r="D27" s="219" t="s">
        <v>20</v>
      </c>
      <c r="E27" s="219">
        <v>100000</v>
      </c>
      <c r="F27" s="192">
        <v>0.019</v>
      </c>
      <c r="G27" s="201"/>
      <c r="H27" s="207">
        <f t="shared" si="0"/>
        <v>1900</v>
      </c>
      <c r="I27" s="221" t="s">
        <v>10</v>
      </c>
      <c r="K27" s="222"/>
    </row>
    <row r="28" hidden="1" spans="2:11">
      <c r="B28" s="219">
        <v>202100808</v>
      </c>
      <c r="C28" s="220">
        <v>44196</v>
      </c>
      <c r="D28" s="219" t="s">
        <v>19</v>
      </c>
      <c r="E28" s="219">
        <v>300000</v>
      </c>
      <c r="F28" s="192">
        <v>0.02</v>
      </c>
      <c r="G28" s="201"/>
      <c r="H28" s="207">
        <f t="shared" si="0"/>
        <v>6000</v>
      </c>
      <c r="I28" s="221" t="s">
        <v>10</v>
      </c>
      <c r="K28" s="222"/>
    </row>
    <row r="29" hidden="1" spans="2:11">
      <c r="B29" s="219">
        <v>202100819</v>
      </c>
      <c r="C29" s="220">
        <v>44200</v>
      </c>
      <c r="D29" s="219" t="s">
        <v>21</v>
      </c>
      <c r="E29" s="219">
        <v>500000</v>
      </c>
      <c r="F29" s="192">
        <v>0.03</v>
      </c>
      <c r="G29" s="201"/>
      <c r="H29" s="201">
        <f t="shared" si="0"/>
        <v>15000</v>
      </c>
      <c r="I29" s="221" t="s">
        <v>10</v>
      </c>
      <c r="K29" s="222"/>
    </row>
    <row r="30" hidden="1" spans="2:11">
      <c r="B30" s="223">
        <v>202100835</v>
      </c>
      <c r="C30" s="224">
        <v>44204</v>
      </c>
      <c r="D30" s="223" t="s">
        <v>22</v>
      </c>
      <c r="E30" s="223">
        <v>100000</v>
      </c>
      <c r="F30" s="192">
        <v>0.065</v>
      </c>
      <c r="G30" s="221"/>
      <c r="H30" s="201">
        <f t="shared" si="0"/>
        <v>6500</v>
      </c>
      <c r="I30" s="221" t="s">
        <v>10</v>
      </c>
      <c r="K30" s="222"/>
    </row>
    <row r="31" hidden="1" spans="2:11">
      <c r="B31" s="219">
        <v>202100835</v>
      </c>
      <c r="C31" s="220">
        <v>44204</v>
      </c>
      <c r="D31" s="219" t="s">
        <v>22</v>
      </c>
      <c r="E31" s="219">
        <v>250000</v>
      </c>
      <c r="F31" s="192">
        <v>0.065</v>
      </c>
      <c r="G31" s="221"/>
      <c r="H31" s="201">
        <f t="shared" si="0"/>
        <v>16250</v>
      </c>
      <c r="I31" s="221" t="s">
        <v>10</v>
      </c>
      <c r="K31" s="222"/>
    </row>
    <row r="32" hidden="1" spans="2:11">
      <c r="B32" s="219">
        <v>202100835</v>
      </c>
      <c r="C32" s="220">
        <v>44204</v>
      </c>
      <c r="D32" s="219" t="s">
        <v>22</v>
      </c>
      <c r="E32" s="219">
        <v>250000</v>
      </c>
      <c r="F32" s="192">
        <v>0.065</v>
      </c>
      <c r="G32" s="221"/>
      <c r="H32" s="201">
        <f t="shared" si="0"/>
        <v>16250</v>
      </c>
      <c r="I32" s="221" t="s">
        <v>10</v>
      </c>
      <c r="K32" s="222"/>
    </row>
    <row r="33" hidden="1" spans="2:11">
      <c r="B33" s="219">
        <v>202100835</v>
      </c>
      <c r="C33" s="220">
        <v>44204</v>
      </c>
      <c r="D33" s="219" t="s">
        <v>22</v>
      </c>
      <c r="E33" s="219">
        <v>400000</v>
      </c>
      <c r="F33" s="192">
        <v>0.065</v>
      </c>
      <c r="G33" s="221"/>
      <c r="H33" s="201">
        <f t="shared" si="0"/>
        <v>26000</v>
      </c>
      <c r="I33" s="221" t="s">
        <v>10</v>
      </c>
      <c r="K33" s="222"/>
    </row>
    <row r="34" hidden="1" spans="2:11">
      <c r="B34" s="225">
        <v>202100835</v>
      </c>
      <c r="C34" s="226">
        <v>44204</v>
      </c>
      <c r="D34" s="225" t="s">
        <v>22</v>
      </c>
      <c r="E34" s="225">
        <v>500000</v>
      </c>
      <c r="F34" s="192">
        <v>0.065</v>
      </c>
      <c r="G34" s="221"/>
      <c r="H34" s="201">
        <f t="shared" si="0"/>
        <v>32500</v>
      </c>
      <c r="I34" s="221" t="s">
        <v>10</v>
      </c>
      <c r="K34" s="222"/>
    </row>
    <row r="35" hidden="1" spans="2:11">
      <c r="B35" s="211">
        <v>202100960</v>
      </c>
      <c r="C35" s="212">
        <v>44223</v>
      </c>
      <c r="D35" s="213" t="s">
        <v>23</v>
      </c>
      <c r="E35" s="227">
        <v>76000</v>
      </c>
      <c r="F35" s="192">
        <v>0.07</v>
      </c>
      <c r="G35" s="212">
        <v>44242</v>
      </c>
      <c r="H35" s="211">
        <v>5320</v>
      </c>
      <c r="I35" s="211" t="s">
        <v>10</v>
      </c>
      <c r="J35" s="192">
        <v>2</v>
      </c>
    </row>
    <row r="36" hidden="1" spans="2:11">
      <c r="B36" s="211">
        <v>202100960</v>
      </c>
      <c r="C36" s="212">
        <v>44223</v>
      </c>
      <c r="D36" s="213" t="s">
        <v>24</v>
      </c>
      <c r="E36" s="227">
        <v>76000</v>
      </c>
      <c r="F36" s="192">
        <v>0.07</v>
      </c>
      <c r="G36" s="212">
        <v>44265</v>
      </c>
      <c r="H36" s="211">
        <v>5320</v>
      </c>
      <c r="I36" s="211" t="s">
        <v>10</v>
      </c>
      <c r="J36" s="192">
        <v>2</v>
      </c>
    </row>
    <row r="37" hidden="1" spans="2:11">
      <c r="B37" s="221">
        <v>202100954</v>
      </c>
      <c r="C37" s="228">
        <v>44221</v>
      </c>
      <c r="D37" s="229" t="s">
        <v>25</v>
      </c>
      <c r="E37" s="229">
        <v>20000</v>
      </c>
      <c r="F37" s="192">
        <v>0.016</v>
      </c>
      <c r="G37" s="230">
        <v>44270</v>
      </c>
      <c r="H37" s="231">
        <f t="shared" ref="H37:H68" si="1">E37*F37</f>
        <v>320</v>
      </c>
      <c r="I37" s="221" t="s">
        <v>10</v>
      </c>
    </row>
    <row r="38" hidden="1" spans="2:11">
      <c r="B38" s="221">
        <v>202100954</v>
      </c>
      <c r="C38" s="228">
        <v>44221</v>
      </c>
      <c r="D38" s="229" t="s">
        <v>25</v>
      </c>
      <c r="E38" s="229">
        <v>20000</v>
      </c>
      <c r="F38" s="192">
        <v>0.016</v>
      </c>
      <c r="G38" s="230">
        <v>44331</v>
      </c>
      <c r="H38" s="231">
        <f t="shared" si="1"/>
        <v>320</v>
      </c>
      <c r="I38" s="221" t="s">
        <v>10</v>
      </c>
    </row>
    <row r="39" hidden="1" spans="2:11">
      <c r="B39" s="221">
        <v>202100954</v>
      </c>
      <c r="C39" s="228">
        <v>44221</v>
      </c>
      <c r="D39" s="229" t="s">
        <v>26</v>
      </c>
      <c r="E39" s="229">
        <v>51000</v>
      </c>
      <c r="F39" s="192">
        <v>0.012</v>
      </c>
      <c r="G39" s="230">
        <v>44265</v>
      </c>
      <c r="H39" s="231">
        <f t="shared" si="1"/>
        <v>612</v>
      </c>
      <c r="I39" s="221" t="s">
        <v>10</v>
      </c>
    </row>
    <row r="40" hidden="1" spans="2:11">
      <c r="B40" s="201">
        <v>202100954</v>
      </c>
      <c r="C40" s="202">
        <v>44221</v>
      </c>
      <c r="D40" s="232" t="s">
        <v>27</v>
      </c>
      <c r="E40" s="232">
        <v>30000</v>
      </c>
      <c r="F40" s="192">
        <v>0.07</v>
      </c>
      <c r="G40" s="233">
        <v>44275</v>
      </c>
      <c r="H40" s="234">
        <f t="shared" si="1"/>
        <v>2100</v>
      </c>
      <c r="I40" s="221" t="s">
        <v>10</v>
      </c>
    </row>
    <row r="41" hidden="1" spans="2:11">
      <c r="B41" s="201">
        <v>202100954</v>
      </c>
      <c r="C41" s="202">
        <v>44221</v>
      </c>
      <c r="D41" s="232" t="s">
        <v>27</v>
      </c>
      <c r="E41" s="232">
        <v>20000</v>
      </c>
      <c r="F41" s="192">
        <v>0.07</v>
      </c>
      <c r="G41" s="233">
        <v>44275</v>
      </c>
      <c r="H41" s="234">
        <f t="shared" si="1"/>
        <v>1400</v>
      </c>
      <c r="I41" s="201" t="s">
        <v>10</v>
      </c>
      <c r="J41" s="193">
        <v>1</v>
      </c>
    </row>
    <row r="42" hidden="1" spans="2:11">
      <c r="B42" s="201">
        <v>202100954</v>
      </c>
      <c r="C42" s="202">
        <v>44221</v>
      </c>
      <c r="D42" s="232" t="s">
        <v>28</v>
      </c>
      <c r="E42" s="232">
        <v>150000</v>
      </c>
      <c r="F42" s="192">
        <v>0.011</v>
      </c>
      <c r="G42" s="233">
        <v>44265</v>
      </c>
      <c r="H42" s="234">
        <f t="shared" si="1"/>
        <v>1650</v>
      </c>
      <c r="I42" s="201" t="s">
        <v>10</v>
      </c>
      <c r="J42" s="193">
        <v>2</v>
      </c>
    </row>
    <row r="43" hidden="1" spans="2:11">
      <c r="B43" s="221">
        <v>202100954</v>
      </c>
      <c r="C43" s="228">
        <v>44221</v>
      </c>
      <c r="D43" s="229" t="s">
        <v>29</v>
      </c>
      <c r="E43" s="229">
        <v>600000</v>
      </c>
      <c r="F43" s="192">
        <v>0.027</v>
      </c>
      <c r="G43" s="230">
        <v>44270</v>
      </c>
      <c r="H43" s="231">
        <f t="shared" si="1"/>
        <v>16200</v>
      </c>
      <c r="I43" s="221" t="s">
        <v>10</v>
      </c>
    </row>
    <row r="44" hidden="1" spans="2:11">
      <c r="B44" s="201">
        <v>202100954</v>
      </c>
      <c r="C44" s="202">
        <v>44221</v>
      </c>
      <c r="D44" s="232" t="s">
        <v>29</v>
      </c>
      <c r="E44" s="232">
        <v>600000</v>
      </c>
      <c r="F44" s="192">
        <v>0.027</v>
      </c>
      <c r="G44" s="233">
        <v>44301</v>
      </c>
      <c r="H44" s="234">
        <f t="shared" si="1"/>
        <v>16200</v>
      </c>
      <c r="I44" s="201" t="s">
        <v>10</v>
      </c>
      <c r="J44" s="193">
        <v>2</v>
      </c>
    </row>
    <row r="45" hidden="1" spans="2:11">
      <c r="B45" s="201">
        <v>202100954</v>
      </c>
      <c r="C45" s="202">
        <v>44221</v>
      </c>
      <c r="D45" s="232" t="s">
        <v>30</v>
      </c>
      <c r="E45" s="232">
        <v>30000</v>
      </c>
      <c r="F45" s="192">
        <v>0.031</v>
      </c>
      <c r="G45" s="233">
        <v>44306</v>
      </c>
      <c r="H45" s="234">
        <f t="shared" si="1"/>
        <v>930</v>
      </c>
      <c r="I45" s="201" t="s">
        <v>10</v>
      </c>
      <c r="J45" s="193">
        <v>2</v>
      </c>
    </row>
    <row r="46" hidden="1" spans="2:11">
      <c r="B46" s="201">
        <v>202100954</v>
      </c>
      <c r="C46" s="202">
        <v>44221</v>
      </c>
      <c r="D46" s="232" t="s">
        <v>30</v>
      </c>
      <c r="E46" s="232">
        <v>1000000</v>
      </c>
      <c r="F46" s="192">
        <v>0.031</v>
      </c>
      <c r="G46" s="233">
        <v>44306</v>
      </c>
      <c r="H46" s="234">
        <f t="shared" si="1"/>
        <v>31000</v>
      </c>
      <c r="I46" s="201" t="s">
        <v>10</v>
      </c>
      <c r="J46" s="193">
        <v>2</v>
      </c>
    </row>
    <row r="47" hidden="1" spans="2:11">
      <c r="B47" s="201">
        <v>202100955</v>
      </c>
      <c r="C47" s="202">
        <v>44221</v>
      </c>
      <c r="D47" s="232" t="s">
        <v>30</v>
      </c>
      <c r="E47" s="232">
        <v>170000</v>
      </c>
      <c r="F47" s="192">
        <v>0.031</v>
      </c>
      <c r="G47" s="233">
        <v>44306</v>
      </c>
      <c r="H47" s="234">
        <f t="shared" si="1"/>
        <v>5270</v>
      </c>
      <c r="I47" s="201" t="s">
        <v>10</v>
      </c>
      <c r="J47" s="193">
        <v>2</v>
      </c>
    </row>
    <row r="48" hidden="1" spans="2:11">
      <c r="B48" s="201">
        <v>202100955</v>
      </c>
      <c r="C48" s="202">
        <v>44221</v>
      </c>
      <c r="D48" s="232" t="s">
        <v>30</v>
      </c>
      <c r="E48" s="232">
        <v>30000</v>
      </c>
      <c r="F48" s="192">
        <v>0.031</v>
      </c>
      <c r="G48" s="233">
        <v>44336</v>
      </c>
      <c r="H48" s="234">
        <f t="shared" si="1"/>
        <v>930</v>
      </c>
      <c r="I48" s="201" t="s">
        <v>10</v>
      </c>
      <c r="J48" s="193">
        <v>2</v>
      </c>
    </row>
    <row r="49" hidden="1" spans="2:10">
      <c r="B49" s="201">
        <v>202100955</v>
      </c>
      <c r="C49" s="202">
        <v>44221</v>
      </c>
      <c r="D49" s="232" t="s">
        <v>30</v>
      </c>
      <c r="E49" s="232">
        <v>700000</v>
      </c>
      <c r="F49" s="192">
        <v>0.031</v>
      </c>
      <c r="G49" s="233">
        <v>44336</v>
      </c>
      <c r="H49" s="234">
        <f t="shared" si="1"/>
        <v>21700</v>
      </c>
      <c r="I49" s="201" t="s">
        <v>10</v>
      </c>
      <c r="J49" s="193">
        <v>2</v>
      </c>
    </row>
    <row r="50" hidden="1" spans="2:10">
      <c r="B50" s="201">
        <v>202100955</v>
      </c>
      <c r="C50" s="202">
        <v>44221</v>
      </c>
      <c r="D50" s="232" t="s">
        <v>30</v>
      </c>
      <c r="E50" s="232">
        <v>70000</v>
      </c>
      <c r="F50" s="192">
        <v>0.031</v>
      </c>
      <c r="G50" s="233">
        <v>44336</v>
      </c>
      <c r="H50" s="234">
        <f t="shared" si="1"/>
        <v>2170</v>
      </c>
      <c r="I50" s="201" t="s">
        <v>10</v>
      </c>
      <c r="J50" s="193">
        <v>2</v>
      </c>
    </row>
    <row r="51" hidden="1" spans="2:10">
      <c r="B51" s="201">
        <v>202100955</v>
      </c>
      <c r="C51" s="202">
        <v>44221</v>
      </c>
      <c r="D51" s="232" t="s">
        <v>31</v>
      </c>
      <c r="E51" s="232">
        <v>120000</v>
      </c>
      <c r="F51" s="192">
        <v>0.036</v>
      </c>
      <c r="G51" s="233">
        <v>44301</v>
      </c>
      <c r="H51" s="234">
        <f t="shared" si="1"/>
        <v>4320</v>
      </c>
      <c r="I51" s="201" t="s">
        <v>10</v>
      </c>
      <c r="J51" s="193">
        <v>2</v>
      </c>
    </row>
    <row r="52" hidden="1" spans="2:10">
      <c r="B52" s="221">
        <v>202100955</v>
      </c>
      <c r="C52" s="228">
        <v>44221</v>
      </c>
      <c r="D52" s="229" t="s">
        <v>31</v>
      </c>
      <c r="E52" s="229">
        <v>350000</v>
      </c>
      <c r="F52" s="192">
        <v>0.036</v>
      </c>
      <c r="G52" s="230">
        <v>44301</v>
      </c>
      <c r="H52" s="231">
        <f t="shared" si="1"/>
        <v>12600</v>
      </c>
      <c r="I52" s="221" t="s">
        <v>10</v>
      </c>
    </row>
    <row r="53" hidden="1" spans="2:10">
      <c r="B53" s="201">
        <v>202100955</v>
      </c>
      <c r="C53" s="202">
        <v>44221</v>
      </c>
      <c r="D53" s="232" t="s">
        <v>31</v>
      </c>
      <c r="E53" s="232">
        <v>80000</v>
      </c>
      <c r="F53" s="192">
        <v>0.036</v>
      </c>
      <c r="G53" s="233">
        <v>44301</v>
      </c>
      <c r="H53" s="234">
        <f t="shared" si="1"/>
        <v>2880</v>
      </c>
      <c r="I53" s="201" t="s">
        <v>10</v>
      </c>
      <c r="J53" s="193">
        <v>2</v>
      </c>
    </row>
    <row r="54" hidden="1" spans="2:10">
      <c r="B54" s="201">
        <v>202100955</v>
      </c>
      <c r="C54" s="202">
        <v>44221</v>
      </c>
      <c r="D54" s="232" t="s">
        <v>31</v>
      </c>
      <c r="E54" s="232">
        <v>150000</v>
      </c>
      <c r="F54" s="192">
        <v>0.036</v>
      </c>
      <c r="G54" s="233">
        <v>44301</v>
      </c>
      <c r="H54" s="234">
        <f t="shared" si="1"/>
        <v>5400</v>
      </c>
      <c r="I54" s="201" t="s">
        <v>10</v>
      </c>
      <c r="J54" s="193">
        <v>2</v>
      </c>
    </row>
    <row r="55" hidden="1" spans="2:10">
      <c r="B55" s="201">
        <v>202100955</v>
      </c>
      <c r="C55" s="202">
        <v>44221</v>
      </c>
      <c r="D55" s="232" t="s">
        <v>31</v>
      </c>
      <c r="E55" s="232">
        <v>50000</v>
      </c>
      <c r="F55" s="192">
        <v>0.036</v>
      </c>
      <c r="G55" s="233">
        <v>44331</v>
      </c>
      <c r="H55" s="234">
        <f t="shared" si="1"/>
        <v>1800</v>
      </c>
      <c r="I55" s="201" t="s">
        <v>10</v>
      </c>
      <c r="J55" s="193">
        <v>2</v>
      </c>
    </row>
    <row r="56" hidden="1" spans="2:10">
      <c r="B56" s="201">
        <v>202100955</v>
      </c>
      <c r="C56" s="202">
        <v>44221</v>
      </c>
      <c r="D56" s="232" t="s">
        <v>31</v>
      </c>
      <c r="E56" s="232">
        <v>200000</v>
      </c>
      <c r="F56" s="192">
        <v>0.036</v>
      </c>
      <c r="G56" s="233">
        <v>44331</v>
      </c>
      <c r="H56" s="234">
        <f t="shared" si="1"/>
        <v>7200</v>
      </c>
      <c r="I56" s="201" t="s">
        <v>10</v>
      </c>
      <c r="J56" s="193">
        <v>2</v>
      </c>
    </row>
    <row r="57" hidden="1" spans="2:10">
      <c r="B57" s="201">
        <v>202100955</v>
      </c>
      <c r="C57" s="202">
        <v>44221</v>
      </c>
      <c r="D57" s="232" t="s">
        <v>31</v>
      </c>
      <c r="E57" s="232">
        <v>40000</v>
      </c>
      <c r="F57" s="192">
        <v>0.036</v>
      </c>
      <c r="G57" s="233">
        <v>44331</v>
      </c>
      <c r="H57" s="234">
        <f t="shared" si="1"/>
        <v>1440</v>
      </c>
      <c r="I57" s="201" t="s">
        <v>14</v>
      </c>
      <c r="J57" s="193">
        <v>2</v>
      </c>
    </row>
    <row r="58" hidden="1" spans="2:10">
      <c r="B58" s="201">
        <v>202100955</v>
      </c>
      <c r="C58" s="202">
        <v>44221</v>
      </c>
      <c r="D58" s="232" t="s">
        <v>31</v>
      </c>
      <c r="E58" s="232">
        <v>60000</v>
      </c>
      <c r="F58" s="192">
        <v>0.036</v>
      </c>
      <c r="G58" s="233">
        <v>44331</v>
      </c>
      <c r="H58" s="234">
        <f t="shared" si="1"/>
        <v>2160</v>
      </c>
      <c r="I58" s="201" t="s">
        <v>14</v>
      </c>
      <c r="J58" s="193">
        <v>2</v>
      </c>
    </row>
    <row r="59" s="191" customFormat="1" hidden="1" spans="2:10">
      <c r="B59" s="211">
        <v>202100956</v>
      </c>
      <c r="C59" s="235">
        <v>44221</v>
      </c>
      <c r="D59" s="236" t="s">
        <v>32</v>
      </c>
      <c r="E59" s="236">
        <v>60000</v>
      </c>
      <c r="F59" s="192">
        <v>0.02</v>
      </c>
      <c r="G59" s="237">
        <v>44301</v>
      </c>
      <c r="H59" s="238">
        <f t="shared" si="1"/>
        <v>1200</v>
      </c>
      <c r="I59" s="211" t="s">
        <v>14</v>
      </c>
      <c r="J59" s="191">
        <v>1</v>
      </c>
    </row>
    <row r="60" s="191" customFormat="1" hidden="1" spans="2:10">
      <c r="B60" s="211">
        <v>202100956</v>
      </c>
      <c r="C60" s="212">
        <v>44221</v>
      </c>
      <c r="D60" s="239" t="s">
        <v>32</v>
      </c>
      <c r="E60" s="239">
        <v>500000</v>
      </c>
      <c r="F60" s="192">
        <v>0.02</v>
      </c>
      <c r="G60" s="240">
        <v>44301</v>
      </c>
      <c r="H60" s="241">
        <f t="shared" si="1"/>
        <v>10000</v>
      </c>
      <c r="I60" s="211" t="s">
        <v>14</v>
      </c>
      <c r="J60" s="191">
        <v>1</v>
      </c>
    </row>
    <row r="61" s="191" customFormat="1" hidden="1" spans="2:10">
      <c r="B61" s="211">
        <v>202100956</v>
      </c>
      <c r="C61" s="212">
        <v>44221</v>
      </c>
      <c r="D61" s="239" t="s">
        <v>32</v>
      </c>
      <c r="E61" s="239">
        <v>60000</v>
      </c>
      <c r="F61" s="192">
        <v>0.02</v>
      </c>
      <c r="G61" s="240">
        <v>44301</v>
      </c>
      <c r="H61" s="241">
        <f t="shared" si="1"/>
        <v>1200</v>
      </c>
      <c r="I61" s="211" t="s">
        <v>14</v>
      </c>
      <c r="J61" s="191">
        <v>1</v>
      </c>
    </row>
    <row r="62" s="191" customFormat="1" hidden="1" spans="2:10">
      <c r="B62" s="211">
        <v>202100956</v>
      </c>
      <c r="C62" s="212">
        <v>44221</v>
      </c>
      <c r="D62" s="239" t="s">
        <v>32</v>
      </c>
      <c r="E62" s="239">
        <v>80000</v>
      </c>
      <c r="F62" s="192">
        <v>0.02</v>
      </c>
      <c r="G62" s="240">
        <v>44301</v>
      </c>
      <c r="H62" s="241">
        <f t="shared" si="1"/>
        <v>1600</v>
      </c>
      <c r="I62" s="211" t="s">
        <v>14</v>
      </c>
      <c r="J62" s="191">
        <v>1</v>
      </c>
    </row>
    <row r="63" s="191" customFormat="1" hidden="1" spans="2:10">
      <c r="B63" s="211">
        <v>202100956</v>
      </c>
      <c r="C63" s="212">
        <v>44221</v>
      </c>
      <c r="D63" s="239" t="s">
        <v>16</v>
      </c>
      <c r="E63" s="239">
        <v>200000</v>
      </c>
      <c r="F63" s="192">
        <v>0.0292</v>
      </c>
      <c r="G63" s="240">
        <v>44285</v>
      </c>
      <c r="H63" s="241">
        <f t="shared" si="1"/>
        <v>5840</v>
      </c>
      <c r="I63" s="211" t="s">
        <v>14</v>
      </c>
      <c r="J63" s="191">
        <v>1</v>
      </c>
    </row>
    <row r="64" s="191" customFormat="1" hidden="1" spans="2:10">
      <c r="B64" s="211">
        <v>202100956</v>
      </c>
      <c r="C64" s="212">
        <v>44221</v>
      </c>
      <c r="D64" s="239" t="s">
        <v>16</v>
      </c>
      <c r="E64" s="239">
        <v>150000</v>
      </c>
      <c r="F64" s="192">
        <v>0.0292</v>
      </c>
      <c r="G64" s="240">
        <v>44311</v>
      </c>
      <c r="H64" s="241">
        <f t="shared" si="1"/>
        <v>4380</v>
      </c>
      <c r="I64" s="211" t="s">
        <v>14</v>
      </c>
      <c r="J64" s="191">
        <v>1</v>
      </c>
    </row>
    <row r="65" s="191" customFormat="1" hidden="1" spans="2:10">
      <c r="B65" s="211">
        <v>202100956</v>
      </c>
      <c r="C65" s="212">
        <v>44221</v>
      </c>
      <c r="D65" s="239" t="s">
        <v>33</v>
      </c>
      <c r="E65" s="239">
        <v>30000</v>
      </c>
      <c r="F65" s="192">
        <v>0.02</v>
      </c>
      <c r="G65" s="240">
        <v>44291</v>
      </c>
      <c r="H65" s="241">
        <f t="shared" si="1"/>
        <v>600</v>
      </c>
      <c r="I65" s="211" t="s">
        <v>14</v>
      </c>
      <c r="J65" s="191">
        <v>1</v>
      </c>
    </row>
    <row r="66" s="191" customFormat="1" hidden="1" spans="2:10">
      <c r="B66" s="211">
        <v>202100956</v>
      </c>
      <c r="C66" s="212">
        <v>44221</v>
      </c>
      <c r="D66" s="239" t="s">
        <v>33</v>
      </c>
      <c r="E66" s="239">
        <v>70000</v>
      </c>
      <c r="F66" s="192">
        <v>0.02</v>
      </c>
      <c r="G66" s="240">
        <v>44291</v>
      </c>
      <c r="H66" s="241">
        <f t="shared" si="1"/>
        <v>1400</v>
      </c>
      <c r="I66" s="211" t="s">
        <v>14</v>
      </c>
      <c r="J66" s="191">
        <v>1</v>
      </c>
    </row>
    <row r="67" s="191" customFormat="1" hidden="1" spans="2:10">
      <c r="B67" s="211">
        <v>202100956</v>
      </c>
      <c r="C67" s="212">
        <v>44221</v>
      </c>
      <c r="D67" s="239" t="s">
        <v>33</v>
      </c>
      <c r="E67" s="239">
        <v>100000</v>
      </c>
      <c r="F67" s="192">
        <v>0.02</v>
      </c>
      <c r="G67" s="240">
        <v>44291</v>
      </c>
      <c r="H67" s="241">
        <f t="shared" si="1"/>
        <v>2000</v>
      </c>
      <c r="I67" s="211" t="s">
        <v>14</v>
      </c>
    </row>
    <row r="68" hidden="1" spans="2:10">
      <c r="B68" s="221">
        <v>202100956</v>
      </c>
      <c r="C68" s="228">
        <v>44221</v>
      </c>
      <c r="D68" s="229" t="s">
        <v>34</v>
      </c>
      <c r="E68" s="229">
        <v>150000</v>
      </c>
      <c r="F68" s="192">
        <v>0.051</v>
      </c>
      <c r="G68" s="230">
        <v>44280</v>
      </c>
      <c r="H68" s="231">
        <f t="shared" si="1"/>
        <v>7650</v>
      </c>
      <c r="I68" s="221" t="s">
        <v>10</v>
      </c>
    </row>
    <row r="69" hidden="1" spans="2:10">
      <c r="B69" s="201">
        <v>202100956</v>
      </c>
      <c r="C69" s="202">
        <v>44221</v>
      </c>
      <c r="D69" s="232" t="s">
        <v>34</v>
      </c>
      <c r="E69" s="232">
        <v>150000</v>
      </c>
      <c r="F69" s="192">
        <v>0.051</v>
      </c>
      <c r="G69" s="233">
        <v>44280</v>
      </c>
      <c r="H69" s="234">
        <f t="shared" ref="H69:H98" si="2">E69*F69</f>
        <v>7650</v>
      </c>
      <c r="I69" s="201" t="s">
        <v>10</v>
      </c>
      <c r="J69" s="193">
        <v>2</v>
      </c>
    </row>
    <row r="70" hidden="1" spans="2:10">
      <c r="B70" s="201">
        <v>202100956</v>
      </c>
      <c r="C70" s="202">
        <v>44221</v>
      </c>
      <c r="D70" s="232" t="s">
        <v>34</v>
      </c>
      <c r="E70" s="232">
        <v>50000</v>
      </c>
      <c r="F70" s="192">
        <v>0.051</v>
      </c>
      <c r="G70" s="233">
        <v>44301</v>
      </c>
      <c r="H70" s="234">
        <f t="shared" si="2"/>
        <v>2550</v>
      </c>
      <c r="I70" s="201" t="s">
        <v>10</v>
      </c>
      <c r="J70" s="193">
        <v>2</v>
      </c>
    </row>
    <row r="71" hidden="1" spans="2:10">
      <c r="B71" s="201">
        <v>202100956</v>
      </c>
      <c r="C71" s="202">
        <v>44221</v>
      </c>
      <c r="D71" s="232" t="s">
        <v>34</v>
      </c>
      <c r="E71" s="232">
        <v>50000</v>
      </c>
      <c r="F71" s="192">
        <v>0.051</v>
      </c>
      <c r="G71" s="233">
        <v>44301</v>
      </c>
      <c r="H71" s="234">
        <f t="shared" si="2"/>
        <v>2550</v>
      </c>
      <c r="I71" s="201" t="s">
        <v>10</v>
      </c>
      <c r="J71" s="193">
        <v>2</v>
      </c>
    </row>
    <row r="72" hidden="1" spans="2:10">
      <c r="B72" s="221">
        <v>202100956</v>
      </c>
      <c r="C72" s="228">
        <v>44221</v>
      </c>
      <c r="D72" s="229" t="s">
        <v>35</v>
      </c>
      <c r="E72" s="229">
        <v>100000</v>
      </c>
      <c r="F72" s="192">
        <v>0.05</v>
      </c>
      <c r="G72" s="230">
        <v>44296</v>
      </c>
      <c r="H72" s="231">
        <f t="shared" si="2"/>
        <v>5000</v>
      </c>
      <c r="I72" s="221" t="s">
        <v>10</v>
      </c>
    </row>
    <row r="73" hidden="1" spans="2:10">
      <c r="B73" s="221">
        <v>202100956</v>
      </c>
      <c r="C73" s="228">
        <v>44221</v>
      </c>
      <c r="D73" s="229" t="s">
        <v>35</v>
      </c>
      <c r="E73" s="229">
        <v>100000</v>
      </c>
      <c r="F73" s="192">
        <v>0.05</v>
      </c>
      <c r="G73" s="230">
        <v>44296</v>
      </c>
      <c r="H73" s="231">
        <f t="shared" si="2"/>
        <v>5000</v>
      </c>
      <c r="I73" s="221" t="s">
        <v>10</v>
      </c>
    </row>
    <row r="74" hidden="1" spans="2:10">
      <c r="B74" s="201">
        <v>202100956</v>
      </c>
      <c r="C74" s="202">
        <v>44221</v>
      </c>
      <c r="D74" s="232" t="s">
        <v>36</v>
      </c>
      <c r="E74" s="232">
        <v>231000</v>
      </c>
      <c r="F74" s="192">
        <v>0.0083</v>
      </c>
      <c r="G74" s="233">
        <v>44280</v>
      </c>
      <c r="H74" s="234">
        <f t="shared" si="2"/>
        <v>1917.3</v>
      </c>
      <c r="I74" s="201" t="s">
        <v>10</v>
      </c>
      <c r="J74" s="193">
        <v>2</v>
      </c>
    </row>
    <row r="75" hidden="1" spans="2:10">
      <c r="B75" s="201">
        <v>202100956</v>
      </c>
      <c r="C75" s="202">
        <v>44221</v>
      </c>
      <c r="D75" s="232" t="s">
        <v>36</v>
      </c>
      <c r="E75" s="232">
        <v>414000</v>
      </c>
      <c r="F75" s="192">
        <v>0.0083</v>
      </c>
      <c r="G75" s="233">
        <v>44280</v>
      </c>
      <c r="H75" s="234">
        <f t="shared" si="2"/>
        <v>3436.2</v>
      </c>
      <c r="I75" s="201" t="s">
        <v>10</v>
      </c>
      <c r="J75" s="193">
        <v>2</v>
      </c>
    </row>
    <row r="76" hidden="1" spans="2:10">
      <c r="B76" s="201">
        <v>202100956</v>
      </c>
      <c r="C76" s="202">
        <v>44221</v>
      </c>
      <c r="D76" s="232" t="s">
        <v>36</v>
      </c>
      <c r="E76" s="232">
        <v>402000</v>
      </c>
      <c r="F76" s="192">
        <v>0.0083</v>
      </c>
      <c r="G76" s="233">
        <v>44280</v>
      </c>
      <c r="H76" s="234">
        <f t="shared" si="2"/>
        <v>3336.6</v>
      </c>
      <c r="I76" s="201" t="s">
        <v>10</v>
      </c>
      <c r="J76" s="193">
        <v>2</v>
      </c>
    </row>
    <row r="77" hidden="1" spans="2:10">
      <c r="B77" s="201">
        <v>202100957</v>
      </c>
      <c r="C77" s="202">
        <v>44221</v>
      </c>
      <c r="D77" s="232" t="s">
        <v>36</v>
      </c>
      <c r="E77" s="232">
        <v>102000</v>
      </c>
      <c r="F77" s="192">
        <v>0.0083</v>
      </c>
      <c r="G77" s="233">
        <v>44311</v>
      </c>
      <c r="H77" s="234">
        <f t="shared" si="2"/>
        <v>846.6</v>
      </c>
      <c r="I77" s="201" t="s">
        <v>10</v>
      </c>
      <c r="J77" s="193">
        <v>2</v>
      </c>
    </row>
    <row r="78" hidden="1" spans="2:10">
      <c r="B78" s="201">
        <v>202100957</v>
      </c>
      <c r="C78" s="202">
        <v>44221</v>
      </c>
      <c r="D78" s="232" t="s">
        <v>36</v>
      </c>
      <c r="E78" s="232">
        <v>198000</v>
      </c>
      <c r="F78" s="192">
        <v>0.0083</v>
      </c>
      <c r="G78" s="233">
        <v>44311</v>
      </c>
      <c r="H78" s="234">
        <f t="shared" si="2"/>
        <v>1643.4</v>
      </c>
      <c r="I78" s="201" t="s">
        <v>10</v>
      </c>
      <c r="J78" s="193">
        <v>2</v>
      </c>
    </row>
    <row r="79" hidden="1" spans="2:10">
      <c r="B79" s="201">
        <v>202100957</v>
      </c>
      <c r="C79" s="202">
        <v>44221</v>
      </c>
      <c r="D79" s="232" t="s">
        <v>36</v>
      </c>
      <c r="E79" s="232">
        <v>201000</v>
      </c>
      <c r="F79" s="192">
        <v>0.0083</v>
      </c>
      <c r="G79" s="233">
        <v>44311</v>
      </c>
      <c r="H79" s="234">
        <f t="shared" si="2"/>
        <v>1668.3</v>
      </c>
      <c r="I79" s="201" t="s">
        <v>10</v>
      </c>
      <c r="J79" s="193">
        <v>2</v>
      </c>
    </row>
    <row r="80" hidden="1" spans="2:10">
      <c r="B80" s="201">
        <v>202100957</v>
      </c>
      <c r="C80" s="202">
        <v>44221</v>
      </c>
      <c r="D80" s="232" t="s">
        <v>36</v>
      </c>
      <c r="E80" s="232">
        <v>102000</v>
      </c>
      <c r="F80" s="192">
        <v>0.0083</v>
      </c>
      <c r="G80" s="233">
        <v>44341</v>
      </c>
      <c r="H80" s="234">
        <f t="shared" si="2"/>
        <v>846.6</v>
      </c>
      <c r="I80" s="201" t="s">
        <v>10</v>
      </c>
      <c r="J80" s="193">
        <v>2</v>
      </c>
    </row>
    <row r="81" hidden="1" spans="2:10">
      <c r="B81" s="201">
        <v>202100957</v>
      </c>
      <c r="C81" s="202">
        <v>44221</v>
      </c>
      <c r="D81" s="232" t="s">
        <v>36</v>
      </c>
      <c r="E81" s="232">
        <v>198000</v>
      </c>
      <c r="F81" s="192">
        <v>0.0083</v>
      </c>
      <c r="G81" s="233">
        <v>44341</v>
      </c>
      <c r="H81" s="234">
        <f t="shared" si="2"/>
        <v>1643.4</v>
      </c>
      <c r="I81" s="201" t="s">
        <v>10</v>
      </c>
      <c r="J81" s="193">
        <v>2</v>
      </c>
    </row>
    <row r="82" hidden="1" spans="2:10">
      <c r="B82" s="201">
        <v>202100957</v>
      </c>
      <c r="C82" s="202">
        <v>44221</v>
      </c>
      <c r="D82" s="232" t="s">
        <v>36</v>
      </c>
      <c r="E82" s="232">
        <v>201000</v>
      </c>
      <c r="F82" s="192">
        <v>0.0083</v>
      </c>
      <c r="G82" s="233">
        <v>44341</v>
      </c>
      <c r="H82" s="234">
        <f t="shared" si="2"/>
        <v>1668.3</v>
      </c>
      <c r="I82" s="201" t="s">
        <v>10</v>
      </c>
      <c r="J82" s="193">
        <v>2</v>
      </c>
    </row>
    <row r="83" hidden="1" spans="2:10">
      <c r="B83" s="221">
        <v>202100957</v>
      </c>
      <c r="C83" s="228">
        <v>44221</v>
      </c>
      <c r="D83" s="229" t="s">
        <v>37</v>
      </c>
      <c r="E83" s="229">
        <v>21000</v>
      </c>
      <c r="F83" s="192">
        <v>0.02</v>
      </c>
      <c r="G83" s="230">
        <v>44306</v>
      </c>
      <c r="H83" s="231">
        <f t="shared" si="2"/>
        <v>420</v>
      </c>
      <c r="I83" s="221" t="s">
        <v>10</v>
      </c>
    </row>
    <row r="84" hidden="1" spans="2:10">
      <c r="B84" s="221">
        <v>202100957</v>
      </c>
      <c r="C84" s="228">
        <v>44221</v>
      </c>
      <c r="D84" s="229" t="s">
        <v>38</v>
      </c>
      <c r="E84" s="229">
        <v>100000</v>
      </c>
      <c r="F84" s="192">
        <v>0.01</v>
      </c>
      <c r="G84" s="230">
        <v>44275</v>
      </c>
      <c r="H84" s="231">
        <f t="shared" si="2"/>
        <v>1000</v>
      </c>
      <c r="I84" s="221" t="s">
        <v>10</v>
      </c>
    </row>
    <row r="85" hidden="1" spans="2:10">
      <c r="B85" s="221">
        <v>202100957</v>
      </c>
      <c r="C85" s="228">
        <v>44221</v>
      </c>
      <c r="D85" s="229" t="s">
        <v>38</v>
      </c>
      <c r="E85" s="229">
        <v>100000</v>
      </c>
      <c r="F85" s="192">
        <v>0.01</v>
      </c>
      <c r="G85" s="230">
        <v>44275</v>
      </c>
      <c r="H85" s="231">
        <f t="shared" si="2"/>
        <v>1000</v>
      </c>
      <c r="I85" s="221" t="s">
        <v>10</v>
      </c>
    </row>
    <row r="86" s="191" customFormat="1" hidden="1" spans="2:10">
      <c r="B86" s="211">
        <v>202100957</v>
      </c>
      <c r="C86" s="212">
        <v>44221</v>
      </c>
      <c r="D86" s="239" t="s">
        <v>39</v>
      </c>
      <c r="E86" s="239">
        <v>800000</v>
      </c>
      <c r="F86" s="192">
        <v>0.03</v>
      </c>
      <c r="G86" s="240">
        <v>44306</v>
      </c>
      <c r="H86" s="241">
        <f t="shared" si="2"/>
        <v>24000</v>
      </c>
      <c r="I86" s="191" t="s">
        <v>10</v>
      </c>
      <c r="J86" s="191">
        <v>1</v>
      </c>
    </row>
    <row r="87" hidden="1" spans="2:10">
      <c r="B87" s="221">
        <v>202100957</v>
      </c>
      <c r="C87" s="228">
        <v>44221</v>
      </c>
      <c r="D87" s="229" t="s">
        <v>40</v>
      </c>
      <c r="E87" s="229">
        <v>300000</v>
      </c>
      <c r="F87" s="192">
        <v>0.05</v>
      </c>
      <c r="G87" s="230">
        <v>44275</v>
      </c>
      <c r="H87" s="231">
        <f t="shared" si="2"/>
        <v>15000</v>
      </c>
      <c r="I87" s="221" t="s">
        <v>10</v>
      </c>
    </row>
    <row r="88" hidden="1" spans="2:10">
      <c r="B88" s="201">
        <v>202100957</v>
      </c>
      <c r="C88" s="202">
        <v>44221</v>
      </c>
      <c r="D88" s="232" t="s">
        <v>40</v>
      </c>
      <c r="E88" s="232">
        <v>300000</v>
      </c>
      <c r="F88" s="192">
        <v>0.05</v>
      </c>
      <c r="G88" s="233">
        <v>44306</v>
      </c>
      <c r="H88" s="234">
        <f t="shared" si="2"/>
        <v>15000</v>
      </c>
      <c r="I88" s="201" t="s">
        <v>10</v>
      </c>
      <c r="J88" s="193">
        <v>2</v>
      </c>
    </row>
    <row r="89" hidden="1" spans="2:10">
      <c r="B89" s="201">
        <v>202100957</v>
      </c>
      <c r="C89" s="202">
        <v>44221</v>
      </c>
      <c r="D89" s="232" t="s">
        <v>41</v>
      </c>
      <c r="E89" s="232">
        <v>20000</v>
      </c>
      <c r="F89" s="192">
        <v>0.285</v>
      </c>
      <c r="G89" s="233">
        <v>44296</v>
      </c>
      <c r="H89" s="234">
        <f t="shared" si="2"/>
        <v>5700</v>
      </c>
      <c r="I89" s="201" t="s">
        <v>10</v>
      </c>
      <c r="J89" s="193">
        <v>1</v>
      </c>
    </row>
    <row r="90" hidden="1" spans="2:10">
      <c r="B90" s="221">
        <v>202100957</v>
      </c>
      <c r="C90" s="228">
        <v>44221</v>
      </c>
      <c r="D90" s="229" t="s">
        <v>42</v>
      </c>
      <c r="E90" s="229">
        <v>200000</v>
      </c>
      <c r="F90" s="192">
        <v>0.065</v>
      </c>
      <c r="G90" s="230">
        <v>44265</v>
      </c>
      <c r="H90" s="231">
        <f t="shared" si="2"/>
        <v>13000</v>
      </c>
      <c r="I90" s="221" t="s">
        <v>10</v>
      </c>
    </row>
    <row r="91" hidden="1" spans="2:10">
      <c r="B91" s="201">
        <v>202100957</v>
      </c>
      <c r="C91" s="202">
        <v>44221</v>
      </c>
      <c r="D91" s="232" t="s">
        <v>12</v>
      </c>
      <c r="E91" s="232">
        <v>20000</v>
      </c>
      <c r="F91" s="192">
        <v>0.06</v>
      </c>
      <c r="G91" s="233">
        <v>44336</v>
      </c>
      <c r="H91" s="234">
        <f t="shared" si="2"/>
        <v>1200</v>
      </c>
      <c r="I91" s="201" t="s">
        <v>10</v>
      </c>
      <c r="J91" s="193">
        <v>2</v>
      </c>
    </row>
    <row r="92" hidden="1" spans="2:10">
      <c r="B92" s="221">
        <v>202100957</v>
      </c>
      <c r="C92" s="228">
        <v>44221</v>
      </c>
      <c r="D92" s="229" t="s">
        <v>43</v>
      </c>
      <c r="E92" s="229">
        <v>20000</v>
      </c>
      <c r="F92" s="192">
        <v>0.05</v>
      </c>
      <c r="G92" s="230">
        <v>44252</v>
      </c>
      <c r="H92" s="231">
        <f t="shared" si="2"/>
        <v>1000</v>
      </c>
      <c r="I92" s="221" t="s">
        <v>10</v>
      </c>
    </row>
    <row r="93" hidden="1" spans="2:10">
      <c r="B93" s="221">
        <v>202100957</v>
      </c>
      <c r="C93" s="228">
        <v>44221</v>
      </c>
      <c r="D93" s="229" t="s">
        <v>43</v>
      </c>
      <c r="E93" s="229">
        <v>20000</v>
      </c>
      <c r="F93" s="192">
        <v>0.05</v>
      </c>
      <c r="G93" s="230">
        <v>44275</v>
      </c>
      <c r="H93" s="231">
        <f t="shared" si="2"/>
        <v>1000</v>
      </c>
      <c r="I93" s="221" t="s">
        <v>10</v>
      </c>
    </row>
    <row r="94" hidden="1" spans="2:10">
      <c r="B94" s="201">
        <v>202100957</v>
      </c>
      <c r="C94" s="202">
        <v>44221</v>
      </c>
      <c r="D94" s="232" t="s">
        <v>43</v>
      </c>
      <c r="E94" s="232">
        <v>20000</v>
      </c>
      <c r="F94" s="192">
        <v>0.05</v>
      </c>
      <c r="G94" s="233">
        <v>44306</v>
      </c>
      <c r="H94" s="234">
        <f t="shared" si="2"/>
        <v>1000</v>
      </c>
      <c r="I94" s="201" t="s">
        <v>10</v>
      </c>
      <c r="J94" s="193">
        <v>1</v>
      </c>
    </row>
    <row r="95" hidden="1" spans="2:10">
      <c r="B95" s="201">
        <v>202100957</v>
      </c>
      <c r="C95" s="202">
        <v>44221</v>
      </c>
      <c r="D95" s="232" t="s">
        <v>44</v>
      </c>
      <c r="E95" s="232">
        <v>300000</v>
      </c>
      <c r="F95" s="192">
        <v>0.0238</v>
      </c>
      <c r="G95" s="233">
        <v>44296</v>
      </c>
      <c r="H95" s="234">
        <f t="shared" si="2"/>
        <v>7140</v>
      </c>
      <c r="I95" s="201" t="s">
        <v>10</v>
      </c>
      <c r="J95" s="193">
        <v>1</v>
      </c>
    </row>
    <row r="96" hidden="1" spans="2:10">
      <c r="B96" s="201">
        <v>202100957</v>
      </c>
      <c r="C96" s="202">
        <v>44221</v>
      </c>
      <c r="D96" s="232" t="s">
        <v>44</v>
      </c>
      <c r="E96" s="232">
        <v>100000</v>
      </c>
      <c r="F96" s="192">
        <v>0.0238</v>
      </c>
      <c r="G96" s="233">
        <v>44296</v>
      </c>
      <c r="H96" s="234">
        <f t="shared" si="2"/>
        <v>2380</v>
      </c>
      <c r="I96" s="201" t="s">
        <v>10</v>
      </c>
      <c r="J96" s="193">
        <v>2</v>
      </c>
    </row>
    <row r="97" hidden="1" spans="2:10">
      <c r="B97" s="201">
        <v>202100957</v>
      </c>
      <c r="C97" s="202">
        <v>44221</v>
      </c>
      <c r="D97" s="232" t="s">
        <v>44</v>
      </c>
      <c r="E97" s="232">
        <v>300000</v>
      </c>
      <c r="F97" s="192">
        <v>0.0238</v>
      </c>
      <c r="G97" s="233">
        <v>44326</v>
      </c>
      <c r="H97" s="234">
        <f t="shared" si="2"/>
        <v>7140</v>
      </c>
      <c r="I97" s="201" t="s">
        <v>10</v>
      </c>
      <c r="J97" s="193">
        <v>2</v>
      </c>
    </row>
    <row r="98" hidden="1" spans="2:10">
      <c r="B98" s="201">
        <v>202100957</v>
      </c>
      <c r="C98" s="202">
        <v>44221</v>
      </c>
      <c r="D98" s="232" t="s">
        <v>44</v>
      </c>
      <c r="E98" s="232">
        <v>100000</v>
      </c>
      <c r="F98" s="192">
        <v>0.0238</v>
      </c>
      <c r="G98" s="233">
        <v>44326</v>
      </c>
      <c r="H98" s="234">
        <f t="shared" si="2"/>
        <v>2380</v>
      </c>
      <c r="I98" s="201" t="s">
        <v>10</v>
      </c>
      <c r="J98" s="193">
        <v>2</v>
      </c>
    </row>
    <row r="99" hidden="1" spans="2:10">
      <c r="B99" s="201">
        <v>202100974</v>
      </c>
      <c r="C99" s="202">
        <v>44225</v>
      </c>
      <c r="D99" s="203" t="s">
        <v>45</v>
      </c>
      <c r="E99" s="232">
        <v>160000</v>
      </c>
      <c r="F99" s="192">
        <v>0.028</v>
      </c>
      <c r="G99" s="202">
        <v>44300</v>
      </c>
      <c r="H99" s="234">
        <f t="shared" ref="H99:H113" si="3">F99*E99</f>
        <v>4480</v>
      </c>
      <c r="I99" s="201" t="s">
        <v>10</v>
      </c>
      <c r="J99" s="193">
        <v>1</v>
      </c>
    </row>
    <row r="100" hidden="1" spans="2:10">
      <c r="B100" s="201">
        <v>202100974</v>
      </c>
      <c r="C100" s="202">
        <v>44225</v>
      </c>
      <c r="D100" s="203" t="s">
        <v>45</v>
      </c>
      <c r="E100" s="232">
        <v>160000</v>
      </c>
      <c r="F100" s="192">
        <v>0.028</v>
      </c>
      <c r="G100" s="202">
        <v>44316</v>
      </c>
      <c r="H100" s="234">
        <f t="shared" si="3"/>
        <v>4480</v>
      </c>
      <c r="I100" s="201" t="s">
        <v>10</v>
      </c>
      <c r="J100" s="193">
        <v>1</v>
      </c>
    </row>
    <row r="101" hidden="1" spans="2:10">
      <c r="B101" s="201">
        <v>202100974</v>
      </c>
      <c r="C101" s="202">
        <v>44225</v>
      </c>
      <c r="D101" s="203" t="s">
        <v>45</v>
      </c>
      <c r="E101" s="232">
        <v>120000</v>
      </c>
      <c r="F101" s="192">
        <v>0.028</v>
      </c>
      <c r="G101" s="202">
        <v>44326</v>
      </c>
      <c r="H101" s="234">
        <f t="shared" si="3"/>
        <v>3360</v>
      </c>
      <c r="I101" s="201" t="s">
        <v>10</v>
      </c>
      <c r="J101" s="193">
        <v>1</v>
      </c>
    </row>
    <row r="102" hidden="1" spans="2:10">
      <c r="B102" s="201">
        <v>202100974</v>
      </c>
      <c r="C102" s="202">
        <v>44225</v>
      </c>
      <c r="D102" s="203" t="s">
        <v>46</v>
      </c>
      <c r="E102" s="232">
        <v>144000</v>
      </c>
      <c r="F102" s="192">
        <v>0.022</v>
      </c>
      <c r="G102" s="202">
        <v>44285</v>
      </c>
      <c r="H102" s="234">
        <f t="shared" si="3"/>
        <v>3168</v>
      </c>
      <c r="I102" s="201" t="s">
        <v>10</v>
      </c>
      <c r="J102" s="193">
        <v>1</v>
      </c>
    </row>
    <row r="103" hidden="1" spans="2:10">
      <c r="B103" s="201">
        <v>202100974</v>
      </c>
      <c r="C103" s="202">
        <v>44225</v>
      </c>
      <c r="D103" s="203" t="s">
        <v>46</v>
      </c>
      <c r="E103" s="232">
        <v>144000</v>
      </c>
      <c r="F103" s="192">
        <v>0.022</v>
      </c>
      <c r="G103" s="202">
        <v>44296</v>
      </c>
      <c r="H103" s="234">
        <f t="shared" si="3"/>
        <v>3168</v>
      </c>
      <c r="I103" s="201" t="s">
        <v>10</v>
      </c>
      <c r="J103" s="193">
        <v>1</v>
      </c>
    </row>
    <row r="104" hidden="1" spans="2:10">
      <c r="B104" s="201">
        <v>202100974</v>
      </c>
      <c r="C104" s="202">
        <v>44225</v>
      </c>
      <c r="D104" s="203" t="s">
        <v>46</v>
      </c>
      <c r="E104" s="232">
        <v>64000</v>
      </c>
      <c r="F104" s="192">
        <v>0.022</v>
      </c>
      <c r="G104" s="202">
        <v>44316</v>
      </c>
      <c r="H104" s="234">
        <f t="shared" si="3"/>
        <v>1408</v>
      </c>
      <c r="I104" s="201" t="s">
        <v>10</v>
      </c>
      <c r="J104" s="193">
        <v>1</v>
      </c>
    </row>
    <row r="105" hidden="1" spans="2:10">
      <c r="B105" s="201">
        <v>202100974</v>
      </c>
      <c r="C105" s="202">
        <v>44225</v>
      </c>
      <c r="D105" s="203" t="s">
        <v>47</v>
      </c>
      <c r="E105" s="232">
        <v>100000</v>
      </c>
      <c r="F105" s="192">
        <v>0.024</v>
      </c>
      <c r="G105" s="202">
        <v>44256</v>
      </c>
      <c r="H105" s="234">
        <f t="shared" si="3"/>
        <v>2400</v>
      </c>
      <c r="I105" s="201" t="s">
        <v>10</v>
      </c>
      <c r="J105" s="193">
        <v>1</v>
      </c>
    </row>
    <row r="106" hidden="1" spans="2:10">
      <c r="B106" s="201">
        <v>202100974</v>
      </c>
      <c r="C106" s="202">
        <v>44225</v>
      </c>
      <c r="D106" s="203" t="s">
        <v>47</v>
      </c>
      <c r="E106" s="232">
        <v>100000</v>
      </c>
      <c r="F106" s="192">
        <v>0.024</v>
      </c>
      <c r="G106" s="202">
        <v>44275</v>
      </c>
      <c r="H106" s="234">
        <f t="shared" si="3"/>
        <v>2400</v>
      </c>
      <c r="I106" s="201" t="s">
        <v>10</v>
      </c>
      <c r="J106" s="193">
        <v>1</v>
      </c>
    </row>
    <row r="107" hidden="1" spans="2:10">
      <c r="B107" s="201">
        <v>202100974</v>
      </c>
      <c r="C107" s="202">
        <v>44225</v>
      </c>
      <c r="D107" s="203" t="s">
        <v>47</v>
      </c>
      <c r="E107" s="232">
        <v>100000</v>
      </c>
      <c r="F107" s="192">
        <v>0.024</v>
      </c>
      <c r="G107" s="202">
        <v>44296</v>
      </c>
      <c r="H107" s="234">
        <f t="shared" si="3"/>
        <v>2400</v>
      </c>
      <c r="I107" s="201" t="s">
        <v>10</v>
      </c>
      <c r="J107" s="193">
        <v>1</v>
      </c>
    </row>
    <row r="108" hidden="1" spans="2:10">
      <c r="B108" s="201">
        <v>202100974</v>
      </c>
      <c r="C108" s="202">
        <v>44225</v>
      </c>
      <c r="D108" s="203" t="s">
        <v>38</v>
      </c>
      <c r="E108" s="201">
        <v>160000</v>
      </c>
      <c r="F108" s="192">
        <v>0.01</v>
      </c>
      <c r="G108" s="202">
        <v>44256</v>
      </c>
      <c r="H108" s="234">
        <f t="shared" si="3"/>
        <v>1600</v>
      </c>
      <c r="I108" s="201" t="s">
        <v>10</v>
      </c>
      <c r="J108" s="193">
        <v>1</v>
      </c>
    </row>
    <row r="109" hidden="1" spans="2:10">
      <c r="B109" s="201">
        <v>202100974</v>
      </c>
      <c r="C109" s="202">
        <v>44225</v>
      </c>
      <c r="D109" s="203" t="s">
        <v>38</v>
      </c>
      <c r="E109" s="201">
        <v>160000</v>
      </c>
      <c r="F109" s="192">
        <v>0.01</v>
      </c>
      <c r="G109" s="202">
        <v>44285</v>
      </c>
      <c r="H109" s="234">
        <f t="shared" si="3"/>
        <v>1600</v>
      </c>
      <c r="I109" s="201" t="s">
        <v>10</v>
      </c>
      <c r="J109" s="193">
        <v>1</v>
      </c>
    </row>
    <row r="110" hidden="1" spans="2:10">
      <c r="B110" s="201">
        <v>202100974</v>
      </c>
      <c r="C110" s="202">
        <v>44225</v>
      </c>
      <c r="D110" s="203" t="s">
        <v>38</v>
      </c>
      <c r="E110" s="201">
        <v>120000</v>
      </c>
      <c r="F110" s="192">
        <v>0.01</v>
      </c>
      <c r="G110" s="202">
        <v>44296</v>
      </c>
      <c r="H110" s="234">
        <f t="shared" si="3"/>
        <v>1200</v>
      </c>
      <c r="I110" s="201" t="s">
        <v>10</v>
      </c>
      <c r="J110" s="193">
        <v>1</v>
      </c>
    </row>
    <row r="111" hidden="1" spans="2:10">
      <c r="B111" s="201">
        <v>202100974</v>
      </c>
      <c r="C111" s="202">
        <v>44225</v>
      </c>
      <c r="D111" s="203" t="s">
        <v>48</v>
      </c>
      <c r="E111" s="201">
        <v>96000</v>
      </c>
      <c r="F111" s="192">
        <v>0.022</v>
      </c>
      <c r="G111" s="202">
        <v>44285</v>
      </c>
      <c r="H111" s="234">
        <f t="shared" si="3"/>
        <v>2112</v>
      </c>
      <c r="I111" s="201" t="s">
        <v>10</v>
      </c>
      <c r="J111" s="193">
        <v>2</v>
      </c>
    </row>
    <row r="112" hidden="1" spans="2:10">
      <c r="B112" s="201">
        <v>202100974</v>
      </c>
      <c r="C112" s="202">
        <v>44225</v>
      </c>
      <c r="D112" s="203" t="s">
        <v>49</v>
      </c>
      <c r="E112" s="201">
        <v>20000</v>
      </c>
      <c r="F112" s="192">
        <v>0.065</v>
      </c>
      <c r="G112" s="202">
        <v>44256</v>
      </c>
      <c r="H112" s="234">
        <f t="shared" si="3"/>
        <v>1300</v>
      </c>
      <c r="I112" s="201" t="s">
        <v>10</v>
      </c>
      <c r="J112" s="193">
        <v>1</v>
      </c>
    </row>
    <row r="113" hidden="1" spans="2:10">
      <c r="B113" s="201">
        <v>202100974</v>
      </c>
      <c r="C113" s="202">
        <v>44225</v>
      </c>
      <c r="D113" s="203" t="s">
        <v>49</v>
      </c>
      <c r="E113" s="201">
        <v>20000</v>
      </c>
      <c r="F113" s="192">
        <v>0.065</v>
      </c>
      <c r="G113" s="202">
        <v>44285</v>
      </c>
      <c r="H113" s="234">
        <f t="shared" si="3"/>
        <v>1300</v>
      </c>
      <c r="I113" s="201" t="s">
        <v>10</v>
      </c>
      <c r="J113" s="193">
        <v>1</v>
      </c>
    </row>
    <row r="114" s="191" customFormat="1" hidden="1" spans="2:10">
      <c r="B114" s="211">
        <v>202101005</v>
      </c>
      <c r="C114" s="242">
        <v>44231</v>
      </c>
      <c r="D114" s="243" t="s">
        <v>39</v>
      </c>
      <c r="E114" s="244">
        <v>500000</v>
      </c>
      <c r="F114" s="192">
        <v>0.03</v>
      </c>
      <c r="G114" s="245">
        <v>44242</v>
      </c>
      <c r="H114" s="191">
        <v>15000</v>
      </c>
      <c r="I114" s="211" t="s">
        <v>10</v>
      </c>
      <c r="J114" s="191">
        <v>1</v>
      </c>
    </row>
    <row r="115" s="191" customFormat="1" hidden="1" spans="2:10">
      <c r="B115" s="211">
        <v>202101005</v>
      </c>
      <c r="C115" s="242">
        <v>44231</v>
      </c>
      <c r="D115" s="243" t="s">
        <v>39</v>
      </c>
      <c r="E115" s="244">
        <v>500000</v>
      </c>
      <c r="F115" s="192">
        <v>0.03</v>
      </c>
      <c r="G115" s="242">
        <v>44265</v>
      </c>
      <c r="H115" s="191">
        <v>15000</v>
      </c>
      <c r="I115" s="211" t="s">
        <v>10</v>
      </c>
      <c r="J115" s="191">
        <v>1</v>
      </c>
    </row>
    <row r="116" s="191" customFormat="1" hidden="1" spans="2:10">
      <c r="B116" s="211">
        <v>202101005</v>
      </c>
      <c r="C116" s="242">
        <v>44231</v>
      </c>
      <c r="D116" s="243" t="s">
        <v>39</v>
      </c>
      <c r="E116" s="244">
        <v>200000</v>
      </c>
      <c r="F116" s="192">
        <v>0.03</v>
      </c>
      <c r="G116" s="242">
        <v>44285</v>
      </c>
      <c r="H116" s="191">
        <v>6000</v>
      </c>
      <c r="I116" s="211" t="s">
        <v>10</v>
      </c>
      <c r="J116" s="191">
        <v>1</v>
      </c>
    </row>
    <row r="117" hidden="1" spans="2:10">
      <c r="B117" s="201">
        <v>202100993</v>
      </c>
      <c r="C117" s="202">
        <v>44230</v>
      </c>
      <c r="D117" s="201" t="s">
        <v>15</v>
      </c>
      <c r="E117" s="205">
        <v>69000</v>
      </c>
      <c r="F117" s="192">
        <v>0.025</v>
      </c>
      <c r="G117" s="202">
        <v>44230</v>
      </c>
      <c r="H117" s="201">
        <f t="shared" ref="H117:H180" si="4">E117*F117</f>
        <v>1725</v>
      </c>
      <c r="I117" s="201" t="s">
        <v>10</v>
      </c>
      <c r="J117" s="193">
        <v>1</v>
      </c>
    </row>
    <row r="118" hidden="1" spans="2:10">
      <c r="B118" s="201">
        <v>202100993</v>
      </c>
      <c r="C118" s="202">
        <v>44230</v>
      </c>
      <c r="D118" s="201" t="s">
        <v>15</v>
      </c>
      <c r="E118" s="205">
        <v>138000</v>
      </c>
      <c r="F118" s="192">
        <v>0.025</v>
      </c>
      <c r="G118" s="202">
        <v>44270</v>
      </c>
      <c r="H118" s="201">
        <f t="shared" si="4"/>
        <v>3450</v>
      </c>
      <c r="I118" s="201" t="s">
        <v>10</v>
      </c>
      <c r="J118" s="193">
        <v>2</v>
      </c>
    </row>
    <row r="119" hidden="1" spans="2:10">
      <c r="B119" s="201">
        <v>202100993</v>
      </c>
      <c r="C119" s="202">
        <v>44230</v>
      </c>
      <c r="D119" s="201" t="s">
        <v>15</v>
      </c>
      <c r="E119" s="205">
        <v>138000</v>
      </c>
      <c r="F119" s="192">
        <v>0.025</v>
      </c>
      <c r="G119" s="202">
        <v>44280</v>
      </c>
      <c r="H119" s="201">
        <f t="shared" si="4"/>
        <v>3450</v>
      </c>
      <c r="I119" s="201" t="s">
        <v>10</v>
      </c>
      <c r="J119" s="193">
        <v>2</v>
      </c>
    </row>
    <row r="120" hidden="1" spans="2:10">
      <c r="B120" s="246">
        <v>202101015</v>
      </c>
      <c r="C120" s="247">
        <v>44233</v>
      </c>
      <c r="D120" s="248" t="s">
        <v>48</v>
      </c>
      <c r="E120" s="246">
        <v>96000</v>
      </c>
      <c r="F120" s="192">
        <v>0.022</v>
      </c>
      <c r="G120" s="212">
        <v>44265</v>
      </c>
      <c r="H120" s="211">
        <f t="shared" si="4"/>
        <v>2112</v>
      </c>
      <c r="I120" s="211" t="s">
        <v>10</v>
      </c>
    </row>
    <row r="121" hidden="1" spans="2:10">
      <c r="B121" s="246">
        <v>202101015</v>
      </c>
      <c r="C121" s="247">
        <v>44233</v>
      </c>
      <c r="D121" s="248" t="s">
        <v>48</v>
      </c>
      <c r="E121" s="246">
        <v>96000</v>
      </c>
      <c r="F121" s="192">
        <v>0.022</v>
      </c>
      <c r="G121" s="212">
        <v>44296</v>
      </c>
      <c r="H121" s="211">
        <f t="shared" si="4"/>
        <v>2112</v>
      </c>
      <c r="I121" s="211" t="s">
        <v>10</v>
      </c>
    </row>
    <row r="122" hidden="1" spans="2:10">
      <c r="B122" s="246">
        <v>202101015</v>
      </c>
      <c r="C122" s="247">
        <v>44233</v>
      </c>
      <c r="D122" s="248" t="s">
        <v>48</v>
      </c>
      <c r="E122" s="246">
        <v>144000</v>
      </c>
      <c r="F122" s="192">
        <v>0.022</v>
      </c>
      <c r="G122" s="212">
        <v>44316</v>
      </c>
      <c r="H122" s="211">
        <f t="shared" si="4"/>
        <v>3168</v>
      </c>
      <c r="I122" s="211" t="s">
        <v>10</v>
      </c>
    </row>
    <row r="123" hidden="1" spans="2:10">
      <c r="B123" s="246">
        <v>202101041</v>
      </c>
      <c r="C123" s="247">
        <v>44238</v>
      </c>
      <c r="D123" s="248" t="s">
        <v>50</v>
      </c>
      <c r="E123" s="249">
        <v>8000</v>
      </c>
      <c r="F123" s="191">
        <v>0.08</v>
      </c>
      <c r="G123" s="212">
        <v>44275</v>
      </c>
      <c r="H123" s="211">
        <f t="shared" si="4"/>
        <v>640</v>
      </c>
      <c r="I123" s="211" t="s">
        <v>51</v>
      </c>
    </row>
    <row r="124" hidden="1" spans="2:10">
      <c r="B124" s="246">
        <v>202101041</v>
      </c>
      <c r="C124" s="247">
        <v>44238</v>
      </c>
      <c r="D124" s="248" t="s">
        <v>48</v>
      </c>
      <c r="E124" s="246">
        <v>48000</v>
      </c>
      <c r="F124" s="192">
        <v>0.022</v>
      </c>
      <c r="G124" s="212">
        <v>44265</v>
      </c>
      <c r="H124" s="211">
        <f t="shared" si="4"/>
        <v>1056</v>
      </c>
      <c r="I124" s="211" t="s">
        <v>14</v>
      </c>
    </row>
    <row r="125" hidden="1" spans="2:10">
      <c r="B125" s="246">
        <v>202101041</v>
      </c>
      <c r="C125" s="247">
        <v>44238</v>
      </c>
      <c r="D125" s="248" t="s">
        <v>48</v>
      </c>
      <c r="E125" s="246">
        <v>48000</v>
      </c>
      <c r="F125" s="192">
        <v>0.022</v>
      </c>
      <c r="G125" s="212">
        <v>44285</v>
      </c>
      <c r="H125" s="211">
        <f t="shared" si="4"/>
        <v>1056</v>
      </c>
      <c r="I125" s="211" t="s">
        <v>14</v>
      </c>
    </row>
    <row r="126" hidden="1" spans="2:10">
      <c r="B126" s="246">
        <v>202101077</v>
      </c>
      <c r="C126" s="247">
        <v>44242</v>
      </c>
      <c r="D126" s="248" t="s">
        <v>42</v>
      </c>
      <c r="E126" s="249">
        <v>150000</v>
      </c>
      <c r="F126" s="192">
        <v>0.065</v>
      </c>
      <c r="G126" s="212">
        <v>44296</v>
      </c>
      <c r="H126" s="214">
        <f t="shared" si="4"/>
        <v>9750</v>
      </c>
      <c r="I126" s="211" t="s">
        <v>10</v>
      </c>
    </row>
    <row r="127" hidden="1" spans="2:10">
      <c r="B127" s="246">
        <v>202101077</v>
      </c>
      <c r="C127" s="247">
        <v>44242</v>
      </c>
      <c r="D127" s="248" t="s">
        <v>42</v>
      </c>
      <c r="E127" s="249">
        <v>150000</v>
      </c>
      <c r="F127" s="192">
        <v>0.065</v>
      </c>
      <c r="G127" s="212">
        <v>44306</v>
      </c>
      <c r="H127" s="214">
        <f t="shared" si="4"/>
        <v>9750</v>
      </c>
      <c r="I127" s="211" t="s">
        <v>14</v>
      </c>
    </row>
    <row r="128" hidden="1" spans="2:10">
      <c r="B128" s="246">
        <v>202101077</v>
      </c>
      <c r="C128" s="247">
        <v>44242</v>
      </c>
      <c r="D128" s="248" t="s">
        <v>52</v>
      </c>
      <c r="E128" s="249">
        <v>24000</v>
      </c>
      <c r="F128" s="192">
        <v>0.07</v>
      </c>
      <c r="G128" s="212">
        <v>44285</v>
      </c>
      <c r="H128" s="214">
        <f t="shared" si="4"/>
        <v>1680</v>
      </c>
      <c r="I128" s="211" t="s">
        <v>14</v>
      </c>
    </row>
    <row r="129" hidden="1" spans="2:13">
      <c r="B129" s="246">
        <v>202101077</v>
      </c>
      <c r="C129" s="247">
        <v>44242</v>
      </c>
      <c r="D129" s="248" t="s">
        <v>52</v>
      </c>
      <c r="E129" s="249">
        <v>24000</v>
      </c>
      <c r="F129" s="192">
        <v>0.07</v>
      </c>
      <c r="G129" s="212">
        <v>44316</v>
      </c>
      <c r="H129" s="214">
        <f t="shared" si="4"/>
        <v>1680</v>
      </c>
      <c r="I129" s="211" t="s">
        <v>14</v>
      </c>
    </row>
    <row r="130" s="191" customFormat="1" hidden="1" spans="2:13">
      <c r="B130" s="211">
        <v>202101005</v>
      </c>
      <c r="C130" s="212">
        <v>44245</v>
      </c>
      <c r="D130" s="213" t="s">
        <v>53</v>
      </c>
      <c r="E130" s="249">
        <v>1000000</v>
      </c>
      <c r="F130" s="192">
        <v>0.03</v>
      </c>
      <c r="G130" s="212">
        <v>44301</v>
      </c>
      <c r="H130" s="214">
        <f t="shared" si="4"/>
        <v>30000</v>
      </c>
      <c r="I130" s="211" t="s">
        <v>10</v>
      </c>
    </row>
    <row r="131" s="191" customFormat="1" hidden="1" spans="2:13">
      <c r="B131" s="211">
        <v>202101005</v>
      </c>
      <c r="C131" s="212">
        <v>44245</v>
      </c>
      <c r="D131" s="213" t="s">
        <v>53</v>
      </c>
      <c r="E131" s="249">
        <v>300000</v>
      </c>
      <c r="F131" s="192">
        <v>0.03</v>
      </c>
      <c r="G131" s="212">
        <v>44301</v>
      </c>
      <c r="H131" s="214">
        <f t="shared" si="4"/>
        <v>9000</v>
      </c>
      <c r="I131" s="211" t="s">
        <v>10</v>
      </c>
    </row>
    <row r="132" s="191" customFormat="1" hidden="1" spans="2:13">
      <c r="B132" s="211">
        <v>202101094</v>
      </c>
      <c r="C132" s="212">
        <v>44245</v>
      </c>
      <c r="D132" s="211" t="s">
        <v>25</v>
      </c>
      <c r="E132" s="249">
        <v>20000</v>
      </c>
      <c r="F132" s="192">
        <v>0.016</v>
      </c>
      <c r="G132" s="212">
        <v>44331</v>
      </c>
      <c r="H132" s="214">
        <f t="shared" si="4"/>
        <v>320</v>
      </c>
      <c r="I132" s="211" t="s">
        <v>14</v>
      </c>
    </row>
    <row r="133" s="191" customFormat="1" hidden="1" spans="2:13">
      <c r="B133" s="211">
        <v>202101094</v>
      </c>
      <c r="C133" s="212">
        <v>44245</v>
      </c>
      <c r="D133" s="211" t="s">
        <v>28</v>
      </c>
      <c r="E133" s="249">
        <v>150000</v>
      </c>
      <c r="F133" s="192">
        <v>0.011</v>
      </c>
      <c r="G133" s="212">
        <v>44321</v>
      </c>
      <c r="H133" s="214">
        <f t="shared" si="4"/>
        <v>1650</v>
      </c>
      <c r="I133" s="211" t="s">
        <v>14</v>
      </c>
    </row>
    <row r="134" s="191" customFormat="1" hidden="1" spans="2:13">
      <c r="B134" s="250">
        <v>202101094</v>
      </c>
      <c r="C134" s="251">
        <v>44245</v>
      </c>
      <c r="D134" s="252" t="s">
        <v>29</v>
      </c>
      <c r="E134" s="253">
        <v>500000</v>
      </c>
      <c r="F134" s="192">
        <v>0.027</v>
      </c>
      <c r="G134" s="251">
        <v>44346</v>
      </c>
      <c r="H134" s="250">
        <f t="shared" si="4"/>
        <v>13500</v>
      </c>
      <c r="I134" s="250" t="s">
        <v>10</v>
      </c>
      <c r="J134" s="254"/>
      <c r="K134" s="254"/>
      <c r="L134" s="254"/>
      <c r="M134" s="254"/>
    </row>
    <row r="135" s="191" customFormat="1" hidden="1" spans="2:13">
      <c r="B135" s="211">
        <v>202101094</v>
      </c>
      <c r="C135" s="212">
        <v>44245</v>
      </c>
      <c r="D135" s="213" t="s">
        <v>31</v>
      </c>
      <c r="E135" s="249">
        <v>150000</v>
      </c>
      <c r="F135" s="192">
        <v>0.036</v>
      </c>
      <c r="G135" s="212">
        <v>44346</v>
      </c>
      <c r="H135" s="214">
        <f t="shared" si="4"/>
        <v>5400</v>
      </c>
      <c r="I135" s="211" t="s">
        <v>10</v>
      </c>
    </row>
    <row r="136" s="191" customFormat="1" hidden="1" spans="2:13">
      <c r="B136" s="211">
        <v>202101094</v>
      </c>
      <c r="C136" s="212">
        <v>44245</v>
      </c>
      <c r="D136" s="213" t="s">
        <v>31</v>
      </c>
      <c r="E136" s="249">
        <v>200000</v>
      </c>
      <c r="F136" s="192">
        <v>0.036</v>
      </c>
      <c r="G136" s="212">
        <v>44346</v>
      </c>
      <c r="H136" s="214">
        <f t="shared" si="4"/>
        <v>7200</v>
      </c>
      <c r="I136" s="211" t="s">
        <v>10</v>
      </c>
    </row>
    <row r="137" s="191" customFormat="1" hidden="1" spans="2:13">
      <c r="B137" s="211">
        <v>202101094</v>
      </c>
      <c r="C137" s="212">
        <v>44245</v>
      </c>
      <c r="D137" s="213" t="s">
        <v>35</v>
      </c>
      <c r="E137" s="249">
        <v>70000</v>
      </c>
      <c r="F137" s="192">
        <v>0.05</v>
      </c>
      <c r="G137" s="212">
        <v>44316</v>
      </c>
      <c r="H137" s="214">
        <f t="shared" si="4"/>
        <v>3500</v>
      </c>
      <c r="I137" s="211" t="s">
        <v>14</v>
      </c>
    </row>
    <row r="138" s="191" customFormat="1" hidden="1" spans="2:13">
      <c r="B138" s="211">
        <v>202101094</v>
      </c>
      <c r="C138" s="212">
        <v>44245</v>
      </c>
      <c r="D138" s="213" t="s">
        <v>35</v>
      </c>
      <c r="E138" s="249">
        <v>80000</v>
      </c>
      <c r="F138" s="192">
        <v>0.05</v>
      </c>
      <c r="G138" s="212">
        <v>44316</v>
      </c>
      <c r="H138" s="214">
        <f t="shared" si="4"/>
        <v>4000</v>
      </c>
      <c r="I138" s="211" t="s">
        <v>14</v>
      </c>
    </row>
    <row r="139" s="191" customFormat="1" hidden="1" spans="2:13">
      <c r="B139" s="211">
        <v>202101094</v>
      </c>
      <c r="C139" s="212">
        <v>44245</v>
      </c>
      <c r="D139" s="213" t="s">
        <v>40</v>
      </c>
      <c r="E139" s="249">
        <v>500000</v>
      </c>
      <c r="F139" s="192">
        <v>0.05</v>
      </c>
      <c r="G139" s="212">
        <v>44311</v>
      </c>
      <c r="H139" s="214">
        <f t="shared" si="4"/>
        <v>25000</v>
      </c>
      <c r="I139" s="211" t="s">
        <v>14</v>
      </c>
    </row>
    <row r="140" s="191" customFormat="1" hidden="1" spans="2:13">
      <c r="B140" s="211">
        <v>202101094</v>
      </c>
      <c r="C140" s="212">
        <v>44245</v>
      </c>
      <c r="D140" s="213" t="s">
        <v>41</v>
      </c>
      <c r="E140" s="249">
        <v>20000</v>
      </c>
      <c r="F140" s="192">
        <v>0.285</v>
      </c>
      <c r="G140" s="212">
        <v>44291</v>
      </c>
      <c r="H140" s="214">
        <f t="shared" si="4"/>
        <v>5700</v>
      </c>
      <c r="I140" s="211" t="s">
        <v>14</v>
      </c>
    </row>
    <row r="141" s="191" customFormat="1" hidden="1" spans="2:13">
      <c r="B141" s="211">
        <v>202101094</v>
      </c>
      <c r="C141" s="212">
        <v>44245</v>
      </c>
      <c r="D141" s="213" t="s">
        <v>41</v>
      </c>
      <c r="E141" s="249">
        <v>30000</v>
      </c>
      <c r="F141" s="192">
        <v>0.285</v>
      </c>
      <c r="G141" s="212">
        <v>44326</v>
      </c>
      <c r="H141" s="214">
        <f t="shared" si="4"/>
        <v>8550</v>
      </c>
      <c r="I141" s="211" t="s">
        <v>14</v>
      </c>
    </row>
    <row r="142" s="191" customFormat="1" hidden="1" spans="2:13">
      <c r="B142" s="211">
        <v>202101094</v>
      </c>
      <c r="C142" s="212">
        <v>44245</v>
      </c>
      <c r="D142" s="213" t="s">
        <v>42</v>
      </c>
      <c r="E142" s="249">
        <v>300000</v>
      </c>
      <c r="F142" s="192">
        <v>0.065</v>
      </c>
      <c r="G142" s="212">
        <v>44326</v>
      </c>
      <c r="H142" s="214">
        <f t="shared" si="4"/>
        <v>19500</v>
      </c>
      <c r="I142" s="211" t="s">
        <v>14</v>
      </c>
    </row>
    <row r="143" s="191" customFormat="1" hidden="1" spans="2:13">
      <c r="B143" s="211">
        <v>202101094</v>
      </c>
      <c r="C143" s="212">
        <v>44245</v>
      </c>
      <c r="D143" s="213" t="s">
        <v>46</v>
      </c>
      <c r="E143" s="249">
        <v>96000</v>
      </c>
      <c r="F143" s="192">
        <v>0.022</v>
      </c>
      <c r="G143" s="212">
        <v>44331</v>
      </c>
      <c r="H143" s="214">
        <f t="shared" si="4"/>
        <v>2112</v>
      </c>
      <c r="I143" s="211" t="s">
        <v>10</v>
      </c>
    </row>
    <row r="144" hidden="1" spans="2:13">
      <c r="B144" s="250">
        <v>202101095</v>
      </c>
      <c r="C144" s="251">
        <v>44245</v>
      </c>
      <c r="D144" s="252" t="s">
        <v>54</v>
      </c>
      <c r="E144" s="253">
        <v>20000</v>
      </c>
      <c r="F144" s="192">
        <v>0.04</v>
      </c>
      <c r="G144" s="251">
        <v>44247</v>
      </c>
      <c r="H144" s="250">
        <f t="shared" si="4"/>
        <v>800</v>
      </c>
      <c r="I144" s="250" t="s">
        <v>55</v>
      </c>
    </row>
    <row r="145" hidden="1" spans="2:9">
      <c r="B145" s="211">
        <v>202101098</v>
      </c>
      <c r="C145" s="212">
        <v>44247</v>
      </c>
      <c r="D145" s="213" t="s">
        <v>56</v>
      </c>
      <c r="E145" s="249">
        <v>60000</v>
      </c>
      <c r="F145" s="192">
        <v>0.04</v>
      </c>
      <c r="G145" s="212">
        <v>44275</v>
      </c>
      <c r="H145" s="214">
        <f t="shared" si="4"/>
        <v>2400</v>
      </c>
      <c r="I145" s="211" t="s">
        <v>14</v>
      </c>
    </row>
    <row r="146" hidden="1" spans="2:9">
      <c r="B146" s="211">
        <v>202101098</v>
      </c>
      <c r="C146" s="212">
        <v>44247</v>
      </c>
      <c r="D146" s="213" t="s">
        <v>56</v>
      </c>
      <c r="E146" s="249">
        <v>60000</v>
      </c>
      <c r="F146" s="192">
        <v>0.04</v>
      </c>
      <c r="G146" s="212">
        <v>44306</v>
      </c>
      <c r="H146" s="214">
        <f t="shared" si="4"/>
        <v>2400</v>
      </c>
      <c r="I146" s="211" t="s">
        <v>14</v>
      </c>
    </row>
    <row r="147" hidden="1" spans="2:9">
      <c r="B147" s="211">
        <v>202101098</v>
      </c>
      <c r="C147" s="212">
        <v>44247</v>
      </c>
      <c r="D147" s="213" t="s">
        <v>57</v>
      </c>
      <c r="E147" s="249">
        <v>20000</v>
      </c>
      <c r="F147" s="192">
        <v>0.15</v>
      </c>
      <c r="G147" s="212">
        <v>44326</v>
      </c>
      <c r="H147" s="214">
        <f t="shared" si="4"/>
        <v>3000</v>
      </c>
      <c r="I147" s="211" t="s">
        <v>14</v>
      </c>
    </row>
    <row r="148" hidden="1" spans="2:9">
      <c r="B148" s="211">
        <v>202101100</v>
      </c>
      <c r="C148" s="212">
        <v>44247</v>
      </c>
      <c r="D148" s="213" t="s">
        <v>58</v>
      </c>
      <c r="E148" s="249">
        <v>150000</v>
      </c>
      <c r="F148" s="192">
        <v>0.019</v>
      </c>
      <c r="G148" s="212">
        <v>44275</v>
      </c>
      <c r="H148" s="214">
        <f t="shared" si="4"/>
        <v>2850</v>
      </c>
      <c r="I148" s="211" t="s">
        <v>14</v>
      </c>
    </row>
    <row r="149" hidden="1" spans="2:9">
      <c r="B149" s="211">
        <v>202101100</v>
      </c>
      <c r="C149" s="212">
        <v>44247</v>
      </c>
      <c r="D149" s="213" t="s">
        <v>58</v>
      </c>
      <c r="E149" s="249">
        <v>150000</v>
      </c>
      <c r="F149" s="192">
        <v>0.019</v>
      </c>
      <c r="G149" s="212">
        <v>44306</v>
      </c>
      <c r="H149" s="214">
        <f t="shared" si="4"/>
        <v>2850</v>
      </c>
      <c r="I149" s="211" t="s">
        <v>14</v>
      </c>
    </row>
    <row r="150" hidden="1" spans="2:9">
      <c r="B150" s="211">
        <v>202101100</v>
      </c>
      <c r="C150" s="212">
        <v>44247</v>
      </c>
      <c r="D150" s="213" t="s">
        <v>58</v>
      </c>
      <c r="E150" s="249">
        <v>150000</v>
      </c>
      <c r="F150" s="192">
        <v>0.019</v>
      </c>
      <c r="G150" s="212">
        <v>44326</v>
      </c>
      <c r="H150" s="214">
        <f t="shared" si="4"/>
        <v>2850</v>
      </c>
      <c r="I150" s="211" t="s">
        <v>14</v>
      </c>
    </row>
    <row r="151" hidden="1" spans="2:9">
      <c r="B151" s="211">
        <v>202101100</v>
      </c>
      <c r="C151" s="212">
        <v>44247</v>
      </c>
      <c r="D151" s="213" t="s">
        <v>58</v>
      </c>
      <c r="E151" s="249">
        <v>80000</v>
      </c>
      <c r="F151" s="192">
        <v>0.019</v>
      </c>
      <c r="G151" s="212">
        <v>44326</v>
      </c>
      <c r="H151" s="214">
        <f t="shared" si="4"/>
        <v>1520</v>
      </c>
      <c r="I151" s="211" t="s">
        <v>14</v>
      </c>
    </row>
    <row r="152" hidden="1" spans="2:9">
      <c r="B152" s="211">
        <v>202101108</v>
      </c>
      <c r="C152" s="212">
        <v>44252</v>
      </c>
      <c r="D152" s="211" t="s">
        <v>13</v>
      </c>
      <c r="E152" s="211">
        <v>96000</v>
      </c>
      <c r="F152" s="192">
        <v>0.003</v>
      </c>
      <c r="G152" s="212">
        <v>44346</v>
      </c>
      <c r="H152" s="214">
        <f t="shared" si="4"/>
        <v>288</v>
      </c>
      <c r="I152" s="211" t="s">
        <v>10</v>
      </c>
    </row>
    <row r="153" hidden="1" spans="2:9">
      <c r="B153" s="211">
        <v>202101108</v>
      </c>
      <c r="C153" s="212">
        <v>44252</v>
      </c>
      <c r="D153" s="211" t="s">
        <v>13</v>
      </c>
      <c r="E153" s="249">
        <v>144000</v>
      </c>
      <c r="F153" s="192">
        <v>0.003</v>
      </c>
      <c r="G153" s="212">
        <v>44367</v>
      </c>
      <c r="H153" s="214">
        <f t="shared" si="4"/>
        <v>432</v>
      </c>
      <c r="I153" s="211" t="s">
        <v>10</v>
      </c>
    </row>
    <row r="154" s="191" customFormat="1" hidden="1" spans="2:9">
      <c r="B154" s="211">
        <v>202101108</v>
      </c>
      <c r="C154" s="212">
        <v>44252</v>
      </c>
      <c r="D154" s="213" t="s">
        <v>59</v>
      </c>
      <c r="E154" s="249">
        <v>32000</v>
      </c>
      <c r="F154" s="192">
        <v>0.015</v>
      </c>
      <c r="G154" s="212">
        <v>44285</v>
      </c>
      <c r="H154" s="214">
        <f t="shared" si="4"/>
        <v>480</v>
      </c>
      <c r="I154" s="211" t="s">
        <v>14</v>
      </c>
    </row>
    <row r="155" hidden="1" spans="2:9">
      <c r="B155" s="211">
        <v>202101108</v>
      </c>
      <c r="C155" s="212">
        <v>44252</v>
      </c>
      <c r="D155" s="213" t="s">
        <v>60</v>
      </c>
      <c r="E155" s="249">
        <v>32000</v>
      </c>
      <c r="F155" s="192">
        <v>0.006</v>
      </c>
      <c r="G155" s="212">
        <v>44285</v>
      </c>
      <c r="H155" s="214">
        <f t="shared" si="4"/>
        <v>192</v>
      </c>
      <c r="I155" s="211" t="s">
        <v>10</v>
      </c>
    </row>
    <row r="156" s="191" customFormat="1" hidden="1" spans="2:9">
      <c r="B156" s="211">
        <v>202101108</v>
      </c>
      <c r="C156" s="212">
        <v>44252</v>
      </c>
      <c r="D156" s="213" t="s">
        <v>49</v>
      </c>
      <c r="E156" s="249">
        <v>20000</v>
      </c>
      <c r="F156" s="192">
        <v>0.065</v>
      </c>
      <c r="G156" s="212">
        <v>44316</v>
      </c>
      <c r="H156" s="214">
        <f t="shared" si="4"/>
        <v>1300</v>
      </c>
      <c r="I156" s="211" t="s">
        <v>14</v>
      </c>
    </row>
    <row r="157" hidden="1" spans="2:9">
      <c r="B157" s="211">
        <v>202101129</v>
      </c>
      <c r="C157" s="212">
        <v>44254</v>
      </c>
      <c r="D157" s="213" t="s">
        <v>45</v>
      </c>
      <c r="E157" s="249">
        <v>200000</v>
      </c>
      <c r="F157" s="192">
        <v>0.028</v>
      </c>
      <c r="G157" s="212">
        <v>44346</v>
      </c>
      <c r="H157" s="214">
        <f t="shared" si="4"/>
        <v>5600</v>
      </c>
      <c r="I157" s="211" t="s">
        <v>10</v>
      </c>
    </row>
    <row r="158" hidden="1" spans="2:9">
      <c r="B158" s="211">
        <v>202101129</v>
      </c>
      <c r="C158" s="212">
        <v>44254</v>
      </c>
      <c r="D158" s="213" t="s">
        <v>45</v>
      </c>
      <c r="E158" s="249">
        <v>200000</v>
      </c>
      <c r="F158" s="192">
        <v>0.028</v>
      </c>
      <c r="G158" s="212">
        <v>44362</v>
      </c>
      <c r="H158" s="214">
        <f t="shared" si="4"/>
        <v>5600</v>
      </c>
      <c r="I158" s="211" t="s">
        <v>10</v>
      </c>
    </row>
    <row r="159" hidden="1" spans="2:9">
      <c r="B159" s="211">
        <v>202101129</v>
      </c>
      <c r="C159" s="212">
        <v>44254</v>
      </c>
      <c r="D159" s="213" t="s">
        <v>61</v>
      </c>
      <c r="E159" s="249">
        <v>96000</v>
      </c>
      <c r="F159" s="192">
        <v>0.02</v>
      </c>
      <c r="G159" s="212">
        <v>44326</v>
      </c>
      <c r="H159" s="214">
        <f t="shared" si="4"/>
        <v>1920</v>
      </c>
      <c r="I159" s="211" t="s">
        <v>10</v>
      </c>
    </row>
    <row r="160" hidden="1" spans="2:9">
      <c r="B160" s="211">
        <v>202101129</v>
      </c>
      <c r="C160" s="212">
        <v>44254</v>
      </c>
      <c r="D160" s="213" t="s">
        <v>62</v>
      </c>
      <c r="E160" s="249">
        <v>96000</v>
      </c>
      <c r="F160" s="192">
        <v>0.006</v>
      </c>
      <c r="G160" s="212">
        <v>44316</v>
      </c>
      <c r="H160" s="214">
        <f t="shared" si="4"/>
        <v>576</v>
      </c>
      <c r="I160" s="211" t="s">
        <v>10</v>
      </c>
    </row>
    <row r="161" hidden="1" spans="2:9">
      <c r="B161" s="211">
        <v>202101129</v>
      </c>
      <c r="C161" s="212">
        <v>44254</v>
      </c>
      <c r="D161" s="213" t="s">
        <v>62</v>
      </c>
      <c r="E161" s="249">
        <v>96000</v>
      </c>
      <c r="F161" s="192">
        <v>0.006</v>
      </c>
      <c r="G161" s="212">
        <v>44336</v>
      </c>
      <c r="H161" s="214">
        <f t="shared" si="4"/>
        <v>576</v>
      </c>
      <c r="I161" s="211" t="s">
        <v>10</v>
      </c>
    </row>
    <row r="162" hidden="1" spans="2:9">
      <c r="B162" s="211">
        <v>202101129</v>
      </c>
      <c r="C162" s="212">
        <v>44254</v>
      </c>
      <c r="D162" s="213" t="s">
        <v>63</v>
      </c>
      <c r="E162" s="249">
        <v>20000</v>
      </c>
      <c r="F162" s="192">
        <v>0.065</v>
      </c>
      <c r="G162" s="212">
        <v>44254</v>
      </c>
      <c r="H162" s="214">
        <f t="shared" si="4"/>
        <v>1300</v>
      </c>
      <c r="I162" s="211" t="s">
        <v>10</v>
      </c>
    </row>
    <row r="163" s="192" customFormat="1" hidden="1" spans="2:9">
      <c r="B163" s="211">
        <v>202101163</v>
      </c>
      <c r="C163" s="212">
        <v>44260</v>
      </c>
      <c r="D163" s="211" t="s">
        <v>64</v>
      </c>
      <c r="E163" s="211">
        <v>20000</v>
      </c>
      <c r="F163" s="192">
        <v>0.052</v>
      </c>
      <c r="G163" s="212">
        <v>44285</v>
      </c>
      <c r="H163" s="211">
        <f t="shared" si="4"/>
        <v>1040</v>
      </c>
      <c r="I163" s="211" t="s">
        <v>65</v>
      </c>
    </row>
    <row r="164" hidden="1" spans="2:9">
      <c r="B164" s="211">
        <v>202101175</v>
      </c>
      <c r="C164" s="212">
        <v>44263</v>
      </c>
      <c r="D164" s="213" t="s">
        <v>66</v>
      </c>
      <c r="E164" s="211">
        <v>46000</v>
      </c>
      <c r="F164" s="192">
        <v>0.0238</v>
      </c>
      <c r="G164" s="212">
        <v>44357</v>
      </c>
      <c r="H164" s="211">
        <f t="shared" si="4"/>
        <v>1094.8</v>
      </c>
      <c r="I164" s="211" t="s">
        <v>65</v>
      </c>
    </row>
    <row r="165" hidden="1" spans="2:9">
      <c r="B165" s="211">
        <v>202101175</v>
      </c>
      <c r="C165" s="212">
        <v>44263</v>
      </c>
      <c r="D165" s="213" t="s">
        <v>66</v>
      </c>
      <c r="E165" s="211">
        <v>46000</v>
      </c>
      <c r="F165" s="192">
        <v>0.0238</v>
      </c>
      <c r="G165" s="212">
        <v>44387</v>
      </c>
      <c r="H165" s="211">
        <f t="shared" si="4"/>
        <v>1094.8</v>
      </c>
      <c r="I165" s="211" t="s">
        <v>65</v>
      </c>
    </row>
    <row r="166" hidden="1" spans="2:9">
      <c r="B166" s="211">
        <v>202101175</v>
      </c>
      <c r="C166" s="212">
        <v>44263</v>
      </c>
      <c r="D166" s="213" t="s">
        <v>66</v>
      </c>
      <c r="E166" s="211">
        <v>46000</v>
      </c>
      <c r="F166" s="192">
        <v>0.0238</v>
      </c>
      <c r="G166" s="212">
        <v>44418</v>
      </c>
      <c r="H166" s="211">
        <f t="shared" si="4"/>
        <v>1094.8</v>
      </c>
      <c r="I166" s="211" t="s">
        <v>65</v>
      </c>
    </row>
    <row r="167" hidden="1" spans="2:9">
      <c r="B167" s="211">
        <v>202101175</v>
      </c>
      <c r="C167" s="212">
        <v>44263</v>
      </c>
      <c r="D167" s="213" t="s">
        <v>16</v>
      </c>
      <c r="E167" s="211">
        <v>30000</v>
      </c>
      <c r="F167" s="192">
        <v>0.0292</v>
      </c>
      <c r="G167" s="212">
        <v>44326</v>
      </c>
      <c r="H167" s="211">
        <f t="shared" si="4"/>
        <v>876</v>
      </c>
      <c r="I167" s="211" t="s">
        <v>10</v>
      </c>
    </row>
    <row r="168" hidden="1" spans="2:9">
      <c r="B168" s="211">
        <v>202101175</v>
      </c>
      <c r="C168" s="212">
        <v>44263</v>
      </c>
      <c r="D168" s="213" t="s">
        <v>16</v>
      </c>
      <c r="E168" s="211">
        <v>30000</v>
      </c>
      <c r="F168" s="192">
        <v>0.0292</v>
      </c>
      <c r="G168" s="212">
        <v>44357</v>
      </c>
      <c r="H168" s="211">
        <f t="shared" si="4"/>
        <v>876</v>
      </c>
      <c r="I168" s="211" t="s">
        <v>10</v>
      </c>
    </row>
    <row r="169" hidden="1" spans="2:9">
      <c r="B169" s="211">
        <v>202101175</v>
      </c>
      <c r="C169" s="212">
        <v>44263</v>
      </c>
      <c r="D169" s="213" t="s">
        <v>16</v>
      </c>
      <c r="E169" s="211">
        <v>30000</v>
      </c>
      <c r="F169" s="192">
        <v>0.0292</v>
      </c>
      <c r="G169" s="212">
        <v>44387</v>
      </c>
      <c r="H169" s="211">
        <f t="shared" si="4"/>
        <v>876</v>
      </c>
      <c r="I169" s="211" t="s">
        <v>10</v>
      </c>
    </row>
    <row r="170" hidden="1" spans="2:9">
      <c r="B170" s="211">
        <v>202101175</v>
      </c>
      <c r="C170" s="212">
        <v>44263</v>
      </c>
      <c r="D170" s="213" t="s">
        <v>16</v>
      </c>
      <c r="E170" s="211">
        <v>30000</v>
      </c>
      <c r="F170" s="192">
        <v>0.0292</v>
      </c>
      <c r="G170" s="212">
        <v>44418</v>
      </c>
      <c r="H170" s="211">
        <f t="shared" si="4"/>
        <v>876</v>
      </c>
      <c r="I170" s="211" t="s">
        <v>10</v>
      </c>
    </row>
    <row r="171" hidden="1" spans="2:9">
      <c r="B171" s="211">
        <v>202101175</v>
      </c>
      <c r="C171" s="212">
        <v>44263</v>
      </c>
      <c r="D171" s="213" t="s">
        <v>67</v>
      </c>
      <c r="E171" s="211">
        <v>20000</v>
      </c>
      <c r="F171" s="192">
        <v>0.028</v>
      </c>
      <c r="G171" s="212">
        <v>44326</v>
      </c>
      <c r="H171" s="211">
        <f t="shared" si="4"/>
        <v>560</v>
      </c>
      <c r="I171" s="211" t="s">
        <v>65</v>
      </c>
    </row>
    <row r="172" hidden="1" spans="2:9">
      <c r="B172" s="211">
        <v>202101175</v>
      </c>
      <c r="C172" s="212">
        <v>44263</v>
      </c>
      <c r="D172" s="213" t="s">
        <v>67</v>
      </c>
      <c r="E172" s="211">
        <v>20000</v>
      </c>
      <c r="F172" s="192">
        <v>0.028</v>
      </c>
      <c r="G172" s="212">
        <v>44387</v>
      </c>
      <c r="H172" s="211">
        <f t="shared" si="4"/>
        <v>560</v>
      </c>
      <c r="I172" s="211" t="s">
        <v>65</v>
      </c>
    </row>
    <row r="173" s="192" customFormat="1" hidden="1" spans="2:9">
      <c r="B173" s="211">
        <v>202101190</v>
      </c>
      <c r="C173" s="212">
        <v>44265</v>
      </c>
      <c r="D173" s="211" t="s">
        <v>68</v>
      </c>
      <c r="E173" s="211">
        <v>20000</v>
      </c>
      <c r="F173" s="192">
        <v>0.03</v>
      </c>
      <c r="G173" s="212">
        <v>44265</v>
      </c>
      <c r="H173" s="211">
        <f t="shared" si="4"/>
        <v>600</v>
      </c>
      <c r="I173" s="211" t="s">
        <v>65</v>
      </c>
    </row>
    <row r="174" s="191" customFormat="1" hidden="1" spans="2:9">
      <c r="B174" s="211">
        <v>202101210</v>
      </c>
      <c r="C174" s="212">
        <v>44269</v>
      </c>
      <c r="D174" s="211" t="s">
        <v>26</v>
      </c>
      <c r="E174" s="211">
        <v>60000</v>
      </c>
      <c r="F174" s="192">
        <v>0.012</v>
      </c>
      <c r="G174" s="212">
        <v>44362</v>
      </c>
      <c r="H174" s="211">
        <f t="shared" si="4"/>
        <v>720</v>
      </c>
      <c r="I174" s="211" t="s">
        <v>10</v>
      </c>
    </row>
    <row r="175" hidden="1" spans="2:9">
      <c r="B175" s="211">
        <v>202101210</v>
      </c>
      <c r="C175" s="212">
        <v>44269</v>
      </c>
      <c r="D175" s="211" t="s">
        <v>56</v>
      </c>
      <c r="E175" s="211">
        <v>60000</v>
      </c>
      <c r="F175" s="192">
        <v>0.04</v>
      </c>
      <c r="G175" s="212">
        <v>44326</v>
      </c>
      <c r="H175" s="211">
        <f t="shared" si="4"/>
        <v>2400</v>
      </c>
      <c r="I175" s="211" t="s">
        <v>10</v>
      </c>
    </row>
    <row r="176" hidden="1" spans="2:9">
      <c r="B176" s="211">
        <v>202101210</v>
      </c>
      <c r="C176" s="212">
        <v>44269</v>
      </c>
      <c r="D176" s="211" t="s">
        <v>56</v>
      </c>
      <c r="E176" s="211">
        <v>60000</v>
      </c>
      <c r="F176" s="192">
        <v>0.04</v>
      </c>
      <c r="G176" s="212">
        <v>44377</v>
      </c>
      <c r="H176" s="211">
        <f t="shared" si="4"/>
        <v>2400</v>
      </c>
      <c r="I176" s="211" t="s">
        <v>10</v>
      </c>
    </row>
    <row r="177" hidden="1" spans="2:9">
      <c r="B177" s="211">
        <v>202101210</v>
      </c>
      <c r="C177" s="212">
        <v>44269</v>
      </c>
      <c r="D177" s="213" t="s">
        <v>67</v>
      </c>
      <c r="E177" s="211">
        <v>120000</v>
      </c>
      <c r="F177" s="192">
        <v>0.028</v>
      </c>
      <c r="G177" s="212">
        <v>44362</v>
      </c>
      <c r="H177" s="211">
        <f t="shared" si="4"/>
        <v>3360</v>
      </c>
      <c r="I177" s="211" t="s">
        <v>10</v>
      </c>
    </row>
    <row r="178" hidden="1" spans="2:9">
      <c r="B178" s="211">
        <v>202101210</v>
      </c>
      <c r="C178" s="212">
        <v>44269</v>
      </c>
      <c r="D178" s="213" t="s">
        <v>69</v>
      </c>
      <c r="E178" s="211">
        <v>200000</v>
      </c>
      <c r="F178" s="192">
        <v>0.028</v>
      </c>
      <c r="G178" s="212">
        <v>44331</v>
      </c>
      <c r="H178" s="211">
        <f t="shared" si="4"/>
        <v>5600</v>
      </c>
      <c r="I178" s="211" t="s">
        <v>10</v>
      </c>
    </row>
    <row r="179" hidden="1" spans="2:9">
      <c r="B179" s="211">
        <v>202101210</v>
      </c>
      <c r="C179" s="212">
        <v>44269</v>
      </c>
      <c r="D179" s="213" t="s">
        <v>41</v>
      </c>
      <c r="E179" s="211">
        <v>20000</v>
      </c>
      <c r="F179" s="192">
        <v>0.285</v>
      </c>
      <c r="G179" s="212">
        <v>44331</v>
      </c>
      <c r="H179" s="211">
        <f t="shared" si="4"/>
        <v>5700</v>
      </c>
      <c r="I179" s="211" t="s">
        <v>10</v>
      </c>
    </row>
    <row r="180" hidden="1" spans="2:9">
      <c r="B180" s="211">
        <v>202101210</v>
      </c>
      <c r="C180" s="212">
        <v>44269</v>
      </c>
      <c r="D180" s="213" t="s">
        <v>41</v>
      </c>
      <c r="E180" s="211">
        <v>20000</v>
      </c>
      <c r="F180" s="192">
        <v>0.285</v>
      </c>
      <c r="G180" s="212">
        <v>44331</v>
      </c>
      <c r="H180" s="211">
        <f t="shared" si="4"/>
        <v>5700</v>
      </c>
      <c r="I180" s="211" t="s">
        <v>14</v>
      </c>
    </row>
    <row r="181" hidden="1" spans="2:9">
      <c r="B181" s="211">
        <v>202101210</v>
      </c>
      <c r="C181" s="212">
        <v>44269</v>
      </c>
      <c r="D181" s="213" t="s">
        <v>41</v>
      </c>
      <c r="E181" s="211">
        <v>20000</v>
      </c>
      <c r="F181" s="192">
        <v>0.285</v>
      </c>
      <c r="G181" s="212">
        <v>44331</v>
      </c>
      <c r="H181" s="211">
        <f t="shared" ref="H181:H244" si="5">E181*F181</f>
        <v>5700</v>
      </c>
      <c r="I181" s="211" t="s">
        <v>10</v>
      </c>
    </row>
    <row r="182" hidden="1" spans="2:9">
      <c r="B182" s="211">
        <v>202101210</v>
      </c>
      <c r="C182" s="212">
        <v>44269</v>
      </c>
      <c r="D182" s="213" t="s">
        <v>41</v>
      </c>
      <c r="E182" s="211">
        <v>20000</v>
      </c>
      <c r="F182" s="192">
        <v>0.285</v>
      </c>
      <c r="G182" s="212">
        <v>44352</v>
      </c>
      <c r="H182" s="211">
        <f t="shared" si="5"/>
        <v>5700</v>
      </c>
      <c r="I182" s="211" t="s">
        <v>10</v>
      </c>
    </row>
    <row r="183" hidden="1" spans="2:9">
      <c r="B183" s="211">
        <v>202101210</v>
      </c>
      <c r="C183" s="212">
        <v>44269</v>
      </c>
      <c r="D183" s="213" t="s">
        <v>41</v>
      </c>
      <c r="E183" s="211">
        <v>20000</v>
      </c>
      <c r="F183" s="192">
        <v>0.285</v>
      </c>
      <c r="G183" s="212">
        <v>44352</v>
      </c>
      <c r="H183" s="211">
        <f t="shared" si="5"/>
        <v>5700</v>
      </c>
      <c r="I183" s="211" t="s">
        <v>10</v>
      </c>
    </row>
    <row r="184" hidden="1" spans="2:9">
      <c r="B184" s="211">
        <v>202101210</v>
      </c>
      <c r="C184" s="212">
        <v>44269</v>
      </c>
      <c r="D184" s="213" t="s">
        <v>41</v>
      </c>
      <c r="E184" s="211">
        <v>20000</v>
      </c>
      <c r="F184" s="192">
        <v>0.285</v>
      </c>
      <c r="G184" s="212">
        <v>44387</v>
      </c>
      <c r="H184" s="211">
        <f t="shared" si="5"/>
        <v>5700</v>
      </c>
      <c r="I184" s="211" t="s">
        <v>10</v>
      </c>
    </row>
    <row r="185" hidden="1" spans="2:9">
      <c r="B185" s="211">
        <v>202101210</v>
      </c>
      <c r="C185" s="212">
        <v>44269</v>
      </c>
      <c r="D185" s="213" t="s">
        <v>41</v>
      </c>
      <c r="E185" s="211">
        <v>30000</v>
      </c>
      <c r="F185" s="192">
        <v>0.285</v>
      </c>
      <c r="G185" s="212">
        <v>44387</v>
      </c>
      <c r="H185" s="211">
        <f t="shared" si="5"/>
        <v>8550</v>
      </c>
      <c r="I185" s="211" t="s">
        <v>10</v>
      </c>
    </row>
    <row r="186" hidden="1" spans="2:9">
      <c r="B186" s="211">
        <v>202101210</v>
      </c>
      <c r="C186" s="212">
        <v>44269</v>
      </c>
      <c r="D186" s="211" t="s">
        <v>70</v>
      </c>
      <c r="E186" s="211">
        <v>40000</v>
      </c>
      <c r="F186" s="192">
        <v>0.028</v>
      </c>
      <c r="G186" s="242">
        <v>44331</v>
      </c>
      <c r="H186" s="211">
        <f t="shared" si="5"/>
        <v>1120</v>
      </c>
      <c r="I186" s="211" t="s">
        <v>10</v>
      </c>
    </row>
    <row r="187" hidden="1" spans="2:9">
      <c r="B187" s="211">
        <v>202101210</v>
      </c>
      <c r="C187" s="212">
        <v>44269</v>
      </c>
      <c r="D187" s="211" t="s">
        <v>71</v>
      </c>
      <c r="E187" s="191">
        <v>20000</v>
      </c>
      <c r="F187" s="192">
        <v>0.02</v>
      </c>
      <c r="G187" s="212">
        <v>44336</v>
      </c>
      <c r="H187" s="211">
        <f t="shared" si="5"/>
        <v>400</v>
      </c>
      <c r="I187" s="211" t="s">
        <v>10</v>
      </c>
    </row>
    <row r="188" s="191" customFormat="1" hidden="1" spans="2:9">
      <c r="B188" s="211">
        <v>202101210</v>
      </c>
      <c r="C188" s="212">
        <v>44269</v>
      </c>
      <c r="D188" s="211" t="s">
        <v>72</v>
      </c>
      <c r="E188" s="211">
        <v>60000</v>
      </c>
      <c r="F188" s="192">
        <v>0.05</v>
      </c>
      <c r="G188" s="212">
        <v>44306</v>
      </c>
      <c r="H188" s="211">
        <f t="shared" si="5"/>
        <v>3000</v>
      </c>
      <c r="I188" s="211" t="s">
        <v>10</v>
      </c>
    </row>
    <row r="189" hidden="1" spans="2:9">
      <c r="B189" s="211">
        <v>202101210</v>
      </c>
      <c r="C189" s="212">
        <v>44269</v>
      </c>
      <c r="D189" s="213" t="s">
        <v>39</v>
      </c>
      <c r="E189" s="211">
        <v>1200000</v>
      </c>
      <c r="F189" s="192">
        <v>0.03</v>
      </c>
      <c r="G189" s="212">
        <v>44326</v>
      </c>
      <c r="H189" s="211">
        <f t="shared" si="5"/>
        <v>36000</v>
      </c>
      <c r="I189" s="211" t="s">
        <v>10</v>
      </c>
    </row>
    <row r="190" hidden="1" spans="2:9">
      <c r="B190" s="211">
        <v>202101210</v>
      </c>
      <c r="C190" s="212">
        <v>44269</v>
      </c>
      <c r="D190" s="213" t="s">
        <v>39</v>
      </c>
      <c r="E190" s="211">
        <v>300000</v>
      </c>
      <c r="F190" s="192">
        <v>0.03</v>
      </c>
      <c r="G190" s="212">
        <v>44326</v>
      </c>
      <c r="H190" s="211">
        <f t="shared" si="5"/>
        <v>9000</v>
      </c>
      <c r="I190" s="211" t="s">
        <v>10</v>
      </c>
    </row>
    <row r="191" hidden="1" spans="2:9">
      <c r="B191" s="211">
        <v>202101210</v>
      </c>
      <c r="C191" s="212">
        <v>44269</v>
      </c>
      <c r="D191" s="213" t="s">
        <v>39</v>
      </c>
      <c r="E191" s="211">
        <v>800000</v>
      </c>
      <c r="F191" s="192">
        <v>0.03</v>
      </c>
      <c r="G191" s="212">
        <v>44357</v>
      </c>
      <c r="H191" s="211">
        <f t="shared" si="5"/>
        <v>24000</v>
      </c>
      <c r="I191" s="211" t="s">
        <v>10</v>
      </c>
    </row>
    <row r="192" hidden="1" spans="2:9">
      <c r="B192" s="211">
        <v>202101210</v>
      </c>
      <c r="C192" s="212">
        <v>44269</v>
      </c>
      <c r="D192" s="213" t="s">
        <v>39</v>
      </c>
      <c r="E192" s="211">
        <v>200000</v>
      </c>
      <c r="F192" s="192">
        <v>0.03</v>
      </c>
      <c r="G192" s="212">
        <v>44357</v>
      </c>
      <c r="H192" s="211">
        <f t="shared" si="5"/>
        <v>6000</v>
      </c>
      <c r="I192" s="211" t="s">
        <v>10</v>
      </c>
    </row>
    <row r="193" hidden="1" spans="2:9">
      <c r="B193" s="211">
        <v>202101248</v>
      </c>
      <c r="C193" s="212">
        <v>44272</v>
      </c>
      <c r="D193" s="213" t="s">
        <v>73</v>
      </c>
      <c r="E193" s="211">
        <v>30000</v>
      </c>
      <c r="F193" s="192">
        <v>0.024</v>
      </c>
      <c r="G193" s="212">
        <v>44301</v>
      </c>
      <c r="H193" s="211">
        <f t="shared" si="5"/>
        <v>720</v>
      </c>
      <c r="I193" s="211" t="s">
        <v>10</v>
      </c>
    </row>
    <row r="194" hidden="1" spans="2:9">
      <c r="B194" s="211">
        <v>202101248</v>
      </c>
      <c r="C194" s="212">
        <v>44272</v>
      </c>
      <c r="D194" s="213" t="s">
        <v>73</v>
      </c>
      <c r="E194" s="211">
        <v>100000</v>
      </c>
      <c r="F194" s="192">
        <v>0.024</v>
      </c>
      <c r="G194" s="212">
        <v>44301</v>
      </c>
      <c r="H194" s="211">
        <f t="shared" si="5"/>
        <v>2400</v>
      </c>
      <c r="I194" s="211" t="s">
        <v>10</v>
      </c>
    </row>
    <row r="195" hidden="1" spans="2:9">
      <c r="B195" s="211">
        <v>202101248</v>
      </c>
      <c r="C195" s="212">
        <v>44272</v>
      </c>
      <c r="D195" s="213" t="s">
        <v>73</v>
      </c>
      <c r="E195" s="211">
        <v>120000</v>
      </c>
      <c r="F195" s="192">
        <v>0.024</v>
      </c>
      <c r="G195" s="212">
        <v>44301</v>
      </c>
      <c r="H195" s="211">
        <f t="shared" si="5"/>
        <v>2880</v>
      </c>
      <c r="I195" s="211" t="s">
        <v>10</v>
      </c>
    </row>
    <row r="196" hidden="1" spans="2:9">
      <c r="B196" s="211">
        <v>202101248</v>
      </c>
      <c r="C196" s="212">
        <v>44272</v>
      </c>
      <c r="D196" s="213" t="s">
        <v>73</v>
      </c>
      <c r="E196" s="211">
        <v>30000</v>
      </c>
      <c r="F196" s="192">
        <v>0.024</v>
      </c>
      <c r="G196" s="212">
        <v>44331</v>
      </c>
      <c r="H196" s="211">
        <f t="shared" si="5"/>
        <v>720</v>
      </c>
      <c r="I196" s="211" t="s">
        <v>10</v>
      </c>
    </row>
    <row r="197" hidden="1" spans="2:9">
      <c r="B197" s="211">
        <v>202101248</v>
      </c>
      <c r="C197" s="212">
        <v>44272</v>
      </c>
      <c r="D197" s="213" t="s">
        <v>73</v>
      </c>
      <c r="E197" s="211">
        <v>100000</v>
      </c>
      <c r="F197" s="192">
        <v>0.024</v>
      </c>
      <c r="G197" s="212">
        <v>44331</v>
      </c>
      <c r="H197" s="211">
        <f t="shared" si="5"/>
        <v>2400</v>
      </c>
      <c r="I197" s="211" t="s">
        <v>10</v>
      </c>
    </row>
    <row r="198" hidden="1" spans="2:9">
      <c r="B198" s="211">
        <v>202101248</v>
      </c>
      <c r="C198" s="212">
        <v>44272</v>
      </c>
      <c r="D198" s="213" t="s">
        <v>73</v>
      </c>
      <c r="E198" s="211">
        <v>120000</v>
      </c>
      <c r="F198" s="192">
        <v>0.024</v>
      </c>
      <c r="G198" s="212">
        <v>44331</v>
      </c>
      <c r="H198" s="211">
        <f t="shared" si="5"/>
        <v>2880</v>
      </c>
      <c r="I198" s="211" t="s">
        <v>10</v>
      </c>
    </row>
    <row r="199" hidden="1" spans="2:9">
      <c r="B199" s="211">
        <v>202101248</v>
      </c>
      <c r="C199" s="212">
        <v>44272</v>
      </c>
      <c r="D199" s="213" t="s">
        <v>42</v>
      </c>
      <c r="E199" s="211">
        <v>300000</v>
      </c>
      <c r="F199" s="192">
        <v>0.065</v>
      </c>
      <c r="G199" s="212">
        <v>44331</v>
      </c>
      <c r="H199" s="211">
        <f t="shared" si="5"/>
        <v>19500</v>
      </c>
      <c r="I199" s="211" t="s">
        <v>10</v>
      </c>
    </row>
    <row r="200" hidden="1" spans="2:9">
      <c r="B200" s="211">
        <v>202101248</v>
      </c>
      <c r="C200" s="212">
        <v>44272</v>
      </c>
      <c r="D200" s="213" t="s">
        <v>42</v>
      </c>
      <c r="E200" s="211">
        <v>300000</v>
      </c>
      <c r="F200" s="192">
        <v>0.065</v>
      </c>
      <c r="G200" s="212">
        <v>44372</v>
      </c>
      <c r="H200" s="211">
        <f t="shared" si="5"/>
        <v>19500</v>
      </c>
      <c r="I200" s="211" t="s">
        <v>10</v>
      </c>
    </row>
    <row r="201" hidden="1" spans="2:9">
      <c r="B201" s="211">
        <v>202101248</v>
      </c>
      <c r="C201" s="212">
        <v>44272</v>
      </c>
      <c r="D201" s="213" t="s">
        <v>46</v>
      </c>
      <c r="E201" s="211">
        <v>96000</v>
      </c>
      <c r="F201" s="192">
        <v>0.022</v>
      </c>
      <c r="G201" s="212">
        <v>44306</v>
      </c>
      <c r="H201" s="211">
        <f t="shared" si="5"/>
        <v>2112</v>
      </c>
      <c r="I201" s="211" t="s">
        <v>10</v>
      </c>
    </row>
    <row r="202" hidden="1" spans="2:9">
      <c r="B202" s="211">
        <v>202101248</v>
      </c>
      <c r="C202" s="212">
        <v>44272</v>
      </c>
      <c r="D202" s="213" t="s">
        <v>46</v>
      </c>
      <c r="E202" s="211">
        <v>32000</v>
      </c>
      <c r="F202" s="192">
        <v>0.022</v>
      </c>
      <c r="G202" s="212">
        <v>44306</v>
      </c>
      <c r="H202" s="211">
        <f t="shared" si="5"/>
        <v>704</v>
      </c>
      <c r="I202" s="211" t="s">
        <v>10</v>
      </c>
    </row>
    <row r="203" hidden="1" spans="2:9">
      <c r="B203" s="211">
        <v>202101248</v>
      </c>
      <c r="C203" s="212">
        <v>44272</v>
      </c>
      <c r="D203" s="213" t="s">
        <v>46</v>
      </c>
      <c r="E203" s="211">
        <v>32000</v>
      </c>
      <c r="F203" s="192">
        <v>0.022</v>
      </c>
      <c r="G203" s="212">
        <v>44306</v>
      </c>
      <c r="H203" s="211">
        <f t="shared" si="5"/>
        <v>704</v>
      </c>
      <c r="I203" s="211" t="s">
        <v>10</v>
      </c>
    </row>
    <row r="204" hidden="1" spans="2:9">
      <c r="B204" s="211">
        <v>202101248</v>
      </c>
      <c r="C204" s="212">
        <v>44272</v>
      </c>
      <c r="D204" s="213" t="s">
        <v>46</v>
      </c>
      <c r="E204" s="211">
        <v>128000</v>
      </c>
      <c r="F204" s="192">
        <v>0.022</v>
      </c>
      <c r="G204" s="212">
        <v>44336</v>
      </c>
      <c r="H204" s="211">
        <f t="shared" si="5"/>
        <v>2816</v>
      </c>
      <c r="I204" s="211" t="s">
        <v>10</v>
      </c>
    </row>
    <row r="205" hidden="1" spans="2:9">
      <c r="B205" s="211">
        <v>202101248</v>
      </c>
      <c r="C205" s="212">
        <v>44272</v>
      </c>
      <c r="D205" s="213" t="s">
        <v>46</v>
      </c>
      <c r="E205" s="211">
        <v>96000</v>
      </c>
      <c r="F205" s="192">
        <v>0.022</v>
      </c>
      <c r="G205" s="212">
        <v>44336</v>
      </c>
      <c r="H205" s="211">
        <f t="shared" si="5"/>
        <v>2112</v>
      </c>
      <c r="I205" s="211" t="s">
        <v>10</v>
      </c>
    </row>
    <row r="206" hidden="1" spans="2:9">
      <c r="B206" s="211">
        <v>202101248</v>
      </c>
      <c r="C206" s="212">
        <v>44272</v>
      </c>
      <c r="D206" s="213" t="s">
        <v>46</v>
      </c>
      <c r="E206" s="211">
        <v>32000</v>
      </c>
      <c r="F206" s="192">
        <v>0.022</v>
      </c>
      <c r="G206" s="212">
        <v>44336</v>
      </c>
      <c r="H206" s="211">
        <f t="shared" si="5"/>
        <v>704</v>
      </c>
      <c r="I206" s="211" t="s">
        <v>10</v>
      </c>
    </row>
    <row r="207" hidden="1" spans="2:9">
      <c r="B207" s="211">
        <v>202101248</v>
      </c>
      <c r="C207" s="212">
        <v>44272</v>
      </c>
      <c r="D207" s="213" t="s">
        <v>46</v>
      </c>
      <c r="E207" s="211">
        <v>48000</v>
      </c>
      <c r="F207" s="192">
        <v>0.022</v>
      </c>
      <c r="G207" s="212">
        <v>44336</v>
      </c>
      <c r="H207" s="211">
        <f t="shared" si="5"/>
        <v>1056</v>
      </c>
      <c r="I207" s="211" t="s">
        <v>10</v>
      </c>
    </row>
    <row r="208" hidden="1" spans="2:9">
      <c r="B208" s="211">
        <v>202101248</v>
      </c>
      <c r="C208" s="212">
        <v>44272</v>
      </c>
      <c r="D208" s="213" t="s">
        <v>46</v>
      </c>
      <c r="E208" s="211">
        <v>128000</v>
      </c>
      <c r="F208" s="192">
        <v>0.022</v>
      </c>
      <c r="G208" s="212">
        <v>44336</v>
      </c>
      <c r="H208" s="211">
        <f t="shared" si="5"/>
        <v>2816</v>
      </c>
      <c r="I208" s="211" t="s">
        <v>10</v>
      </c>
    </row>
    <row r="209" hidden="1" spans="2:9">
      <c r="B209" s="211">
        <v>202101248</v>
      </c>
      <c r="C209" s="212">
        <v>44272</v>
      </c>
      <c r="D209" s="211" t="s">
        <v>62</v>
      </c>
      <c r="E209" s="211">
        <v>144000</v>
      </c>
      <c r="F209" s="192">
        <v>0.006</v>
      </c>
      <c r="G209" s="212">
        <v>44301</v>
      </c>
      <c r="H209" s="211">
        <f t="shared" si="5"/>
        <v>864</v>
      </c>
      <c r="I209" s="211" t="s">
        <v>10</v>
      </c>
    </row>
    <row r="210" hidden="1" spans="2:9">
      <c r="B210" s="211">
        <v>202101248</v>
      </c>
      <c r="C210" s="212">
        <v>44272</v>
      </c>
      <c r="D210" s="211" t="s">
        <v>62</v>
      </c>
      <c r="E210" s="211">
        <v>64000</v>
      </c>
      <c r="F210" s="192">
        <v>0.006</v>
      </c>
      <c r="G210" s="212">
        <v>44301</v>
      </c>
      <c r="H210" s="211">
        <f t="shared" si="5"/>
        <v>384</v>
      </c>
      <c r="I210" s="211" t="s">
        <v>10</v>
      </c>
    </row>
    <row r="211" hidden="1" spans="2:9">
      <c r="B211" s="211">
        <v>202101248</v>
      </c>
      <c r="C211" s="212">
        <v>44272</v>
      </c>
      <c r="D211" s="211" t="s">
        <v>62</v>
      </c>
      <c r="E211" s="211">
        <v>144000</v>
      </c>
      <c r="F211" s="192">
        <v>0.006</v>
      </c>
      <c r="G211" s="212">
        <v>44301</v>
      </c>
      <c r="H211" s="211">
        <f t="shared" si="5"/>
        <v>864</v>
      </c>
      <c r="I211" s="211" t="s">
        <v>10</v>
      </c>
    </row>
    <row r="212" hidden="1" spans="2:9">
      <c r="B212" s="211">
        <v>202101274</v>
      </c>
      <c r="C212" s="212">
        <v>44277</v>
      </c>
      <c r="D212" s="211" t="s">
        <v>13</v>
      </c>
      <c r="E212" s="211">
        <v>400000</v>
      </c>
      <c r="F212" s="192">
        <v>0.003</v>
      </c>
      <c r="G212" s="212">
        <v>44306</v>
      </c>
      <c r="H212" s="211">
        <f t="shared" si="5"/>
        <v>1200</v>
      </c>
      <c r="I212" s="211" t="s">
        <v>10</v>
      </c>
    </row>
    <row r="213" hidden="1" spans="2:9">
      <c r="B213" s="211">
        <v>202101274</v>
      </c>
      <c r="C213" s="212">
        <v>44277</v>
      </c>
      <c r="D213" s="211" t="s">
        <v>13</v>
      </c>
      <c r="E213" s="211">
        <v>400000</v>
      </c>
      <c r="F213" s="192">
        <v>0.003</v>
      </c>
      <c r="G213" s="212">
        <v>44336</v>
      </c>
      <c r="H213" s="211">
        <f t="shared" si="5"/>
        <v>1200</v>
      </c>
      <c r="I213" s="211" t="s">
        <v>10</v>
      </c>
    </row>
    <row r="214" hidden="1" spans="2:9">
      <c r="B214" s="211">
        <v>202101302</v>
      </c>
      <c r="C214" s="212">
        <v>44282</v>
      </c>
      <c r="D214" s="213" t="s">
        <v>74</v>
      </c>
      <c r="E214" s="211">
        <v>20000</v>
      </c>
      <c r="F214" s="191">
        <v>0.04</v>
      </c>
      <c r="G214" s="212">
        <v>44300</v>
      </c>
      <c r="H214" s="211">
        <f t="shared" si="5"/>
        <v>800</v>
      </c>
      <c r="I214" s="211" t="s">
        <v>75</v>
      </c>
    </row>
    <row r="215" hidden="1" spans="2:9">
      <c r="B215" s="211">
        <v>202101302</v>
      </c>
      <c r="C215" s="212">
        <v>44282</v>
      </c>
      <c r="D215" s="213" t="s">
        <v>74</v>
      </c>
      <c r="E215" s="211">
        <v>20000</v>
      </c>
      <c r="F215" s="191">
        <v>0.04</v>
      </c>
      <c r="G215" s="212">
        <v>44331</v>
      </c>
      <c r="H215" s="211">
        <f t="shared" si="5"/>
        <v>800</v>
      </c>
      <c r="I215" s="211" t="s">
        <v>75</v>
      </c>
    </row>
    <row r="216" hidden="1" spans="2:9">
      <c r="B216" s="211">
        <v>202101314</v>
      </c>
      <c r="C216" s="212">
        <v>44286</v>
      </c>
      <c r="D216" s="213" t="s">
        <v>60</v>
      </c>
      <c r="E216" s="211">
        <v>100000</v>
      </c>
      <c r="F216" s="192">
        <v>0.006</v>
      </c>
      <c r="G216" s="212">
        <v>44301</v>
      </c>
      <c r="H216" s="211">
        <f t="shared" si="5"/>
        <v>600</v>
      </c>
      <c r="I216" s="211" t="s">
        <v>10</v>
      </c>
    </row>
    <row r="217" hidden="1" spans="2:9">
      <c r="B217" s="211">
        <v>202101314</v>
      </c>
      <c r="C217" s="212">
        <v>44286</v>
      </c>
      <c r="D217" s="213" t="s">
        <v>60</v>
      </c>
      <c r="E217" s="211">
        <v>100000</v>
      </c>
      <c r="F217" s="192">
        <v>0.006</v>
      </c>
      <c r="G217" s="212">
        <v>44331</v>
      </c>
      <c r="H217" s="211">
        <f t="shared" si="5"/>
        <v>600</v>
      </c>
      <c r="I217" s="211" t="s">
        <v>10</v>
      </c>
    </row>
    <row r="218" hidden="1" spans="2:9">
      <c r="B218" s="211">
        <v>202101314</v>
      </c>
      <c r="C218" s="212">
        <v>44286</v>
      </c>
      <c r="D218" s="213" t="s">
        <v>60</v>
      </c>
      <c r="E218" s="211">
        <v>40000</v>
      </c>
      <c r="F218" s="192">
        <v>0.006</v>
      </c>
      <c r="G218" s="212">
        <v>44357</v>
      </c>
      <c r="H218" s="211">
        <f t="shared" si="5"/>
        <v>240</v>
      </c>
      <c r="I218" s="211" t="s">
        <v>10</v>
      </c>
    </row>
    <row r="219" hidden="1" spans="2:9">
      <c r="B219" s="211">
        <v>202101316</v>
      </c>
      <c r="C219" s="212">
        <v>44286</v>
      </c>
      <c r="D219" s="211" t="s">
        <v>13</v>
      </c>
      <c r="E219" s="211">
        <v>480000</v>
      </c>
      <c r="F219" s="192">
        <v>0.003</v>
      </c>
      <c r="G219" s="212">
        <v>44306</v>
      </c>
      <c r="H219" s="211">
        <f t="shared" si="5"/>
        <v>1440</v>
      </c>
      <c r="I219" s="211" t="s">
        <v>10</v>
      </c>
    </row>
    <row r="220" hidden="1" spans="2:9">
      <c r="B220" s="211">
        <v>202101316</v>
      </c>
      <c r="C220" s="212">
        <v>44286</v>
      </c>
      <c r="D220" s="211" t="s">
        <v>13</v>
      </c>
      <c r="E220" s="211">
        <v>480000</v>
      </c>
      <c r="F220" s="192">
        <v>0.003</v>
      </c>
      <c r="G220" s="212">
        <v>44336</v>
      </c>
      <c r="H220" s="211">
        <f t="shared" si="5"/>
        <v>1440</v>
      </c>
      <c r="I220" s="211" t="s">
        <v>10</v>
      </c>
    </row>
    <row r="221" hidden="1" spans="2:9">
      <c r="B221" s="211">
        <v>202101316</v>
      </c>
      <c r="C221" s="212">
        <v>44286</v>
      </c>
      <c r="D221" s="213" t="s">
        <v>45</v>
      </c>
      <c r="E221" s="211">
        <v>148000</v>
      </c>
      <c r="F221" s="192">
        <v>0.028</v>
      </c>
      <c r="G221" s="212">
        <v>44346</v>
      </c>
      <c r="H221" s="211">
        <f t="shared" si="5"/>
        <v>4144</v>
      </c>
      <c r="I221" s="211" t="s">
        <v>10</v>
      </c>
    </row>
    <row r="222" hidden="1" spans="2:9">
      <c r="B222" s="211">
        <v>202101316</v>
      </c>
      <c r="C222" s="212">
        <v>44286</v>
      </c>
      <c r="D222" s="213" t="s">
        <v>45</v>
      </c>
      <c r="E222" s="211">
        <v>248000</v>
      </c>
      <c r="F222" s="192">
        <v>0.028</v>
      </c>
      <c r="G222" s="212">
        <v>44362</v>
      </c>
      <c r="H222" s="211">
        <f t="shared" si="5"/>
        <v>6944</v>
      </c>
      <c r="I222" s="211" t="s">
        <v>10</v>
      </c>
    </row>
    <row r="223" hidden="1" spans="2:9">
      <c r="B223" s="211">
        <v>202101316</v>
      </c>
      <c r="C223" s="212">
        <v>44286</v>
      </c>
      <c r="D223" s="243" t="s">
        <v>47</v>
      </c>
      <c r="E223" s="244">
        <v>120000</v>
      </c>
      <c r="F223" s="192">
        <v>0.024</v>
      </c>
      <c r="G223" s="212">
        <v>44377</v>
      </c>
      <c r="H223" s="211">
        <f t="shared" si="5"/>
        <v>2880</v>
      </c>
      <c r="I223" s="211" t="s">
        <v>10</v>
      </c>
    </row>
    <row r="224" hidden="1" spans="2:9">
      <c r="B224" s="211">
        <v>202101316</v>
      </c>
      <c r="C224" s="212">
        <v>44286</v>
      </c>
      <c r="D224" s="243" t="s">
        <v>49</v>
      </c>
      <c r="E224" s="244">
        <v>30000</v>
      </c>
      <c r="F224" s="192">
        <v>0.065</v>
      </c>
      <c r="G224" s="242">
        <v>44357</v>
      </c>
      <c r="H224" s="211">
        <f t="shared" si="5"/>
        <v>1950</v>
      </c>
      <c r="I224" s="211" t="s">
        <v>10</v>
      </c>
    </row>
    <row r="225" hidden="1" spans="2:9">
      <c r="B225" s="211">
        <v>202101316</v>
      </c>
      <c r="C225" s="212">
        <v>44286</v>
      </c>
      <c r="D225" s="243" t="s">
        <v>49</v>
      </c>
      <c r="E225" s="244">
        <v>30000</v>
      </c>
      <c r="F225" s="192">
        <v>0.065</v>
      </c>
      <c r="G225" s="212">
        <v>44377</v>
      </c>
      <c r="H225" s="211">
        <f t="shared" si="5"/>
        <v>1950</v>
      </c>
      <c r="I225" s="211" t="s">
        <v>10</v>
      </c>
    </row>
    <row r="226" hidden="1" spans="2:9">
      <c r="B226" s="211">
        <v>202101316</v>
      </c>
      <c r="C226" s="212">
        <v>44286</v>
      </c>
      <c r="D226" s="191" t="s">
        <v>76</v>
      </c>
      <c r="E226" s="244">
        <v>32000</v>
      </c>
      <c r="F226" s="192">
        <v>0.0018</v>
      </c>
      <c r="G226" s="242">
        <v>44316</v>
      </c>
      <c r="H226" s="211">
        <f t="shared" si="5"/>
        <v>57.6</v>
      </c>
      <c r="I226" s="211" t="s">
        <v>10</v>
      </c>
    </row>
    <row r="227" hidden="1" spans="2:9">
      <c r="B227" s="211">
        <v>202101316</v>
      </c>
      <c r="C227" s="212">
        <v>44286</v>
      </c>
      <c r="D227" s="243" t="s">
        <v>77</v>
      </c>
      <c r="E227" s="244">
        <v>32000</v>
      </c>
      <c r="F227" s="192">
        <v>0.041</v>
      </c>
      <c r="G227" s="242">
        <v>44316</v>
      </c>
      <c r="H227" s="211">
        <f t="shared" si="5"/>
        <v>1312</v>
      </c>
      <c r="I227" s="211" t="s">
        <v>10</v>
      </c>
    </row>
    <row r="228" hidden="1" spans="2:9">
      <c r="B228" s="244">
        <v>212200036</v>
      </c>
      <c r="C228" s="242">
        <v>44298</v>
      </c>
      <c r="D228" s="243" t="s">
        <v>35</v>
      </c>
      <c r="E228" s="244">
        <v>140000</v>
      </c>
      <c r="F228" s="192">
        <v>0.05</v>
      </c>
      <c r="G228" s="242">
        <v>44346</v>
      </c>
      <c r="H228" s="244">
        <f t="shared" si="5"/>
        <v>7000</v>
      </c>
      <c r="I228" s="244" t="s">
        <v>10</v>
      </c>
    </row>
    <row r="229" hidden="1" spans="2:9">
      <c r="B229" s="191">
        <v>212200044</v>
      </c>
      <c r="C229" s="242">
        <v>44309</v>
      </c>
      <c r="D229" s="191" t="s">
        <v>32</v>
      </c>
      <c r="E229" s="244">
        <v>186000</v>
      </c>
      <c r="F229" s="191">
        <v>0.02</v>
      </c>
      <c r="G229" s="212">
        <v>44454</v>
      </c>
      <c r="H229" s="244">
        <f t="shared" si="5"/>
        <v>3720</v>
      </c>
      <c r="I229" s="191" t="s">
        <v>14</v>
      </c>
    </row>
    <row r="230" hidden="1" spans="2:9">
      <c r="B230" s="191">
        <v>212200044</v>
      </c>
      <c r="C230" s="242">
        <v>44309</v>
      </c>
      <c r="D230" s="191" t="s">
        <v>32</v>
      </c>
      <c r="E230" s="255">
        <v>506000</v>
      </c>
      <c r="F230" s="191">
        <v>0.02</v>
      </c>
      <c r="G230" s="212">
        <v>44515</v>
      </c>
      <c r="H230" s="244">
        <f t="shared" si="5"/>
        <v>10120</v>
      </c>
      <c r="I230" s="191" t="s">
        <v>14</v>
      </c>
    </row>
    <row r="231" hidden="1" spans="2:9">
      <c r="B231" s="191">
        <v>212200044</v>
      </c>
      <c r="C231" s="242">
        <v>44309</v>
      </c>
      <c r="D231" s="191" t="s">
        <v>32</v>
      </c>
      <c r="E231" s="255">
        <v>56000</v>
      </c>
      <c r="F231" s="191">
        <v>0.02</v>
      </c>
      <c r="G231" s="212">
        <v>44428</v>
      </c>
      <c r="H231" s="244">
        <f t="shared" si="5"/>
        <v>1120</v>
      </c>
      <c r="I231" s="191" t="s">
        <v>14</v>
      </c>
    </row>
    <row r="232" hidden="1" spans="2:9">
      <c r="B232" s="191">
        <v>212200044</v>
      </c>
      <c r="C232" s="242">
        <v>44309</v>
      </c>
      <c r="D232" s="191" t="s">
        <v>32</v>
      </c>
      <c r="E232" s="191">
        <v>56000</v>
      </c>
      <c r="F232" s="191">
        <v>0.02</v>
      </c>
      <c r="G232" s="212">
        <v>44428</v>
      </c>
      <c r="H232" s="244">
        <f t="shared" si="5"/>
        <v>1120</v>
      </c>
      <c r="I232" s="191" t="s">
        <v>14</v>
      </c>
    </row>
    <row r="233" hidden="1" spans="2:9">
      <c r="B233" s="191">
        <v>212200044</v>
      </c>
      <c r="C233" s="242">
        <v>44309</v>
      </c>
      <c r="D233" s="191" t="s">
        <v>32</v>
      </c>
      <c r="E233" s="191">
        <v>106000</v>
      </c>
      <c r="F233" s="191">
        <v>0.02</v>
      </c>
      <c r="G233" s="212">
        <v>44454</v>
      </c>
      <c r="H233" s="244">
        <f t="shared" si="5"/>
        <v>2120</v>
      </c>
      <c r="I233" s="191" t="s">
        <v>14</v>
      </c>
    </row>
    <row r="234" hidden="1" spans="2:9">
      <c r="B234" s="191">
        <v>212200044</v>
      </c>
      <c r="C234" s="242">
        <v>44309</v>
      </c>
      <c r="D234" s="191" t="s">
        <v>78</v>
      </c>
      <c r="E234" s="191">
        <v>126000</v>
      </c>
      <c r="F234" s="191">
        <v>0.02</v>
      </c>
      <c r="G234" s="212">
        <v>44402</v>
      </c>
      <c r="H234" s="244">
        <f t="shared" si="5"/>
        <v>2520</v>
      </c>
      <c r="I234" s="191" t="s">
        <v>14</v>
      </c>
    </row>
    <row r="235" hidden="1" spans="2:9">
      <c r="B235" s="191">
        <v>212200044</v>
      </c>
      <c r="C235" s="242">
        <v>44309</v>
      </c>
      <c r="D235" s="191" t="s">
        <v>78</v>
      </c>
      <c r="E235" s="191">
        <v>126000</v>
      </c>
      <c r="F235" s="191">
        <v>0.02</v>
      </c>
      <c r="G235" s="212">
        <v>44402</v>
      </c>
      <c r="H235" s="244">
        <f t="shared" si="5"/>
        <v>2520</v>
      </c>
      <c r="I235" s="191" t="s">
        <v>14</v>
      </c>
    </row>
    <row r="236" hidden="1" spans="2:9">
      <c r="B236" s="191">
        <v>212200044</v>
      </c>
      <c r="C236" s="242">
        <v>44309</v>
      </c>
      <c r="D236" s="191" t="s">
        <v>78</v>
      </c>
      <c r="E236" s="191">
        <v>126000</v>
      </c>
      <c r="F236" s="191">
        <v>0.02</v>
      </c>
      <c r="G236" s="212">
        <v>44433</v>
      </c>
      <c r="H236" s="244">
        <f t="shared" si="5"/>
        <v>2520</v>
      </c>
      <c r="I236" s="191" t="s">
        <v>14</v>
      </c>
    </row>
    <row r="237" hidden="1" spans="2:9">
      <c r="B237" s="191">
        <v>212200044</v>
      </c>
      <c r="C237" s="242">
        <v>44309</v>
      </c>
      <c r="D237" s="191" t="s">
        <v>78</v>
      </c>
      <c r="E237" s="191">
        <v>126000</v>
      </c>
      <c r="F237" s="191">
        <v>0.02</v>
      </c>
      <c r="G237" s="212">
        <v>44464</v>
      </c>
      <c r="H237" s="244">
        <f t="shared" si="5"/>
        <v>2520</v>
      </c>
      <c r="I237" s="191" t="s">
        <v>14</v>
      </c>
    </row>
    <row r="238" hidden="1" spans="2:9">
      <c r="B238" s="191">
        <v>212200044</v>
      </c>
      <c r="C238" s="242">
        <v>44309</v>
      </c>
      <c r="D238" s="191" t="s">
        <v>58</v>
      </c>
      <c r="E238" s="191">
        <v>120000</v>
      </c>
      <c r="F238" s="192">
        <v>0.019</v>
      </c>
      <c r="G238" s="212">
        <v>44377</v>
      </c>
      <c r="H238" s="244">
        <f t="shared" si="5"/>
        <v>2280</v>
      </c>
      <c r="I238" s="191" t="s">
        <v>10</v>
      </c>
    </row>
    <row r="239" hidden="1" spans="2:9">
      <c r="B239" s="191">
        <v>212200044</v>
      </c>
      <c r="C239" s="242">
        <v>44309</v>
      </c>
      <c r="D239" s="191" t="s">
        <v>58</v>
      </c>
      <c r="E239" s="191">
        <v>80000</v>
      </c>
      <c r="F239" s="192">
        <v>0.019</v>
      </c>
      <c r="G239" s="212">
        <v>44377</v>
      </c>
      <c r="H239" s="244">
        <f t="shared" si="5"/>
        <v>1520</v>
      </c>
      <c r="I239" s="191" t="s">
        <v>10</v>
      </c>
    </row>
    <row r="240" hidden="1" spans="2:9">
      <c r="B240" s="191">
        <v>212200044</v>
      </c>
      <c r="C240" s="242">
        <v>44309</v>
      </c>
      <c r="D240" s="191" t="s">
        <v>33</v>
      </c>
      <c r="E240" s="191">
        <v>114000</v>
      </c>
      <c r="F240" s="191">
        <v>0.02</v>
      </c>
      <c r="G240" s="242">
        <v>44464</v>
      </c>
      <c r="H240" s="244">
        <f t="shared" si="5"/>
        <v>2280</v>
      </c>
      <c r="I240" s="191" t="s">
        <v>14</v>
      </c>
    </row>
    <row r="241" hidden="1" spans="2:10">
      <c r="B241" s="191">
        <v>212200044</v>
      </c>
      <c r="C241" s="242">
        <v>44309</v>
      </c>
      <c r="D241" s="191" t="s">
        <v>33</v>
      </c>
      <c r="E241" s="191">
        <v>124000</v>
      </c>
      <c r="F241" s="191">
        <v>0.02</v>
      </c>
      <c r="G241" s="212">
        <v>44402</v>
      </c>
      <c r="H241" s="244">
        <f t="shared" si="5"/>
        <v>2480</v>
      </c>
      <c r="I241" s="191" t="s">
        <v>14</v>
      </c>
    </row>
    <row r="242" hidden="1" spans="2:10">
      <c r="B242" s="191">
        <v>212200044</v>
      </c>
      <c r="C242" s="242">
        <v>44309</v>
      </c>
      <c r="D242" s="191" t="s">
        <v>37</v>
      </c>
      <c r="E242" s="191">
        <v>51000</v>
      </c>
      <c r="F242" s="192">
        <v>0.02</v>
      </c>
      <c r="G242" s="242">
        <v>44317</v>
      </c>
      <c r="H242" s="244">
        <f t="shared" si="5"/>
        <v>1020</v>
      </c>
      <c r="I242" s="191" t="s">
        <v>10</v>
      </c>
      <c r="J242" s="193" t="s">
        <v>79</v>
      </c>
    </row>
    <row r="243" hidden="1" spans="2:10">
      <c r="B243" s="191">
        <v>212200044</v>
      </c>
      <c r="C243" s="242">
        <v>44309</v>
      </c>
      <c r="D243" s="191" t="s">
        <v>37</v>
      </c>
      <c r="E243" s="191">
        <v>51000</v>
      </c>
      <c r="F243" s="192">
        <v>0.02</v>
      </c>
      <c r="G243" s="242">
        <v>44339</v>
      </c>
      <c r="H243" s="244">
        <f t="shared" si="5"/>
        <v>1020</v>
      </c>
      <c r="I243" s="191" t="s">
        <v>10</v>
      </c>
      <c r="J243" s="193" t="s">
        <v>79</v>
      </c>
    </row>
    <row r="244" hidden="1" spans="2:10">
      <c r="B244" s="191">
        <v>212200044</v>
      </c>
      <c r="C244" s="242">
        <v>44309</v>
      </c>
      <c r="D244" s="191" t="s">
        <v>37</v>
      </c>
      <c r="E244" s="191">
        <v>51000</v>
      </c>
      <c r="F244" s="192">
        <v>0.02</v>
      </c>
      <c r="G244" s="212">
        <v>44352</v>
      </c>
      <c r="H244" s="244">
        <f t="shared" si="5"/>
        <v>1020</v>
      </c>
      <c r="I244" s="191" t="s">
        <v>10</v>
      </c>
      <c r="J244" s="193" t="s">
        <v>79</v>
      </c>
    </row>
    <row r="245" hidden="1" spans="2:10">
      <c r="B245" s="191">
        <v>212200044</v>
      </c>
      <c r="C245" s="242">
        <v>44309</v>
      </c>
      <c r="D245" s="191" t="s">
        <v>37</v>
      </c>
      <c r="E245" s="191">
        <v>51000</v>
      </c>
      <c r="F245" s="192">
        <v>0.02</v>
      </c>
      <c r="G245" s="242">
        <v>44387</v>
      </c>
      <c r="H245" s="244">
        <f t="shared" ref="H245:H308" si="6">E245*F245</f>
        <v>1020</v>
      </c>
      <c r="I245" s="191" t="s">
        <v>10</v>
      </c>
      <c r="J245" s="193" t="s">
        <v>79</v>
      </c>
    </row>
    <row r="246" hidden="1" spans="2:10">
      <c r="B246" s="191">
        <v>212200044</v>
      </c>
      <c r="C246" s="242">
        <v>44309</v>
      </c>
      <c r="D246" s="243" t="s">
        <v>38</v>
      </c>
      <c r="E246" s="191">
        <v>200000</v>
      </c>
      <c r="F246" s="192">
        <v>0.01</v>
      </c>
      <c r="G246" s="212">
        <v>44352</v>
      </c>
      <c r="H246" s="244">
        <f t="shared" si="6"/>
        <v>2000</v>
      </c>
      <c r="I246" s="191" t="s">
        <v>10</v>
      </c>
    </row>
    <row r="247" hidden="1" spans="2:10">
      <c r="B247" s="191">
        <v>212200044</v>
      </c>
      <c r="C247" s="242">
        <v>44309</v>
      </c>
      <c r="D247" s="243" t="s">
        <v>38</v>
      </c>
      <c r="E247" s="191">
        <v>200000</v>
      </c>
      <c r="F247" s="192">
        <v>0.01</v>
      </c>
      <c r="G247" s="242">
        <v>44397</v>
      </c>
      <c r="H247" s="244">
        <f t="shared" si="6"/>
        <v>2000</v>
      </c>
      <c r="I247" s="191" t="s">
        <v>10</v>
      </c>
    </row>
    <row r="248" hidden="1" spans="2:10">
      <c r="B248" s="191">
        <v>212200044</v>
      </c>
      <c r="C248" s="242">
        <v>44309</v>
      </c>
      <c r="D248" s="243" t="s">
        <v>41</v>
      </c>
      <c r="E248" s="191">
        <v>40000</v>
      </c>
      <c r="F248" s="192">
        <v>0.285</v>
      </c>
      <c r="G248" s="242">
        <v>44397</v>
      </c>
      <c r="H248" s="244">
        <f t="shared" si="6"/>
        <v>11400</v>
      </c>
      <c r="I248" s="191" t="s">
        <v>10</v>
      </c>
    </row>
    <row r="249" hidden="1" spans="2:10">
      <c r="B249" s="191">
        <v>212200044</v>
      </c>
      <c r="C249" s="242">
        <v>44309</v>
      </c>
      <c r="D249" s="243" t="s">
        <v>41</v>
      </c>
      <c r="E249" s="191">
        <v>20000</v>
      </c>
      <c r="F249" s="192">
        <v>0.285</v>
      </c>
      <c r="G249" s="242">
        <v>44397</v>
      </c>
      <c r="H249" s="244">
        <f t="shared" si="6"/>
        <v>5700</v>
      </c>
      <c r="I249" s="191" t="s">
        <v>10</v>
      </c>
    </row>
    <row r="250" hidden="1" spans="2:10">
      <c r="B250" s="191">
        <v>212200044</v>
      </c>
      <c r="C250" s="242">
        <v>44309</v>
      </c>
      <c r="D250" s="243" t="s">
        <v>80</v>
      </c>
      <c r="E250" s="191">
        <v>20000</v>
      </c>
      <c r="F250" s="192">
        <v>0.18</v>
      </c>
      <c r="G250" s="212">
        <v>44407</v>
      </c>
      <c r="H250" s="244">
        <f t="shared" si="6"/>
        <v>3600</v>
      </c>
      <c r="I250" s="191" t="s">
        <v>10</v>
      </c>
    </row>
    <row r="251" hidden="1" spans="2:10">
      <c r="B251" s="191">
        <v>212200044</v>
      </c>
      <c r="C251" s="242">
        <v>44309</v>
      </c>
      <c r="D251" s="191" t="s">
        <v>71</v>
      </c>
      <c r="E251" s="191">
        <v>40000</v>
      </c>
      <c r="F251" s="192">
        <v>0.02</v>
      </c>
      <c r="G251" s="212">
        <v>44331</v>
      </c>
      <c r="H251" s="244">
        <f t="shared" si="6"/>
        <v>800</v>
      </c>
      <c r="I251" s="191" t="s">
        <v>10</v>
      </c>
    </row>
    <row r="252" hidden="1" spans="2:10">
      <c r="B252" s="191">
        <v>212200044</v>
      </c>
      <c r="C252" s="242">
        <v>44309</v>
      </c>
      <c r="D252" s="243" t="s">
        <v>43</v>
      </c>
      <c r="E252" s="191">
        <v>40000</v>
      </c>
      <c r="F252" s="192">
        <v>0.05</v>
      </c>
      <c r="G252" s="242">
        <v>44362</v>
      </c>
      <c r="H252" s="244">
        <f t="shared" si="6"/>
        <v>2000</v>
      </c>
      <c r="I252" s="191" t="s">
        <v>10</v>
      </c>
    </row>
    <row r="253" hidden="1" spans="2:10">
      <c r="B253" s="191">
        <v>212200044</v>
      </c>
      <c r="C253" s="242">
        <v>44309</v>
      </c>
      <c r="D253" s="243" t="s">
        <v>43</v>
      </c>
      <c r="E253" s="191">
        <v>40000</v>
      </c>
      <c r="F253" s="192">
        <v>0.05</v>
      </c>
      <c r="G253" s="242">
        <v>44402</v>
      </c>
      <c r="H253" s="244">
        <f t="shared" si="6"/>
        <v>2000</v>
      </c>
      <c r="I253" s="191" t="s">
        <v>10</v>
      </c>
    </row>
    <row r="254" hidden="1" spans="2:10">
      <c r="B254" s="191">
        <v>212200044</v>
      </c>
      <c r="C254" s="242">
        <v>44309</v>
      </c>
      <c r="D254" s="191" t="s">
        <v>15</v>
      </c>
      <c r="E254" s="191">
        <v>180000</v>
      </c>
      <c r="F254" s="192">
        <v>0.025</v>
      </c>
      <c r="G254" s="242">
        <v>44377</v>
      </c>
      <c r="H254" s="244">
        <f t="shared" si="6"/>
        <v>4500</v>
      </c>
      <c r="I254" s="191" t="s">
        <v>10</v>
      </c>
    </row>
    <row r="255" hidden="1" spans="2:10">
      <c r="B255" s="191">
        <v>212200044</v>
      </c>
      <c r="C255" s="242">
        <v>44309</v>
      </c>
      <c r="D255" s="191" t="s">
        <v>81</v>
      </c>
      <c r="E255" s="191">
        <v>20000</v>
      </c>
      <c r="F255" s="192">
        <v>0.0285</v>
      </c>
      <c r="G255" s="242">
        <v>44317</v>
      </c>
      <c r="H255" s="244">
        <f t="shared" si="6"/>
        <v>570</v>
      </c>
      <c r="I255" s="191" t="s">
        <v>10</v>
      </c>
    </row>
    <row r="256" hidden="1" spans="2:10">
      <c r="B256" s="191">
        <v>212200044</v>
      </c>
      <c r="C256" s="242">
        <v>44309</v>
      </c>
      <c r="D256" s="191" t="s">
        <v>81</v>
      </c>
      <c r="E256" s="191">
        <v>20000</v>
      </c>
      <c r="F256" s="192">
        <v>0.0285</v>
      </c>
      <c r="G256" s="242">
        <v>44339</v>
      </c>
      <c r="H256" s="244">
        <f t="shared" si="6"/>
        <v>570</v>
      </c>
      <c r="I256" s="191" t="s">
        <v>10</v>
      </c>
    </row>
    <row r="257" hidden="1" spans="2:9">
      <c r="B257" s="191">
        <v>212200044</v>
      </c>
      <c r="C257" s="242">
        <v>44309</v>
      </c>
      <c r="D257" s="191" t="s">
        <v>81</v>
      </c>
      <c r="E257" s="191">
        <v>20000</v>
      </c>
      <c r="F257" s="192">
        <v>0.0285</v>
      </c>
      <c r="G257" s="242">
        <v>44370</v>
      </c>
      <c r="H257" s="244">
        <f t="shared" si="6"/>
        <v>570</v>
      </c>
      <c r="I257" s="191" t="s">
        <v>10</v>
      </c>
    </row>
    <row r="258" hidden="1" spans="2:9">
      <c r="B258" s="191">
        <v>212200044</v>
      </c>
      <c r="C258" s="242">
        <v>44309</v>
      </c>
      <c r="D258" s="191" t="s">
        <v>81</v>
      </c>
      <c r="E258" s="191">
        <v>20000</v>
      </c>
      <c r="F258" s="192">
        <v>0.0285</v>
      </c>
      <c r="G258" s="242">
        <v>44400</v>
      </c>
      <c r="H258" s="244">
        <f t="shared" si="6"/>
        <v>570</v>
      </c>
      <c r="I258" s="191" t="s">
        <v>10</v>
      </c>
    </row>
    <row r="259" hidden="1" spans="2:9">
      <c r="B259" s="191">
        <v>212200044</v>
      </c>
      <c r="C259" s="242">
        <v>44309</v>
      </c>
      <c r="D259" s="191" t="s">
        <v>81</v>
      </c>
      <c r="E259" s="191">
        <v>20000</v>
      </c>
      <c r="F259" s="192">
        <v>0.0285</v>
      </c>
      <c r="G259" s="242">
        <v>44462</v>
      </c>
      <c r="H259" s="244">
        <f t="shared" si="6"/>
        <v>570</v>
      </c>
      <c r="I259" s="191" t="s">
        <v>10</v>
      </c>
    </row>
    <row r="260" hidden="1" spans="2:9">
      <c r="B260" s="191">
        <v>212200044</v>
      </c>
      <c r="C260" s="242">
        <v>44309</v>
      </c>
      <c r="D260" s="191" t="s">
        <v>32</v>
      </c>
      <c r="E260" s="191">
        <v>326000</v>
      </c>
      <c r="F260" s="191">
        <v>0.02</v>
      </c>
      <c r="G260" s="242">
        <v>44484</v>
      </c>
      <c r="H260" s="244">
        <f t="shared" si="6"/>
        <v>6520</v>
      </c>
      <c r="I260" s="191" t="s">
        <v>14</v>
      </c>
    </row>
    <row r="261" hidden="1" spans="2:9">
      <c r="B261" s="191">
        <v>212200044</v>
      </c>
      <c r="C261" s="242">
        <v>44309</v>
      </c>
      <c r="D261" s="191" t="s">
        <v>32</v>
      </c>
      <c r="E261" s="191">
        <v>56000</v>
      </c>
      <c r="F261" s="191">
        <v>0.02</v>
      </c>
      <c r="G261" s="212">
        <v>44428</v>
      </c>
      <c r="H261" s="244">
        <f t="shared" si="6"/>
        <v>1120</v>
      </c>
      <c r="I261" s="191" t="s">
        <v>14</v>
      </c>
    </row>
    <row r="262" hidden="1" spans="2:9">
      <c r="B262" s="191">
        <v>212200044</v>
      </c>
      <c r="C262" s="242">
        <v>44309</v>
      </c>
      <c r="D262" s="191" t="s">
        <v>33</v>
      </c>
      <c r="E262" s="191">
        <v>124000</v>
      </c>
      <c r="F262" s="191">
        <v>0.02</v>
      </c>
      <c r="G262" s="212">
        <v>44433</v>
      </c>
      <c r="H262" s="244">
        <f t="shared" si="6"/>
        <v>2480</v>
      </c>
      <c r="I262" s="191" t="s">
        <v>14</v>
      </c>
    </row>
    <row r="263" hidden="1" spans="2:9">
      <c r="B263" s="191">
        <v>212200044</v>
      </c>
      <c r="C263" s="242">
        <v>44309</v>
      </c>
      <c r="D263" s="191" t="s">
        <v>33</v>
      </c>
      <c r="E263" s="191">
        <v>94000</v>
      </c>
      <c r="F263" s="191">
        <v>0.02</v>
      </c>
      <c r="G263" s="256">
        <v>44464</v>
      </c>
      <c r="H263" s="244">
        <f t="shared" si="6"/>
        <v>1880</v>
      </c>
      <c r="I263" s="191" t="s">
        <v>14</v>
      </c>
    </row>
    <row r="264" hidden="1" spans="2:9">
      <c r="B264" s="191">
        <v>212200044</v>
      </c>
      <c r="C264" s="242">
        <v>44309</v>
      </c>
      <c r="D264" s="191" t="s">
        <v>15</v>
      </c>
      <c r="E264" s="191">
        <v>120000</v>
      </c>
      <c r="F264" s="192">
        <v>0.025</v>
      </c>
      <c r="G264" s="242">
        <v>44407</v>
      </c>
      <c r="H264" s="244">
        <f t="shared" si="6"/>
        <v>3000</v>
      </c>
      <c r="I264" s="191" t="s">
        <v>10</v>
      </c>
    </row>
    <row r="265" hidden="1" spans="2:9">
      <c r="B265" s="191">
        <v>212200077</v>
      </c>
      <c r="C265" s="242">
        <v>44312</v>
      </c>
      <c r="D265" s="191" t="s">
        <v>82</v>
      </c>
      <c r="E265" s="191">
        <v>40000</v>
      </c>
      <c r="F265" s="192">
        <v>0.022</v>
      </c>
      <c r="G265" s="242">
        <v>44341</v>
      </c>
      <c r="H265" s="244">
        <f t="shared" si="6"/>
        <v>880</v>
      </c>
      <c r="I265" s="191" t="s">
        <v>10</v>
      </c>
    </row>
    <row r="266" hidden="1" spans="2:9">
      <c r="B266" s="191">
        <v>212200077</v>
      </c>
      <c r="C266" s="242">
        <v>44312</v>
      </c>
      <c r="D266" s="191" t="s">
        <v>82</v>
      </c>
      <c r="E266" s="191">
        <v>40000</v>
      </c>
      <c r="F266" s="192">
        <v>0.022</v>
      </c>
      <c r="G266" s="242">
        <v>44367</v>
      </c>
      <c r="H266" s="244">
        <f t="shared" si="6"/>
        <v>880</v>
      </c>
      <c r="I266" s="191" t="s">
        <v>10</v>
      </c>
    </row>
    <row r="267" hidden="1" spans="2:9">
      <c r="B267" s="191">
        <v>212200077</v>
      </c>
      <c r="C267" s="242">
        <v>44312</v>
      </c>
      <c r="D267" s="191" t="s">
        <v>82</v>
      </c>
      <c r="E267" s="191">
        <v>40000</v>
      </c>
      <c r="F267" s="192">
        <v>0.022</v>
      </c>
      <c r="G267" s="242">
        <v>44392</v>
      </c>
      <c r="H267" s="244">
        <f t="shared" si="6"/>
        <v>880</v>
      </c>
      <c r="I267" s="191" t="s">
        <v>10</v>
      </c>
    </row>
    <row r="268" hidden="1" spans="2:9">
      <c r="B268" s="191">
        <v>212200077</v>
      </c>
      <c r="C268" s="242">
        <v>44312</v>
      </c>
      <c r="D268" s="191" t="s">
        <v>82</v>
      </c>
      <c r="E268" s="191">
        <v>40000</v>
      </c>
      <c r="F268" s="192">
        <v>0.022</v>
      </c>
      <c r="G268" s="242">
        <v>44449</v>
      </c>
      <c r="H268" s="244">
        <f t="shared" si="6"/>
        <v>880</v>
      </c>
      <c r="I268" s="191" t="s">
        <v>10</v>
      </c>
    </row>
    <row r="269" hidden="1" spans="2:9">
      <c r="B269" s="191">
        <v>212200077</v>
      </c>
      <c r="C269" s="242">
        <v>44312</v>
      </c>
      <c r="D269" s="191" t="s">
        <v>83</v>
      </c>
      <c r="E269" s="191">
        <v>20000</v>
      </c>
      <c r="F269" s="192">
        <v>0.023</v>
      </c>
      <c r="G269" s="242">
        <v>44387</v>
      </c>
      <c r="H269" s="244">
        <f t="shared" si="6"/>
        <v>460</v>
      </c>
      <c r="I269" s="191" t="s">
        <v>10</v>
      </c>
    </row>
    <row r="270" hidden="1" spans="2:9">
      <c r="B270" s="191">
        <v>212200083</v>
      </c>
      <c r="C270" s="242">
        <v>44314</v>
      </c>
      <c r="D270" s="191" t="s">
        <v>13</v>
      </c>
      <c r="E270" s="191">
        <v>48000</v>
      </c>
      <c r="F270" s="192">
        <v>0.003</v>
      </c>
      <c r="G270" s="242">
        <v>44341</v>
      </c>
      <c r="H270" s="244">
        <f t="shared" si="6"/>
        <v>144</v>
      </c>
      <c r="I270" s="191" t="s">
        <v>10</v>
      </c>
    </row>
    <row r="271" hidden="1" spans="2:9">
      <c r="B271" s="191">
        <v>212200083</v>
      </c>
      <c r="C271" s="242">
        <v>44314</v>
      </c>
      <c r="D271" s="191" t="s">
        <v>13</v>
      </c>
      <c r="E271" s="191">
        <v>64000</v>
      </c>
      <c r="F271" s="192">
        <v>0.003</v>
      </c>
      <c r="G271" s="257">
        <v>44357</v>
      </c>
      <c r="H271" s="244">
        <f t="shared" si="6"/>
        <v>192</v>
      </c>
      <c r="I271" s="191" t="s">
        <v>10</v>
      </c>
    </row>
    <row r="272" hidden="1" spans="2:9">
      <c r="B272" s="191">
        <v>212200083</v>
      </c>
      <c r="C272" s="242">
        <v>44314</v>
      </c>
      <c r="D272" s="191" t="s">
        <v>84</v>
      </c>
      <c r="E272" s="191">
        <v>20000</v>
      </c>
      <c r="F272" s="192">
        <v>0.11</v>
      </c>
      <c r="G272" s="242">
        <v>44341</v>
      </c>
      <c r="H272" s="244">
        <f t="shared" si="6"/>
        <v>2200</v>
      </c>
      <c r="I272" s="191" t="s">
        <v>10</v>
      </c>
    </row>
    <row r="273" hidden="1" spans="2:9">
      <c r="B273" s="191">
        <v>212200095</v>
      </c>
      <c r="C273" s="242">
        <v>44315</v>
      </c>
      <c r="D273" s="191" t="s">
        <v>13</v>
      </c>
      <c r="E273" s="191">
        <v>192000</v>
      </c>
      <c r="F273" s="192">
        <v>0.003</v>
      </c>
      <c r="G273" s="242">
        <v>44377</v>
      </c>
      <c r="H273" s="244">
        <f t="shared" si="6"/>
        <v>576</v>
      </c>
      <c r="I273" s="191" t="s">
        <v>10</v>
      </c>
    </row>
    <row r="274" hidden="1" spans="2:9">
      <c r="B274" s="191">
        <v>212200095</v>
      </c>
      <c r="C274" s="242">
        <v>44315</v>
      </c>
      <c r="D274" s="191" t="s">
        <v>13</v>
      </c>
      <c r="E274" s="191">
        <v>192000</v>
      </c>
      <c r="F274" s="192">
        <v>0.003</v>
      </c>
      <c r="G274" s="242">
        <v>44407</v>
      </c>
      <c r="H274" s="244">
        <f t="shared" si="6"/>
        <v>576</v>
      </c>
      <c r="I274" s="191" t="s">
        <v>10</v>
      </c>
    </row>
    <row r="275" hidden="1" spans="2:9">
      <c r="B275" s="191">
        <v>212200095</v>
      </c>
      <c r="C275" s="242">
        <v>44315</v>
      </c>
      <c r="D275" s="191" t="s">
        <v>13</v>
      </c>
      <c r="E275" s="191">
        <v>192000</v>
      </c>
      <c r="F275" s="192">
        <v>0.003</v>
      </c>
      <c r="G275" s="242">
        <v>44438</v>
      </c>
      <c r="H275" s="244">
        <f t="shared" si="6"/>
        <v>576</v>
      </c>
      <c r="I275" s="191" t="s">
        <v>10</v>
      </c>
    </row>
    <row r="276" hidden="1" spans="2:9">
      <c r="B276" s="191">
        <v>212200095</v>
      </c>
      <c r="C276" s="242">
        <v>44315</v>
      </c>
      <c r="D276" s="243" t="s">
        <v>48</v>
      </c>
      <c r="E276" s="191">
        <v>144000</v>
      </c>
      <c r="F276" s="192">
        <v>0.022</v>
      </c>
      <c r="G276" s="242">
        <v>44377</v>
      </c>
      <c r="H276" s="244">
        <f t="shared" si="6"/>
        <v>3168</v>
      </c>
      <c r="I276" s="191" t="s">
        <v>10</v>
      </c>
    </row>
    <row r="277" hidden="1" spans="2:9">
      <c r="B277" s="191">
        <v>212200095</v>
      </c>
      <c r="C277" s="242">
        <v>44315</v>
      </c>
      <c r="D277" s="243" t="s">
        <v>48</v>
      </c>
      <c r="E277" s="191">
        <v>144000</v>
      </c>
      <c r="F277" s="192">
        <v>0.022</v>
      </c>
      <c r="G277" s="242">
        <v>44407</v>
      </c>
      <c r="H277" s="244">
        <f t="shared" si="6"/>
        <v>3168</v>
      </c>
      <c r="I277" s="191" t="s">
        <v>10</v>
      </c>
    </row>
    <row r="278" hidden="1" spans="2:9">
      <c r="B278" s="191">
        <v>212200095</v>
      </c>
      <c r="C278" s="242">
        <v>44315</v>
      </c>
      <c r="D278" s="213" t="s">
        <v>45</v>
      </c>
      <c r="E278" s="249">
        <v>144000</v>
      </c>
      <c r="F278" s="192">
        <v>0.028</v>
      </c>
      <c r="G278" s="242">
        <v>44407</v>
      </c>
      <c r="H278" s="244">
        <f t="shared" si="6"/>
        <v>4032</v>
      </c>
      <c r="I278" s="191" t="s">
        <v>10</v>
      </c>
    </row>
    <row r="279" hidden="1" spans="2:9">
      <c r="B279" s="191">
        <v>212200095</v>
      </c>
      <c r="C279" s="242">
        <v>44315</v>
      </c>
      <c r="D279" s="213" t="s">
        <v>45</v>
      </c>
      <c r="E279" s="249">
        <v>144000</v>
      </c>
      <c r="F279" s="192">
        <v>0.028</v>
      </c>
      <c r="G279" s="242">
        <v>44438</v>
      </c>
      <c r="H279" s="244">
        <f t="shared" si="6"/>
        <v>4032</v>
      </c>
      <c r="I279" s="191" t="s">
        <v>10</v>
      </c>
    </row>
    <row r="280" hidden="1" spans="2:9">
      <c r="B280" s="191">
        <v>212200095</v>
      </c>
      <c r="C280" s="242">
        <v>44315</v>
      </c>
      <c r="D280" s="213" t="s">
        <v>45</v>
      </c>
      <c r="E280" s="249">
        <v>148000</v>
      </c>
      <c r="F280" s="192">
        <v>0.028</v>
      </c>
      <c r="G280" s="242">
        <v>44377</v>
      </c>
      <c r="H280" s="244">
        <f t="shared" si="6"/>
        <v>4144</v>
      </c>
      <c r="I280" s="191" t="s">
        <v>10</v>
      </c>
    </row>
    <row r="281" hidden="1" spans="2:9">
      <c r="B281" s="191">
        <v>212200095</v>
      </c>
      <c r="C281" s="242">
        <v>44315</v>
      </c>
      <c r="D281" s="213" t="s">
        <v>45</v>
      </c>
      <c r="E281" s="249">
        <v>148000</v>
      </c>
      <c r="F281" s="192">
        <v>0.028</v>
      </c>
      <c r="G281" s="242">
        <v>44407</v>
      </c>
      <c r="H281" s="244">
        <f t="shared" si="6"/>
        <v>4144</v>
      </c>
      <c r="I281" s="191" t="s">
        <v>10</v>
      </c>
    </row>
    <row r="282" hidden="1" spans="2:9">
      <c r="B282" s="191">
        <v>212200095</v>
      </c>
      <c r="C282" s="242">
        <v>44315</v>
      </c>
      <c r="D282" s="243" t="s">
        <v>47</v>
      </c>
      <c r="E282" s="258">
        <v>148000</v>
      </c>
      <c r="F282" s="192">
        <v>0.024</v>
      </c>
      <c r="G282" s="242">
        <v>44407</v>
      </c>
      <c r="H282" s="244">
        <f t="shared" si="6"/>
        <v>3552</v>
      </c>
      <c r="I282" s="191" t="s">
        <v>10</v>
      </c>
    </row>
    <row r="283" hidden="1" spans="2:9">
      <c r="B283" s="191">
        <v>212200095</v>
      </c>
      <c r="C283" s="242">
        <v>44315</v>
      </c>
      <c r="D283" s="243" t="s">
        <v>85</v>
      </c>
      <c r="E283" s="258">
        <v>96000</v>
      </c>
      <c r="F283" s="192">
        <v>0.022</v>
      </c>
      <c r="G283" s="242">
        <v>44377</v>
      </c>
      <c r="H283" s="244">
        <f t="shared" si="6"/>
        <v>2112</v>
      </c>
      <c r="I283" s="191" t="s">
        <v>10</v>
      </c>
    </row>
    <row r="284" hidden="1" spans="2:9">
      <c r="B284" s="191">
        <v>212200095</v>
      </c>
      <c r="C284" s="242">
        <v>44315</v>
      </c>
      <c r="D284" s="243" t="s">
        <v>85</v>
      </c>
      <c r="E284" s="258">
        <v>96000</v>
      </c>
      <c r="F284" s="192">
        <v>0.022</v>
      </c>
      <c r="G284" s="242">
        <v>44407</v>
      </c>
      <c r="H284" s="244">
        <f t="shared" si="6"/>
        <v>2112</v>
      </c>
      <c r="I284" s="191" t="s">
        <v>10</v>
      </c>
    </row>
    <row r="285" hidden="1" spans="2:9">
      <c r="B285" s="191">
        <v>212200095</v>
      </c>
      <c r="C285" s="242">
        <v>44315</v>
      </c>
      <c r="D285" s="243" t="s">
        <v>85</v>
      </c>
      <c r="E285" s="258">
        <v>96000</v>
      </c>
      <c r="F285" s="192">
        <v>0.022</v>
      </c>
      <c r="G285" s="242">
        <v>44407</v>
      </c>
      <c r="H285" s="244">
        <f t="shared" si="6"/>
        <v>2112</v>
      </c>
      <c r="I285" s="191" t="s">
        <v>10</v>
      </c>
    </row>
    <row r="286" hidden="1" spans="2:9">
      <c r="B286" s="191">
        <v>212200095</v>
      </c>
      <c r="C286" s="242">
        <v>44315</v>
      </c>
      <c r="D286" s="191" t="s">
        <v>86</v>
      </c>
      <c r="E286" s="258">
        <v>96000</v>
      </c>
      <c r="F286" s="192">
        <v>0.006</v>
      </c>
      <c r="G286" s="242">
        <v>44407</v>
      </c>
      <c r="H286" s="244">
        <f t="shared" si="6"/>
        <v>576</v>
      </c>
      <c r="I286" s="191" t="s">
        <v>10</v>
      </c>
    </row>
    <row r="287" hidden="1" spans="2:9">
      <c r="B287" s="191">
        <v>212200095</v>
      </c>
      <c r="C287" s="242">
        <v>44315</v>
      </c>
      <c r="D287" s="191" t="s">
        <v>86</v>
      </c>
      <c r="E287" s="258">
        <v>96000</v>
      </c>
      <c r="F287" s="192">
        <v>0.006</v>
      </c>
      <c r="G287" s="242">
        <v>44438</v>
      </c>
      <c r="H287" s="244">
        <f t="shared" si="6"/>
        <v>576</v>
      </c>
      <c r="I287" s="191" t="s">
        <v>10</v>
      </c>
    </row>
    <row r="288" hidden="1" spans="2:9">
      <c r="B288" s="191">
        <v>212200095</v>
      </c>
      <c r="C288" s="242">
        <v>44315</v>
      </c>
      <c r="D288" s="191" t="s">
        <v>86</v>
      </c>
      <c r="E288" s="258">
        <v>96000</v>
      </c>
      <c r="F288" s="192">
        <v>0.006</v>
      </c>
      <c r="G288" s="242">
        <v>44407</v>
      </c>
      <c r="H288" s="244">
        <f t="shared" si="6"/>
        <v>576</v>
      </c>
      <c r="I288" s="191" t="s">
        <v>10</v>
      </c>
    </row>
    <row r="289" hidden="1" spans="2:9">
      <c r="B289" s="191">
        <v>212200095</v>
      </c>
      <c r="C289" s="242">
        <v>44315</v>
      </c>
      <c r="D289" s="243" t="s">
        <v>59</v>
      </c>
      <c r="E289" s="258">
        <v>32000</v>
      </c>
      <c r="F289" s="192">
        <v>0.015</v>
      </c>
      <c r="G289" s="242">
        <v>44326</v>
      </c>
      <c r="H289" s="244">
        <f t="shared" si="6"/>
        <v>480</v>
      </c>
      <c r="I289" s="191" t="s">
        <v>10</v>
      </c>
    </row>
    <row r="290" hidden="1" spans="2:9">
      <c r="B290" s="191">
        <v>212200095</v>
      </c>
      <c r="C290" s="242">
        <v>44315</v>
      </c>
      <c r="D290" s="243" t="s">
        <v>59</v>
      </c>
      <c r="E290" s="258">
        <v>32000</v>
      </c>
      <c r="F290" s="192">
        <v>0.015</v>
      </c>
      <c r="G290" s="242">
        <v>44377</v>
      </c>
      <c r="H290" s="244">
        <f t="shared" si="6"/>
        <v>480</v>
      </c>
      <c r="I290" s="191" t="s">
        <v>10</v>
      </c>
    </row>
    <row r="291" hidden="1" spans="2:9">
      <c r="B291" s="191">
        <v>212200095</v>
      </c>
      <c r="C291" s="242">
        <v>44315</v>
      </c>
      <c r="D291" s="213" t="s">
        <v>40</v>
      </c>
      <c r="E291" s="258">
        <v>150000</v>
      </c>
      <c r="F291" s="192">
        <v>0.05</v>
      </c>
      <c r="G291" s="242">
        <v>44407</v>
      </c>
      <c r="H291" s="244">
        <f t="shared" si="6"/>
        <v>7500</v>
      </c>
      <c r="I291" s="191" t="s">
        <v>10</v>
      </c>
    </row>
    <row r="292" hidden="1" spans="2:9">
      <c r="B292" s="191">
        <v>212200102</v>
      </c>
      <c r="C292" s="242">
        <v>44319</v>
      </c>
      <c r="D292" s="191" t="s">
        <v>87</v>
      </c>
      <c r="E292" s="258">
        <v>20000</v>
      </c>
      <c r="F292" s="192">
        <v>0.0215</v>
      </c>
      <c r="G292" s="242">
        <v>44319</v>
      </c>
      <c r="H292" s="244">
        <f t="shared" si="6"/>
        <v>430</v>
      </c>
      <c r="I292" s="191" t="s">
        <v>10</v>
      </c>
    </row>
    <row r="293" hidden="1" spans="2:9">
      <c r="B293" s="191">
        <v>212200102</v>
      </c>
      <c r="C293" s="242">
        <v>44319</v>
      </c>
      <c r="D293" s="191" t="s">
        <v>88</v>
      </c>
      <c r="E293" s="258">
        <v>20000</v>
      </c>
      <c r="F293" s="192">
        <v>0.0189</v>
      </c>
      <c r="G293" s="242">
        <v>44319</v>
      </c>
      <c r="H293" s="244">
        <f t="shared" si="6"/>
        <v>378</v>
      </c>
      <c r="I293" s="191" t="s">
        <v>10</v>
      </c>
    </row>
    <row r="294" hidden="1" spans="2:9">
      <c r="B294" s="191">
        <v>212200102</v>
      </c>
      <c r="C294" s="242">
        <v>44319</v>
      </c>
      <c r="D294" s="191" t="s">
        <v>89</v>
      </c>
      <c r="E294" s="258">
        <v>208000</v>
      </c>
      <c r="F294" s="191">
        <v>0.0045</v>
      </c>
      <c r="G294" s="242">
        <v>44319</v>
      </c>
      <c r="H294" s="244">
        <f t="shared" si="6"/>
        <v>936</v>
      </c>
      <c r="I294" s="191" t="s">
        <v>10</v>
      </c>
    </row>
    <row r="295" hidden="1" spans="2:9">
      <c r="B295" s="191">
        <v>212200116</v>
      </c>
      <c r="C295" s="242">
        <v>44323</v>
      </c>
      <c r="D295" s="191" t="s">
        <v>90</v>
      </c>
      <c r="E295" s="258">
        <v>21000</v>
      </c>
      <c r="F295" s="192">
        <v>0.015</v>
      </c>
      <c r="G295" s="242">
        <v>44377</v>
      </c>
      <c r="H295" s="244">
        <f t="shared" si="6"/>
        <v>315</v>
      </c>
      <c r="I295" s="191" t="s">
        <v>10</v>
      </c>
    </row>
    <row r="296" hidden="1" spans="2:9">
      <c r="B296" s="191">
        <v>212200116</v>
      </c>
      <c r="C296" s="242">
        <v>44323</v>
      </c>
      <c r="D296" s="191" t="s">
        <v>91</v>
      </c>
      <c r="E296" s="258">
        <v>21000</v>
      </c>
      <c r="F296" s="191">
        <v>0.025</v>
      </c>
      <c r="G296" s="242">
        <v>44377</v>
      </c>
      <c r="H296" s="244">
        <f t="shared" si="6"/>
        <v>525</v>
      </c>
      <c r="I296" s="191" t="s">
        <v>10</v>
      </c>
    </row>
    <row r="297" hidden="1" spans="2:9">
      <c r="B297" s="191">
        <v>212200116</v>
      </c>
      <c r="C297" s="242">
        <v>44323</v>
      </c>
      <c r="D297" s="191" t="s">
        <v>92</v>
      </c>
      <c r="E297" s="258">
        <v>21000</v>
      </c>
      <c r="F297" s="192">
        <v>0.013</v>
      </c>
      <c r="G297" s="242">
        <v>44377</v>
      </c>
      <c r="H297" s="244">
        <f t="shared" si="6"/>
        <v>273</v>
      </c>
      <c r="I297" s="191" t="s">
        <v>10</v>
      </c>
    </row>
    <row r="298" hidden="1" spans="2:9">
      <c r="B298" s="191">
        <v>212200130</v>
      </c>
      <c r="C298" s="242">
        <v>44327</v>
      </c>
      <c r="D298" s="259" t="s">
        <v>50</v>
      </c>
      <c r="E298" s="258">
        <v>30000</v>
      </c>
      <c r="F298" s="192">
        <v>0.08</v>
      </c>
      <c r="G298" s="242">
        <v>44331</v>
      </c>
      <c r="H298" s="244">
        <f t="shared" si="6"/>
        <v>2400</v>
      </c>
      <c r="I298" s="191" t="s">
        <v>10</v>
      </c>
    </row>
    <row r="299" hidden="1" spans="2:9">
      <c r="B299" s="191">
        <v>212200130</v>
      </c>
      <c r="C299" s="242">
        <v>44327</v>
      </c>
      <c r="D299" s="259" t="s">
        <v>50</v>
      </c>
      <c r="E299" s="258">
        <v>30000</v>
      </c>
      <c r="F299" s="192">
        <v>0.08</v>
      </c>
      <c r="G299" s="242">
        <v>44362</v>
      </c>
      <c r="H299" s="244">
        <f t="shared" si="6"/>
        <v>2400</v>
      </c>
      <c r="I299" s="191" t="s">
        <v>10</v>
      </c>
    </row>
    <row r="300" hidden="1" spans="2:9">
      <c r="B300" s="191">
        <v>212200130</v>
      </c>
      <c r="C300" s="242">
        <v>44327</v>
      </c>
      <c r="D300" s="259" t="s">
        <v>50</v>
      </c>
      <c r="E300" s="258">
        <v>40000</v>
      </c>
      <c r="F300" s="192">
        <v>0.08</v>
      </c>
      <c r="G300" s="242">
        <v>44392</v>
      </c>
      <c r="H300" s="244">
        <f t="shared" si="6"/>
        <v>3200</v>
      </c>
      <c r="I300" s="191" t="s">
        <v>10</v>
      </c>
    </row>
    <row r="301" hidden="1" spans="2:9">
      <c r="B301" s="191">
        <v>212200130</v>
      </c>
      <c r="C301" s="242">
        <v>44327</v>
      </c>
      <c r="D301" s="259" t="s">
        <v>50</v>
      </c>
      <c r="E301" s="258">
        <v>40000</v>
      </c>
      <c r="F301" s="192">
        <v>0.08</v>
      </c>
      <c r="G301" s="242">
        <v>44423</v>
      </c>
      <c r="H301" s="244">
        <f t="shared" si="6"/>
        <v>3200</v>
      </c>
      <c r="I301" s="191" t="s">
        <v>10</v>
      </c>
    </row>
    <row r="302" s="192" customFormat="1" hidden="1" spans="2:9">
      <c r="B302" s="191">
        <v>212200143</v>
      </c>
      <c r="C302" s="242">
        <v>44330</v>
      </c>
      <c r="D302" s="243" t="s">
        <v>93</v>
      </c>
      <c r="E302" s="258">
        <v>30000</v>
      </c>
      <c r="F302" s="191">
        <v>0.04</v>
      </c>
      <c r="G302" s="242">
        <v>44336</v>
      </c>
      <c r="H302" s="244">
        <f t="shared" si="6"/>
        <v>1200</v>
      </c>
      <c r="I302" s="191" t="s">
        <v>10</v>
      </c>
    </row>
    <row r="303" s="192" customFormat="1" hidden="1" spans="2:9">
      <c r="B303" s="191">
        <v>212200143</v>
      </c>
      <c r="C303" s="242">
        <v>44330</v>
      </c>
      <c r="D303" s="243" t="s">
        <v>93</v>
      </c>
      <c r="E303" s="258">
        <v>30000</v>
      </c>
      <c r="F303" s="191">
        <v>0.04</v>
      </c>
      <c r="G303" s="242">
        <v>44367</v>
      </c>
      <c r="H303" s="244">
        <f t="shared" si="6"/>
        <v>1200</v>
      </c>
      <c r="I303" s="191" t="s">
        <v>10</v>
      </c>
    </row>
    <row r="304" s="192" customFormat="1" hidden="1" spans="2:9">
      <c r="B304" s="191">
        <v>212200143</v>
      </c>
      <c r="C304" s="242">
        <v>44330</v>
      </c>
      <c r="D304" s="243" t="s">
        <v>93</v>
      </c>
      <c r="E304" s="258">
        <v>30000</v>
      </c>
      <c r="F304" s="191">
        <v>0.04</v>
      </c>
      <c r="G304" s="242">
        <v>44397</v>
      </c>
      <c r="H304" s="244">
        <f t="shared" si="6"/>
        <v>1200</v>
      </c>
      <c r="I304" s="191" t="s">
        <v>10</v>
      </c>
    </row>
    <row r="305" hidden="1" spans="2:10">
      <c r="B305" s="191">
        <v>212200146</v>
      </c>
      <c r="C305" s="242">
        <v>44334</v>
      </c>
      <c r="D305" s="243" t="s">
        <v>94</v>
      </c>
      <c r="E305" s="258">
        <v>20000</v>
      </c>
      <c r="F305" s="191">
        <v>0.04</v>
      </c>
      <c r="G305" s="242">
        <v>44418</v>
      </c>
      <c r="H305" s="244">
        <f t="shared" si="6"/>
        <v>800</v>
      </c>
      <c r="I305" s="191" t="s">
        <v>14</v>
      </c>
    </row>
    <row r="306" hidden="1" spans="2:10">
      <c r="B306" s="191">
        <v>212200146</v>
      </c>
      <c r="C306" s="242">
        <v>44334</v>
      </c>
      <c r="D306" s="243" t="s">
        <v>94</v>
      </c>
      <c r="E306" s="258">
        <v>20000</v>
      </c>
      <c r="F306" s="191">
        <v>0.04</v>
      </c>
      <c r="G306" s="242">
        <v>44449</v>
      </c>
      <c r="H306" s="244">
        <f t="shared" si="6"/>
        <v>800</v>
      </c>
      <c r="I306" s="191" t="s">
        <v>14</v>
      </c>
    </row>
    <row r="307" hidden="1" spans="2:10">
      <c r="B307" s="191">
        <v>212200146</v>
      </c>
      <c r="C307" s="242">
        <v>44334</v>
      </c>
      <c r="D307" s="243" t="s">
        <v>94</v>
      </c>
      <c r="E307" s="258">
        <v>20000</v>
      </c>
      <c r="F307" s="191">
        <v>0.04</v>
      </c>
      <c r="G307" s="242">
        <v>44479</v>
      </c>
      <c r="H307" s="244">
        <f t="shared" si="6"/>
        <v>800</v>
      </c>
      <c r="I307" s="191" t="s">
        <v>14</v>
      </c>
    </row>
    <row r="308" hidden="1" spans="2:10">
      <c r="B308" s="191">
        <v>212200146</v>
      </c>
      <c r="C308" s="242">
        <v>44334</v>
      </c>
      <c r="D308" s="191" t="s">
        <v>9</v>
      </c>
      <c r="E308" s="258">
        <v>20000</v>
      </c>
      <c r="F308" s="192">
        <v>0.0254</v>
      </c>
      <c r="G308" s="242">
        <v>44372</v>
      </c>
      <c r="H308" s="244">
        <f t="shared" si="6"/>
        <v>508</v>
      </c>
      <c r="I308" s="191" t="s">
        <v>10</v>
      </c>
    </row>
    <row r="309" hidden="1" spans="2:10">
      <c r="B309" s="191">
        <v>212200146</v>
      </c>
      <c r="C309" s="242">
        <v>44334</v>
      </c>
      <c r="D309" s="191" t="s">
        <v>9</v>
      </c>
      <c r="E309" s="258">
        <v>20000</v>
      </c>
      <c r="F309" s="192">
        <v>0.0254</v>
      </c>
      <c r="G309" s="242">
        <v>44402</v>
      </c>
      <c r="H309" s="244">
        <f t="shared" ref="H309:H372" si="7">E309*F309</f>
        <v>508</v>
      </c>
      <c r="I309" s="191" t="s">
        <v>10</v>
      </c>
    </row>
    <row r="310" hidden="1" spans="2:10">
      <c r="B310" s="191">
        <v>212200157</v>
      </c>
      <c r="C310" s="242">
        <v>44337</v>
      </c>
      <c r="D310" s="243" t="s">
        <v>40</v>
      </c>
      <c r="E310" s="258">
        <v>20000</v>
      </c>
      <c r="F310" s="191">
        <v>0.05</v>
      </c>
      <c r="G310" s="242">
        <v>44357</v>
      </c>
      <c r="H310" s="244">
        <f t="shared" si="7"/>
        <v>1000</v>
      </c>
      <c r="I310" s="191" t="s">
        <v>10</v>
      </c>
    </row>
    <row r="311" hidden="1" spans="2:10">
      <c r="B311" s="191">
        <v>212200157</v>
      </c>
      <c r="C311" s="242">
        <v>44337</v>
      </c>
      <c r="D311" s="243" t="s">
        <v>40</v>
      </c>
      <c r="E311" s="258">
        <v>20000</v>
      </c>
      <c r="F311" s="191">
        <v>0.05</v>
      </c>
      <c r="G311" s="242">
        <v>44387</v>
      </c>
      <c r="H311" s="244">
        <f t="shared" si="7"/>
        <v>1000</v>
      </c>
      <c r="I311" s="191" t="s">
        <v>10</v>
      </c>
    </row>
    <row r="312" hidden="1" spans="2:10">
      <c r="B312" s="191">
        <v>212200157</v>
      </c>
      <c r="C312" s="242">
        <v>44337</v>
      </c>
      <c r="D312" s="191" t="s">
        <v>50</v>
      </c>
      <c r="E312" s="258">
        <v>20000</v>
      </c>
      <c r="F312" s="191">
        <v>0.08</v>
      </c>
      <c r="G312" s="242">
        <v>44357</v>
      </c>
      <c r="H312" s="244">
        <f t="shared" si="7"/>
        <v>1600</v>
      </c>
      <c r="I312" s="191" t="s">
        <v>10</v>
      </c>
    </row>
    <row r="313" hidden="1" spans="2:10">
      <c r="B313" s="191">
        <v>212200157</v>
      </c>
      <c r="C313" s="242">
        <v>44337</v>
      </c>
      <c r="D313" s="191" t="s">
        <v>50</v>
      </c>
      <c r="E313" s="258">
        <v>20000</v>
      </c>
      <c r="F313" s="191">
        <v>0.08</v>
      </c>
      <c r="G313" s="242">
        <v>44387</v>
      </c>
      <c r="H313" s="244">
        <f t="shared" si="7"/>
        <v>1600</v>
      </c>
      <c r="I313" s="191" t="s">
        <v>10</v>
      </c>
    </row>
    <row r="314" hidden="1" spans="2:10">
      <c r="B314" s="191">
        <v>212200044</v>
      </c>
      <c r="C314" s="242">
        <v>44338</v>
      </c>
      <c r="D314" s="243" t="s">
        <v>39</v>
      </c>
      <c r="E314" s="191">
        <v>800000</v>
      </c>
      <c r="F314" s="191">
        <v>0.03</v>
      </c>
      <c r="G314" s="212">
        <v>44454</v>
      </c>
      <c r="H314" s="244">
        <f t="shared" si="7"/>
        <v>24000</v>
      </c>
      <c r="I314" s="191" t="s">
        <v>10</v>
      </c>
    </row>
    <row r="315" hidden="1" spans="2:10">
      <c r="B315" s="191">
        <v>212200044</v>
      </c>
      <c r="C315" s="242">
        <v>44338</v>
      </c>
      <c r="D315" s="243" t="s">
        <v>39</v>
      </c>
      <c r="E315" s="191">
        <v>400000</v>
      </c>
      <c r="F315" s="191">
        <v>0.03</v>
      </c>
      <c r="G315" s="212">
        <v>44454</v>
      </c>
      <c r="H315" s="244">
        <f t="shared" si="7"/>
        <v>12000</v>
      </c>
      <c r="I315" s="191" t="s">
        <v>10</v>
      </c>
    </row>
    <row r="316" hidden="1" spans="2:10">
      <c r="B316" s="191">
        <v>212200044</v>
      </c>
      <c r="C316" s="242">
        <v>44338</v>
      </c>
      <c r="D316" s="243" t="s">
        <v>39</v>
      </c>
      <c r="E316" s="191">
        <v>600000</v>
      </c>
      <c r="F316" s="191">
        <v>0.03</v>
      </c>
      <c r="G316" s="242">
        <v>44499</v>
      </c>
      <c r="H316" s="244">
        <f t="shared" si="7"/>
        <v>18000</v>
      </c>
      <c r="I316" s="191" t="s">
        <v>10</v>
      </c>
    </row>
    <row r="317" hidden="1" spans="2:10">
      <c r="B317" s="191">
        <v>212200044</v>
      </c>
      <c r="C317" s="242">
        <v>44338</v>
      </c>
      <c r="D317" s="243" t="s">
        <v>39</v>
      </c>
      <c r="E317" s="191">
        <v>400000</v>
      </c>
      <c r="F317" s="191">
        <v>0.03</v>
      </c>
      <c r="G317" s="242">
        <v>44499</v>
      </c>
      <c r="H317" s="244">
        <f t="shared" si="7"/>
        <v>12000</v>
      </c>
      <c r="I317" s="191" t="s">
        <v>10</v>
      </c>
    </row>
    <row r="318" hidden="1" spans="2:10">
      <c r="B318" s="191">
        <v>212200044</v>
      </c>
      <c r="C318" s="242">
        <v>44338</v>
      </c>
      <c r="D318" s="243" t="s">
        <v>39</v>
      </c>
      <c r="E318" s="191">
        <v>150000</v>
      </c>
      <c r="F318" s="191">
        <v>0.03</v>
      </c>
      <c r="G318" s="242"/>
      <c r="H318" s="244">
        <f t="shared" si="7"/>
        <v>4500</v>
      </c>
      <c r="I318" s="191" t="s">
        <v>10</v>
      </c>
    </row>
    <row r="319" hidden="1" spans="2:10">
      <c r="B319" s="191">
        <v>212200044</v>
      </c>
      <c r="C319" s="242">
        <v>44338</v>
      </c>
      <c r="D319" s="243" t="s">
        <v>39</v>
      </c>
      <c r="E319" s="191">
        <v>154000</v>
      </c>
      <c r="F319" s="191">
        <v>0.03</v>
      </c>
      <c r="G319" s="242"/>
      <c r="H319" s="244">
        <f t="shared" si="7"/>
        <v>4620</v>
      </c>
      <c r="I319" s="191" t="s">
        <v>10</v>
      </c>
    </row>
    <row r="320" hidden="1" spans="2:10">
      <c r="B320" s="191">
        <v>212200174</v>
      </c>
      <c r="C320" s="242">
        <v>44347</v>
      </c>
      <c r="D320" s="191" t="s">
        <v>95</v>
      </c>
      <c r="E320" s="191">
        <v>20040</v>
      </c>
      <c r="F320" s="191">
        <v>0.06</v>
      </c>
      <c r="G320" s="242">
        <v>44347</v>
      </c>
      <c r="H320" s="244">
        <f t="shared" si="7"/>
        <v>1202.4</v>
      </c>
      <c r="I320" s="191" t="s">
        <v>14</v>
      </c>
      <c r="J320" s="260"/>
    </row>
    <row r="321" hidden="1" spans="2:10">
      <c r="B321" s="191">
        <v>212200174</v>
      </c>
      <c r="C321" s="242">
        <v>44347</v>
      </c>
      <c r="D321" s="191" t="s">
        <v>95</v>
      </c>
      <c r="E321" s="191">
        <v>20040</v>
      </c>
      <c r="F321" s="191">
        <v>0.06</v>
      </c>
      <c r="G321" s="242">
        <v>44397</v>
      </c>
      <c r="H321" s="244">
        <f t="shared" si="7"/>
        <v>1202.4</v>
      </c>
      <c r="I321" s="191" t="s">
        <v>14</v>
      </c>
      <c r="J321" s="260"/>
    </row>
    <row r="322" hidden="1" spans="2:10">
      <c r="B322" s="191">
        <v>212200174</v>
      </c>
      <c r="C322" s="242">
        <v>44347</v>
      </c>
      <c r="D322" s="191" t="s">
        <v>95</v>
      </c>
      <c r="E322" s="191">
        <v>20040</v>
      </c>
      <c r="F322" s="191">
        <v>0.06</v>
      </c>
      <c r="G322" s="242">
        <v>44428</v>
      </c>
      <c r="H322" s="244">
        <f t="shared" si="7"/>
        <v>1202.4</v>
      </c>
      <c r="I322" s="191" t="s">
        <v>14</v>
      </c>
      <c r="J322" s="260"/>
    </row>
    <row r="323" hidden="1" spans="2:10">
      <c r="B323" s="191">
        <v>212200176</v>
      </c>
      <c r="C323" s="242">
        <v>44351</v>
      </c>
      <c r="D323" s="243" t="s">
        <v>96</v>
      </c>
      <c r="E323" s="191">
        <v>208000</v>
      </c>
      <c r="F323" s="191">
        <v>0.0055</v>
      </c>
      <c r="G323" s="242">
        <v>44392</v>
      </c>
      <c r="H323" s="244">
        <f t="shared" si="7"/>
        <v>1144</v>
      </c>
      <c r="I323" s="191" t="s">
        <v>14</v>
      </c>
      <c r="J323" s="260"/>
    </row>
    <row r="324" hidden="1" spans="2:10">
      <c r="B324" s="191">
        <v>212200186</v>
      </c>
      <c r="C324" s="242">
        <v>44354</v>
      </c>
      <c r="D324" s="243" t="s">
        <v>47</v>
      </c>
      <c r="E324" s="191">
        <v>100000</v>
      </c>
      <c r="F324" s="191">
        <v>0.024</v>
      </c>
      <c r="G324" s="242">
        <v>44392</v>
      </c>
      <c r="H324" s="244">
        <f t="shared" si="7"/>
        <v>2400</v>
      </c>
      <c r="I324" s="191" t="s">
        <v>14</v>
      </c>
      <c r="J324" s="260"/>
    </row>
    <row r="325" hidden="1" spans="2:10">
      <c r="B325" s="191">
        <v>212200186</v>
      </c>
      <c r="C325" s="242">
        <v>44354</v>
      </c>
      <c r="D325" s="243" t="s">
        <v>47</v>
      </c>
      <c r="E325" s="191">
        <v>100000</v>
      </c>
      <c r="F325" s="191">
        <v>0.024</v>
      </c>
      <c r="G325" s="242">
        <v>44392</v>
      </c>
      <c r="H325" s="244">
        <f t="shared" si="7"/>
        <v>2400</v>
      </c>
      <c r="I325" s="191" t="s">
        <v>14</v>
      </c>
      <c r="J325" s="260"/>
    </row>
    <row r="326" hidden="1" spans="2:10">
      <c r="B326" s="191">
        <v>212200186</v>
      </c>
      <c r="C326" s="242">
        <v>44354</v>
      </c>
      <c r="D326" s="243" t="s">
        <v>47</v>
      </c>
      <c r="E326" s="191">
        <v>100000</v>
      </c>
      <c r="F326" s="191">
        <v>0.024</v>
      </c>
      <c r="G326" s="242">
        <v>44449</v>
      </c>
      <c r="H326" s="244">
        <f t="shared" si="7"/>
        <v>2400</v>
      </c>
      <c r="I326" s="191" t="s">
        <v>14</v>
      </c>
      <c r="J326" s="260"/>
    </row>
    <row r="327" hidden="1" spans="2:10">
      <c r="B327" s="191">
        <v>212200186</v>
      </c>
      <c r="C327" s="242">
        <v>44354</v>
      </c>
      <c r="D327" s="243" t="s">
        <v>47</v>
      </c>
      <c r="E327" s="191">
        <v>200000</v>
      </c>
      <c r="F327" s="191">
        <v>0.024</v>
      </c>
      <c r="G327" s="242">
        <v>44449</v>
      </c>
      <c r="H327" s="244">
        <f t="shared" si="7"/>
        <v>4800</v>
      </c>
      <c r="I327" s="191" t="s">
        <v>14</v>
      </c>
    </row>
    <row r="328" hidden="1" spans="2:10">
      <c r="B328" s="191">
        <v>212200186</v>
      </c>
      <c r="C328" s="242">
        <v>44354</v>
      </c>
      <c r="D328" s="243" t="s">
        <v>47</v>
      </c>
      <c r="E328" s="191">
        <v>300000</v>
      </c>
      <c r="F328" s="191">
        <v>0.024</v>
      </c>
      <c r="G328" s="242">
        <v>44479</v>
      </c>
      <c r="H328" s="244">
        <f t="shared" si="7"/>
        <v>7200</v>
      </c>
      <c r="I328" s="191" t="s">
        <v>14</v>
      </c>
    </row>
    <row r="329" hidden="1" spans="2:10">
      <c r="B329" s="191">
        <v>212200195</v>
      </c>
      <c r="C329" s="242">
        <v>44356</v>
      </c>
      <c r="D329" s="243" t="s">
        <v>45</v>
      </c>
      <c r="E329" s="191">
        <v>100000</v>
      </c>
      <c r="F329" s="191">
        <v>0.028</v>
      </c>
      <c r="G329" s="242">
        <v>44407</v>
      </c>
      <c r="H329" s="244">
        <f t="shared" si="7"/>
        <v>2800</v>
      </c>
      <c r="I329" s="191" t="s">
        <v>14</v>
      </c>
    </row>
    <row r="330" hidden="1" spans="2:10">
      <c r="B330" s="191">
        <v>212200195</v>
      </c>
      <c r="C330" s="242">
        <v>44356</v>
      </c>
      <c r="D330" s="243" t="s">
        <v>45</v>
      </c>
      <c r="E330" s="191">
        <v>100000</v>
      </c>
      <c r="F330" s="191">
        <v>0.028</v>
      </c>
      <c r="G330" s="242">
        <v>44407</v>
      </c>
      <c r="H330" s="244">
        <f t="shared" si="7"/>
        <v>2800</v>
      </c>
      <c r="I330" s="191" t="s">
        <v>14</v>
      </c>
    </row>
    <row r="331" hidden="1" spans="2:10">
      <c r="B331" s="191">
        <v>212200195</v>
      </c>
      <c r="C331" s="242">
        <v>44356</v>
      </c>
      <c r="D331" s="243" t="s">
        <v>45</v>
      </c>
      <c r="E331" s="191">
        <v>100000</v>
      </c>
      <c r="F331" s="191">
        <v>0.028</v>
      </c>
      <c r="G331" s="242">
        <v>44407</v>
      </c>
      <c r="H331" s="244">
        <f t="shared" si="7"/>
        <v>2800</v>
      </c>
      <c r="I331" s="191" t="s">
        <v>14</v>
      </c>
    </row>
    <row r="332" hidden="1" spans="2:10">
      <c r="B332" s="191">
        <v>212200195</v>
      </c>
      <c r="C332" s="242">
        <v>44356</v>
      </c>
      <c r="D332" s="243" t="s">
        <v>45</v>
      </c>
      <c r="E332" s="191">
        <v>100000</v>
      </c>
      <c r="F332" s="191">
        <v>0.028</v>
      </c>
      <c r="G332" s="242">
        <v>44438</v>
      </c>
      <c r="H332" s="244">
        <f t="shared" si="7"/>
        <v>2800</v>
      </c>
      <c r="I332" s="191" t="s">
        <v>14</v>
      </c>
    </row>
    <row r="333" hidden="1" spans="2:10">
      <c r="B333" s="191">
        <v>212200195</v>
      </c>
      <c r="C333" s="242">
        <v>44356</v>
      </c>
      <c r="D333" s="243" t="s">
        <v>45</v>
      </c>
      <c r="E333" s="191">
        <v>100000</v>
      </c>
      <c r="F333" s="191">
        <v>0.028</v>
      </c>
      <c r="G333" s="242">
        <v>44438</v>
      </c>
      <c r="H333" s="244">
        <f t="shared" si="7"/>
        <v>2800</v>
      </c>
      <c r="I333" s="191" t="s">
        <v>14</v>
      </c>
    </row>
    <row r="334" hidden="1" spans="2:10">
      <c r="B334" s="191">
        <v>212200195</v>
      </c>
      <c r="C334" s="242">
        <v>44356</v>
      </c>
      <c r="D334" s="243" t="s">
        <v>45</v>
      </c>
      <c r="E334" s="191">
        <v>100000</v>
      </c>
      <c r="F334" s="191">
        <v>0.028</v>
      </c>
      <c r="G334" s="242">
        <v>44438</v>
      </c>
      <c r="H334" s="244">
        <f t="shared" si="7"/>
        <v>2800</v>
      </c>
      <c r="I334" s="191" t="s">
        <v>14</v>
      </c>
    </row>
    <row r="335" hidden="1" spans="2:10">
      <c r="B335" s="191">
        <v>212200195</v>
      </c>
      <c r="C335" s="242">
        <v>44356</v>
      </c>
      <c r="D335" s="243" t="s">
        <v>45</v>
      </c>
      <c r="E335" s="191">
        <v>100000</v>
      </c>
      <c r="F335" s="191">
        <v>0.028</v>
      </c>
      <c r="G335" s="242">
        <v>44454</v>
      </c>
      <c r="H335" s="244">
        <f t="shared" si="7"/>
        <v>2800</v>
      </c>
      <c r="I335" s="191" t="s">
        <v>14</v>
      </c>
    </row>
    <row r="336" hidden="1" spans="2:10">
      <c r="B336" s="191">
        <v>212200195</v>
      </c>
      <c r="C336" s="242">
        <v>44356</v>
      </c>
      <c r="D336" s="243" t="s">
        <v>45</v>
      </c>
      <c r="E336" s="191">
        <v>100000</v>
      </c>
      <c r="F336" s="191">
        <v>0.028</v>
      </c>
      <c r="G336" s="242">
        <v>44494</v>
      </c>
      <c r="H336" s="244">
        <f t="shared" si="7"/>
        <v>2800</v>
      </c>
      <c r="I336" s="191" t="s">
        <v>14</v>
      </c>
    </row>
    <row r="337" hidden="1" spans="2:9">
      <c r="B337" s="191">
        <v>212200195</v>
      </c>
      <c r="C337" s="242">
        <v>44356</v>
      </c>
      <c r="D337" s="243" t="s">
        <v>45</v>
      </c>
      <c r="E337" s="191">
        <v>100000</v>
      </c>
      <c r="F337" s="191">
        <v>0.028</v>
      </c>
      <c r="G337" s="242">
        <v>44494</v>
      </c>
      <c r="H337" s="244">
        <f t="shared" si="7"/>
        <v>2800</v>
      </c>
      <c r="I337" s="191" t="s">
        <v>14</v>
      </c>
    </row>
    <row r="338" hidden="1" spans="2:9">
      <c r="B338" s="191">
        <v>212200195</v>
      </c>
      <c r="C338" s="242">
        <v>44356</v>
      </c>
      <c r="D338" s="243" t="s">
        <v>45</v>
      </c>
      <c r="E338" s="191">
        <v>100000</v>
      </c>
      <c r="F338" s="191">
        <v>0.028</v>
      </c>
      <c r="G338" s="242">
        <v>44494</v>
      </c>
      <c r="H338" s="244">
        <f t="shared" si="7"/>
        <v>2800</v>
      </c>
      <c r="I338" s="191" t="s">
        <v>14</v>
      </c>
    </row>
    <row r="339" hidden="1" spans="2:9">
      <c r="B339" s="191">
        <v>212200195</v>
      </c>
      <c r="C339" s="242">
        <v>44356</v>
      </c>
      <c r="D339" s="243" t="s">
        <v>41</v>
      </c>
      <c r="E339" s="191">
        <v>20000</v>
      </c>
      <c r="F339" s="191">
        <v>0.285</v>
      </c>
      <c r="G339" s="242">
        <v>44484</v>
      </c>
      <c r="H339" s="244">
        <f t="shared" si="7"/>
        <v>5700</v>
      </c>
      <c r="I339" s="191" t="s">
        <v>14</v>
      </c>
    </row>
    <row r="340" hidden="1" spans="2:9">
      <c r="B340" s="191">
        <v>212200195</v>
      </c>
      <c r="C340" s="242">
        <v>44356</v>
      </c>
      <c r="D340" s="243" t="s">
        <v>41</v>
      </c>
      <c r="E340" s="191">
        <v>20000</v>
      </c>
      <c r="F340" s="191">
        <v>0.285</v>
      </c>
      <c r="G340" s="242">
        <v>44484</v>
      </c>
      <c r="H340" s="244">
        <f t="shared" si="7"/>
        <v>5700</v>
      </c>
      <c r="I340" s="191" t="s">
        <v>14</v>
      </c>
    </row>
    <row r="341" hidden="1" spans="2:9">
      <c r="B341" s="191">
        <v>212200195</v>
      </c>
      <c r="C341" s="242">
        <v>44356</v>
      </c>
      <c r="D341" s="243" t="s">
        <v>41</v>
      </c>
      <c r="E341" s="191">
        <v>20000</v>
      </c>
      <c r="F341" s="191">
        <v>0.285</v>
      </c>
      <c r="G341" s="242">
        <v>44525</v>
      </c>
      <c r="H341" s="244">
        <f t="shared" si="7"/>
        <v>5700</v>
      </c>
      <c r="I341" s="191" t="s">
        <v>14</v>
      </c>
    </row>
    <row r="342" hidden="1" spans="2:9">
      <c r="B342" s="191">
        <v>212200195</v>
      </c>
      <c r="C342" s="242">
        <v>44356</v>
      </c>
      <c r="D342" s="243" t="s">
        <v>41</v>
      </c>
      <c r="E342" s="191">
        <v>20000</v>
      </c>
      <c r="F342" s="191">
        <v>0.285</v>
      </c>
      <c r="G342" s="242">
        <v>44525</v>
      </c>
      <c r="H342" s="244">
        <f t="shared" si="7"/>
        <v>5700</v>
      </c>
      <c r="I342" s="191" t="s">
        <v>14</v>
      </c>
    </row>
    <row r="343" hidden="1" spans="2:9">
      <c r="B343" s="191">
        <v>212200207</v>
      </c>
      <c r="C343" s="242">
        <v>44358</v>
      </c>
      <c r="D343" s="191" t="s">
        <v>50</v>
      </c>
      <c r="E343" s="258">
        <v>140000</v>
      </c>
      <c r="F343" s="191">
        <v>0.08</v>
      </c>
      <c r="G343" s="242">
        <v>44418</v>
      </c>
      <c r="H343" s="244">
        <f t="shared" si="7"/>
        <v>11200</v>
      </c>
      <c r="I343" s="191" t="s">
        <v>14</v>
      </c>
    </row>
    <row r="344" hidden="1" spans="2:9">
      <c r="B344" s="191">
        <v>212200207</v>
      </c>
      <c r="C344" s="242">
        <v>44358</v>
      </c>
      <c r="D344" s="191" t="s">
        <v>50</v>
      </c>
      <c r="E344" s="258">
        <v>140000</v>
      </c>
      <c r="F344" s="191">
        <v>0.08</v>
      </c>
      <c r="G344" s="242">
        <v>44438</v>
      </c>
      <c r="H344" s="244">
        <f t="shared" si="7"/>
        <v>11200</v>
      </c>
      <c r="I344" s="191" t="s">
        <v>14</v>
      </c>
    </row>
    <row r="345" hidden="1" spans="2:9">
      <c r="B345" s="191">
        <v>212200207</v>
      </c>
      <c r="C345" s="242">
        <v>44358</v>
      </c>
      <c r="D345" s="191" t="s">
        <v>50</v>
      </c>
      <c r="E345" s="258">
        <v>140000</v>
      </c>
      <c r="F345" s="191">
        <v>0.08</v>
      </c>
      <c r="G345" s="242">
        <v>44449</v>
      </c>
      <c r="H345" s="244">
        <f t="shared" si="7"/>
        <v>11200</v>
      </c>
      <c r="I345" s="191" t="s">
        <v>14</v>
      </c>
    </row>
    <row r="346" hidden="1" spans="2:9">
      <c r="B346" s="191">
        <v>212200207</v>
      </c>
      <c r="C346" s="242">
        <v>44358</v>
      </c>
      <c r="D346" s="191" t="s">
        <v>50</v>
      </c>
      <c r="E346" s="258">
        <v>140000</v>
      </c>
      <c r="F346" s="191">
        <v>0.08</v>
      </c>
      <c r="G346" s="242">
        <v>44469</v>
      </c>
      <c r="H346" s="244">
        <f t="shared" si="7"/>
        <v>11200</v>
      </c>
      <c r="I346" s="191" t="s">
        <v>14</v>
      </c>
    </row>
    <row r="347" hidden="1" spans="2:9">
      <c r="B347" s="191">
        <v>212200207</v>
      </c>
      <c r="C347" s="242">
        <v>44358</v>
      </c>
      <c r="D347" s="243" t="s">
        <v>93</v>
      </c>
      <c r="E347" s="258">
        <v>90000</v>
      </c>
      <c r="F347" s="191">
        <v>0.04</v>
      </c>
      <c r="G347" s="242">
        <v>44449</v>
      </c>
      <c r="H347" s="244">
        <f t="shared" si="7"/>
        <v>3600</v>
      </c>
      <c r="I347" s="191" t="s">
        <v>10</v>
      </c>
    </row>
    <row r="348" hidden="1" spans="2:9">
      <c r="B348" s="191">
        <v>212200207</v>
      </c>
      <c r="C348" s="242">
        <v>44358</v>
      </c>
      <c r="D348" s="243" t="s">
        <v>93</v>
      </c>
      <c r="E348" s="258">
        <v>90000</v>
      </c>
      <c r="F348" s="191">
        <v>0.04</v>
      </c>
      <c r="G348" s="242">
        <v>44469</v>
      </c>
      <c r="H348" s="244">
        <f t="shared" si="7"/>
        <v>3600</v>
      </c>
      <c r="I348" s="191" t="s">
        <v>10</v>
      </c>
    </row>
    <row r="349" hidden="1" spans="2:9">
      <c r="B349" s="191">
        <v>212200207</v>
      </c>
      <c r="C349" s="242">
        <v>44425</v>
      </c>
      <c r="D349" s="243" t="s">
        <v>93</v>
      </c>
      <c r="E349" s="258">
        <v>100000</v>
      </c>
      <c r="F349" s="191">
        <v>0.04</v>
      </c>
      <c r="G349" s="242">
        <v>44489</v>
      </c>
      <c r="H349" s="214">
        <f t="shared" si="7"/>
        <v>4000</v>
      </c>
      <c r="I349" s="191" t="s">
        <v>10</v>
      </c>
    </row>
    <row r="350" hidden="1" spans="2:9">
      <c r="B350" s="191">
        <v>212200207</v>
      </c>
      <c r="C350" s="242">
        <v>44425</v>
      </c>
      <c r="D350" s="243" t="s">
        <v>93</v>
      </c>
      <c r="E350" s="258">
        <v>100000</v>
      </c>
      <c r="F350" s="191">
        <v>0.04</v>
      </c>
      <c r="G350" s="242">
        <v>44520</v>
      </c>
      <c r="H350" s="214">
        <f t="shared" si="7"/>
        <v>4000</v>
      </c>
      <c r="I350" s="191" t="s">
        <v>10</v>
      </c>
    </row>
    <row r="351" hidden="1" spans="2:9">
      <c r="B351" s="191">
        <v>212200207</v>
      </c>
      <c r="C351" s="242">
        <v>44425</v>
      </c>
      <c r="D351" s="243" t="s">
        <v>93</v>
      </c>
      <c r="E351" s="258">
        <v>100000</v>
      </c>
      <c r="F351" s="191">
        <v>0.04</v>
      </c>
      <c r="G351" s="242">
        <v>44545</v>
      </c>
      <c r="H351" s="214">
        <f t="shared" si="7"/>
        <v>4000</v>
      </c>
      <c r="I351" s="191" t="s">
        <v>10</v>
      </c>
    </row>
    <row r="352" hidden="1" spans="2:9">
      <c r="B352" s="191">
        <v>212200207</v>
      </c>
      <c r="C352" s="242">
        <v>44425</v>
      </c>
      <c r="D352" s="243" t="s">
        <v>93</v>
      </c>
      <c r="E352" s="258">
        <v>100000</v>
      </c>
      <c r="F352" s="191">
        <v>0.04</v>
      </c>
      <c r="G352" s="242">
        <v>44560</v>
      </c>
      <c r="H352" s="214">
        <f t="shared" si="7"/>
        <v>4000</v>
      </c>
      <c r="I352" s="191" t="s">
        <v>10</v>
      </c>
    </row>
    <row r="353" hidden="1" spans="2:9">
      <c r="B353" s="191">
        <v>212200212</v>
      </c>
      <c r="C353" s="242">
        <v>44362</v>
      </c>
      <c r="D353" s="243" t="s">
        <v>96</v>
      </c>
      <c r="E353" s="258">
        <v>208000</v>
      </c>
      <c r="F353" s="191">
        <v>0.0055</v>
      </c>
      <c r="G353" s="242">
        <v>44454</v>
      </c>
      <c r="H353" s="244">
        <f t="shared" si="7"/>
        <v>1144</v>
      </c>
      <c r="I353" s="191" t="s">
        <v>14</v>
      </c>
    </row>
    <row r="354" hidden="1" spans="2:9">
      <c r="B354" s="191">
        <v>212200212</v>
      </c>
      <c r="C354" s="242">
        <v>44362</v>
      </c>
      <c r="D354" s="243" t="s">
        <v>96</v>
      </c>
      <c r="E354" s="258">
        <v>208000</v>
      </c>
      <c r="F354" s="191">
        <v>0.0055</v>
      </c>
      <c r="G354" s="242">
        <v>44494</v>
      </c>
      <c r="H354" s="244">
        <f t="shared" si="7"/>
        <v>1144</v>
      </c>
      <c r="I354" s="191" t="s">
        <v>14</v>
      </c>
    </row>
    <row r="355" hidden="1" spans="2:9">
      <c r="B355" s="191">
        <v>212200212</v>
      </c>
      <c r="C355" s="242">
        <v>44362</v>
      </c>
      <c r="D355" s="243" t="s">
        <v>38</v>
      </c>
      <c r="E355" s="258">
        <v>200000</v>
      </c>
      <c r="F355" s="191">
        <v>0.01</v>
      </c>
      <c r="G355" s="242">
        <v>44454</v>
      </c>
      <c r="H355" s="244">
        <f t="shared" si="7"/>
        <v>2000</v>
      </c>
      <c r="I355" s="191" t="s">
        <v>14</v>
      </c>
    </row>
    <row r="356" hidden="1" spans="2:9">
      <c r="B356" s="191">
        <v>212200212</v>
      </c>
      <c r="C356" s="242">
        <v>44362</v>
      </c>
      <c r="D356" s="243" t="s">
        <v>61</v>
      </c>
      <c r="E356" s="258">
        <v>208000</v>
      </c>
      <c r="F356" s="191">
        <v>0.022</v>
      </c>
      <c r="G356" s="242">
        <v>44464</v>
      </c>
      <c r="H356" s="244">
        <f t="shared" si="7"/>
        <v>4576</v>
      </c>
      <c r="I356" s="191" t="s">
        <v>14</v>
      </c>
    </row>
    <row r="357" hidden="1" spans="2:9">
      <c r="B357" s="243">
        <v>212200228</v>
      </c>
      <c r="C357" s="242">
        <v>44375</v>
      </c>
      <c r="D357" s="243" t="s">
        <v>56</v>
      </c>
      <c r="E357" s="191">
        <v>60000</v>
      </c>
      <c r="F357" s="191">
        <v>0.04</v>
      </c>
      <c r="G357" s="242">
        <v>44489</v>
      </c>
      <c r="H357" s="191">
        <f t="shared" si="7"/>
        <v>2400</v>
      </c>
      <c r="I357" s="191" t="s">
        <v>10</v>
      </c>
    </row>
    <row r="358" hidden="1" spans="2:9">
      <c r="B358" s="243">
        <v>212200228</v>
      </c>
      <c r="C358" s="242">
        <v>44375</v>
      </c>
      <c r="D358" s="243" t="s">
        <v>43</v>
      </c>
      <c r="E358" s="258">
        <v>40000</v>
      </c>
      <c r="F358" s="191">
        <v>0.05</v>
      </c>
      <c r="G358" s="242">
        <v>44469</v>
      </c>
      <c r="H358" s="255">
        <f t="shared" si="7"/>
        <v>2000</v>
      </c>
      <c r="I358" s="191" t="s">
        <v>10</v>
      </c>
    </row>
    <row r="359" hidden="1" spans="2:9">
      <c r="B359" s="243">
        <v>212200228</v>
      </c>
      <c r="C359" s="242">
        <v>44375</v>
      </c>
      <c r="D359" s="243" t="s">
        <v>80</v>
      </c>
      <c r="E359" s="258">
        <v>20000</v>
      </c>
      <c r="F359" s="191">
        <v>0.18</v>
      </c>
      <c r="G359" s="242">
        <v>44499</v>
      </c>
      <c r="H359" s="255">
        <f t="shared" si="7"/>
        <v>3600</v>
      </c>
      <c r="I359" s="191" t="s">
        <v>10</v>
      </c>
    </row>
    <row r="360" hidden="1" spans="2:9">
      <c r="B360" s="191">
        <v>212200239</v>
      </c>
      <c r="C360" s="242">
        <v>44379</v>
      </c>
      <c r="D360" s="191" t="s">
        <v>97</v>
      </c>
      <c r="E360" s="191">
        <v>20000</v>
      </c>
      <c r="F360" s="191">
        <v>0.06</v>
      </c>
      <c r="G360" s="242">
        <v>44387</v>
      </c>
      <c r="H360" s="255">
        <f t="shared" si="7"/>
        <v>1200</v>
      </c>
      <c r="I360" s="191" t="s">
        <v>10</v>
      </c>
    </row>
    <row r="361" hidden="1" spans="2:9">
      <c r="B361" s="211">
        <v>212200255</v>
      </c>
      <c r="C361" s="212">
        <v>44386</v>
      </c>
      <c r="D361" s="213" t="s">
        <v>11</v>
      </c>
      <c r="E361" s="211">
        <v>200000</v>
      </c>
      <c r="F361" s="211">
        <v>0.065</v>
      </c>
      <c r="G361" s="212">
        <v>44464</v>
      </c>
      <c r="H361" s="214">
        <f t="shared" si="7"/>
        <v>13000</v>
      </c>
      <c r="I361" s="191" t="s">
        <v>10</v>
      </c>
    </row>
    <row r="362" hidden="1" spans="2:9">
      <c r="B362" s="211">
        <v>212200255</v>
      </c>
      <c r="C362" s="212">
        <v>44386</v>
      </c>
      <c r="D362" s="213" t="s">
        <v>11</v>
      </c>
      <c r="E362" s="211">
        <v>200000</v>
      </c>
      <c r="F362" s="211">
        <v>0.065</v>
      </c>
      <c r="G362" s="212">
        <v>44484</v>
      </c>
      <c r="H362" s="214">
        <f t="shared" si="7"/>
        <v>13000</v>
      </c>
      <c r="I362" s="191" t="s">
        <v>10</v>
      </c>
    </row>
    <row r="363" hidden="1" spans="2:9">
      <c r="B363" s="211">
        <v>212200255</v>
      </c>
      <c r="C363" s="212">
        <v>44386</v>
      </c>
      <c r="D363" s="213" t="s">
        <v>11</v>
      </c>
      <c r="E363" s="211">
        <v>200000</v>
      </c>
      <c r="F363" s="211">
        <v>0.065</v>
      </c>
      <c r="G363" s="212">
        <v>44525</v>
      </c>
      <c r="H363" s="214">
        <f t="shared" si="7"/>
        <v>13000</v>
      </c>
      <c r="I363" s="191" t="s">
        <v>10</v>
      </c>
    </row>
    <row r="364" hidden="1" spans="2:9">
      <c r="B364" s="211">
        <v>212200255</v>
      </c>
      <c r="C364" s="212">
        <v>44386</v>
      </c>
      <c r="D364" s="252" t="s">
        <v>29</v>
      </c>
      <c r="E364" s="253">
        <v>300000</v>
      </c>
      <c r="F364" s="211">
        <v>0.027</v>
      </c>
      <c r="G364" s="261">
        <v>44423</v>
      </c>
      <c r="H364" s="214">
        <f t="shared" si="7"/>
        <v>8100</v>
      </c>
      <c r="I364" s="191" t="s">
        <v>10</v>
      </c>
    </row>
    <row r="365" hidden="1" spans="2:9">
      <c r="B365" s="211">
        <v>212200255</v>
      </c>
      <c r="C365" s="212">
        <v>44386</v>
      </c>
      <c r="D365" s="252" t="s">
        <v>29</v>
      </c>
      <c r="E365" s="253">
        <v>300000</v>
      </c>
      <c r="F365" s="211">
        <v>0.027</v>
      </c>
      <c r="G365" s="261">
        <v>44433</v>
      </c>
      <c r="H365" s="214">
        <f t="shared" si="7"/>
        <v>8100</v>
      </c>
      <c r="I365" s="191" t="s">
        <v>10</v>
      </c>
    </row>
    <row r="366" hidden="1" spans="2:9">
      <c r="B366" s="211">
        <v>212200255</v>
      </c>
      <c r="C366" s="212">
        <v>44386</v>
      </c>
      <c r="D366" s="252" t="s">
        <v>29</v>
      </c>
      <c r="E366" s="253">
        <v>300000</v>
      </c>
      <c r="F366" s="211">
        <v>0.027</v>
      </c>
      <c r="G366" s="261">
        <v>44464</v>
      </c>
      <c r="H366" s="214">
        <f t="shared" si="7"/>
        <v>8100</v>
      </c>
      <c r="I366" s="191" t="s">
        <v>10</v>
      </c>
    </row>
    <row r="367" hidden="1" spans="2:9">
      <c r="B367" s="211">
        <v>212200255</v>
      </c>
      <c r="C367" s="212">
        <v>44386</v>
      </c>
      <c r="D367" s="252" t="s">
        <v>29</v>
      </c>
      <c r="E367" s="253">
        <v>300000</v>
      </c>
      <c r="F367" s="211">
        <v>0.027</v>
      </c>
      <c r="G367" s="261">
        <v>44510</v>
      </c>
      <c r="H367" s="214">
        <f t="shared" si="7"/>
        <v>8100</v>
      </c>
      <c r="I367" s="191" t="s">
        <v>10</v>
      </c>
    </row>
    <row r="368" hidden="1" spans="2:9">
      <c r="B368" s="211">
        <v>212200255</v>
      </c>
      <c r="C368" s="212">
        <v>44386</v>
      </c>
      <c r="D368" s="252" t="s">
        <v>29</v>
      </c>
      <c r="E368" s="253">
        <v>300000</v>
      </c>
      <c r="F368" s="211">
        <v>0.027</v>
      </c>
      <c r="G368" s="261">
        <v>44540</v>
      </c>
      <c r="H368" s="214">
        <f t="shared" si="7"/>
        <v>8100</v>
      </c>
      <c r="I368" s="191" t="s">
        <v>10</v>
      </c>
    </row>
    <row r="369" hidden="1" spans="2:9">
      <c r="B369" s="211">
        <v>212200255</v>
      </c>
      <c r="C369" s="212">
        <v>44386</v>
      </c>
      <c r="D369" s="213" t="s">
        <v>31</v>
      </c>
      <c r="E369" s="249">
        <v>200000</v>
      </c>
      <c r="F369" s="211">
        <v>0.036</v>
      </c>
      <c r="G369" s="212">
        <v>44428</v>
      </c>
      <c r="H369" s="214">
        <f t="shared" si="7"/>
        <v>7200</v>
      </c>
      <c r="I369" s="191" t="s">
        <v>10</v>
      </c>
    </row>
    <row r="370" hidden="1" spans="2:9">
      <c r="B370" s="211">
        <v>212200255</v>
      </c>
      <c r="C370" s="212">
        <v>44386</v>
      </c>
      <c r="D370" s="213" t="s">
        <v>31</v>
      </c>
      <c r="E370" s="249">
        <v>100000</v>
      </c>
      <c r="F370" s="211">
        <v>0.036</v>
      </c>
      <c r="G370" s="212">
        <v>44449</v>
      </c>
      <c r="H370" s="214">
        <f t="shared" si="7"/>
        <v>3600</v>
      </c>
      <c r="I370" s="191" t="s">
        <v>10</v>
      </c>
    </row>
    <row r="371" hidden="1" spans="2:9">
      <c r="B371" s="211">
        <v>212200255</v>
      </c>
      <c r="C371" s="212">
        <v>44386</v>
      </c>
      <c r="D371" s="213" t="s">
        <v>31</v>
      </c>
      <c r="E371" s="249">
        <v>150000</v>
      </c>
      <c r="F371" s="211">
        <v>0.036</v>
      </c>
      <c r="G371" s="212">
        <v>44464</v>
      </c>
      <c r="H371" s="214">
        <f t="shared" si="7"/>
        <v>5400</v>
      </c>
      <c r="I371" s="191" t="s">
        <v>10</v>
      </c>
    </row>
    <row r="372" hidden="1" spans="2:9">
      <c r="B372" s="211">
        <v>212200255</v>
      </c>
      <c r="C372" s="212">
        <v>44386</v>
      </c>
      <c r="D372" s="213" t="s">
        <v>31</v>
      </c>
      <c r="E372" s="249">
        <v>150000</v>
      </c>
      <c r="F372" s="211">
        <v>0.036</v>
      </c>
      <c r="G372" s="212">
        <v>44479</v>
      </c>
      <c r="H372" s="214">
        <f t="shared" si="7"/>
        <v>5400</v>
      </c>
      <c r="I372" s="191" t="s">
        <v>10</v>
      </c>
    </row>
    <row r="373" hidden="1" spans="2:9">
      <c r="B373" s="211">
        <v>212200255</v>
      </c>
      <c r="C373" s="212">
        <v>44386</v>
      </c>
      <c r="D373" s="213" t="s">
        <v>31</v>
      </c>
      <c r="E373" s="249">
        <v>150000</v>
      </c>
      <c r="F373" s="211">
        <v>0.036</v>
      </c>
      <c r="G373" s="212">
        <v>44494</v>
      </c>
      <c r="H373" s="214">
        <f t="shared" ref="H373:H436" si="8">E373*F373</f>
        <v>5400</v>
      </c>
      <c r="I373" s="191" t="s">
        <v>10</v>
      </c>
    </row>
    <row r="374" hidden="1" spans="2:9">
      <c r="B374" s="211">
        <v>212200255</v>
      </c>
      <c r="C374" s="212">
        <v>44386</v>
      </c>
      <c r="D374" s="213" t="s">
        <v>31</v>
      </c>
      <c r="E374" s="249">
        <v>150000</v>
      </c>
      <c r="F374" s="211">
        <v>0.036</v>
      </c>
      <c r="G374" s="212">
        <v>44510</v>
      </c>
      <c r="H374" s="214">
        <f t="shared" si="8"/>
        <v>5400</v>
      </c>
      <c r="I374" s="191" t="s">
        <v>10</v>
      </c>
    </row>
    <row r="375" hidden="1" spans="2:9">
      <c r="B375" s="211">
        <v>212200255</v>
      </c>
      <c r="C375" s="212">
        <v>44386</v>
      </c>
      <c r="D375" s="211" t="s">
        <v>42</v>
      </c>
      <c r="E375" s="211">
        <v>300000</v>
      </c>
      <c r="F375" s="211">
        <v>0.065</v>
      </c>
      <c r="G375" s="212">
        <v>44479</v>
      </c>
      <c r="H375" s="214">
        <f t="shared" si="8"/>
        <v>19500</v>
      </c>
      <c r="I375" s="191" t="s">
        <v>10</v>
      </c>
    </row>
    <row r="376" hidden="1" spans="2:9">
      <c r="B376" s="211">
        <v>212200255</v>
      </c>
      <c r="C376" s="212">
        <v>44386</v>
      </c>
      <c r="D376" s="211" t="s">
        <v>32</v>
      </c>
      <c r="E376" s="211">
        <v>300000</v>
      </c>
      <c r="F376" s="211">
        <v>0.02</v>
      </c>
      <c r="G376" s="212">
        <v>44464</v>
      </c>
      <c r="H376" s="214">
        <f t="shared" si="8"/>
        <v>6000</v>
      </c>
      <c r="I376" s="191" t="s">
        <v>10</v>
      </c>
    </row>
    <row r="377" hidden="1" spans="2:9">
      <c r="B377" s="211">
        <v>212200255</v>
      </c>
      <c r="C377" s="212">
        <v>44386</v>
      </c>
      <c r="D377" s="211" t="s">
        <v>32</v>
      </c>
      <c r="E377" s="211">
        <v>100000</v>
      </c>
      <c r="F377" s="211">
        <v>0.02</v>
      </c>
      <c r="G377" s="212">
        <v>44479</v>
      </c>
      <c r="H377" s="214">
        <f t="shared" si="8"/>
        <v>2000</v>
      </c>
      <c r="I377" s="191" t="s">
        <v>10</v>
      </c>
    </row>
    <row r="378" hidden="1" spans="2:9">
      <c r="B378" s="211">
        <v>212200255</v>
      </c>
      <c r="C378" s="212">
        <v>44386</v>
      </c>
      <c r="D378" s="211" t="s">
        <v>61</v>
      </c>
      <c r="E378" s="211">
        <v>96000</v>
      </c>
      <c r="F378" s="211">
        <v>0.022</v>
      </c>
      <c r="G378" s="212">
        <v>44479</v>
      </c>
      <c r="H378" s="214">
        <f t="shared" si="8"/>
        <v>2112</v>
      </c>
      <c r="I378" s="191" t="s">
        <v>10</v>
      </c>
    </row>
    <row r="379" hidden="1" spans="2:9">
      <c r="B379" s="211">
        <v>212200260</v>
      </c>
      <c r="C379" s="242">
        <v>44387</v>
      </c>
      <c r="D379" s="191" t="s">
        <v>98</v>
      </c>
      <c r="E379" s="191">
        <v>20000</v>
      </c>
      <c r="F379" s="191">
        <v>0.025</v>
      </c>
      <c r="G379" s="242">
        <v>44428</v>
      </c>
      <c r="H379" s="214">
        <f t="shared" si="8"/>
        <v>500</v>
      </c>
      <c r="I379" s="191" t="s">
        <v>10</v>
      </c>
    </row>
    <row r="380" hidden="1" spans="2:9">
      <c r="B380" s="191">
        <v>212200307</v>
      </c>
      <c r="C380" s="242">
        <v>44405</v>
      </c>
      <c r="D380" s="252" t="s">
        <v>29</v>
      </c>
      <c r="E380" s="253">
        <v>500000</v>
      </c>
      <c r="F380" s="211">
        <v>0.027</v>
      </c>
      <c r="G380" s="242">
        <v>44499</v>
      </c>
      <c r="H380" s="214">
        <f t="shared" si="8"/>
        <v>13500</v>
      </c>
      <c r="I380" s="191" t="s">
        <v>10</v>
      </c>
    </row>
    <row r="381" hidden="1" spans="2:9">
      <c r="B381" s="191">
        <v>212200307</v>
      </c>
      <c r="C381" s="242">
        <v>44405</v>
      </c>
      <c r="D381" s="252" t="s">
        <v>29</v>
      </c>
      <c r="E381" s="253">
        <v>500000</v>
      </c>
      <c r="F381" s="211">
        <v>0.027</v>
      </c>
      <c r="G381" s="242">
        <v>44530</v>
      </c>
      <c r="H381" s="214">
        <f t="shared" si="8"/>
        <v>13500</v>
      </c>
      <c r="I381" s="191" t="s">
        <v>10</v>
      </c>
    </row>
    <row r="382" hidden="1" spans="2:9">
      <c r="B382" s="191">
        <v>212200307</v>
      </c>
      <c r="C382" s="242">
        <v>44405</v>
      </c>
      <c r="D382" s="213" t="s">
        <v>31</v>
      </c>
      <c r="E382" s="249">
        <v>300000</v>
      </c>
      <c r="F382" s="211">
        <v>0.036</v>
      </c>
      <c r="G382" s="242">
        <v>44510</v>
      </c>
      <c r="H382" s="214">
        <f t="shared" si="8"/>
        <v>10800</v>
      </c>
      <c r="I382" s="191" t="s">
        <v>10</v>
      </c>
    </row>
    <row r="383" hidden="1" spans="2:9">
      <c r="B383" s="191">
        <v>212200307</v>
      </c>
      <c r="C383" s="242">
        <v>44405</v>
      </c>
      <c r="D383" s="213" t="s">
        <v>31</v>
      </c>
      <c r="E383" s="249">
        <v>300000</v>
      </c>
      <c r="F383" s="211">
        <v>0.036</v>
      </c>
      <c r="G383" s="242">
        <v>44540</v>
      </c>
      <c r="H383" s="214">
        <f t="shared" si="8"/>
        <v>10800</v>
      </c>
      <c r="I383" s="191" t="s">
        <v>10</v>
      </c>
    </row>
    <row r="384" hidden="1" spans="2:9">
      <c r="B384" s="191">
        <v>212200307</v>
      </c>
      <c r="C384" s="242">
        <v>44405</v>
      </c>
      <c r="D384" s="191" t="s">
        <v>34</v>
      </c>
      <c r="E384" s="191">
        <v>100000</v>
      </c>
      <c r="F384" s="191">
        <v>0.051</v>
      </c>
      <c r="G384" s="242">
        <v>44510</v>
      </c>
      <c r="H384" s="214">
        <f t="shared" si="8"/>
        <v>5100</v>
      </c>
      <c r="I384" s="191" t="s">
        <v>10</v>
      </c>
    </row>
    <row r="385" hidden="1" spans="2:9">
      <c r="B385" s="191">
        <v>212200307</v>
      </c>
      <c r="C385" s="242">
        <v>44405</v>
      </c>
      <c r="D385" s="191" t="s">
        <v>99</v>
      </c>
      <c r="E385" s="191">
        <v>30000</v>
      </c>
      <c r="F385" s="191">
        <v>0.035</v>
      </c>
      <c r="G385" s="242">
        <v>44438</v>
      </c>
      <c r="H385" s="214">
        <f t="shared" si="8"/>
        <v>1050</v>
      </c>
      <c r="I385" s="191" t="s">
        <v>10</v>
      </c>
    </row>
    <row r="386" hidden="1" spans="2:9">
      <c r="B386" s="191">
        <v>212200307</v>
      </c>
      <c r="C386" s="242">
        <v>44405</v>
      </c>
      <c r="D386" s="191" t="s">
        <v>99</v>
      </c>
      <c r="E386" s="191">
        <v>30000</v>
      </c>
      <c r="F386" s="191">
        <v>0.035</v>
      </c>
      <c r="G386" s="242">
        <v>44469</v>
      </c>
      <c r="H386" s="214">
        <f t="shared" si="8"/>
        <v>1050</v>
      </c>
      <c r="I386" s="191" t="s">
        <v>10</v>
      </c>
    </row>
    <row r="387" hidden="1" spans="2:9">
      <c r="B387" s="191">
        <v>212200307</v>
      </c>
      <c r="C387" s="242">
        <v>44405</v>
      </c>
      <c r="D387" s="191" t="s">
        <v>58</v>
      </c>
      <c r="E387" s="191">
        <v>150000</v>
      </c>
      <c r="F387" s="191">
        <v>0.019</v>
      </c>
      <c r="G387" s="242">
        <v>44438</v>
      </c>
      <c r="H387" s="214">
        <f t="shared" si="8"/>
        <v>2850</v>
      </c>
      <c r="I387" s="191" t="s">
        <v>10</v>
      </c>
    </row>
    <row r="388" hidden="1" spans="2:9">
      <c r="B388" s="191">
        <v>212200307</v>
      </c>
      <c r="C388" s="242">
        <v>44405</v>
      </c>
      <c r="D388" s="191" t="s">
        <v>58</v>
      </c>
      <c r="E388" s="191">
        <v>150000</v>
      </c>
      <c r="F388" s="191">
        <v>0.019</v>
      </c>
      <c r="G388" s="242">
        <v>44469</v>
      </c>
      <c r="H388" s="214">
        <f t="shared" si="8"/>
        <v>2850</v>
      </c>
      <c r="I388" s="191" t="s">
        <v>10</v>
      </c>
    </row>
    <row r="389" hidden="1" spans="2:9">
      <c r="B389" s="191">
        <v>212200307</v>
      </c>
      <c r="C389" s="242">
        <v>44405</v>
      </c>
      <c r="D389" s="191" t="s">
        <v>58</v>
      </c>
      <c r="E389" s="191">
        <v>150000</v>
      </c>
      <c r="F389" s="191">
        <v>0.019</v>
      </c>
      <c r="G389" s="242">
        <v>44499</v>
      </c>
      <c r="H389" s="214">
        <f t="shared" si="8"/>
        <v>2850</v>
      </c>
      <c r="I389" s="191" t="s">
        <v>10</v>
      </c>
    </row>
    <row r="390" hidden="1" spans="2:9">
      <c r="B390" s="191">
        <v>212200307</v>
      </c>
      <c r="C390" s="242">
        <v>44405</v>
      </c>
      <c r="D390" s="191" t="s">
        <v>38</v>
      </c>
      <c r="E390" s="191">
        <v>272000</v>
      </c>
      <c r="F390" s="191">
        <v>0.01</v>
      </c>
      <c r="G390" s="242">
        <v>44499</v>
      </c>
      <c r="H390" s="214">
        <f t="shared" si="8"/>
        <v>2720</v>
      </c>
      <c r="I390" s="191" t="s">
        <v>10</v>
      </c>
    </row>
    <row r="391" hidden="1" spans="2:9">
      <c r="B391" s="191">
        <v>212200323</v>
      </c>
      <c r="C391" s="242">
        <v>44411</v>
      </c>
      <c r="D391" s="191" t="s">
        <v>35</v>
      </c>
      <c r="E391" s="191">
        <v>100000</v>
      </c>
      <c r="F391" s="191">
        <v>0.05</v>
      </c>
      <c r="G391" s="242">
        <v>44464</v>
      </c>
      <c r="H391" s="214">
        <f t="shared" si="8"/>
        <v>5000</v>
      </c>
      <c r="I391" s="191" t="s">
        <v>10</v>
      </c>
    </row>
    <row r="392" hidden="1" spans="2:9">
      <c r="B392" s="191">
        <v>212200323</v>
      </c>
      <c r="C392" s="242">
        <v>44411</v>
      </c>
      <c r="D392" s="191" t="s">
        <v>35</v>
      </c>
      <c r="E392" s="191">
        <v>100000</v>
      </c>
      <c r="F392" s="191">
        <v>0.05</v>
      </c>
      <c r="G392" s="242">
        <v>44494</v>
      </c>
      <c r="H392" s="214">
        <f t="shared" si="8"/>
        <v>5000</v>
      </c>
      <c r="I392" s="191" t="s">
        <v>10</v>
      </c>
    </row>
    <row r="393" hidden="1" spans="2:9">
      <c r="B393" s="191">
        <v>212200323</v>
      </c>
      <c r="C393" s="242">
        <v>44411</v>
      </c>
      <c r="D393" s="191" t="s">
        <v>35</v>
      </c>
      <c r="E393" s="191">
        <v>100000</v>
      </c>
      <c r="F393" s="191">
        <v>0.05</v>
      </c>
      <c r="G393" s="242">
        <v>44555</v>
      </c>
      <c r="H393" s="214">
        <f t="shared" si="8"/>
        <v>5000</v>
      </c>
      <c r="I393" s="191" t="s">
        <v>10</v>
      </c>
    </row>
    <row r="394" spans="2:9">
      <c r="B394" s="191">
        <v>212200336</v>
      </c>
      <c r="C394" s="242">
        <v>44415</v>
      </c>
      <c r="D394" s="191" t="s">
        <v>100</v>
      </c>
      <c r="E394" s="191">
        <v>150000</v>
      </c>
      <c r="F394" s="191">
        <v>0.036</v>
      </c>
      <c r="G394" s="242">
        <v>44454</v>
      </c>
      <c r="H394" s="214">
        <f t="shared" si="8"/>
        <v>5400</v>
      </c>
      <c r="I394" s="191" t="s">
        <v>10</v>
      </c>
    </row>
    <row r="395" spans="2:9">
      <c r="B395" s="191">
        <v>212200336</v>
      </c>
      <c r="C395" s="242">
        <v>44415</v>
      </c>
      <c r="D395" s="191" t="s">
        <v>100</v>
      </c>
      <c r="E395" s="191">
        <v>150000</v>
      </c>
      <c r="F395" s="191">
        <v>0.036</v>
      </c>
      <c r="G395" s="242">
        <v>44459</v>
      </c>
      <c r="H395" s="214">
        <f t="shared" si="8"/>
        <v>5400</v>
      </c>
      <c r="I395" s="191" t="s">
        <v>10</v>
      </c>
    </row>
    <row r="396" spans="2:9">
      <c r="B396" s="191">
        <v>212200336</v>
      </c>
      <c r="C396" s="242">
        <v>44415</v>
      </c>
      <c r="D396" s="191" t="s">
        <v>100</v>
      </c>
      <c r="E396" s="191">
        <v>150000</v>
      </c>
      <c r="F396" s="191">
        <v>0.036</v>
      </c>
      <c r="G396" s="242">
        <v>44484</v>
      </c>
      <c r="H396" s="214">
        <f t="shared" si="8"/>
        <v>5400</v>
      </c>
      <c r="I396" s="191" t="s">
        <v>10</v>
      </c>
    </row>
    <row r="397" spans="2:9">
      <c r="B397" s="191">
        <v>212200336</v>
      </c>
      <c r="C397" s="242">
        <v>44415</v>
      </c>
      <c r="D397" s="191" t="s">
        <v>100</v>
      </c>
      <c r="E397" s="191">
        <v>150000</v>
      </c>
      <c r="F397" s="191">
        <v>0.036</v>
      </c>
      <c r="G397" s="242">
        <v>44545</v>
      </c>
      <c r="H397" s="214">
        <f t="shared" si="8"/>
        <v>5400</v>
      </c>
      <c r="I397" s="191" t="s">
        <v>10</v>
      </c>
    </row>
    <row r="398" hidden="1" spans="2:9">
      <c r="B398" s="191">
        <v>212200337</v>
      </c>
      <c r="C398" s="242">
        <v>44415</v>
      </c>
      <c r="D398" s="191" t="s">
        <v>99</v>
      </c>
      <c r="E398" s="191">
        <v>20000</v>
      </c>
      <c r="F398" s="191">
        <v>0.035</v>
      </c>
      <c r="G398" s="242">
        <v>44459</v>
      </c>
      <c r="H398" s="214">
        <f t="shared" si="8"/>
        <v>700</v>
      </c>
      <c r="I398" s="191" t="s">
        <v>10</v>
      </c>
    </row>
    <row r="399" hidden="1" spans="2:9">
      <c r="B399" s="191">
        <v>212200337</v>
      </c>
      <c r="C399" s="242">
        <v>44415</v>
      </c>
      <c r="D399" s="191" t="s">
        <v>99</v>
      </c>
      <c r="E399" s="191">
        <v>20000</v>
      </c>
      <c r="F399" s="191">
        <v>0.035</v>
      </c>
      <c r="G399" s="242">
        <v>44484</v>
      </c>
      <c r="H399" s="214">
        <f t="shared" si="8"/>
        <v>700</v>
      </c>
      <c r="I399" s="191" t="s">
        <v>10</v>
      </c>
    </row>
    <row r="400" hidden="1" spans="2:9">
      <c r="B400" s="191">
        <v>212200341</v>
      </c>
      <c r="C400" s="242">
        <v>44417</v>
      </c>
      <c r="D400" s="191" t="s">
        <v>101</v>
      </c>
      <c r="E400" s="191">
        <v>20000</v>
      </c>
      <c r="F400" s="191">
        <v>0.11</v>
      </c>
      <c r="G400" s="242">
        <v>44433</v>
      </c>
      <c r="H400" s="214">
        <f t="shared" si="8"/>
        <v>2200</v>
      </c>
      <c r="I400" s="191" t="s">
        <v>10</v>
      </c>
    </row>
    <row r="401" hidden="1" spans="2:9">
      <c r="B401" s="191">
        <v>212200350</v>
      </c>
      <c r="C401" s="242">
        <v>44418</v>
      </c>
      <c r="D401" s="191" t="s">
        <v>15</v>
      </c>
      <c r="E401" s="191">
        <v>174000</v>
      </c>
      <c r="F401" s="191">
        <v>0.025</v>
      </c>
      <c r="G401" s="242">
        <v>44479</v>
      </c>
      <c r="H401" s="214">
        <f t="shared" si="8"/>
        <v>4350</v>
      </c>
      <c r="I401" s="191" t="s">
        <v>10</v>
      </c>
    </row>
    <row r="402" hidden="1" spans="2:9">
      <c r="B402" s="191">
        <v>212200350</v>
      </c>
      <c r="C402" s="242">
        <v>44418</v>
      </c>
      <c r="D402" s="191" t="s">
        <v>15</v>
      </c>
      <c r="E402" s="191">
        <v>174000</v>
      </c>
      <c r="F402" s="191">
        <v>0.025</v>
      </c>
      <c r="G402" s="242">
        <v>44510</v>
      </c>
      <c r="H402" s="214">
        <f t="shared" si="8"/>
        <v>4350</v>
      </c>
      <c r="I402" s="191" t="s">
        <v>10</v>
      </c>
    </row>
    <row r="403" hidden="1" spans="2:9">
      <c r="B403" s="191">
        <v>212200350</v>
      </c>
      <c r="C403" s="242">
        <v>44418</v>
      </c>
      <c r="D403" s="191" t="s">
        <v>15</v>
      </c>
      <c r="E403" s="191">
        <v>174000</v>
      </c>
      <c r="F403" s="191">
        <v>0.025</v>
      </c>
      <c r="G403" s="242">
        <v>44540</v>
      </c>
      <c r="H403" s="214">
        <f t="shared" si="8"/>
        <v>4350</v>
      </c>
      <c r="I403" s="191" t="s">
        <v>10</v>
      </c>
    </row>
    <row r="404" hidden="1" spans="2:9">
      <c r="B404" s="191">
        <v>212200374</v>
      </c>
      <c r="C404" s="242">
        <v>44425</v>
      </c>
      <c r="D404" s="243" t="s">
        <v>50</v>
      </c>
      <c r="E404" s="258">
        <v>100000</v>
      </c>
      <c r="F404" s="191">
        <v>0.08</v>
      </c>
      <c r="G404" s="242">
        <v>44489</v>
      </c>
      <c r="H404" s="214">
        <f t="shared" si="8"/>
        <v>8000</v>
      </c>
      <c r="I404" s="191" t="s">
        <v>10</v>
      </c>
    </row>
    <row r="405" hidden="1" spans="2:9">
      <c r="B405" s="191">
        <v>212200374</v>
      </c>
      <c r="C405" s="242">
        <v>44425</v>
      </c>
      <c r="D405" s="243" t="s">
        <v>50</v>
      </c>
      <c r="E405" s="258">
        <v>100000</v>
      </c>
      <c r="F405" s="191">
        <v>0.08</v>
      </c>
      <c r="G405" s="242">
        <v>44520</v>
      </c>
      <c r="H405" s="214">
        <f t="shared" si="8"/>
        <v>8000</v>
      </c>
      <c r="I405" s="191" t="s">
        <v>10</v>
      </c>
    </row>
    <row r="406" hidden="1" spans="2:9">
      <c r="B406" s="191">
        <v>212200374</v>
      </c>
      <c r="C406" s="242">
        <v>44425</v>
      </c>
      <c r="D406" s="243" t="s">
        <v>50</v>
      </c>
      <c r="E406" s="258">
        <v>100000</v>
      </c>
      <c r="F406" s="191">
        <v>0.08</v>
      </c>
      <c r="G406" s="242">
        <v>44545</v>
      </c>
      <c r="H406" s="214">
        <f t="shared" si="8"/>
        <v>8000</v>
      </c>
      <c r="I406" s="191" t="s">
        <v>10</v>
      </c>
    </row>
    <row r="407" hidden="1" spans="2:9">
      <c r="B407" s="191">
        <v>212200375</v>
      </c>
      <c r="C407" s="242">
        <v>44426</v>
      </c>
      <c r="D407" s="191" t="s">
        <v>45</v>
      </c>
      <c r="E407" s="191">
        <v>300000</v>
      </c>
      <c r="F407" s="191">
        <v>0.028</v>
      </c>
      <c r="G407" s="242">
        <v>44499</v>
      </c>
      <c r="H407" s="214">
        <f t="shared" si="8"/>
        <v>8400</v>
      </c>
      <c r="I407" s="191" t="s">
        <v>10</v>
      </c>
    </row>
    <row r="408" hidden="1" spans="2:9">
      <c r="B408" s="191">
        <v>212200375</v>
      </c>
      <c r="C408" s="242">
        <v>44426</v>
      </c>
      <c r="D408" s="191" t="s">
        <v>45</v>
      </c>
      <c r="E408" s="191">
        <v>300000</v>
      </c>
      <c r="F408" s="191">
        <v>0.028</v>
      </c>
      <c r="G408" s="242">
        <v>44530</v>
      </c>
      <c r="H408" s="214">
        <f t="shared" si="8"/>
        <v>8400</v>
      </c>
      <c r="I408" s="191" t="s">
        <v>10</v>
      </c>
    </row>
    <row r="409" hidden="1" spans="2:9">
      <c r="B409" s="191">
        <v>212200375</v>
      </c>
      <c r="C409" s="242">
        <v>44426</v>
      </c>
      <c r="D409" s="191" t="s">
        <v>45</v>
      </c>
      <c r="E409" s="191">
        <v>300000</v>
      </c>
      <c r="F409" s="191">
        <v>0.028</v>
      </c>
      <c r="G409" s="242">
        <v>44560</v>
      </c>
      <c r="H409" s="214">
        <f t="shared" si="8"/>
        <v>8400</v>
      </c>
      <c r="I409" s="191" t="s">
        <v>10</v>
      </c>
    </row>
    <row r="410" hidden="1" spans="2:9">
      <c r="B410" s="191">
        <v>212200375</v>
      </c>
      <c r="C410" s="242">
        <v>44426</v>
      </c>
      <c r="D410" s="191" t="s">
        <v>73</v>
      </c>
      <c r="E410" s="191">
        <v>300000</v>
      </c>
      <c r="F410" s="191">
        <v>0.024</v>
      </c>
      <c r="G410" s="242">
        <v>44560</v>
      </c>
      <c r="H410" s="214">
        <f t="shared" si="8"/>
        <v>7200</v>
      </c>
      <c r="I410" s="191" t="s">
        <v>10</v>
      </c>
    </row>
    <row r="411" hidden="1" spans="2:9">
      <c r="B411" s="191">
        <v>212200375</v>
      </c>
      <c r="C411" s="242">
        <v>44426</v>
      </c>
      <c r="D411" s="191" t="s">
        <v>73</v>
      </c>
      <c r="E411" s="191">
        <v>300000</v>
      </c>
      <c r="F411" s="191">
        <v>0.024</v>
      </c>
      <c r="G411" s="242">
        <v>44226</v>
      </c>
      <c r="H411" s="214">
        <f t="shared" si="8"/>
        <v>7200</v>
      </c>
      <c r="I411" s="191" t="s">
        <v>10</v>
      </c>
    </row>
    <row r="412" hidden="1" spans="2:9">
      <c r="B412" s="191">
        <v>212200375</v>
      </c>
      <c r="C412" s="242">
        <v>44426</v>
      </c>
      <c r="D412" s="191" t="s">
        <v>38</v>
      </c>
      <c r="E412" s="191">
        <v>288000</v>
      </c>
      <c r="F412" s="191">
        <v>0.01</v>
      </c>
      <c r="G412" s="242">
        <v>44560</v>
      </c>
      <c r="H412" s="214">
        <f t="shared" si="8"/>
        <v>2880</v>
      </c>
      <c r="I412" s="191" t="s">
        <v>10</v>
      </c>
    </row>
    <row r="413" hidden="1" spans="2:9">
      <c r="B413" s="191">
        <v>212200375</v>
      </c>
      <c r="C413" s="242">
        <v>44426</v>
      </c>
      <c r="D413" s="191" t="s">
        <v>38</v>
      </c>
      <c r="E413" s="191">
        <v>304000</v>
      </c>
      <c r="F413" s="191">
        <v>0.01</v>
      </c>
      <c r="G413" s="242">
        <v>44226</v>
      </c>
      <c r="H413" s="214">
        <f t="shared" si="8"/>
        <v>3040</v>
      </c>
      <c r="I413" s="191" t="s">
        <v>10</v>
      </c>
    </row>
    <row r="414" hidden="1" spans="2:9">
      <c r="B414" s="191">
        <v>212200388</v>
      </c>
      <c r="C414" s="242">
        <v>44429</v>
      </c>
      <c r="D414" s="191" t="s">
        <v>49</v>
      </c>
      <c r="E414" s="191">
        <v>30000</v>
      </c>
      <c r="F414" s="191">
        <v>0.065</v>
      </c>
      <c r="G414" s="242">
        <v>44469</v>
      </c>
      <c r="H414" s="214">
        <f t="shared" si="8"/>
        <v>1950</v>
      </c>
      <c r="I414" s="191" t="s">
        <v>10</v>
      </c>
    </row>
    <row r="415" hidden="1" spans="2:9">
      <c r="B415" s="191">
        <v>212200388</v>
      </c>
      <c r="C415" s="242">
        <v>44429</v>
      </c>
      <c r="D415" s="191" t="s">
        <v>49</v>
      </c>
      <c r="E415" s="191">
        <v>30000</v>
      </c>
      <c r="F415" s="191">
        <v>0.065</v>
      </c>
      <c r="G415" s="242">
        <v>44499</v>
      </c>
      <c r="H415" s="214">
        <f t="shared" si="8"/>
        <v>1950</v>
      </c>
      <c r="I415" s="191" t="s">
        <v>10</v>
      </c>
    </row>
    <row r="416" hidden="1" spans="2:9">
      <c r="B416" s="191">
        <v>212200388</v>
      </c>
      <c r="C416" s="242">
        <v>44429</v>
      </c>
      <c r="D416" s="191" t="s">
        <v>49</v>
      </c>
      <c r="E416" s="191">
        <v>30000</v>
      </c>
      <c r="F416" s="191">
        <v>0.065</v>
      </c>
      <c r="G416" s="242">
        <v>44530</v>
      </c>
      <c r="H416" s="214">
        <f t="shared" si="8"/>
        <v>1950</v>
      </c>
      <c r="I416" s="191" t="s">
        <v>10</v>
      </c>
    </row>
    <row r="417" hidden="1" spans="2:9">
      <c r="B417" s="191">
        <v>212200395</v>
      </c>
      <c r="C417" s="242">
        <v>44431</v>
      </c>
      <c r="D417" s="191" t="s">
        <v>17</v>
      </c>
      <c r="E417" s="191">
        <v>102000</v>
      </c>
      <c r="F417" s="191">
        <v>0.0145</v>
      </c>
      <c r="G417" s="242">
        <v>44555</v>
      </c>
      <c r="H417" s="214">
        <f t="shared" si="8"/>
        <v>1479</v>
      </c>
      <c r="I417" s="191" t="s">
        <v>10</v>
      </c>
    </row>
    <row r="418" hidden="1" spans="2:9">
      <c r="B418" s="191">
        <v>212200395</v>
      </c>
      <c r="C418" s="242">
        <v>44431</v>
      </c>
      <c r="D418" s="191" t="s">
        <v>17</v>
      </c>
      <c r="E418" s="191">
        <v>102000</v>
      </c>
      <c r="F418" s="191">
        <v>0.0145</v>
      </c>
      <c r="G418" s="242">
        <v>44555</v>
      </c>
      <c r="H418" s="214">
        <f t="shared" si="8"/>
        <v>1479</v>
      </c>
      <c r="I418" s="191" t="s">
        <v>10</v>
      </c>
    </row>
    <row r="419" hidden="1" spans="2:9">
      <c r="B419" s="191">
        <v>212200395</v>
      </c>
      <c r="C419" s="242">
        <v>44431</v>
      </c>
      <c r="D419" s="191" t="s">
        <v>22</v>
      </c>
      <c r="E419" s="191">
        <v>200000</v>
      </c>
      <c r="F419" s="191">
        <v>0.065</v>
      </c>
      <c r="G419" s="242">
        <v>44221</v>
      </c>
      <c r="H419" s="214">
        <f t="shared" si="8"/>
        <v>13000</v>
      </c>
      <c r="I419" s="191" t="s">
        <v>10</v>
      </c>
    </row>
    <row r="420" hidden="1" spans="2:9">
      <c r="B420" s="191">
        <v>212200395</v>
      </c>
      <c r="C420" s="242">
        <v>44431</v>
      </c>
      <c r="D420" s="191" t="s">
        <v>22</v>
      </c>
      <c r="E420" s="191">
        <v>100000</v>
      </c>
      <c r="F420" s="191">
        <v>0.065</v>
      </c>
      <c r="G420" s="242">
        <v>44221</v>
      </c>
      <c r="H420" s="214">
        <f t="shared" si="8"/>
        <v>6500</v>
      </c>
      <c r="I420" s="191" t="s">
        <v>10</v>
      </c>
    </row>
    <row r="421" hidden="1" spans="2:9">
      <c r="B421" s="191">
        <v>212200395</v>
      </c>
      <c r="C421" s="242">
        <v>44431</v>
      </c>
      <c r="D421" s="191" t="s">
        <v>58</v>
      </c>
      <c r="E421" s="191">
        <v>150000</v>
      </c>
      <c r="F421" s="191">
        <v>0.019</v>
      </c>
      <c r="G421" s="242">
        <v>44525</v>
      </c>
      <c r="H421" s="214">
        <f t="shared" si="8"/>
        <v>2850</v>
      </c>
      <c r="I421" s="191" t="s">
        <v>10</v>
      </c>
    </row>
    <row r="422" hidden="1" spans="2:9">
      <c r="B422" s="191">
        <v>212200395</v>
      </c>
      <c r="C422" s="242">
        <v>44431</v>
      </c>
      <c r="D422" s="191" t="s">
        <v>102</v>
      </c>
      <c r="E422" s="191">
        <v>80000</v>
      </c>
      <c r="F422" s="191">
        <v>0.034</v>
      </c>
      <c r="G422" s="242">
        <v>44474</v>
      </c>
      <c r="H422" s="214">
        <f t="shared" si="8"/>
        <v>2720</v>
      </c>
      <c r="I422" s="191" t="s">
        <v>10</v>
      </c>
    </row>
    <row r="423" hidden="1" spans="2:9">
      <c r="B423" s="191">
        <v>212200395</v>
      </c>
      <c r="C423" s="242">
        <v>44431</v>
      </c>
      <c r="D423" s="191" t="s">
        <v>102</v>
      </c>
      <c r="E423" s="191">
        <v>40000</v>
      </c>
      <c r="F423" s="191">
        <v>0.034</v>
      </c>
      <c r="G423" s="242">
        <v>44510</v>
      </c>
      <c r="H423" s="214">
        <f t="shared" si="8"/>
        <v>1360</v>
      </c>
      <c r="I423" s="191" t="s">
        <v>10</v>
      </c>
    </row>
    <row r="424" hidden="1" spans="2:9">
      <c r="B424" s="191">
        <v>212200395</v>
      </c>
      <c r="C424" s="242">
        <v>44431</v>
      </c>
      <c r="D424" s="191" t="s">
        <v>102</v>
      </c>
      <c r="E424" s="191">
        <v>40000</v>
      </c>
      <c r="F424" s="191">
        <v>0.034</v>
      </c>
      <c r="G424" s="242">
        <v>44525</v>
      </c>
      <c r="H424" s="214">
        <f t="shared" si="8"/>
        <v>1360</v>
      </c>
      <c r="I424" s="191" t="s">
        <v>10</v>
      </c>
    </row>
    <row r="425" hidden="1" spans="2:9">
      <c r="B425" s="191">
        <v>212200395</v>
      </c>
      <c r="C425" s="242">
        <v>44431</v>
      </c>
      <c r="D425" s="191" t="s">
        <v>67</v>
      </c>
      <c r="E425" s="191">
        <v>60000</v>
      </c>
      <c r="F425" s="191">
        <v>0.028</v>
      </c>
      <c r="G425" s="242">
        <v>44520</v>
      </c>
      <c r="H425" s="214">
        <f t="shared" si="8"/>
        <v>1680</v>
      </c>
      <c r="I425" s="191" t="s">
        <v>10</v>
      </c>
    </row>
    <row r="426" hidden="1" spans="2:9">
      <c r="B426" s="191">
        <v>212200395</v>
      </c>
      <c r="C426" s="242">
        <v>44431</v>
      </c>
      <c r="D426" s="191" t="s">
        <v>67</v>
      </c>
      <c r="E426" s="191">
        <v>60000</v>
      </c>
      <c r="F426" s="191">
        <v>0.028</v>
      </c>
      <c r="G426" s="242">
        <v>44530</v>
      </c>
      <c r="H426" s="214">
        <f t="shared" si="8"/>
        <v>1680</v>
      </c>
      <c r="I426" s="191" t="s">
        <v>10</v>
      </c>
    </row>
    <row r="427" hidden="1" spans="2:9">
      <c r="B427" s="191">
        <v>212200395</v>
      </c>
      <c r="C427" s="242">
        <v>44431</v>
      </c>
      <c r="D427" s="191" t="s">
        <v>67</v>
      </c>
      <c r="E427" s="191">
        <v>80000</v>
      </c>
      <c r="F427" s="191">
        <v>0.028</v>
      </c>
      <c r="G427" s="242">
        <v>44555</v>
      </c>
      <c r="H427" s="214">
        <f t="shared" si="8"/>
        <v>2240</v>
      </c>
      <c r="I427" s="191" t="s">
        <v>10</v>
      </c>
    </row>
    <row r="428" hidden="1" spans="2:9">
      <c r="B428" s="191">
        <v>212200395</v>
      </c>
      <c r="C428" s="242">
        <v>44431</v>
      </c>
      <c r="D428" s="191" t="s">
        <v>103</v>
      </c>
      <c r="E428" s="191">
        <v>150000</v>
      </c>
      <c r="F428" s="191">
        <v>0.028</v>
      </c>
      <c r="G428" s="242">
        <v>44515</v>
      </c>
      <c r="H428" s="214">
        <f t="shared" si="8"/>
        <v>4200</v>
      </c>
      <c r="I428" s="191" t="s">
        <v>10</v>
      </c>
    </row>
    <row r="429" hidden="1" spans="2:9">
      <c r="B429" s="191">
        <v>212200395</v>
      </c>
      <c r="C429" s="242">
        <v>44431</v>
      </c>
      <c r="D429" s="191" t="s">
        <v>103</v>
      </c>
      <c r="E429" s="191">
        <v>150000</v>
      </c>
      <c r="F429" s="191">
        <v>0.028</v>
      </c>
      <c r="G429" s="242">
        <v>44555</v>
      </c>
      <c r="H429" s="214">
        <f t="shared" si="8"/>
        <v>4200</v>
      </c>
      <c r="I429" s="191" t="s">
        <v>10</v>
      </c>
    </row>
    <row r="430" hidden="1" spans="2:9">
      <c r="B430" s="191">
        <v>212200395</v>
      </c>
      <c r="C430" s="242">
        <v>44431</v>
      </c>
      <c r="D430" s="191" t="s">
        <v>104</v>
      </c>
      <c r="E430" s="191">
        <v>60000</v>
      </c>
      <c r="F430" s="191">
        <v>0.028</v>
      </c>
      <c r="G430" s="242">
        <v>44555</v>
      </c>
      <c r="H430" s="214">
        <f t="shared" si="8"/>
        <v>1680</v>
      </c>
      <c r="I430" s="191" t="s">
        <v>10</v>
      </c>
    </row>
    <row r="431" hidden="1" spans="2:9">
      <c r="B431" s="191">
        <v>212200395</v>
      </c>
      <c r="C431" s="242">
        <v>44431</v>
      </c>
      <c r="D431" s="191" t="s">
        <v>72</v>
      </c>
      <c r="E431" s="191">
        <v>40000</v>
      </c>
      <c r="F431" s="191">
        <v>0.05</v>
      </c>
      <c r="G431" s="242">
        <v>44494</v>
      </c>
      <c r="H431" s="214">
        <f t="shared" si="8"/>
        <v>2000</v>
      </c>
      <c r="I431" s="191" t="s">
        <v>10</v>
      </c>
    </row>
    <row r="432" hidden="1" spans="2:9">
      <c r="B432" s="191">
        <v>212200395</v>
      </c>
      <c r="C432" s="242">
        <v>44431</v>
      </c>
      <c r="D432" s="191" t="s">
        <v>18</v>
      </c>
      <c r="E432" s="191">
        <v>70000</v>
      </c>
      <c r="F432" s="191">
        <v>0.0238</v>
      </c>
      <c r="G432" s="242">
        <v>44494</v>
      </c>
      <c r="H432" s="214">
        <f t="shared" si="8"/>
        <v>1666</v>
      </c>
      <c r="I432" s="191" t="s">
        <v>10</v>
      </c>
    </row>
    <row r="433" hidden="1" spans="2:9">
      <c r="B433" s="191">
        <v>212200395</v>
      </c>
      <c r="C433" s="242">
        <v>44431</v>
      </c>
      <c r="D433" s="191" t="s">
        <v>18</v>
      </c>
      <c r="E433" s="191">
        <v>250000</v>
      </c>
      <c r="F433" s="191">
        <v>0.0238</v>
      </c>
      <c r="G433" s="242">
        <v>44525</v>
      </c>
      <c r="H433" s="214">
        <f t="shared" si="8"/>
        <v>5950</v>
      </c>
      <c r="I433" s="191" t="s">
        <v>10</v>
      </c>
    </row>
    <row r="434" hidden="1" spans="2:9">
      <c r="B434" s="191">
        <v>212200395</v>
      </c>
      <c r="C434" s="242">
        <v>44431</v>
      </c>
      <c r="D434" s="191" t="s">
        <v>18</v>
      </c>
      <c r="E434" s="191">
        <v>150000</v>
      </c>
      <c r="F434" s="191">
        <v>0.0238</v>
      </c>
      <c r="G434" s="242">
        <v>44525</v>
      </c>
      <c r="H434" s="214">
        <f t="shared" si="8"/>
        <v>3570</v>
      </c>
      <c r="I434" s="191" t="s">
        <v>10</v>
      </c>
    </row>
    <row r="435" hidden="1" spans="2:9">
      <c r="B435" s="191">
        <v>212200395</v>
      </c>
      <c r="C435" s="242">
        <v>44431</v>
      </c>
      <c r="D435" s="191" t="s">
        <v>56</v>
      </c>
      <c r="E435" s="191">
        <v>60000</v>
      </c>
      <c r="F435" s="191">
        <v>0.04</v>
      </c>
      <c r="G435" s="242">
        <v>44489</v>
      </c>
      <c r="H435" s="214">
        <f t="shared" si="8"/>
        <v>2400</v>
      </c>
      <c r="I435" s="191" t="s">
        <v>10</v>
      </c>
    </row>
    <row r="436" hidden="1" spans="2:9">
      <c r="B436" s="191">
        <v>212200395</v>
      </c>
      <c r="C436" s="242">
        <v>44431</v>
      </c>
      <c r="D436" s="191" t="s">
        <v>56</v>
      </c>
      <c r="E436" s="191">
        <v>60000</v>
      </c>
      <c r="F436" s="191">
        <v>0.04</v>
      </c>
      <c r="G436" s="242">
        <v>44525</v>
      </c>
      <c r="H436" s="214">
        <f t="shared" si="8"/>
        <v>2400</v>
      </c>
      <c r="I436" s="191" t="s">
        <v>10</v>
      </c>
    </row>
    <row r="437" hidden="1" spans="2:9">
      <c r="B437" s="191">
        <v>212200407</v>
      </c>
      <c r="C437" s="242">
        <v>44433</v>
      </c>
      <c r="D437" s="191" t="s">
        <v>105</v>
      </c>
      <c r="E437" s="191">
        <v>20000</v>
      </c>
      <c r="F437" s="191">
        <v>0.18</v>
      </c>
      <c r="G437" s="242">
        <v>44530</v>
      </c>
      <c r="H437" s="214">
        <f t="shared" ref="H437:H500" si="9">E437*F437</f>
        <v>3600</v>
      </c>
      <c r="I437" s="191" t="s">
        <v>10</v>
      </c>
    </row>
    <row r="438" hidden="1" spans="2:9">
      <c r="B438" s="191">
        <v>212200407</v>
      </c>
      <c r="C438" s="242">
        <v>44433</v>
      </c>
      <c r="D438" s="191" t="s">
        <v>50</v>
      </c>
      <c r="E438" s="191">
        <v>150000</v>
      </c>
      <c r="F438" s="191">
        <v>0.08</v>
      </c>
      <c r="G438" s="242">
        <v>44560</v>
      </c>
      <c r="H438" s="214">
        <f t="shared" si="9"/>
        <v>12000</v>
      </c>
      <c r="I438" s="191" t="s">
        <v>10</v>
      </c>
    </row>
    <row r="439" hidden="1" spans="2:9">
      <c r="B439" s="191">
        <v>212200407</v>
      </c>
      <c r="C439" s="242">
        <v>44433</v>
      </c>
      <c r="D439" s="191" t="s">
        <v>50</v>
      </c>
      <c r="E439" s="191">
        <v>150000</v>
      </c>
      <c r="F439" s="191">
        <v>0.08</v>
      </c>
      <c r="G439" s="242">
        <v>44226</v>
      </c>
      <c r="H439" s="214">
        <f t="shared" si="9"/>
        <v>12000</v>
      </c>
      <c r="I439" s="191" t="s">
        <v>10</v>
      </c>
    </row>
    <row r="440" hidden="1" spans="2:9">
      <c r="B440" s="191">
        <v>212200436</v>
      </c>
      <c r="C440" s="242">
        <v>44441</v>
      </c>
      <c r="D440" s="191" t="s">
        <v>96</v>
      </c>
      <c r="E440" s="191">
        <v>208000</v>
      </c>
      <c r="F440" s="191">
        <v>0.0055</v>
      </c>
      <c r="G440" s="191"/>
      <c r="H440" s="262">
        <f t="shared" si="9"/>
        <v>1144</v>
      </c>
      <c r="I440" s="191" t="s">
        <v>10</v>
      </c>
    </row>
    <row r="441" hidden="1" spans="2:9">
      <c r="B441" s="211">
        <v>212200470</v>
      </c>
      <c r="C441" s="212">
        <v>44454</v>
      </c>
      <c r="D441" s="211" t="s">
        <v>106</v>
      </c>
      <c r="E441" s="211">
        <v>20000</v>
      </c>
      <c r="F441" s="211">
        <v>0.04</v>
      </c>
      <c r="G441" s="212">
        <v>44505</v>
      </c>
      <c r="H441" s="214">
        <f t="shared" si="9"/>
        <v>800</v>
      </c>
      <c r="I441" s="191" t="s">
        <v>65</v>
      </c>
    </row>
    <row r="442" hidden="1" spans="2:9">
      <c r="B442" s="211">
        <v>212200470</v>
      </c>
      <c r="C442" s="212">
        <v>44454</v>
      </c>
      <c r="D442" s="211" t="s">
        <v>106</v>
      </c>
      <c r="E442" s="211">
        <v>20000</v>
      </c>
      <c r="F442" s="211">
        <v>0.04</v>
      </c>
      <c r="G442" s="212">
        <v>44535</v>
      </c>
      <c r="H442" s="214">
        <f t="shared" si="9"/>
        <v>800</v>
      </c>
      <c r="I442" s="191" t="s">
        <v>65</v>
      </c>
    </row>
    <row r="443" hidden="1" spans="2:9">
      <c r="B443" s="211">
        <v>212200487</v>
      </c>
      <c r="C443" s="212">
        <v>44461</v>
      </c>
      <c r="D443" s="213" t="s">
        <v>45</v>
      </c>
      <c r="E443" s="211">
        <v>300000</v>
      </c>
      <c r="F443" s="211">
        <v>0.028</v>
      </c>
      <c r="G443" s="212">
        <v>44620</v>
      </c>
      <c r="H443" s="214">
        <f t="shared" si="9"/>
        <v>8400</v>
      </c>
      <c r="I443" s="191" t="s">
        <v>10</v>
      </c>
    </row>
    <row r="444" hidden="1" spans="2:9">
      <c r="B444" s="211">
        <v>212200487</v>
      </c>
      <c r="C444" s="212">
        <v>44461</v>
      </c>
      <c r="D444" s="213" t="s">
        <v>45</v>
      </c>
      <c r="E444" s="211">
        <v>300000</v>
      </c>
      <c r="F444" s="211">
        <v>0.028</v>
      </c>
      <c r="G444" s="212">
        <v>44285</v>
      </c>
      <c r="H444" s="214">
        <f t="shared" si="9"/>
        <v>8400</v>
      </c>
      <c r="I444" s="191" t="s">
        <v>10</v>
      </c>
    </row>
    <row r="445" hidden="1" spans="2:9">
      <c r="B445" s="263">
        <v>212200487</v>
      </c>
      <c r="C445" s="261">
        <v>44461</v>
      </c>
      <c r="D445" s="264" t="s">
        <v>45</v>
      </c>
      <c r="E445" s="263">
        <v>300000</v>
      </c>
      <c r="F445" s="263">
        <v>0.028</v>
      </c>
      <c r="G445" s="261">
        <v>44306</v>
      </c>
      <c r="H445" s="265">
        <f t="shared" si="9"/>
        <v>8400</v>
      </c>
      <c r="I445" s="192" t="s">
        <v>10</v>
      </c>
    </row>
    <row r="446" hidden="1" spans="2:9">
      <c r="B446" s="211">
        <v>212200487</v>
      </c>
      <c r="C446" s="212">
        <v>44461</v>
      </c>
      <c r="D446" s="211" t="s">
        <v>73</v>
      </c>
      <c r="E446" s="211">
        <v>300000</v>
      </c>
      <c r="F446" s="211">
        <v>0.024</v>
      </c>
      <c r="G446" s="212">
        <v>44576</v>
      </c>
      <c r="H446" s="214">
        <f t="shared" si="9"/>
        <v>7200</v>
      </c>
      <c r="I446" s="191" t="s">
        <v>10</v>
      </c>
    </row>
    <row r="447" hidden="1" spans="2:9">
      <c r="B447" s="211">
        <v>212200487</v>
      </c>
      <c r="C447" s="212">
        <v>44461</v>
      </c>
      <c r="D447" s="211" t="s">
        <v>73</v>
      </c>
      <c r="E447" s="211">
        <v>300000</v>
      </c>
      <c r="F447" s="211">
        <v>0.024</v>
      </c>
      <c r="G447" s="212">
        <v>44602</v>
      </c>
      <c r="H447" s="214">
        <f t="shared" si="9"/>
        <v>7200</v>
      </c>
      <c r="I447" s="191" t="s">
        <v>10</v>
      </c>
    </row>
    <row r="448" spans="2:9">
      <c r="B448" s="211">
        <v>212200487</v>
      </c>
      <c r="C448" s="212">
        <v>44461</v>
      </c>
      <c r="D448" s="211" t="s">
        <v>100</v>
      </c>
      <c r="E448" s="211">
        <v>20000</v>
      </c>
      <c r="F448" s="211">
        <v>0.036</v>
      </c>
      <c r="G448" s="212">
        <v>44484</v>
      </c>
      <c r="H448" s="214">
        <f t="shared" si="9"/>
        <v>720</v>
      </c>
      <c r="I448" s="191" t="s">
        <v>10</v>
      </c>
    </row>
    <row r="449" spans="2:9">
      <c r="B449" s="211">
        <v>212200487</v>
      </c>
      <c r="C449" s="212">
        <v>44461</v>
      </c>
      <c r="D449" s="211" t="s">
        <v>100</v>
      </c>
      <c r="E449" s="211">
        <v>20000</v>
      </c>
      <c r="F449" s="211">
        <v>0.036</v>
      </c>
      <c r="G449" s="212">
        <v>44540</v>
      </c>
      <c r="H449" s="214">
        <f t="shared" si="9"/>
        <v>720</v>
      </c>
      <c r="I449" s="191" t="s">
        <v>10</v>
      </c>
    </row>
    <row r="450" hidden="1" spans="2:9">
      <c r="B450" s="211">
        <v>212200487</v>
      </c>
      <c r="C450" s="212">
        <v>44461</v>
      </c>
      <c r="D450" s="252" t="s">
        <v>29</v>
      </c>
      <c r="E450" s="253">
        <v>500000</v>
      </c>
      <c r="F450" s="211">
        <v>0.027</v>
      </c>
      <c r="G450" s="212">
        <v>44211</v>
      </c>
      <c r="H450" s="214">
        <f t="shared" si="9"/>
        <v>13500</v>
      </c>
      <c r="I450" s="191" t="s">
        <v>10</v>
      </c>
    </row>
    <row r="451" hidden="1" spans="2:9">
      <c r="B451" s="211">
        <v>212200487</v>
      </c>
      <c r="C451" s="212">
        <v>44461</v>
      </c>
      <c r="D451" s="252" t="s">
        <v>29</v>
      </c>
      <c r="E451" s="253">
        <v>500000</v>
      </c>
      <c r="F451" s="211">
        <v>0.027</v>
      </c>
      <c r="G451" s="212">
        <v>44607</v>
      </c>
      <c r="H451" s="214">
        <f t="shared" si="9"/>
        <v>13500</v>
      </c>
      <c r="I451" s="191" t="s">
        <v>10</v>
      </c>
    </row>
    <row r="452" hidden="1" spans="2:9">
      <c r="B452" s="211">
        <v>212200487</v>
      </c>
      <c r="C452" s="212">
        <v>44461</v>
      </c>
      <c r="D452" s="213" t="s">
        <v>31</v>
      </c>
      <c r="E452" s="249">
        <v>200000</v>
      </c>
      <c r="F452" s="211">
        <v>0.036</v>
      </c>
      <c r="G452" s="212">
        <v>44545</v>
      </c>
      <c r="H452" s="214">
        <f t="shared" si="9"/>
        <v>7200</v>
      </c>
      <c r="I452" s="191" t="s">
        <v>10</v>
      </c>
    </row>
    <row r="453" hidden="1" spans="2:9">
      <c r="B453" s="211">
        <v>212200487</v>
      </c>
      <c r="C453" s="212">
        <v>44461</v>
      </c>
      <c r="D453" s="213" t="s">
        <v>31</v>
      </c>
      <c r="E453" s="249">
        <v>200000</v>
      </c>
      <c r="F453" s="211">
        <v>0.036</v>
      </c>
      <c r="G453" s="212">
        <v>44571</v>
      </c>
      <c r="H453" s="214">
        <f t="shared" si="9"/>
        <v>7200</v>
      </c>
      <c r="I453" s="191" t="s">
        <v>10</v>
      </c>
    </row>
    <row r="454" hidden="1" spans="2:9">
      <c r="B454" s="211">
        <v>212200487</v>
      </c>
      <c r="C454" s="212">
        <v>44461</v>
      </c>
      <c r="D454" s="213" t="s">
        <v>31</v>
      </c>
      <c r="E454" s="249">
        <v>200000</v>
      </c>
      <c r="F454" s="211">
        <v>0.036</v>
      </c>
      <c r="G454" s="212">
        <v>44591</v>
      </c>
      <c r="H454" s="214">
        <f t="shared" si="9"/>
        <v>7200</v>
      </c>
      <c r="I454" s="191" t="s">
        <v>10</v>
      </c>
    </row>
    <row r="455" hidden="1" spans="2:9">
      <c r="B455" s="211">
        <v>212200487</v>
      </c>
      <c r="C455" s="212">
        <v>44461</v>
      </c>
      <c r="D455" s="211" t="s">
        <v>32</v>
      </c>
      <c r="E455" s="249">
        <v>250000</v>
      </c>
      <c r="F455" s="211">
        <v>0.02</v>
      </c>
      <c r="G455" s="212">
        <v>44530</v>
      </c>
      <c r="H455" s="214">
        <f t="shared" si="9"/>
        <v>5000</v>
      </c>
      <c r="I455" s="191" t="s">
        <v>107</v>
      </c>
    </row>
    <row r="456" hidden="1" spans="2:9">
      <c r="B456" s="211">
        <v>212200487</v>
      </c>
      <c r="C456" s="212">
        <v>44461</v>
      </c>
      <c r="D456" s="211" t="s">
        <v>32</v>
      </c>
      <c r="E456" s="249">
        <v>200000</v>
      </c>
      <c r="F456" s="211">
        <v>0.02</v>
      </c>
      <c r="G456" s="212">
        <v>44545</v>
      </c>
      <c r="H456" s="214">
        <f t="shared" si="9"/>
        <v>4000</v>
      </c>
      <c r="I456" s="191" t="s">
        <v>107</v>
      </c>
    </row>
    <row r="457" hidden="1" spans="2:9">
      <c r="B457" s="266">
        <v>212200487</v>
      </c>
      <c r="C457" s="267">
        <v>44461</v>
      </c>
      <c r="D457" s="266" t="s">
        <v>32</v>
      </c>
      <c r="E457" s="268">
        <v>200000</v>
      </c>
      <c r="F457" s="266">
        <v>0.02</v>
      </c>
      <c r="G457" s="267">
        <v>44576</v>
      </c>
      <c r="H457" s="262">
        <f t="shared" si="9"/>
        <v>4000</v>
      </c>
      <c r="I457" s="191" t="s">
        <v>107</v>
      </c>
    </row>
    <row r="458" hidden="1" spans="2:9">
      <c r="B458" s="211">
        <v>212200487</v>
      </c>
      <c r="C458" s="212">
        <v>44461</v>
      </c>
      <c r="D458" s="211" t="s">
        <v>99</v>
      </c>
      <c r="E458" s="211">
        <v>30000</v>
      </c>
      <c r="F458" s="211">
        <v>0.035</v>
      </c>
      <c r="G458" s="212">
        <v>44484</v>
      </c>
      <c r="H458" s="214">
        <f t="shared" si="9"/>
        <v>1050</v>
      </c>
      <c r="I458" s="191" t="s">
        <v>65</v>
      </c>
    </row>
    <row r="459" hidden="1" spans="2:9">
      <c r="B459" s="211">
        <v>212200487</v>
      </c>
      <c r="C459" s="212">
        <v>44461</v>
      </c>
      <c r="D459" s="211" t="s">
        <v>99</v>
      </c>
      <c r="E459" s="211">
        <v>30000</v>
      </c>
      <c r="F459" s="211">
        <v>0.035</v>
      </c>
      <c r="G459" s="212">
        <v>44515</v>
      </c>
      <c r="H459" s="214">
        <f t="shared" si="9"/>
        <v>1050</v>
      </c>
      <c r="I459" s="191" t="s">
        <v>65</v>
      </c>
    </row>
    <row r="460" hidden="1" spans="2:9">
      <c r="B460" s="269">
        <v>212200488</v>
      </c>
      <c r="C460" s="235">
        <v>44461</v>
      </c>
      <c r="D460" s="269" t="s">
        <v>42</v>
      </c>
      <c r="E460" s="269">
        <v>150000</v>
      </c>
      <c r="F460" s="269">
        <v>0.065</v>
      </c>
      <c r="G460" s="235">
        <v>44489</v>
      </c>
      <c r="H460" s="270">
        <f t="shared" si="9"/>
        <v>9750</v>
      </c>
      <c r="I460" s="191" t="s">
        <v>10</v>
      </c>
    </row>
    <row r="461" hidden="1" spans="2:9">
      <c r="B461" s="211">
        <v>212200488</v>
      </c>
      <c r="C461" s="212">
        <v>44461</v>
      </c>
      <c r="D461" s="211" t="s">
        <v>42</v>
      </c>
      <c r="E461" s="211">
        <v>150000</v>
      </c>
      <c r="F461" s="211">
        <v>0.065</v>
      </c>
      <c r="G461" s="212">
        <v>44510</v>
      </c>
      <c r="H461" s="214">
        <f t="shared" si="9"/>
        <v>9750</v>
      </c>
      <c r="I461" s="191" t="s">
        <v>10</v>
      </c>
    </row>
    <row r="462" hidden="1" spans="2:9">
      <c r="B462" s="211">
        <v>212200488</v>
      </c>
      <c r="C462" s="212">
        <v>44461</v>
      </c>
      <c r="D462" s="211" t="s">
        <v>34</v>
      </c>
      <c r="E462" s="211">
        <v>150000</v>
      </c>
      <c r="F462" s="211">
        <v>0.051</v>
      </c>
      <c r="G462" s="212">
        <v>44545</v>
      </c>
      <c r="H462" s="214">
        <f t="shared" si="9"/>
        <v>7650</v>
      </c>
      <c r="I462" s="191" t="s">
        <v>10</v>
      </c>
    </row>
    <row r="463" hidden="1" spans="2:9">
      <c r="B463" s="211">
        <v>212200488</v>
      </c>
      <c r="C463" s="212">
        <v>44461</v>
      </c>
      <c r="D463" s="211" t="s">
        <v>52</v>
      </c>
      <c r="E463" s="211">
        <v>20000</v>
      </c>
      <c r="F463" s="211">
        <v>0.07</v>
      </c>
      <c r="G463" s="212">
        <v>44270</v>
      </c>
      <c r="H463" s="214">
        <f t="shared" si="9"/>
        <v>1400</v>
      </c>
      <c r="I463" s="191" t="s">
        <v>10</v>
      </c>
    </row>
    <row r="464" hidden="1" spans="2:9">
      <c r="B464" s="266">
        <v>212200488</v>
      </c>
      <c r="C464" s="267">
        <v>44461</v>
      </c>
      <c r="D464" s="266" t="s">
        <v>52</v>
      </c>
      <c r="E464" s="266">
        <v>20000</v>
      </c>
      <c r="F464" s="266">
        <v>0.07</v>
      </c>
      <c r="G464" s="267">
        <v>44270</v>
      </c>
      <c r="H464" s="262">
        <f t="shared" si="9"/>
        <v>1400</v>
      </c>
      <c r="I464" s="191" t="s">
        <v>10</v>
      </c>
    </row>
    <row r="465" hidden="1" spans="2:9">
      <c r="B465" s="211">
        <v>212200489</v>
      </c>
      <c r="C465" s="212">
        <v>44461</v>
      </c>
      <c r="D465" s="211" t="s">
        <v>99</v>
      </c>
      <c r="E465" s="211">
        <v>200000</v>
      </c>
      <c r="F465" s="211">
        <v>0.035</v>
      </c>
      <c r="G465" s="212">
        <v>44515</v>
      </c>
      <c r="H465" s="214">
        <f t="shared" si="9"/>
        <v>7000</v>
      </c>
      <c r="I465" s="191" t="s">
        <v>65</v>
      </c>
    </row>
    <row r="466" hidden="1" spans="2:9">
      <c r="B466" s="211">
        <v>212200489</v>
      </c>
      <c r="C466" s="212">
        <v>44461</v>
      </c>
      <c r="D466" s="211" t="s">
        <v>99</v>
      </c>
      <c r="E466" s="211">
        <v>200000</v>
      </c>
      <c r="F466" s="211">
        <v>0.035</v>
      </c>
      <c r="G466" s="212">
        <v>44545</v>
      </c>
      <c r="H466" s="214">
        <f t="shared" si="9"/>
        <v>7000</v>
      </c>
      <c r="I466" s="191" t="s">
        <v>65</v>
      </c>
    </row>
    <row r="467" hidden="1" spans="2:9">
      <c r="B467" s="211">
        <v>212200489</v>
      </c>
      <c r="C467" s="212">
        <v>44461</v>
      </c>
      <c r="D467" s="211" t="s">
        <v>99</v>
      </c>
      <c r="E467" s="211">
        <v>200000</v>
      </c>
      <c r="F467" s="211">
        <v>0.035</v>
      </c>
      <c r="G467" s="212">
        <v>44576</v>
      </c>
      <c r="H467" s="214">
        <f t="shared" si="9"/>
        <v>7000</v>
      </c>
      <c r="I467" s="191" t="s">
        <v>65</v>
      </c>
    </row>
    <row r="468" hidden="1" spans="2:9">
      <c r="B468" s="269">
        <v>212200490</v>
      </c>
      <c r="C468" s="235">
        <v>44461</v>
      </c>
      <c r="D468" s="269" t="s">
        <v>72</v>
      </c>
      <c r="E468" s="269">
        <v>70000</v>
      </c>
      <c r="F468" s="269">
        <v>0.05</v>
      </c>
      <c r="G468" s="235">
        <v>44545</v>
      </c>
      <c r="H468" s="270">
        <f t="shared" si="9"/>
        <v>3500</v>
      </c>
      <c r="I468" s="191" t="s">
        <v>10</v>
      </c>
    </row>
    <row r="469" hidden="1" spans="2:9">
      <c r="B469" s="211">
        <v>212200490</v>
      </c>
      <c r="C469" s="212">
        <v>44461</v>
      </c>
      <c r="D469" s="211" t="s">
        <v>72</v>
      </c>
      <c r="E469" s="211">
        <v>70000</v>
      </c>
      <c r="F469" s="211">
        <v>0.05</v>
      </c>
      <c r="G469" s="212">
        <v>44576</v>
      </c>
      <c r="H469" s="214">
        <f t="shared" si="9"/>
        <v>3500</v>
      </c>
      <c r="I469" s="191" t="s">
        <v>10</v>
      </c>
    </row>
    <row r="470" hidden="1" spans="2:9">
      <c r="B470" s="211">
        <v>212200490</v>
      </c>
      <c r="C470" s="212">
        <v>44461</v>
      </c>
      <c r="D470" s="211" t="s">
        <v>72</v>
      </c>
      <c r="E470" s="211">
        <v>70000</v>
      </c>
      <c r="F470" s="211">
        <v>0.05</v>
      </c>
      <c r="G470" s="212">
        <v>44602</v>
      </c>
      <c r="H470" s="214">
        <f t="shared" si="9"/>
        <v>3500</v>
      </c>
      <c r="I470" s="191" t="s">
        <v>10</v>
      </c>
    </row>
    <row r="471" hidden="1" spans="2:9">
      <c r="B471" s="211">
        <v>212200490</v>
      </c>
      <c r="C471" s="212">
        <v>44461</v>
      </c>
      <c r="D471" s="211" t="s">
        <v>66</v>
      </c>
      <c r="E471" s="211">
        <v>200000</v>
      </c>
      <c r="F471" s="211">
        <v>0.0238</v>
      </c>
      <c r="G471" s="212">
        <v>44515</v>
      </c>
      <c r="H471" s="214">
        <f t="shared" si="9"/>
        <v>4760</v>
      </c>
      <c r="I471" s="191" t="s">
        <v>10</v>
      </c>
    </row>
    <row r="472" hidden="1" spans="2:9">
      <c r="B472" s="211">
        <v>212200490</v>
      </c>
      <c r="C472" s="212">
        <v>44461</v>
      </c>
      <c r="D472" s="211" t="s">
        <v>66</v>
      </c>
      <c r="E472" s="211">
        <v>200000</v>
      </c>
      <c r="F472" s="211">
        <v>0.0238</v>
      </c>
      <c r="G472" s="212">
        <v>44545</v>
      </c>
      <c r="H472" s="214">
        <f t="shared" si="9"/>
        <v>4760</v>
      </c>
      <c r="I472" s="191" t="s">
        <v>10</v>
      </c>
    </row>
    <row r="473" hidden="1" spans="2:9">
      <c r="B473" s="211">
        <v>212200490</v>
      </c>
      <c r="C473" s="212">
        <v>44461</v>
      </c>
      <c r="D473" s="211" t="s">
        <v>108</v>
      </c>
      <c r="E473" s="211">
        <v>20000</v>
      </c>
      <c r="F473" s="211">
        <v>0.04</v>
      </c>
      <c r="G473" s="212">
        <v>44515</v>
      </c>
      <c r="H473" s="214">
        <f t="shared" si="9"/>
        <v>800</v>
      </c>
      <c r="I473" s="191" t="s">
        <v>10</v>
      </c>
    </row>
    <row r="474" hidden="1" spans="2:9">
      <c r="B474" s="211">
        <v>212200490</v>
      </c>
      <c r="C474" s="212">
        <v>44461</v>
      </c>
      <c r="D474" s="211" t="s">
        <v>108</v>
      </c>
      <c r="E474" s="211">
        <v>20000</v>
      </c>
      <c r="F474" s="211">
        <v>0.04</v>
      </c>
      <c r="G474" s="212">
        <v>44545</v>
      </c>
      <c r="H474" s="214">
        <f t="shared" si="9"/>
        <v>800</v>
      </c>
      <c r="I474" s="191" t="s">
        <v>10</v>
      </c>
    </row>
    <row r="475" hidden="1" spans="2:9">
      <c r="B475" s="211">
        <v>212200497</v>
      </c>
      <c r="C475" s="212">
        <v>44463</v>
      </c>
      <c r="D475" s="211" t="s">
        <v>80</v>
      </c>
      <c r="E475" s="211">
        <v>20000</v>
      </c>
      <c r="F475" s="211">
        <v>0.18</v>
      </c>
      <c r="G475" s="212">
        <v>44515</v>
      </c>
      <c r="H475" s="214">
        <f t="shared" si="9"/>
        <v>3600</v>
      </c>
      <c r="I475" s="191" t="s">
        <v>10</v>
      </c>
    </row>
    <row r="476" hidden="1" spans="2:9">
      <c r="B476" s="211">
        <v>212200497</v>
      </c>
      <c r="C476" s="212">
        <v>44463</v>
      </c>
      <c r="D476" s="211" t="s">
        <v>80</v>
      </c>
      <c r="E476" s="211">
        <v>20000</v>
      </c>
      <c r="F476" s="211">
        <v>0.18</v>
      </c>
      <c r="G476" s="212">
        <v>44550</v>
      </c>
      <c r="H476" s="214">
        <f t="shared" si="9"/>
        <v>3600</v>
      </c>
      <c r="I476" s="191" t="s">
        <v>10</v>
      </c>
    </row>
    <row r="477" hidden="1" spans="2:9">
      <c r="B477" s="211">
        <v>212200497</v>
      </c>
      <c r="C477" s="212">
        <v>44463</v>
      </c>
      <c r="D477" s="211" t="s">
        <v>80</v>
      </c>
      <c r="E477" s="211">
        <v>20000</v>
      </c>
      <c r="F477" s="211">
        <v>0.18</v>
      </c>
      <c r="G477" s="212">
        <v>44581</v>
      </c>
      <c r="H477" s="214">
        <f t="shared" si="9"/>
        <v>3600</v>
      </c>
      <c r="I477" s="191" t="s">
        <v>10</v>
      </c>
    </row>
    <row r="478" hidden="1" spans="2:9">
      <c r="B478" s="211">
        <v>212200510</v>
      </c>
      <c r="C478" s="212">
        <v>44467</v>
      </c>
      <c r="D478" s="211" t="s">
        <v>59</v>
      </c>
      <c r="E478" s="211">
        <v>148000</v>
      </c>
      <c r="F478" s="211">
        <v>0.015</v>
      </c>
      <c r="G478" s="212">
        <v>44505</v>
      </c>
      <c r="H478" s="214">
        <f t="shared" si="9"/>
        <v>2220</v>
      </c>
      <c r="I478" s="191" t="s">
        <v>10</v>
      </c>
    </row>
    <row r="479" hidden="1" spans="2:9">
      <c r="B479" s="211">
        <v>212200510</v>
      </c>
      <c r="C479" s="212">
        <v>44467</v>
      </c>
      <c r="D479" s="211" t="s">
        <v>59</v>
      </c>
      <c r="E479" s="193">
        <v>60000</v>
      </c>
      <c r="F479" s="211">
        <v>0.015</v>
      </c>
      <c r="G479" s="260">
        <v>44530</v>
      </c>
      <c r="H479" s="214">
        <f t="shared" si="9"/>
        <v>900</v>
      </c>
      <c r="I479" s="191" t="s">
        <v>10</v>
      </c>
    </row>
    <row r="480" hidden="1" spans="2:9">
      <c r="B480" s="211">
        <v>212200524</v>
      </c>
      <c r="C480" s="212">
        <v>44468</v>
      </c>
      <c r="D480" s="211" t="s">
        <v>102</v>
      </c>
      <c r="E480" s="211">
        <v>70000</v>
      </c>
      <c r="F480" s="211">
        <v>0.034</v>
      </c>
      <c r="G480" s="212">
        <v>44540</v>
      </c>
      <c r="H480" s="214">
        <f t="shared" si="9"/>
        <v>2380</v>
      </c>
      <c r="I480" s="191" t="s">
        <v>10</v>
      </c>
    </row>
    <row r="481" hidden="1" spans="2:9">
      <c r="B481" s="211">
        <v>212200524</v>
      </c>
      <c r="C481" s="212">
        <v>44468</v>
      </c>
      <c r="D481" s="211" t="s">
        <v>53</v>
      </c>
      <c r="E481" s="211">
        <v>500000</v>
      </c>
      <c r="F481" s="211">
        <v>0.03</v>
      </c>
      <c r="G481" s="212">
        <v>44515</v>
      </c>
      <c r="H481" s="214">
        <f t="shared" si="9"/>
        <v>15000</v>
      </c>
      <c r="I481" s="191" t="s">
        <v>107</v>
      </c>
    </row>
    <row r="482" hidden="1" spans="2:9">
      <c r="B482" s="211">
        <v>212200524</v>
      </c>
      <c r="C482" s="212">
        <v>44468</v>
      </c>
      <c r="D482" s="211" t="s">
        <v>53</v>
      </c>
      <c r="E482" s="211">
        <v>500000</v>
      </c>
      <c r="F482" s="211">
        <v>0.03</v>
      </c>
      <c r="G482" s="212">
        <v>44525</v>
      </c>
      <c r="H482" s="214">
        <f t="shared" si="9"/>
        <v>15000</v>
      </c>
      <c r="I482" s="191" t="s">
        <v>107</v>
      </c>
    </row>
    <row r="483" hidden="1" spans="2:9">
      <c r="B483" s="211">
        <v>212200524</v>
      </c>
      <c r="C483" s="212">
        <v>44468</v>
      </c>
      <c r="D483" s="211" t="s">
        <v>16</v>
      </c>
      <c r="E483" s="211">
        <v>100000</v>
      </c>
      <c r="F483" s="211">
        <v>0.0292</v>
      </c>
      <c r="G483" s="212">
        <v>44515</v>
      </c>
      <c r="H483" s="214">
        <f t="shared" si="9"/>
        <v>2920</v>
      </c>
      <c r="I483" s="191" t="s">
        <v>107</v>
      </c>
    </row>
    <row r="484" hidden="1" spans="2:9">
      <c r="B484" s="211">
        <v>212200524</v>
      </c>
      <c r="C484" s="212">
        <v>44468</v>
      </c>
      <c r="D484" s="211" t="s">
        <v>16</v>
      </c>
      <c r="E484" s="211">
        <v>100000</v>
      </c>
      <c r="F484" s="211">
        <v>0.0292</v>
      </c>
      <c r="G484" s="212">
        <v>44520</v>
      </c>
      <c r="H484" s="214">
        <f t="shared" si="9"/>
        <v>2920</v>
      </c>
      <c r="I484" s="191" t="s">
        <v>107</v>
      </c>
    </row>
    <row r="485" hidden="1" spans="2:9">
      <c r="B485" s="191">
        <v>212200541</v>
      </c>
      <c r="C485" s="212">
        <v>44468</v>
      </c>
      <c r="D485" s="191" t="s">
        <v>82</v>
      </c>
      <c r="E485" s="191">
        <v>40000</v>
      </c>
      <c r="F485" s="191">
        <v>0.022</v>
      </c>
      <c r="G485" s="242">
        <v>44545</v>
      </c>
      <c r="H485" s="214">
        <f t="shared" si="9"/>
        <v>880</v>
      </c>
      <c r="I485" s="191" t="s">
        <v>10</v>
      </c>
    </row>
    <row r="486" hidden="1" spans="2:9">
      <c r="B486" s="191">
        <v>212200541</v>
      </c>
      <c r="C486" s="212">
        <v>44468</v>
      </c>
      <c r="D486" s="191" t="s">
        <v>83</v>
      </c>
      <c r="E486" s="191">
        <v>20000</v>
      </c>
      <c r="F486" s="191">
        <v>0.023</v>
      </c>
      <c r="G486" s="242">
        <v>44540</v>
      </c>
      <c r="H486" s="214">
        <f t="shared" si="9"/>
        <v>460</v>
      </c>
      <c r="I486" s="191" t="s">
        <v>10</v>
      </c>
    </row>
    <row r="487" hidden="1" spans="2:9">
      <c r="B487" s="191">
        <v>212200541</v>
      </c>
      <c r="C487" s="212">
        <v>44468</v>
      </c>
      <c r="D487" s="191" t="s">
        <v>109</v>
      </c>
      <c r="E487" s="191">
        <v>30000</v>
      </c>
      <c r="F487" s="191">
        <v>0.07</v>
      </c>
      <c r="G487" s="242">
        <v>44540</v>
      </c>
      <c r="H487" s="214">
        <f t="shared" si="9"/>
        <v>2100</v>
      </c>
      <c r="I487" s="191" t="s">
        <v>10</v>
      </c>
    </row>
    <row r="488" hidden="1" spans="2:9">
      <c r="B488" s="191">
        <v>212200541</v>
      </c>
      <c r="C488" s="212">
        <v>44468</v>
      </c>
      <c r="D488" s="191" t="s">
        <v>69</v>
      </c>
      <c r="E488" s="191">
        <v>160000</v>
      </c>
      <c r="F488" s="191">
        <v>0.028</v>
      </c>
      <c r="G488" s="242">
        <v>44540</v>
      </c>
      <c r="H488" s="214">
        <f t="shared" si="9"/>
        <v>4480</v>
      </c>
      <c r="I488" s="191" t="s">
        <v>10</v>
      </c>
    </row>
    <row r="489" hidden="1" spans="2:9">
      <c r="B489" s="191">
        <v>212200541</v>
      </c>
      <c r="C489" s="212">
        <v>44468</v>
      </c>
      <c r="D489" s="191" t="s">
        <v>67</v>
      </c>
      <c r="E489" s="191">
        <v>120000</v>
      </c>
      <c r="F489" s="191">
        <v>0.028</v>
      </c>
      <c r="G489" s="242">
        <v>44540</v>
      </c>
      <c r="H489" s="214">
        <f t="shared" si="9"/>
        <v>3360</v>
      </c>
      <c r="I489" s="191" t="s">
        <v>10</v>
      </c>
    </row>
    <row r="490" hidden="1" spans="2:9">
      <c r="B490" s="191">
        <v>212200541</v>
      </c>
      <c r="C490" s="212">
        <v>44468</v>
      </c>
      <c r="D490" s="191" t="s">
        <v>34</v>
      </c>
      <c r="E490" s="191">
        <v>140000</v>
      </c>
      <c r="F490" s="191">
        <v>0.051</v>
      </c>
      <c r="G490" s="242">
        <v>44545</v>
      </c>
      <c r="H490" s="214">
        <f t="shared" si="9"/>
        <v>7140</v>
      </c>
      <c r="I490" s="191" t="s">
        <v>10</v>
      </c>
    </row>
    <row r="491" hidden="1" spans="2:9">
      <c r="B491" s="191">
        <v>212200541</v>
      </c>
      <c r="C491" s="267">
        <v>44468</v>
      </c>
      <c r="D491" s="191" t="s">
        <v>56</v>
      </c>
      <c r="E491" s="191">
        <v>70000</v>
      </c>
      <c r="F491" s="191">
        <v>0.04</v>
      </c>
      <c r="G491" s="242">
        <v>44545</v>
      </c>
      <c r="H491" s="262">
        <f t="shared" si="9"/>
        <v>2800</v>
      </c>
      <c r="I491" s="191" t="s">
        <v>10</v>
      </c>
    </row>
    <row r="492" hidden="1" spans="2:9">
      <c r="B492" s="211">
        <v>212200541</v>
      </c>
      <c r="C492" s="212">
        <v>44468</v>
      </c>
      <c r="D492" s="211" t="s">
        <v>78</v>
      </c>
      <c r="E492" s="211">
        <v>120000</v>
      </c>
      <c r="F492" s="211">
        <v>0.02</v>
      </c>
      <c r="G492" s="212">
        <v>44550</v>
      </c>
      <c r="H492" s="214">
        <f t="shared" si="9"/>
        <v>2400</v>
      </c>
      <c r="I492" s="191" t="s">
        <v>107</v>
      </c>
    </row>
    <row r="493" hidden="1" spans="2:9">
      <c r="B493" s="211">
        <v>212200541</v>
      </c>
      <c r="C493" s="212">
        <v>44468</v>
      </c>
      <c r="D493" s="211" t="s">
        <v>32</v>
      </c>
      <c r="E493" s="211">
        <v>70000</v>
      </c>
      <c r="F493" s="211">
        <v>0.02</v>
      </c>
      <c r="G493" s="212">
        <v>44520</v>
      </c>
      <c r="H493" s="214">
        <f t="shared" si="9"/>
        <v>1400</v>
      </c>
      <c r="I493" s="191" t="s">
        <v>107</v>
      </c>
    </row>
    <row r="494" hidden="1" spans="2:9">
      <c r="B494" s="211">
        <v>212200541</v>
      </c>
      <c r="C494" s="212">
        <v>44468</v>
      </c>
      <c r="D494" s="211" t="s">
        <v>32</v>
      </c>
      <c r="E494" s="211">
        <v>70000</v>
      </c>
      <c r="F494" s="211">
        <v>0.02</v>
      </c>
      <c r="G494" s="212">
        <v>44520</v>
      </c>
      <c r="H494" s="214">
        <f t="shared" si="9"/>
        <v>1400</v>
      </c>
      <c r="I494" s="191" t="s">
        <v>107</v>
      </c>
    </row>
    <row r="495" hidden="1" spans="2:9">
      <c r="B495" s="211">
        <v>212200541</v>
      </c>
      <c r="C495" s="212">
        <v>44468</v>
      </c>
      <c r="D495" s="211" t="s">
        <v>32</v>
      </c>
      <c r="E495" s="211">
        <v>60000</v>
      </c>
      <c r="F495" s="211">
        <v>0.02</v>
      </c>
      <c r="G495" s="212">
        <v>44520</v>
      </c>
      <c r="H495" s="214">
        <f t="shared" si="9"/>
        <v>1200</v>
      </c>
      <c r="I495" s="191" t="s">
        <v>107</v>
      </c>
    </row>
    <row r="496" hidden="1" spans="2:9">
      <c r="B496" s="191">
        <v>212200541</v>
      </c>
      <c r="C496" s="235">
        <v>44468</v>
      </c>
      <c r="D496" s="191" t="s">
        <v>30</v>
      </c>
      <c r="E496" s="191">
        <v>400000</v>
      </c>
      <c r="F496" s="191">
        <v>0.031</v>
      </c>
      <c r="G496" s="242">
        <v>44520</v>
      </c>
      <c r="H496" s="270">
        <f t="shared" si="9"/>
        <v>12400</v>
      </c>
      <c r="I496" s="191" t="s">
        <v>10</v>
      </c>
    </row>
    <row r="497" hidden="1" spans="2:9">
      <c r="B497" s="191">
        <v>212200541</v>
      </c>
      <c r="C497" s="212">
        <v>44468</v>
      </c>
      <c r="D497" s="191" t="s">
        <v>30</v>
      </c>
      <c r="E497" s="191">
        <v>350000</v>
      </c>
      <c r="F497" s="191">
        <v>0.031</v>
      </c>
      <c r="G497" s="242">
        <v>44525</v>
      </c>
      <c r="H497" s="214">
        <f t="shared" si="9"/>
        <v>10850</v>
      </c>
      <c r="I497" s="191" t="s">
        <v>10</v>
      </c>
    </row>
    <row r="498" hidden="1" spans="2:9">
      <c r="B498" s="191">
        <v>212200541</v>
      </c>
      <c r="C498" s="212">
        <v>44468</v>
      </c>
      <c r="D498" s="191" t="s">
        <v>30</v>
      </c>
      <c r="E498" s="191">
        <v>100000</v>
      </c>
      <c r="F498" s="191">
        <v>0.031</v>
      </c>
      <c r="G498" s="242">
        <v>44555</v>
      </c>
      <c r="H498" s="214">
        <f t="shared" si="9"/>
        <v>3100</v>
      </c>
      <c r="I498" s="191" t="s">
        <v>10</v>
      </c>
    </row>
    <row r="499" hidden="1" spans="2:9">
      <c r="B499" s="191">
        <v>212200541</v>
      </c>
      <c r="C499" s="212">
        <v>44468</v>
      </c>
      <c r="D499" s="191" t="s">
        <v>30</v>
      </c>
      <c r="E499" s="191">
        <v>150000</v>
      </c>
      <c r="F499" s="191">
        <v>0.031</v>
      </c>
      <c r="G499" s="242">
        <v>44555</v>
      </c>
      <c r="H499" s="214">
        <f t="shared" si="9"/>
        <v>4650</v>
      </c>
      <c r="I499" s="191" t="s">
        <v>10</v>
      </c>
    </row>
    <row r="500" hidden="1" spans="2:9">
      <c r="B500" s="191">
        <v>212200541</v>
      </c>
      <c r="C500" s="212">
        <v>44468</v>
      </c>
      <c r="D500" s="191" t="s">
        <v>44</v>
      </c>
      <c r="E500" s="191">
        <v>150000</v>
      </c>
      <c r="F500" s="191">
        <v>0.0238</v>
      </c>
      <c r="G500" s="242">
        <v>44545</v>
      </c>
      <c r="H500" s="214">
        <f t="shared" si="9"/>
        <v>3570</v>
      </c>
      <c r="I500" s="191" t="s">
        <v>10</v>
      </c>
    </row>
    <row r="501" hidden="1" spans="2:9">
      <c r="B501" s="191">
        <v>212200541</v>
      </c>
      <c r="C501" s="212">
        <v>44468</v>
      </c>
      <c r="D501" s="191" t="s">
        <v>44</v>
      </c>
      <c r="E501" s="191">
        <v>180000</v>
      </c>
      <c r="F501" s="191">
        <v>0.0238</v>
      </c>
      <c r="G501" s="242">
        <v>44576</v>
      </c>
      <c r="H501" s="214">
        <f t="shared" ref="H501:H564" si="10">E501*F501</f>
        <v>4284</v>
      </c>
      <c r="I501" s="191" t="s">
        <v>10</v>
      </c>
    </row>
    <row r="502" hidden="1" spans="2:9">
      <c r="B502" s="191">
        <v>212200541</v>
      </c>
      <c r="C502" s="212">
        <v>44468</v>
      </c>
      <c r="D502" s="191" t="s">
        <v>44</v>
      </c>
      <c r="E502" s="191">
        <v>120000</v>
      </c>
      <c r="F502" s="191">
        <v>0.0238</v>
      </c>
      <c r="G502" s="242">
        <v>44576</v>
      </c>
      <c r="H502" s="214">
        <f t="shared" si="10"/>
        <v>2856</v>
      </c>
      <c r="I502" s="191" t="s">
        <v>10</v>
      </c>
    </row>
    <row r="503" spans="2:9">
      <c r="B503" s="191">
        <v>212200541</v>
      </c>
      <c r="C503" s="212">
        <v>44468</v>
      </c>
      <c r="D503" s="191" t="s">
        <v>100</v>
      </c>
      <c r="E503" s="191">
        <v>200000</v>
      </c>
      <c r="F503" s="191">
        <v>0.036</v>
      </c>
      <c r="G503" s="242">
        <v>44515</v>
      </c>
      <c r="H503" s="214">
        <f t="shared" si="10"/>
        <v>7200</v>
      </c>
      <c r="I503" s="191" t="s">
        <v>10</v>
      </c>
    </row>
    <row r="504" spans="2:9">
      <c r="B504" s="191">
        <v>212200541</v>
      </c>
      <c r="C504" s="212">
        <v>44468</v>
      </c>
      <c r="D504" s="191" t="s">
        <v>100</v>
      </c>
      <c r="E504" s="191">
        <v>200000</v>
      </c>
      <c r="F504" s="191">
        <v>0.036</v>
      </c>
      <c r="G504" s="242">
        <v>44545</v>
      </c>
      <c r="H504" s="214">
        <f t="shared" si="10"/>
        <v>7200</v>
      </c>
      <c r="I504" s="191" t="s">
        <v>10</v>
      </c>
    </row>
    <row r="505" hidden="1" spans="2:9">
      <c r="B505" s="191">
        <v>212200541</v>
      </c>
      <c r="C505" s="212">
        <v>44468</v>
      </c>
      <c r="D505" s="191" t="s">
        <v>22</v>
      </c>
      <c r="E505" s="191">
        <v>250000</v>
      </c>
      <c r="F505" s="191">
        <v>0.065</v>
      </c>
      <c r="G505" s="242">
        <v>44545</v>
      </c>
      <c r="H505" s="214">
        <f t="shared" si="10"/>
        <v>16250</v>
      </c>
      <c r="I505" s="191" t="s">
        <v>10</v>
      </c>
    </row>
    <row r="506" hidden="1" spans="2:9">
      <c r="B506" s="191">
        <v>212200541</v>
      </c>
      <c r="C506" s="212">
        <v>44468</v>
      </c>
      <c r="D506" s="191" t="s">
        <v>22</v>
      </c>
      <c r="E506" s="191">
        <v>300000</v>
      </c>
      <c r="F506" s="191">
        <v>0.065</v>
      </c>
      <c r="G506" s="242">
        <v>44581</v>
      </c>
      <c r="H506" s="214">
        <f t="shared" si="10"/>
        <v>19500</v>
      </c>
      <c r="I506" s="191" t="s">
        <v>10</v>
      </c>
    </row>
    <row r="507" hidden="1" spans="2:9">
      <c r="B507" s="191">
        <v>212200541</v>
      </c>
      <c r="C507" s="212">
        <v>44468</v>
      </c>
      <c r="D507" s="191" t="s">
        <v>22</v>
      </c>
      <c r="E507" s="191">
        <v>150000</v>
      </c>
      <c r="F507" s="191">
        <v>0.065</v>
      </c>
      <c r="G507" s="242">
        <v>44586</v>
      </c>
      <c r="H507" s="214">
        <f t="shared" si="10"/>
        <v>9750</v>
      </c>
      <c r="I507" s="191" t="s">
        <v>10</v>
      </c>
    </row>
    <row r="508" hidden="1" spans="2:9">
      <c r="B508" s="191">
        <v>21220563</v>
      </c>
      <c r="C508" s="242">
        <v>44473</v>
      </c>
      <c r="D508" s="191" t="s">
        <v>9</v>
      </c>
      <c r="E508" s="191">
        <v>40000</v>
      </c>
      <c r="F508" s="191">
        <v>0.0254</v>
      </c>
      <c r="G508" s="242">
        <v>44494</v>
      </c>
      <c r="H508" s="214">
        <f t="shared" si="10"/>
        <v>1016</v>
      </c>
      <c r="I508" s="191" t="s">
        <v>14</v>
      </c>
    </row>
    <row r="509" hidden="1" spans="2:9">
      <c r="B509" s="191">
        <v>21220563</v>
      </c>
      <c r="C509" s="242">
        <v>44473</v>
      </c>
      <c r="D509" s="191" t="s">
        <v>9</v>
      </c>
      <c r="E509" s="191">
        <v>40000</v>
      </c>
      <c r="F509" s="191">
        <v>0.0254</v>
      </c>
      <c r="G509" s="242">
        <v>44525</v>
      </c>
      <c r="H509" s="214">
        <f t="shared" si="10"/>
        <v>1016</v>
      </c>
      <c r="I509" s="191" t="s">
        <v>14</v>
      </c>
    </row>
    <row r="510" hidden="1" spans="2:9">
      <c r="B510" s="255">
        <v>212200575</v>
      </c>
      <c r="C510" s="242">
        <v>44475</v>
      </c>
      <c r="D510" s="211" t="s">
        <v>53</v>
      </c>
      <c r="E510" s="255">
        <v>500000</v>
      </c>
      <c r="F510" s="191">
        <v>0.03</v>
      </c>
      <c r="G510" s="242">
        <v>44494</v>
      </c>
      <c r="H510" s="244">
        <f t="shared" si="10"/>
        <v>15000</v>
      </c>
      <c r="I510" s="191" t="s">
        <v>107</v>
      </c>
    </row>
    <row r="511" hidden="1" spans="2:9">
      <c r="B511" s="255">
        <v>212200575</v>
      </c>
      <c r="C511" s="242">
        <v>44475</v>
      </c>
      <c r="D511" s="211" t="s">
        <v>53</v>
      </c>
      <c r="E511" s="255">
        <v>500000</v>
      </c>
      <c r="F511" s="191">
        <v>0.03</v>
      </c>
      <c r="G511" s="242">
        <v>44494</v>
      </c>
      <c r="H511" s="244">
        <f t="shared" si="10"/>
        <v>15000</v>
      </c>
      <c r="I511" s="191" t="s">
        <v>107</v>
      </c>
    </row>
    <row r="512" hidden="1" spans="2:9">
      <c r="B512" s="255">
        <v>212200575</v>
      </c>
      <c r="C512" s="242">
        <v>44475</v>
      </c>
      <c r="D512" s="211" t="s">
        <v>53</v>
      </c>
      <c r="E512" s="255">
        <v>500000</v>
      </c>
      <c r="F512" s="191">
        <v>0.03</v>
      </c>
      <c r="G512" s="242">
        <v>44525</v>
      </c>
      <c r="H512" s="244">
        <f t="shared" si="10"/>
        <v>15000</v>
      </c>
      <c r="I512" s="191" t="s">
        <v>107</v>
      </c>
    </row>
    <row r="513" hidden="1" spans="2:9">
      <c r="B513" s="255">
        <v>212200575</v>
      </c>
      <c r="C513" s="242">
        <v>44475</v>
      </c>
      <c r="D513" s="211" t="s">
        <v>53</v>
      </c>
      <c r="E513" s="255">
        <v>500000</v>
      </c>
      <c r="F513" s="191">
        <v>0.03</v>
      </c>
      <c r="G513" s="242">
        <v>44555</v>
      </c>
      <c r="H513" s="244">
        <f t="shared" si="10"/>
        <v>15000</v>
      </c>
      <c r="I513" s="191" t="s">
        <v>107</v>
      </c>
    </row>
    <row r="514" hidden="1" spans="2:9">
      <c r="B514" s="255">
        <v>212200644</v>
      </c>
      <c r="C514" s="242">
        <v>44477</v>
      </c>
      <c r="D514" s="191" t="s">
        <v>45</v>
      </c>
      <c r="E514" s="255">
        <v>200000</v>
      </c>
      <c r="F514" s="191">
        <v>0.028</v>
      </c>
      <c r="G514" s="242">
        <v>44621</v>
      </c>
      <c r="H514" s="244">
        <f t="shared" si="10"/>
        <v>5600</v>
      </c>
      <c r="I514" s="191" t="s">
        <v>14</v>
      </c>
    </row>
    <row r="515" hidden="1" spans="2:9">
      <c r="B515" s="255">
        <v>212200644</v>
      </c>
      <c r="C515" s="242">
        <v>44477</v>
      </c>
      <c r="D515" s="191" t="s">
        <v>45</v>
      </c>
      <c r="E515" s="255">
        <v>200000</v>
      </c>
      <c r="F515" s="191">
        <v>0.028</v>
      </c>
      <c r="G515" s="242">
        <v>44555</v>
      </c>
      <c r="H515" s="244">
        <f t="shared" si="10"/>
        <v>5600</v>
      </c>
      <c r="I515" s="191" t="s">
        <v>14</v>
      </c>
    </row>
    <row r="516" hidden="1" spans="2:9">
      <c r="B516" s="255">
        <v>212200644</v>
      </c>
      <c r="C516" s="242">
        <v>44477</v>
      </c>
      <c r="D516" s="211" t="s">
        <v>73</v>
      </c>
      <c r="E516" s="255">
        <v>200000</v>
      </c>
      <c r="F516" s="191">
        <v>0.024</v>
      </c>
      <c r="G516" s="242">
        <v>44621</v>
      </c>
      <c r="H516" s="244">
        <f t="shared" si="10"/>
        <v>4800</v>
      </c>
      <c r="I516" s="191" t="s">
        <v>14</v>
      </c>
    </row>
    <row r="517" hidden="1" spans="2:9">
      <c r="B517" s="255">
        <v>212200644</v>
      </c>
      <c r="C517" s="242">
        <v>44477</v>
      </c>
      <c r="D517" s="211" t="s">
        <v>73</v>
      </c>
      <c r="E517" s="255">
        <v>200000</v>
      </c>
      <c r="F517" s="191">
        <v>0.024</v>
      </c>
      <c r="G517" s="242">
        <v>44650</v>
      </c>
      <c r="H517" s="244">
        <f t="shared" si="10"/>
        <v>4800</v>
      </c>
      <c r="I517" s="191" t="s">
        <v>14</v>
      </c>
    </row>
    <row r="518" hidden="1" spans="2:9">
      <c r="B518" s="255">
        <v>212200644</v>
      </c>
      <c r="C518" s="242">
        <v>44477</v>
      </c>
      <c r="D518" s="191" t="s">
        <v>38</v>
      </c>
      <c r="E518" s="255">
        <v>200000</v>
      </c>
      <c r="F518" s="191">
        <v>0.01</v>
      </c>
      <c r="G518" s="242">
        <v>44593</v>
      </c>
      <c r="H518" s="244">
        <f t="shared" si="10"/>
        <v>2000</v>
      </c>
      <c r="I518" s="191" t="s">
        <v>14</v>
      </c>
    </row>
    <row r="519" hidden="1" spans="2:9">
      <c r="B519" s="255">
        <v>212200644</v>
      </c>
      <c r="C519" s="242">
        <v>44477</v>
      </c>
      <c r="D519" s="191" t="s">
        <v>38</v>
      </c>
      <c r="E519" s="255">
        <v>200000</v>
      </c>
      <c r="F519" s="191">
        <v>0.01</v>
      </c>
      <c r="G519" s="242">
        <v>44607</v>
      </c>
      <c r="H519" s="244">
        <f t="shared" si="10"/>
        <v>2000</v>
      </c>
      <c r="I519" s="191" t="s">
        <v>14</v>
      </c>
    </row>
    <row r="520" hidden="1" spans="2:9">
      <c r="B520" s="214">
        <v>212200644</v>
      </c>
      <c r="C520" s="212">
        <v>44477</v>
      </c>
      <c r="D520" s="213" t="s">
        <v>93</v>
      </c>
      <c r="E520" s="214">
        <v>200000</v>
      </c>
      <c r="F520" s="211">
        <v>0.04</v>
      </c>
      <c r="G520" s="212">
        <v>44576</v>
      </c>
      <c r="H520" s="214">
        <f t="shared" si="10"/>
        <v>8000</v>
      </c>
      <c r="I520" s="191" t="s">
        <v>110</v>
      </c>
    </row>
    <row r="521" hidden="1" spans="2:9">
      <c r="B521" s="214">
        <v>212200644</v>
      </c>
      <c r="C521" s="212">
        <v>44477</v>
      </c>
      <c r="D521" s="213" t="s">
        <v>93</v>
      </c>
      <c r="E521" s="214">
        <v>200000</v>
      </c>
      <c r="F521" s="211">
        <v>0.04</v>
      </c>
      <c r="G521" s="212">
        <v>44607</v>
      </c>
      <c r="H521" s="214">
        <f t="shared" si="10"/>
        <v>8000</v>
      </c>
      <c r="I521" s="191" t="s">
        <v>110</v>
      </c>
    </row>
    <row r="522" hidden="1" spans="2:9">
      <c r="B522" s="214">
        <v>212200644</v>
      </c>
      <c r="C522" s="212">
        <v>44477</v>
      </c>
      <c r="D522" s="213" t="s">
        <v>93</v>
      </c>
      <c r="E522" s="214">
        <v>200000</v>
      </c>
      <c r="F522" s="211">
        <v>0.04</v>
      </c>
      <c r="G522" s="212">
        <v>44635</v>
      </c>
      <c r="H522" s="214">
        <f t="shared" si="10"/>
        <v>8000</v>
      </c>
      <c r="I522" s="191" t="s">
        <v>110</v>
      </c>
    </row>
    <row r="523" hidden="1" spans="2:9">
      <c r="B523" s="255">
        <v>212200704</v>
      </c>
      <c r="C523" s="242">
        <v>44481</v>
      </c>
      <c r="D523" s="191" t="s">
        <v>111</v>
      </c>
      <c r="E523" s="271">
        <v>20000</v>
      </c>
      <c r="F523" s="191">
        <v>0.045</v>
      </c>
      <c r="G523" s="242">
        <v>44515</v>
      </c>
      <c r="H523" s="244">
        <f t="shared" si="10"/>
        <v>900</v>
      </c>
      <c r="I523" s="191" t="s">
        <v>65</v>
      </c>
    </row>
    <row r="524" hidden="1" spans="2:9">
      <c r="B524" s="255">
        <v>212200704</v>
      </c>
      <c r="C524" s="242">
        <v>44481</v>
      </c>
      <c r="D524" s="191" t="s">
        <v>59</v>
      </c>
      <c r="E524" s="271">
        <v>208000</v>
      </c>
      <c r="F524" s="191">
        <v>0.015</v>
      </c>
      <c r="G524" s="242">
        <v>44499</v>
      </c>
      <c r="H524" s="244">
        <f t="shared" si="10"/>
        <v>3120</v>
      </c>
      <c r="I524" s="191" t="s">
        <v>14</v>
      </c>
    </row>
    <row r="525" hidden="1" spans="2:9">
      <c r="B525" s="255">
        <v>212200704</v>
      </c>
      <c r="C525" s="242">
        <v>44481</v>
      </c>
      <c r="D525" s="191" t="s">
        <v>112</v>
      </c>
      <c r="E525" s="271">
        <v>208000</v>
      </c>
      <c r="F525" s="191">
        <v>0.003</v>
      </c>
      <c r="G525" s="242">
        <v>44499</v>
      </c>
      <c r="H525" s="244">
        <f t="shared" si="10"/>
        <v>624</v>
      </c>
      <c r="I525" s="191" t="s">
        <v>65</v>
      </c>
    </row>
    <row r="526" hidden="1" spans="2:9">
      <c r="B526" s="255">
        <v>212200711</v>
      </c>
      <c r="C526" s="242">
        <v>44483</v>
      </c>
      <c r="D526" s="191" t="s">
        <v>35</v>
      </c>
      <c r="E526" s="271">
        <v>100000</v>
      </c>
      <c r="F526" s="191">
        <v>0.05</v>
      </c>
      <c r="G526" s="242">
        <v>44540</v>
      </c>
      <c r="H526" s="244">
        <f t="shared" si="10"/>
        <v>5000</v>
      </c>
      <c r="I526" s="191" t="s">
        <v>10</v>
      </c>
    </row>
    <row r="527" hidden="1" spans="2:9">
      <c r="B527" s="255">
        <v>212200711</v>
      </c>
      <c r="C527" s="242">
        <v>44483</v>
      </c>
      <c r="D527" s="191" t="s">
        <v>35</v>
      </c>
      <c r="E527" s="271">
        <v>100000</v>
      </c>
      <c r="F527" s="191">
        <v>0.05</v>
      </c>
      <c r="G527" s="242">
        <v>44602</v>
      </c>
      <c r="H527" s="244">
        <f t="shared" si="10"/>
        <v>5000</v>
      </c>
      <c r="I527" s="191" t="s">
        <v>10</v>
      </c>
    </row>
    <row r="528" hidden="1" spans="2:9">
      <c r="B528" s="255">
        <v>212200711</v>
      </c>
      <c r="C528" s="242">
        <v>44483</v>
      </c>
      <c r="D528" s="191" t="s">
        <v>113</v>
      </c>
      <c r="E528" s="271">
        <v>208000</v>
      </c>
      <c r="F528" s="191">
        <v>0.01</v>
      </c>
      <c r="G528" s="242">
        <v>44540</v>
      </c>
      <c r="H528" s="244">
        <f t="shared" si="10"/>
        <v>2080</v>
      </c>
      <c r="I528" s="191" t="s">
        <v>10</v>
      </c>
    </row>
    <row r="529" hidden="1" spans="2:9">
      <c r="B529" s="255">
        <v>212200724</v>
      </c>
      <c r="C529" s="242">
        <v>44488</v>
      </c>
      <c r="D529" s="191" t="s">
        <v>108</v>
      </c>
      <c r="E529" s="271">
        <v>20000</v>
      </c>
      <c r="F529" s="191">
        <v>0.04</v>
      </c>
      <c r="G529" s="242">
        <v>44540</v>
      </c>
      <c r="H529" s="244">
        <f t="shared" si="10"/>
        <v>800</v>
      </c>
      <c r="I529" s="191" t="s">
        <v>10</v>
      </c>
    </row>
    <row r="530" hidden="1" spans="2:9">
      <c r="B530" s="255">
        <v>212200724</v>
      </c>
      <c r="C530" s="242">
        <v>44488</v>
      </c>
      <c r="D530" s="191" t="s">
        <v>108</v>
      </c>
      <c r="E530" s="271">
        <v>20000</v>
      </c>
      <c r="F530" s="191">
        <v>0.04</v>
      </c>
      <c r="G530" s="242">
        <v>44571</v>
      </c>
      <c r="H530" s="244">
        <f t="shared" si="10"/>
        <v>800</v>
      </c>
      <c r="I530" s="191" t="s">
        <v>10</v>
      </c>
    </row>
    <row r="531" hidden="1" spans="2:9">
      <c r="B531" s="255">
        <v>212200724</v>
      </c>
      <c r="C531" s="242">
        <v>44488</v>
      </c>
      <c r="D531" s="191" t="s">
        <v>108</v>
      </c>
      <c r="E531" s="271">
        <v>20000</v>
      </c>
      <c r="F531" s="191">
        <v>0.04</v>
      </c>
      <c r="G531" s="242">
        <v>44630</v>
      </c>
      <c r="H531" s="244">
        <f t="shared" si="10"/>
        <v>800</v>
      </c>
      <c r="I531" s="191" t="s">
        <v>65</v>
      </c>
    </row>
    <row r="532" hidden="1" spans="2:9">
      <c r="B532" s="255">
        <v>212200724</v>
      </c>
      <c r="C532" s="242">
        <v>44488</v>
      </c>
      <c r="D532" s="191" t="s">
        <v>43</v>
      </c>
      <c r="E532" s="271">
        <v>70000</v>
      </c>
      <c r="F532" s="191">
        <v>0.05</v>
      </c>
      <c r="G532" s="242">
        <v>44602</v>
      </c>
      <c r="H532" s="244">
        <f t="shared" si="10"/>
        <v>3500</v>
      </c>
      <c r="I532" s="191" t="s">
        <v>10</v>
      </c>
    </row>
    <row r="533" hidden="1" spans="2:9">
      <c r="B533" s="255">
        <v>212200724</v>
      </c>
      <c r="C533" s="242">
        <v>44488</v>
      </c>
      <c r="D533" s="191" t="s">
        <v>43</v>
      </c>
      <c r="E533" s="271">
        <v>70000</v>
      </c>
      <c r="F533" s="191">
        <v>0.05</v>
      </c>
      <c r="G533" s="242">
        <v>44630</v>
      </c>
      <c r="H533" s="244">
        <f t="shared" si="10"/>
        <v>3500</v>
      </c>
      <c r="I533" s="191" t="s">
        <v>10</v>
      </c>
    </row>
    <row r="534" hidden="1" spans="2:9">
      <c r="B534" s="255">
        <v>212200724</v>
      </c>
      <c r="C534" s="242">
        <v>44488</v>
      </c>
      <c r="D534" s="191" t="s">
        <v>18</v>
      </c>
      <c r="E534" s="271">
        <v>100000</v>
      </c>
      <c r="F534" s="191">
        <v>0.0238</v>
      </c>
      <c r="G534" s="242">
        <v>44571</v>
      </c>
      <c r="H534" s="244">
        <f t="shared" si="10"/>
        <v>2380</v>
      </c>
      <c r="I534" s="191" t="s">
        <v>10</v>
      </c>
    </row>
    <row r="535" hidden="1" spans="2:9">
      <c r="B535" s="255">
        <v>212200724</v>
      </c>
      <c r="C535" s="242">
        <v>44488</v>
      </c>
      <c r="D535" s="191" t="s">
        <v>18</v>
      </c>
      <c r="E535" s="271">
        <v>200000</v>
      </c>
      <c r="F535" s="191">
        <v>0.0238</v>
      </c>
      <c r="G535" s="242">
        <v>44630</v>
      </c>
      <c r="H535" s="244">
        <f t="shared" si="10"/>
        <v>4760</v>
      </c>
      <c r="I535" s="191" t="s">
        <v>10</v>
      </c>
    </row>
    <row r="536" hidden="1" spans="2:9">
      <c r="B536" s="255">
        <v>212200724</v>
      </c>
      <c r="C536" s="242">
        <v>44488</v>
      </c>
      <c r="D536" s="191" t="s">
        <v>31</v>
      </c>
      <c r="E536" s="271">
        <v>150000</v>
      </c>
      <c r="F536" s="191">
        <v>0.036</v>
      </c>
      <c r="G536" s="242">
        <v>44571</v>
      </c>
      <c r="H536" s="244">
        <f t="shared" si="10"/>
        <v>5400</v>
      </c>
      <c r="I536" s="191" t="s">
        <v>10</v>
      </c>
    </row>
    <row r="537" hidden="1" spans="2:9">
      <c r="B537" s="255">
        <v>212200724</v>
      </c>
      <c r="C537" s="242">
        <v>44488</v>
      </c>
      <c r="D537" s="191" t="s">
        <v>31</v>
      </c>
      <c r="E537" s="271">
        <v>150000</v>
      </c>
      <c r="F537" s="191">
        <v>0.036</v>
      </c>
      <c r="G537" s="242">
        <v>44602</v>
      </c>
      <c r="H537" s="244">
        <f t="shared" si="10"/>
        <v>5400</v>
      </c>
      <c r="I537" s="191" t="s">
        <v>10</v>
      </c>
    </row>
    <row r="538" hidden="1" spans="2:9">
      <c r="B538" s="214">
        <v>212200724</v>
      </c>
      <c r="C538" s="212">
        <v>44488</v>
      </c>
      <c r="D538" s="211" t="s">
        <v>99</v>
      </c>
      <c r="E538" s="214">
        <v>200000</v>
      </c>
      <c r="F538" s="211">
        <v>0.035</v>
      </c>
      <c r="G538" s="212">
        <v>44602</v>
      </c>
      <c r="H538" s="214">
        <f t="shared" si="10"/>
        <v>7000</v>
      </c>
      <c r="I538" s="191" t="s">
        <v>65</v>
      </c>
    </row>
    <row r="539" hidden="1" spans="2:9">
      <c r="B539" s="255">
        <v>212200724</v>
      </c>
      <c r="C539" s="242">
        <v>44488</v>
      </c>
      <c r="D539" s="191" t="s">
        <v>56</v>
      </c>
      <c r="E539" s="271">
        <v>70000</v>
      </c>
      <c r="F539" s="191">
        <v>0.04</v>
      </c>
      <c r="G539" s="242">
        <v>44602</v>
      </c>
      <c r="H539" s="244">
        <f t="shared" si="10"/>
        <v>2800</v>
      </c>
      <c r="I539" s="191" t="s">
        <v>10</v>
      </c>
    </row>
    <row r="540" hidden="1" spans="2:9">
      <c r="B540" s="255">
        <v>212200730</v>
      </c>
      <c r="C540" s="242">
        <v>44488</v>
      </c>
      <c r="D540" s="191" t="s">
        <v>114</v>
      </c>
      <c r="E540" s="271">
        <v>300000</v>
      </c>
      <c r="F540" s="191">
        <v>0.0145</v>
      </c>
      <c r="G540" s="242">
        <v>44520</v>
      </c>
      <c r="H540" s="244">
        <f t="shared" si="10"/>
        <v>4350</v>
      </c>
      <c r="I540" s="191" t="s">
        <v>10</v>
      </c>
    </row>
    <row r="541" hidden="1" spans="2:9">
      <c r="B541" s="255">
        <v>212200730</v>
      </c>
      <c r="C541" s="242">
        <v>44488</v>
      </c>
      <c r="D541" s="191" t="s">
        <v>114</v>
      </c>
      <c r="E541" s="271">
        <v>201000</v>
      </c>
      <c r="F541" s="191">
        <v>0.0145</v>
      </c>
      <c r="G541" s="242">
        <v>44545</v>
      </c>
      <c r="H541" s="244">
        <f t="shared" si="10"/>
        <v>2914.5</v>
      </c>
      <c r="I541" s="191" t="s">
        <v>10</v>
      </c>
    </row>
    <row r="542" hidden="1" spans="2:9">
      <c r="B542" s="255">
        <v>212200730</v>
      </c>
      <c r="C542" s="242">
        <v>44488</v>
      </c>
      <c r="D542" s="191" t="s">
        <v>114</v>
      </c>
      <c r="E542" s="271">
        <v>201000</v>
      </c>
      <c r="F542" s="191">
        <v>0.0145</v>
      </c>
      <c r="G542" s="242">
        <v>44576</v>
      </c>
      <c r="H542" s="244">
        <f t="shared" si="10"/>
        <v>2914.5</v>
      </c>
      <c r="I542" s="191" t="s">
        <v>10</v>
      </c>
    </row>
    <row r="543" hidden="1" spans="2:9">
      <c r="B543" s="255">
        <v>212200730</v>
      </c>
      <c r="C543" s="242">
        <v>44488</v>
      </c>
      <c r="D543" s="191" t="s">
        <v>114</v>
      </c>
      <c r="E543" s="271">
        <v>201000</v>
      </c>
      <c r="F543" s="191">
        <v>0.0145</v>
      </c>
      <c r="G543" s="242">
        <v>44612</v>
      </c>
      <c r="H543" s="244">
        <f t="shared" si="10"/>
        <v>2914.5</v>
      </c>
      <c r="I543" s="191" t="s">
        <v>10</v>
      </c>
    </row>
    <row r="544" hidden="1" spans="2:9">
      <c r="B544" s="255">
        <v>212200730</v>
      </c>
      <c r="C544" s="242">
        <v>44488</v>
      </c>
      <c r="D544" s="191" t="s">
        <v>114</v>
      </c>
      <c r="E544" s="271">
        <v>201000</v>
      </c>
      <c r="F544" s="191">
        <v>0.0145</v>
      </c>
      <c r="G544" s="242">
        <v>44640</v>
      </c>
      <c r="H544" s="244">
        <f t="shared" si="10"/>
        <v>2914.5</v>
      </c>
      <c r="I544" s="191" t="s">
        <v>10</v>
      </c>
    </row>
    <row r="545" hidden="1" spans="2:9">
      <c r="B545" s="255">
        <v>212200730</v>
      </c>
      <c r="C545" s="242">
        <v>44488</v>
      </c>
      <c r="D545" s="191" t="s">
        <v>67</v>
      </c>
      <c r="E545" s="271">
        <v>150000</v>
      </c>
      <c r="F545" s="191">
        <v>0.028</v>
      </c>
      <c r="G545" s="242">
        <v>44540</v>
      </c>
      <c r="H545" s="244">
        <f t="shared" si="10"/>
        <v>4200</v>
      </c>
      <c r="I545" s="191" t="s">
        <v>10</v>
      </c>
    </row>
    <row r="546" hidden="1" spans="2:9">
      <c r="B546" s="255">
        <v>212200730</v>
      </c>
      <c r="C546" s="242">
        <v>44488</v>
      </c>
      <c r="D546" s="191" t="s">
        <v>67</v>
      </c>
      <c r="E546" s="271">
        <v>120000</v>
      </c>
      <c r="F546" s="191">
        <v>0.028</v>
      </c>
      <c r="G546" s="242">
        <v>44571</v>
      </c>
      <c r="H546" s="244">
        <f t="shared" si="10"/>
        <v>3360</v>
      </c>
      <c r="I546" s="191" t="s">
        <v>10</v>
      </c>
    </row>
    <row r="547" hidden="1" spans="2:9">
      <c r="B547" s="255">
        <v>212200730</v>
      </c>
      <c r="C547" s="242">
        <v>44488</v>
      </c>
      <c r="D547" s="191" t="s">
        <v>67</v>
      </c>
      <c r="E547" s="271">
        <v>120000</v>
      </c>
      <c r="F547" s="191">
        <v>0.028</v>
      </c>
      <c r="G547" s="242">
        <v>44602</v>
      </c>
      <c r="H547" s="244">
        <f t="shared" si="10"/>
        <v>3360</v>
      </c>
      <c r="I547" s="191" t="s">
        <v>10</v>
      </c>
    </row>
    <row r="548" hidden="1" spans="2:9">
      <c r="B548" s="255">
        <v>212200730</v>
      </c>
      <c r="C548" s="242">
        <v>44488</v>
      </c>
      <c r="D548" s="191" t="s">
        <v>67</v>
      </c>
      <c r="E548" s="271">
        <v>80000</v>
      </c>
      <c r="F548" s="191">
        <v>0.028</v>
      </c>
      <c r="G548" s="242">
        <v>44630</v>
      </c>
      <c r="H548" s="244">
        <f t="shared" si="10"/>
        <v>2240</v>
      </c>
      <c r="I548" s="191" t="s">
        <v>10</v>
      </c>
    </row>
    <row r="549" hidden="1" spans="2:9">
      <c r="B549" s="255">
        <v>212200730</v>
      </c>
      <c r="C549" s="242">
        <v>44488</v>
      </c>
      <c r="D549" s="191" t="s">
        <v>103</v>
      </c>
      <c r="E549" s="271">
        <v>200000</v>
      </c>
      <c r="F549" s="191">
        <v>0.028</v>
      </c>
      <c r="G549" s="242">
        <v>44576</v>
      </c>
      <c r="H549" s="244">
        <f t="shared" si="10"/>
        <v>5600</v>
      </c>
      <c r="I549" s="191" t="s">
        <v>10</v>
      </c>
    </row>
    <row r="550" hidden="1" spans="2:9">
      <c r="B550" s="255">
        <v>212200730</v>
      </c>
      <c r="C550" s="242">
        <v>44488</v>
      </c>
      <c r="D550" s="191" t="s">
        <v>103</v>
      </c>
      <c r="E550" s="271">
        <v>160000</v>
      </c>
      <c r="F550" s="191">
        <v>0.028</v>
      </c>
      <c r="G550" s="242">
        <v>44607</v>
      </c>
      <c r="H550" s="244">
        <f t="shared" si="10"/>
        <v>4480</v>
      </c>
      <c r="I550" s="191" t="s">
        <v>10</v>
      </c>
    </row>
    <row r="551" hidden="1" spans="2:9">
      <c r="B551" s="255">
        <v>212200730</v>
      </c>
      <c r="C551" s="242">
        <v>44488</v>
      </c>
      <c r="D551" s="191" t="s">
        <v>103</v>
      </c>
      <c r="E551" s="271">
        <v>160000</v>
      </c>
      <c r="F551" s="191">
        <v>0.028</v>
      </c>
      <c r="G551" s="242">
        <v>44645</v>
      </c>
      <c r="H551" s="244">
        <f t="shared" si="10"/>
        <v>4480</v>
      </c>
      <c r="I551" s="191" t="s">
        <v>10</v>
      </c>
    </row>
    <row r="552" hidden="1" spans="2:9">
      <c r="B552" s="255">
        <v>212200730</v>
      </c>
      <c r="C552" s="242">
        <v>44488</v>
      </c>
      <c r="D552" s="191" t="s">
        <v>18</v>
      </c>
      <c r="E552" s="191">
        <v>200000</v>
      </c>
      <c r="F552" s="191">
        <v>0.0238</v>
      </c>
      <c r="G552" s="242">
        <v>44645</v>
      </c>
      <c r="H552" s="244">
        <f t="shared" si="10"/>
        <v>4760</v>
      </c>
      <c r="I552" s="191" t="s">
        <v>10</v>
      </c>
    </row>
    <row r="553" hidden="1" spans="2:9">
      <c r="B553" s="191">
        <v>212200786</v>
      </c>
      <c r="C553" s="242">
        <v>44495</v>
      </c>
      <c r="D553" s="191" t="s">
        <v>115</v>
      </c>
      <c r="E553" s="271">
        <v>20000</v>
      </c>
      <c r="F553" s="191">
        <v>0.035</v>
      </c>
      <c r="G553" s="242">
        <v>44535</v>
      </c>
      <c r="H553" s="244">
        <f t="shared" si="10"/>
        <v>700</v>
      </c>
      <c r="I553" s="191" t="s">
        <v>10</v>
      </c>
    </row>
    <row r="554" hidden="1" spans="2:9">
      <c r="B554" s="191">
        <v>212200786</v>
      </c>
      <c r="C554" s="242">
        <v>44495</v>
      </c>
      <c r="D554" s="191" t="s">
        <v>116</v>
      </c>
      <c r="E554" s="271">
        <v>20000</v>
      </c>
      <c r="F554" s="191">
        <v>0.03</v>
      </c>
      <c r="G554" s="242">
        <v>44535</v>
      </c>
      <c r="H554" s="244">
        <f t="shared" si="10"/>
        <v>600</v>
      </c>
      <c r="I554" s="191" t="s">
        <v>10</v>
      </c>
    </row>
    <row r="555" hidden="1" spans="2:9">
      <c r="B555" s="191">
        <v>212200786</v>
      </c>
      <c r="C555" s="242">
        <v>44495</v>
      </c>
      <c r="D555" s="191" t="s">
        <v>117</v>
      </c>
      <c r="E555" s="271">
        <v>20000</v>
      </c>
      <c r="F555" s="191">
        <v>0.03</v>
      </c>
      <c r="G555" s="242">
        <v>44535</v>
      </c>
      <c r="H555" s="244">
        <f t="shared" si="10"/>
        <v>600</v>
      </c>
      <c r="I555" s="191" t="s">
        <v>10</v>
      </c>
    </row>
    <row r="556" hidden="1" spans="2:9">
      <c r="B556" s="191">
        <v>212200794</v>
      </c>
      <c r="C556" s="242">
        <v>44496</v>
      </c>
      <c r="D556" s="191" t="s">
        <v>83</v>
      </c>
      <c r="E556" s="255">
        <v>22000</v>
      </c>
      <c r="F556" s="191">
        <v>0.023</v>
      </c>
      <c r="G556" s="242">
        <v>44540</v>
      </c>
      <c r="H556" s="244">
        <f t="shared" si="10"/>
        <v>506</v>
      </c>
      <c r="I556" s="191" t="s">
        <v>10</v>
      </c>
    </row>
    <row r="557" hidden="1" spans="2:9">
      <c r="B557" s="191">
        <v>212200794</v>
      </c>
      <c r="C557" s="242">
        <v>44496</v>
      </c>
      <c r="D557" s="191" t="s">
        <v>83</v>
      </c>
      <c r="E557" s="255">
        <v>20000</v>
      </c>
      <c r="F557" s="191">
        <v>0.023</v>
      </c>
      <c r="G557" s="242">
        <v>44571</v>
      </c>
      <c r="H557" s="244">
        <f t="shared" si="10"/>
        <v>460</v>
      </c>
      <c r="I557" s="191" t="s">
        <v>10</v>
      </c>
    </row>
    <row r="558" hidden="1" spans="2:9">
      <c r="B558" s="191">
        <v>212200794</v>
      </c>
      <c r="C558" s="242">
        <v>44496</v>
      </c>
      <c r="D558" s="191" t="s">
        <v>82</v>
      </c>
      <c r="E558" s="255">
        <v>40000</v>
      </c>
      <c r="F558" s="191">
        <v>0.022</v>
      </c>
      <c r="G558" s="242">
        <v>44540</v>
      </c>
      <c r="H558" s="244">
        <f t="shared" si="10"/>
        <v>880</v>
      </c>
      <c r="I558" s="191" t="s">
        <v>10</v>
      </c>
    </row>
    <row r="559" hidden="1" spans="2:9">
      <c r="B559" s="191">
        <v>212200794</v>
      </c>
      <c r="C559" s="242">
        <v>44496</v>
      </c>
      <c r="D559" s="191" t="s">
        <v>82</v>
      </c>
      <c r="E559" s="255">
        <v>40000</v>
      </c>
      <c r="F559" s="191">
        <v>0.022</v>
      </c>
      <c r="G559" s="242">
        <v>44571</v>
      </c>
      <c r="H559" s="244">
        <f t="shared" si="10"/>
        <v>880</v>
      </c>
      <c r="I559" s="191" t="s">
        <v>10</v>
      </c>
    </row>
    <row r="560" hidden="1" spans="2:9">
      <c r="B560" s="191">
        <v>212200794</v>
      </c>
      <c r="C560" s="242">
        <v>44496</v>
      </c>
      <c r="D560" s="191" t="s">
        <v>82</v>
      </c>
      <c r="E560" s="255">
        <v>40000</v>
      </c>
      <c r="F560" s="191">
        <v>0.022</v>
      </c>
      <c r="G560" s="242">
        <v>44602</v>
      </c>
      <c r="H560" s="244">
        <f t="shared" si="10"/>
        <v>880</v>
      </c>
      <c r="I560" s="191" t="s">
        <v>10</v>
      </c>
    </row>
    <row r="561" hidden="1" spans="2:9">
      <c r="B561" s="191">
        <v>212200794</v>
      </c>
      <c r="C561" s="242">
        <v>44496</v>
      </c>
      <c r="D561" s="191" t="s">
        <v>25</v>
      </c>
      <c r="E561" s="255">
        <v>20000</v>
      </c>
      <c r="F561" s="191">
        <v>0.016</v>
      </c>
      <c r="G561" s="242">
        <v>44571</v>
      </c>
      <c r="H561" s="244">
        <f t="shared" si="10"/>
        <v>320</v>
      </c>
      <c r="I561" s="191" t="s">
        <v>10</v>
      </c>
    </row>
    <row r="562" hidden="1" spans="2:9">
      <c r="B562" s="191">
        <v>212200794</v>
      </c>
      <c r="C562" s="242">
        <v>44496</v>
      </c>
      <c r="D562" s="191" t="s">
        <v>31</v>
      </c>
      <c r="E562" s="255">
        <v>200000</v>
      </c>
      <c r="F562" s="191">
        <v>0.036</v>
      </c>
      <c r="G562" s="242">
        <v>44602</v>
      </c>
      <c r="H562" s="244">
        <f t="shared" si="10"/>
        <v>7200</v>
      </c>
      <c r="I562" s="191" t="s">
        <v>10</v>
      </c>
    </row>
    <row r="563" hidden="1" spans="2:9">
      <c r="B563" s="191">
        <v>212200794</v>
      </c>
      <c r="C563" s="242">
        <v>44496</v>
      </c>
      <c r="D563" s="191" t="s">
        <v>16</v>
      </c>
      <c r="E563" s="255">
        <v>120000</v>
      </c>
      <c r="F563" s="191">
        <v>0.0292</v>
      </c>
      <c r="G563" s="242">
        <v>44540</v>
      </c>
      <c r="H563" s="244">
        <f t="shared" si="10"/>
        <v>3504</v>
      </c>
      <c r="I563" s="191" t="s">
        <v>110</v>
      </c>
    </row>
    <row r="564" hidden="1" spans="2:9">
      <c r="B564" s="191">
        <v>212200794</v>
      </c>
      <c r="C564" s="242">
        <v>44496</v>
      </c>
      <c r="D564" s="191" t="s">
        <v>16</v>
      </c>
      <c r="E564" s="255">
        <v>120000</v>
      </c>
      <c r="F564" s="191">
        <v>0.0292</v>
      </c>
      <c r="G564" s="242">
        <v>44571</v>
      </c>
      <c r="H564" s="244">
        <f t="shared" si="10"/>
        <v>3504</v>
      </c>
      <c r="I564" s="191" t="s">
        <v>110</v>
      </c>
    </row>
    <row r="565" hidden="1" spans="2:9">
      <c r="B565" s="191">
        <v>212200794</v>
      </c>
      <c r="C565" s="242">
        <v>44496</v>
      </c>
      <c r="D565" s="191" t="s">
        <v>16</v>
      </c>
      <c r="E565" s="255">
        <v>120000</v>
      </c>
      <c r="F565" s="191">
        <v>0.0292</v>
      </c>
      <c r="G565" s="242">
        <v>44602</v>
      </c>
      <c r="H565" s="244">
        <f t="shared" ref="H565:H628" si="11">E565*F565</f>
        <v>3504</v>
      </c>
      <c r="I565" s="191" t="s">
        <v>110</v>
      </c>
    </row>
    <row r="566" hidden="1" spans="2:9">
      <c r="B566" s="191">
        <v>212200794</v>
      </c>
      <c r="C566" s="242">
        <v>44496</v>
      </c>
      <c r="D566" s="191" t="s">
        <v>102</v>
      </c>
      <c r="E566" s="255">
        <v>50000</v>
      </c>
      <c r="F566" s="191">
        <v>0.034</v>
      </c>
      <c r="G566" s="242">
        <v>44602</v>
      </c>
      <c r="H566" s="244">
        <f t="shared" si="11"/>
        <v>1700</v>
      </c>
      <c r="I566" s="191" t="s">
        <v>10</v>
      </c>
    </row>
    <row r="567" hidden="1" spans="2:9">
      <c r="B567" s="191">
        <v>212200794</v>
      </c>
      <c r="C567" s="242">
        <v>44496</v>
      </c>
      <c r="D567" s="191" t="s">
        <v>102</v>
      </c>
      <c r="E567" s="255">
        <v>60000</v>
      </c>
      <c r="F567" s="191">
        <v>0.034</v>
      </c>
      <c r="G567" s="242">
        <v>44571</v>
      </c>
      <c r="H567" s="244">
        <f t="shared" si="11"/>
        <v>2040</v>
      </c>
      <c r="I567" s="191" t="s">
        <v>10</v>
      </c>
    </row>
    <row r="568" hidden="1" spans="2:9">
      <c r="B568" s="191">
        <v>212200794</v>
      </c>
      <c r="C568" s="242">
        <v>44496</v>
      </c>
      <c r="D568" s="191" t="s">
        <v>52</v>
      </c>
      <c r="E568" s="255">
        <v>20000</v>
      </c>
      <c r="F568" s="191">
        <v>0.07</v>
      </c>
      <c r="G568" s="242">
        <v>44630</v>
      </c>
      <c r="H568" s="244">
        <f t="shared" si="11"/>
        <v>1400</v>
      </c>
      <c r="I568" s="191" t="s">
        <v>10</v>
      </c>
    </row>
    <row r="569" hidden="1" spans="2:9">
      <c r="B569" s="191">
        <v>212200794</v>
      </c>
      <c r="C569" s="242">
        <v>44496</v>
      </c>
      <c r="D569" s="191" t="s">
        <v>118</v>
      </c>
      <c r="E569" s="255">
        <v>300000</v>
      </c>
      <c r="F569" s="191">
        <v>0.065</v>
      </c>
      <c r="G569" s="242">
        <v>44617</v>
      </c>
      <c r="H569" s="244">
        <f t="shared" si="11"/>
        <v>19500</v>
      </c>
      <c r="I569" s="191" t="s">
        <v>10</v>
      </c>
    </row>
    <row r="570" spans="2:9">
      <c r="B570" s="191">
        <v>212200794</v>
      </c>
      <c r="C570" s="242">
        <v>44496</v>
      </c>
      <c r="D570" s="191" t="s">
        <v>100</v>
      </c>
      <c r="E570" s="255">
        <v>200000</v>
      </c>
      <c r="F570" s="191">
        <v>0.03</v>
      </c>
      <c r="G570" s="242">
        <v>44581</v>
      </c>
      <c r="H570" s="244">
        <f t="shared" si="11"/>
        <v>6000</v>
      </c>
      <c r="I570" s="191" t="s">
        <v>10</v>
      </c>
    </row>
    <row r="571" hidden="1" spans="2:9">
      <c r="B571" s="191">
        <v>212200794</v>
      </c>
      <c r="C571" s="242">
        <v>44496</v>
      </c>
      <c r="D571" s="191" t="s">
        <v>119</v>
      </c>
      <c r="E571" s="255">
        <v>20000</v>
      </c>
      <c r="F571" s="191">
        <v>0.07</v>
      </c>
      <c r="G571" s="242">
        <v>44640</v>
      </c>
      <c r="H571" s="244">
        <f t="shared" si="11"/>
        <v>1400</v>
      </c>
      <c r="I571" s="191" t="s">
        <v>10</v>
      </c>
    </row>
    <row r="572" hidden="1" spans="2:9">
      <c r="B572" s="191">
        <v>212200794</v>
      </c>
      <c r="C572" s="242">
        <v>44496</v>
      </c>
      <c r="D572" s="191" t="s">
        <v>119</v>
      </c>
      <c r="E572" s="255">
        <v>30000</v>
      </c>
      <c r="F572" s="191">
        <v>0.07</v>
      </c>
      <c r="G572" s="242">
        <v>44612</v>
      </c>
      <c r="H572" s="244">
        <f t="shared" si="11"/>
        <v>2100</v>
      </c>
      <c r="I572" s="191" t="s">
        <v>10</v>
      </c>
    </row>
    <row r="573" hidden="1" spans="2:9">
      <c r="B573" s="191">
        <v>212200794</v>
      </c>
      <c r="C573" s="242">
        <v>44496</v>
      </c>
      <c r="D573" s="191" t="s">
        <v>119</v>
      </c>
      <c r="E573" s="255">
        <v>30000</v>
      </c>
      <c r="F573" s="191">
        <v>0.07</v>
      </c>
      <c r="G573" s="242">
        <v>44581</v>
      </c>
      <c r="H573" s="244">
        <f t="shared" si="11"/>
        <v>2100</v>
      </c>
      <c r="I573" s="191" t="s">
        <v>10</v>
      </c>
    </row>
    <row r="574" hidden="1" spans="2:9">
      <c r="B574" s="191">
        <v>212200795</v>
      </c>
      <c r="C574" s="242">
        <v>44496</v>
      </c>
      <c r="D574" s="191" t="s">
        <v>84</v>
      </c>
      <c r="E574" s="255">
        <v>20000</v>
      </c>
      <c r="F574" s="191">
        <v>0.11</v>
      </c>
      <c r="G574" s="242">
        <v>44550</v>
      </c>
      <c r="H574" s="244">
        <f t="shared" si="11"/>
        <v>2200</v>
      </c>
      <c r="I574" s="191" t="s">
        <v>10</v>
      </c>
    </row>
    <row r="575" hidden="1" spans="2:9">
      <c r="B575" s="191">
        <v>212200834</v>
      </c>
      <c r="C575" s="242">
        <v>44502</v>
      </c>
      <c r="D575" s="191" t="s">
        <v>120</v>
      </c>
      <c r="E575" s="255">
        <v>150000</v>
      </c>
      <c r="F575" s="191">
        <v>0.035</v>
      </c>
      <c r="G575" s="242">
        <v>44550</v>
      </c>
      <c r="H575" s="244">
        <f t="shared" si="11"/>
        <v>5250</v>
      </c>
      <c r="I575" s="191" t="s">
        <v>10</v>
      </c>
    </row>
    <row r="576" hidden="1" spans="2:9">
      <c r="B576" s="191">
        <v>212200834</v>
      </c>
      <c r="C576" s="242">
        <v>44502</v>
      </c>
      <c r="D576" s="191" t="s">
        <v>120</v>
      </c>
      <c r="E576" s="255">
        <v>150000</v>
      </c>
      <c r="F576" s="191">
        <v>0.035</v>
      </c>
      <c r="G576" s="242">
        <v>44216</v>
      </c>
      <c r="H576" s="244">
        <f t="shared" si="11"/>
        <v>5250</v>
      </c>
      <c r="I576" s="191" t="s">
        <v>10</v>
      </c>
    </row>
    <row r="577" spans="2:9">
      <c r="B577" s="191">
        <v>212200848</v>
      </c>
      <c r="C577" s="242">
        <v>44508</v>
      </c>
      <c r="D577" s="191" t="s">
        <v>100</v>
      </c>
      <c r="E577" s="191">
        <v>50000</v>
      </c>
      <c r="F577" s="191">
        <v>0.03</v>
      </c>
      <c r="G577" s="242">
        <v>44550</v>
      </c>
      <c r="H577" s="244">
        <f t="shared" si="11"/>
        <v>1500</v>
      </c>
      <c r="I577" s="191" t="s">
        <v>10</v>
      </c>
    </row>
    <row r="578" spans="2:9">
      <c r="B578" s="191">
        <v>212200848</v>
      </c>
      <c r="C578" s="242">
        <v>44508</v>
      </c>
      <c r="D578" s="191" t="s">
        <v>100</v>
      </c>
      <c r="E578" s="191">
        <v>50000</v>
      </c>
      <c r="F578" s="191">
        <v>0.03</v>
      </c>
      <c r="G578" s="242">
        <v>44581</v>
      </c>
      <c r="H578" s="244">
        <f t="shared" si="11"/>
        <v>1500</v>
      </c>
      <c r="I578" s="191" t="s">
        <v>10</v>
      </c>
    </row>
    <row r="579" hidden="1" spans="2:9">
      <c r="B579" s="191">
        <v>212200848</v>
      </c>
      <c r="C579" s="242">
        <v>44508</v>
      </c>
      <c r="D579" s="191" t="s">
        <v>29</v>
      </c>
      <c r="E579" s="191">
        <v>250000</v>
      </c>
      <c r="F579" s="191">
        <v>0.027</v>
      </c>
      <c r="G579" s="242">
        <v>44581</v>
      </c>
      <c r="H579" s="244">
        <f t="shared" si="11"/>
        <v>6750</v>
      </c>
      <c r="I579" s="191" t="s">
        <v>10</v>
      </c>
    </row>
    <row r="580" hidden="1" spans="2:9">
      <c r="B580" s="191">
        <v>212200848</v>
      </c>
      <c r="C580" s="242">
        <v>44508</v>
      </c>
      <c r="D580" s="191" t="s">
        <v>29</v>
      </c>
      <c r="E580" s="191">
        <v>250000</v>
      </c>
      <c r="F580" s="191">
        <v>0.027</v>
      </c>
      <c r="G580" s="242">
        <v>44581</v>
      </c>
      <c r="H580" s="244">
        <f t="shared" si="11"/>
        <v>6750</v>
      </c>
      <c r="I580" s="191" t="s">
        <v>10</v>
      </c>
    </row>
    <row r="581" hidden="1" spans="2:9">
      <c r="B581" s="191">
        <v>212200848</v>
      </c>
      <c r="C581" s="242">
        <v>44508</v>
      </c>
      <c r="D581" s="191" t="s">
        <v>30</v>
      </c>
      <c r="E581" s="191">
        <v>200000</v>
      </c>
      <c r="F581" s="191">
        <v>0.031</v>
      </c>
      <c r="G581" s="242">
        <v>44550</v>
      </c>
      <c r="H581" s="244">
        <f t="shared" si="11"/>
        <v>6200</v>
      </c>
      <c r="I581" s="191" t="s">
        <v>10</v>
      </c>
    </row>
    <row r="582" hidden="1" spans="2:9">
      <c r="B582" s="191">
        <v>212200848</v>
      </c>
      <c r="C582" s="242">
        <v>44508</v>
      </c>
      <c r="D582" s="191" t="s">
        <v>30</v>
      </c>
      <c r="E582" s="191">
        <v>200000</v>
      </c>
      <c r="F582" s="191">
        <v>0.031</v>
      </c>
      <c r="G582" s="242">
        <v>44581</v>
      </c>
      <c r="H582" s="244">
        <f t="shared" si="11"/>
        <v>6200</v>
      </c>
      <c r="I582" s="191" t="s">
        <v>10</v>
      </c>
    </row>
    <row r="583" hidden="1" spans="2:9">
      <c r="B583" s="191">
        <v>212200848</v>
      </c>
      <c r="C583" s="242">
        <v>44508</v>
      </c>
      <c r="D583" s="191" t="s">
        <v>30</v>
      </c>
      <c r="E583" s="191">
        <v>200000</v>
      </c>
      <c r="F583" s="191">
        <v>0.031</v>
      </c>
      <c r="G583" s="242">
        <v>44612</v>
      </c>
      <c r="H583" s="244">
        <f t="shared" si="11"/>
        <v>6200</v>
      </c>
      <c r="I583" s="191" t="s">
        <v>10</v>
      </c>
    </row>
    <row r="584" hidden="1" spans="2:9">
      <c r="B584" s="191">
        <v>212200848</v>
      </c>
      <c r="C584" s="242">
        <v>44508</v>
      </c>
      <c r="D584" s="191" t="s">
        <v>31</v>
      </c>
      <c r="E584" s="191">
        <v>200000</v>
      </c>
      <c r="F584" s="191">
        <v>0.036</v>
      </c>
      <c r="G584" s="242">
        <v>44550</v>
      </c>
      <c r="H584" s="244">
        <f t="shared" si="11"/>
        <v>7200</v>
      </c>
      <c r="I584" s="191" t="s">
        <v>10</v>
      </c>
    </row>
    <row r="585" hidden="1" spans="2:9">
      <c r="B585" s="191">
        <v>212200848</v>
      </c>
      <c r="C585" s="242">
        <v>44508</v>
      </c>
      <c r="D585" s="191" t="s">
        <v>31</v>
      </c>
      <c r="E585" s="191">
        <v>200000</v>
      </c>
      <c r="F585" s="191">
        <v>0.036</v>
      </c>
      <c r="G585" s="242">
        <v>44550</v>
      </c>
      <c r="H585" s="244">
        <f t="shared" si="11"/>
        <v>7200</v>
      </c>
      <c r="I585" s="191" t="s">
        <v>10</v>
      </c>
    </row>
    <row r="586" hidden="1" spans="2:9">
      <c r="B586" s="191">
        <v>212200848</v>
      </c>
      <c r="C586" s="242">
        <v>44508</v>
      </c>
      <c r="D586" s="191" t="s">
        <v>31</v>
      </c>
      <c r="E586" s="191">
        <v>200000</v>
      </c>
      <c r="F586" s="191">
        <v>0.036</v>
      </c>
      <c r="G586" s="242">
        <v>44581</v>
      </c>
      <c r="H586" s="244">
        <f t="shared" si="11"/>
        <v>7200</v>
      </c>
      <c r="I586" s="191" t="s">
        <v>10</v>
      </c>
    </row>
    <row r="587" hidden="1" spans="2:9">
      <c r="B587" s="191">
        <v>212200848</v>
      </c>
      <c r="C587" s="242">
        <v>44508</v>
      </c>
      <c r="D587" s="191" t="s">
        <v>49</v>
      </c>
      <c r="E587" s="191">
        <v>40000</v>
      </c>
      <c r="F587" s="191">
        <v>0.065</v>
      </c>
      <c r="G587" s="242">
        <v>44550</v>
      </c>
      <c r="H587" s="244">
        <f t="shared" si="11"/>
        <v>2600</v>
      </c>
      <c r="I587" s="191" t="s">
        <v>10</v>
      </c>
    </row>
    <row r="588" hidden="1" spans="2:9">
      <c r="B588" s="191">
        <v>212200848</v>
      </c>
      <c r="C588" s="242">
        <v>44508</v>
      </c>
      <c r="D588" s="191" t="s">
        <v>49</v>
      </c>
      <c r="E588" s="191">
        <v>40000</v>
      </c>
      <c r="F588" s="191">
        <v>0.065</v>
      </c>
      <c r="G588" s="242">
        <v>44581</v>
      </c>
      <c r="H588" s="244">
        <f t="shared" si="11"/>
        <v>2600</v>
      </c>
      <c r="I588" s="191" t="s">
        <v>10</v>
      </c>
    </row>
    <row r="589" hidden="1" spans="2:9">
      <c r="B589" s="191">
        <v>212200848</v>
      </c>
      <c r="C589" s="242">
        <v>44508</v>
      </c>
      <c r="D589" s="191" t="s">
        <v>49</v>
      </c>
      <c r="E589" s="191">
        <v>300000</v>
      </c>
      <c r="F589" s="191">
        <v>0.065</v>
      </c>
      <c r="G589" s="242">
        <v>44550</v>
      </c>
      <c r="H589" s="244">
        <f t="shared" si="11"/>
        <v>19500</v>
      </c>
      <c r="I589" s="191" t="s">
        <v>10</v>
      </c>
    </row>
    <row r="590" hidden="1" spans="2:9">
      <c r="B590" s="191">
        <v>212200848</v>
      </c>
      <c r="C590" s="242">
        <v>44508</v>
      </c>
      <c r="D590" s="191" t="s">
        <v>49</v>
      </c>
      <c r="E590" s="191">
        <v>300000</v>
      </c>
      <c r="F590" s="191">
        <v>0.065</v>
      </c>
      <c r="G590" s="242">
        <v>44581</v>
      </c>
      <c r="H590" s="244">
        <f t="shared" si="11"/>
        <v>19500</v>
      </c>
      <c r="I590" s="191" t="s">
        <v>10</v>
      </c>
    </row>
    <row r="591" hidden="1" spans="2:9">
      <c r="B591" s="191">
        <v>212200848</v>
      </c>
      <c r="C591" s="242">
        <v>44508</v>
      </c>
      <c r="D591" s="191" t="s">
        <v>50</v>
      </c>
      <c r="E591" s="191">
        <v>200000</v>
      </c>
      <c r="F591" s="191">
        <v>0.08</v>
      </c>
      <c r="G591" s="242">
        <v>44581</v>
      </c>
      <c r="H591" s="244">
        <f t="shared" si="11"/>
        <v>16000</v>
      </c>
      <c r="I591" s="191" t="s">
        <v>10</v>
      </c>
    </row>
    <row r="592" hidden="1" spans="2:9">
      <c r="B592" s="191">
        <v>212200848</v>
      </c>
      <c r="C592" s="242">
        <v>44508</v>
      </c>
      <c r="D592" s="191" t="s">
        <v>32</v>
      </c>
      <c r="E592" s="191">
        <v>150000</v>
      </c>
      <c r="F592" s="191">
        <v>0.02</v>
      </c>
      <c r="G592" s="242">
        <v>44581</v>
      </c>
      <c r="H592" s="244">
        <f t="shared" si="11"/>
        <v>3000</v>
      </c>
      <c r="I592" s="191" t="s">
        <v>110</v>
      </c>
    </row>
    <row r="593" hidden="1" spans="2:9">
      <c r="B593" s="191">
        <v>212200848</v>
      </c>
      <c r="C593" s="242">
        <v>44508</v>
      </c>
      <c r="D593" s="191" t="s">
        <v>78</v>
      </c>
      <c r="E593" s="191">
        <v>150000</v>
      </c>
      <c r="F593" s="191">
        <v>0.02</v>
      </c>
      <c r="G593" s="242">
        <v>44550</v>
      </c>
      <c r="H593" s="244">
        <f t="shared" si="11"/>
        <v>3000</v>
      </c>
      <c r="I593" s="191" t="s">
        <v>110</v>
      </c>
    </row>
    <row r="594" hidden="1" spans="2:9">
      <c r="B594" s="191">
        <v>212200848</v>
      </c>
      <c r="C594" s="242">
        <v>44508</v>
      </c>
      <c r="D594" s="191" t="s">
        <v>78</v>
      </c>
      <c r="E594" s="191">
        <v>150000</v>
      </c>
      <c r="F594" s="191">
        <v>0.02</v>
      </c>
      <c r="G594" s="242">
        <v>44612</v>
      </c>
      <c r="H594" s="244">
        <f t="shared" si="11"/>
        <v>3000</v>
      </c>
      <c r="I594" s="191" t="s">
        <v>110</v>
      </c>
    </row>
    <row r="595" hidden="1" spans="2:9">
      <c r="B595" s="191">
        <v>212200848</v>
      </c>
      <c r="C595" s="242">
        <v>44508</v>
      </c>
      <c r="D595" s="191" t="s">
        <v>78</v>
      </c>
      <c r="E595" s="191">
        <v>300000</v>
      </c>
      <c r="F595" s="191">
        <v>0.02</v>
      </c>
      <c r="G595" s="242">
        <v>44550</v>
      </c>
      <c r="H595" s="244">
        <f t="shared" si="11"/>
        <v>6000</v>
      </c>
      <c r="I595" s="191" t="s">
        <v>110</v>
      </c>
    </row>
    <row r="596" hidden="1" spans="2:9">
      <c r="B596" s="191">
        <v>212200848</v>
      </c>
      <c r="C596" s="242">
        <v>44508</v>
      </c>
      <c r="D596" s="191" t="s">
        <v>78</v>
      </c>
      <c r="E596" s="191">
        <v>300000</v>
      </c>
      <c r="F596" s="191">
        <v>0.02</v>
      </c>
      <c r="G596" s="242">
        <v>44612</v>
      </c>
      <c r="H596" s="244">
        <f t="shared" si="11"/>
        <v>6000</v>
      </c>
      <c r="I596" s="191" t="s">
        <v>110</v>
      </c>
    </row>
    <row r="597" hidden="1" spans="2:9">
      <c r="B597" s="191">
        <v>212200848</v>
      </c>
      <c r="C597" s="242">
        <v>44508</v>
      </c>
      <c r="D597" s="191" t="s">
        <v>85</v>
      </c>
      <c r="E597" s="191">
        <v>96000</v>
      </c>
      <c r="F597" s="191">
        <v>0.022</v>
      </c>
      <c r="G597" s="242">
        <v>44550</v>
      </c>
      <c r="H597" s="244">
        <f t="shared" si="11"/>
        <v>2112</v>
      </c>
      <c r="I597" s="191" t="s">
        <v>10</v>
      </c>
    </row>
    <row r="598" hidden="1" spans="2:9">
      <c r="B598" s="191">
        <v>212200848</v>
      </c>
      <c r="C598" s="242">
        <v>44508</v>
      </c>
      <c r="D598" s="191" t="s">
        <v>85</v>
      </c>
      <c r="E598" s="191">
        <v>112000</v>
      </c>
      <c r="F598" s="191">
        <v>0.022</v>
      </c>
      <c r="G598" s="242">
        <v>44581</v>
      </c>
      <c r="H598" s="244">
        <f t="shared" si="11"/>
        <v>2464</v>
      </c>
      <c r="I598" s="191" t="s">
        <v>10</v>
      </c>
    </row>
    <row r="599" hidden="1" spans="2:9">
      <c r="B599" s="191">
        <v>212200848</v>
      </c>
      <c r="C599" s="242">
        <v>44508</v>
      </c>
      <c r="D599" s="191" t="s">
        <v>99</v>
      </c>
      <c r="E599" s="191">
        <v>20000</v>
      </c>
      <c r="F599" s="191">
        <v>0.035</v>
      </c>
      <c r="G599" s="242">
        <v>44550</v>
      </c>
      <c r="H599" s="244">
        <f t="shared" si="11"/>
        <v>700</v>
      </c>
      <c r="I599" s="191" t="s">
        <v>65</v>
      </c>
    </row>
    <row r="600" hidden="1" spans="2:9">
      <c r="B600" s="191">
        <v>212200848</v>
      </c>
      <c r="C600" s="242">
        <v>44508</v>
      </c>
      <c r="D600" s="191" t="s">
        <v>99</v>
      </c>
      <c r="E600" s="191">
        <v>20000</v>
      </c>
      <c r="F600" s="191">
        <v>0.035</v>
      </c>
      <c r="G600" s="242">
        <v>44581</v>
      </c>
      <c r="H600" s="244">
        <f t="shared" si="11"/>
        <v>700</v>
      </c>
      <c r="I600" s="191" t="s">
        <v>65</v>
      </c>
    </row>
    <row r="601" hidden="1" spans="2:9">
      <c r="B601" s="191">
        <v>212200848</v>
      </c>
      <c r="C601" s="242">
        <v>44508</v>
      </c>
      <c r="D601" s="191" t="s">
        <v>33</v>
      </c>
      <c r="E601" s="191">
        <v>100000</v>
      </c>
      <c r="F601" s="191">
        <v>0.02</v>
      </c>
      <c r="G601" s="242">
        <v>44550</v>
      </c>
      <c r="H601" s="244">
        <f t="shared" si="11"/>
        <v>2000</v>
      </c>
      <c r="I601" s="191" t="s">
        <v>10</v>
      </c>
    </row>
    <row r="602" hidden="1" spans="2:9">
      <c r="B602" s="191">
        <v>212200848</v>
      </c>
      <c r="C602" s="242">
        <v>44508</v>
      </c>
      <c r="D602" s="191" t="s">
        <v>33</v>
      </c>
      <c r="E602" s="191">
        <v>100000</v>
      </c>
      <c r="F602" s="191">
        <v>0.02</v>
      </c>
      <c r="G602" s="242">
        <v>44581</v>
      </c>
      <c r="H602" s="244">
        <f t="shared" si="11"/>
        <v>2000</v>
      </c>
      <c r="I602" s="191" t="s">
        <v>10</v>
      </c>
    </row>
    <row r="603" hidden="1" spans="2:9">
      <c r="B603" s="191">
        <v>212200848</v>
      </c>
      <c r="C603" s="242">
        <v>44508</v>
      </c>
      <c r="D603" s="191" t="s">
        <v>121</v>
      </c>
      <c r="E603" s="191">
        <v>96000</v>
      </c>
      <c r="F603" s="191">
        <v>0.006</v>
      </c>
      <c r="G603" s="242">
        <v>44550</v>
      </c>
      <c r="H603" s="244">
        <f t="shared" si="11"/>
        <v>576</v>
      </c>
      <c r="I603" s="191" t="s">
        <v>10</v>
      </c>
    </row>
    <row r="604" hidden="1" spans="2:9">
      <c r="B604" s="191">
        <v>212200848</v>
      </c>
      <c r="C604" s="242">
        <v>44508</v>
      </c>
      <c r="D604" s="191" t="s">
        <v>121</v>
      </c>
      <c r="E604" s="191">
        <v>48000</v>
      </c>
      <c r="F604" s="191">
        <v>0.006</v>
      </c>
      <c r="G604" s="242">
        <v>44581</v>
      </c>
      <c r="H604" s="244">
        <f t="shared" si="11"/>
        <v>288</v>
      </c>
      <c r="I604" s="191" t="s">
        <v>10</v>
      </c>
    </row>
    <row r="605" hidden="1" spans="2:9">
      <c r="B605" s="191">
        <v>212200848</v>
      </c>
      <c r="C605" s="242">
        <v>44508</v>
      </c>
      <c r="D605" s="191" t="s">
        <v>41</v>
      </c>
      <c r="E605" s="191">
        <v>20000</v>
      </c>
      <c r="F605" s="191">
        <v>0.285</v>
      </c>
      <c r="G605" s="242">
        <v>44550</v>
      </c>
      <c r="H605" s="244">
        <f t="shared" si="11"/>
        <v>5700</v>
      </c>
      <c r="I605" s="191" t="s">
        <v>10</v>
      </c>
    </row>
    <row r="606" hidden="1" spans="2:9">
      <c r="B606" s="191">
        <v>212200848</v>
      </c>
      <c r="C606" s="242">
        <v>44508</v>
      </c>
      <c r="D606" s="191" t="s">
        <v>41</v>
      </c>
      <c r="E606" s="191">
        <v>20000</v>
      </c>
      <c r="F606" s="191">
        <v>0.285</v>
      </c>
      <c r="G606" s="242">
        <v>44581</v>
      </c>
      <c r="H606" s="244">
        <f t="shared" si="11"/>
        <v>5700</v>
      </c>
      <c r="I606" s="191" t="s">
        <v>10</v>
      </c>
    </row>
    <row r="607" hidden="1" spans="2:9">
      <c r="B607" s="191">
        <v>212200848</v>
      </c>
      <c r="C607" s="242">
        <v>44508</v>
      </c>
      <c r="D607" s="191" t="s">
        <v>77</v>
      </c>
      <c r="E607" s="191">
        <v>20000</v>
      </c>
      <c r="F607" s="191">
        <v>0.041</v>
      </c>
      <c r="G607" s="242">
        <v>44550</v>
      </c>
      <c r="H607" s="244">
        <f t="shared" si="11"/>
        <v>820</v>
      </c>
      <c r="I607" s="191" t="s">
        <v>10</v>
      </c>
    </row>
    <row r="608" hidden="1" spans="2:9">
      <c r="B608" s="191">
        <v>212200873</v>
      </c>
      <c r="C608" s="242">
        <v>44512</v>
      </c>
      <c r="D608" s="211" t="s">
        <v>53</v>
      </c>
      <c r="E608" s="255">
        <v>600000</v>
      </c>
      <c r="F608" s="191">
        <v>0.03</v>
      </c>
      <c r="G608" s="242">
        <v>44581</v>
      </c>
      <c r="H608" s="244">
        <f t="shared" si="11"/>
        <v>18000</v>
      </c>
      <c r="I608" s="191" t="s">
        <v>107</v>
      </c>
    </row>
    <row r="609" hidden="1" spans="2:9">
      <c r="B609" s="191">
        <v>212200873</v>
      </c>
      <c r="C609" s="242">
        <v>44512</v>
      </c>
      <c r="D609" s="211" t="s">
        <v>53</v>
      </c>
      <c r="E609" s="255">
        <v>600000</v>
      </c>
      <c r="F609" s="191">
        <v>0.03</v>
      </c>
      <c r="G609" s="242">
        <v>44612</v>
      </c>
      <c r="H609" s="244">
        <f t="shared" si="11"/>
        <v>18000</v>
      </c>
      <c r="I609" s="191" t="s">
        <v>107</v>
      </c>
    </row>
    <row r="610" hidden="1" spans="2:9">
      <c r="B610" s="191">
        <v>212200873</v>
      </c>
      <c r="C610" s="242">
        <v>44512</v>
      </c>
      <c r="D610" s="211" t="s">
        <v>53</v>
      </c>
      <c r="E610" s="255">
        <v>500000</v>
      </c>
      <c r="F610" s="191">
        <v>0.03</v>
      </c>
      <c r="G610" s="242">
        <v>44640</v>
      </c>
      <c r="H610" s="244">
        <f t="shared" si="11"/>
        <v>15000</v>
      </c>
      <c r="I610" s="191" t="s">
        <v>107</v>
      </c>
    </row>
    <row r="611" hidden="1" spans="2:9">
      <c r="B611" s="191">
        <v>212200866</v>
      </c>
      <c r="C611" s="242">
        <v>44512</v>
      </c>
      <c r="D611" s="191" t="s">
        <v>106</v>
      </c>
      <c r="E611" s="191">
        <v>48000</v>
      </c>
      <c r="F611" s="191">
        <v>0.04</v>
      </c>
      <c r="G611" s="242">
        <v>44576</v>
      </c>
      <c r="H611" s="244">
        <f t="shared" si="11"/>
        <v>1920</v>
      </c>
      <c r="I611" s="191" t="s">
        <v>10</v>
      </c>
    </row>
    <row r="612" hidden="1" spans="2:9">
      <c r="B612" s="191">
        <v>212200866</v>
      </c>
      <c r="C612" s="242">
        <v>44512</v>
      </c>
      <c r="D612" s="191" t="s">
        <v>106</v>
      </c>
      <c r="E612" s="191">
        <v>48000</v>
      </c>
      <c r="F612" s="191">
        <v>0.04</v>
      </c>
      <c r="G612" s="242">
        <v>44607</v>
      </c>
      <c r="H612" s="244">
        <f t="shared" si="11"/>
        <v>1920</v>
      </c>
      <c r="I612" s="191" t="s">
        <v>10</v>
      </c>
    </row>
    <row r="613" hidden="1" spans="2:9">
      <c r="B613" s="191">
        <v>212200866</v>
      </c>
      <c r="C613" s="242">
        <v>44512</v>
      </c>
      <c r="D613" s="191" t="s">
        <v>106</v>
      </c>
      <c r="E613" s="191">
        <v>48000</v>
      </c>
      <c r="F613" s="191">
        <v>0.04</v>
      </c>
      <c r="G613" s="242">
        <v>44635</v>
      </c>
      <c r="H613" s="244">
        <f t="shared" si="11"/>
        <v>1920</v>
      </c>
      <c r="I613" s="191" t="s">
        <v>10</v>
      </c>
    </row>
    <row r="614" hidden="1" spans="2:9">
      <c r="B614" s="191">
        <v>212200885</v>
      </c>
      <c r="C614" s="242">
        <v>44517</v>
      </c>
      <c r="D614" s="191" t="s">
        <v>122</v>
      </c>
      <c r="E614" s="191">
        <v>20000</v>
      </c>
      <c r="F614" s="191">
        <v>0.065</v>
      </c>
      <c r="G614" s="242">
        <v>44550</v>
      </c>
      <c r="H614" s="244">
        <f t="shared" si="11"/>
        <v>1300</v>
      </c>
      <c r="I614" s="191" t="s">
        <v>10</v>
      </c>
    </row>
    <row r="615" hidden="1" spans="2:9">
      <c r="B615" s="191">
        <v>212200885</v>
      </c>
      <c r="C615" s="242">
        <v>44517</v>
      </c>
      <c r="D615" s="191" t="s">
        <v>122</v>
      </c>
      <c r="E615" s="191">
        <v>20000</v>
      </c>
      <c r="F615" s="191">
        <v>0.065</v>
      </c>
      <c r="G615" s="242">
        <v>44216</v>
      </c>
      <c r="H615" s="244">
        <f t="shared" si="11"/>
        <v>1300</v>
      </c>
      <c r="I615" s="191" t="s">
        <v>10</v>
      </c>
    </row>
    <row r="616" hidden="1" spans="2:9">
      <c r="B616" s="191">
        <v>212200885</v>
      </c>
      <c r="C616" s="242">
        <v>44517</v>
      </c>
      <c r="D616" s="191" t="s">
        <v>122</v>
      </c>
      <c r="E616" s="191">
        <v>20000</v>
      </c>
      <c r="F616" s="191">
        <v>0.065</v>
      </c>
      <c r="G616" s="242">
        <v>44247</v>
      </c>
      <c r="H616" s="244">
        <f t="shared" si="11"/>
        <v>1300</v>
      </c>
      <c r="I616" s="191" t="s">
        <v>10</v>
      </c>
    </row>
    <row r="617" hidden="1" spans="2:9">
      <c r="B617" s="191">
        <v>212200946</v>
      </c>
      <c r="C617" s="242">
        <v>44524</v>
      </c>
      <c r="D617" s="191" t="s">
        <v>95</v>
      </c>
      <c r="E617" s="191">
        <v>20040</v>
      </c>
      <c r="F617" s="191">
        <v>0.063</v>
      </c>
      <c r="G617" s="242">
        <v>44530</v>
      </c>
      <c r="H617" s="244">
        <f t="shared" si="11"/>
        <v>1262.52</v>
      </c>
      <c r="I617" s="191" t="s">
        <v>10</v>
      </c>
    </row>
    <row r="618" hidden="1" spans="2:9">
      <c r="B618" s="191">
        <v>212200946</v>
      </c>
      <c r="C618" s="242">
        <v>44524</v>
      </c>
      <c r="D618" s="191" t="s">
        <v>95</v>
      </c>
      <c r="E618" s="191">
        <v>20040</v>
      </c>
      <c r="F618" s="191">
        <v>0.063</v>
      </c>
      <c r="G618" s="242">
        <v>44581</v>
      </c>
      <c r="H618" s="244">
        <f t="shared" si="11"/>
        <v>1262.52</v>
      </c>
      <c r="I618" s="191" t="s">
        <v>10</v>
      </c>
    </row>
    <row r="619" hidden="1" spans="2:9">
      <c r="B619" s="191">
        <v>212200946</v>
      </c>
      <c r="C619" s="242">
        <v>44524</v>
      </c>
      <c r="D619" s="191" t="s">
        <v>95</v>
      </c>
      <c r="E619" s="191">
        <v>20040</v>
      </c>
      <c r="F619" s="191">
        <v>0.063</v>
      </c>
      <c r="G619" s="242">
        <v>44612</v>
      </c>
      <c r="H619" s="244">
        <f t="shared" si="11"/>
        <v>1262.52</v>
      </c>
      <c r="I619" s="191" t="s">
        <v>10</v>
      </c>
    </row>
    <row r="620" hidden="1" spans="2:9">
      <c r="B620" s="191">
        <v>212200946</v>
      </c>
      <c r="C620" s="242">
        <v>44524</v>
      </c>
      <c r="D620" s="191" t="s">
        <v>98</v>
      </c>
      <c r="E620" s="191">
        <v>20000</v>
      </c>
      <c r="F620" s="191">
        <v>0.025</v>
      </c>
      <c r="G620" s="242">
        <v>44530</v>
      </c>
      <c r="H620" s="244">
        <f t="shared" si="11"/>
        <v>500</v>
      </c>
      <c r="I620" s="191" t="s">
        <v>10</v>
      </c>
    </row>
    <row r="621" hidden="1" spans="2:9">
      <c r="B621" s="191">
        <v>212200946</v>
      </c>
      <c r="C621" s="242">
        <v>44524</v>
      </c>
      <c r="D621" s="191" t="s">
        <v>123</v>
      </c>
      <c r="E621" s="191">
        <v>20000</v>
      </c>
      <c r="F621" s="191">
        <v>0.024</v>
      </c>
      <c r="G621" s="242">
        <v>44530</v>
      </c>
      <c r="H621" s="244">
        <f t="shared" si="11"/>
        <v>480</v>
      </c>
      <c r="I621" s="191" t="s">
        <v>10</v>
      </c>
    </row>
    <row r="622" ht="16.25" hidden="1" spans="2:9">
      <c r="B622" s="272">
        <v>212200954</v>
      </c>
      <c r="C622" s="242">
        <v>44525</v>
      </c>
      <c r="D622" s="273" t="s">
        <v>68</v>
      </c>
      <c r="E622" s="191">
        <v>20000</v>
      </c>
      <c r="F622" s="191">
        <v>0.03</v>
      </c>
      <c r="G622" s="242">
        <v>44571</v>
      </c>
      <c r="H622" s="244">
        <f t="shared" si="11"/>
        <v>600</v>
      </c>
      <c r="I622" s="191" t="s">
        <v>10</v>
      </c>
    </row>
    <row r="623" ht="16.25" hidden="1" spans="2:9">
      <c r="B623" s="272">
        <v>212200953</v>
      </c>
      <c r="C623" s="242">
        <v>44525</v>
      </c>
      <c r="D623" s="274" t="s">
        <v>101</v>
      </c>
      <c r="E623" s="191">
        <v>20000</v>
      </c>
      <c r="F623" s="191">
        <v>0.11</v>
      </c>
      <c r="G623" s="242">
        <v>44555</v>
      </c>
      <c r="H623" s="244">
        <f t="shared" si="11"/>
        <v>2200</v>
      </c>
      <c r="I623" s="191" t="s">
        <v>10</v>
      </c>
    </row>
    <row r="624" s="191" customFormat="1" hidden="1" spans="2:9">
      <c r="B624" s="191">
        <v>212200985</v>
      </c>
      <c r="C624" s="242">
        <v>44531</v>
      </c>
      <c r="D624" s="191" t="s">
        <v>124</v>
      </c>
      <c r="E624" s="191">
        <v>20000</v>
      </c>
      <c r="F624" s="191">
        <v>0.018</v>
      </c>
      <c r="G624" s="242">
        <v>44545</v>
      </c>
      <c r="H624" s="244">
        <f t="shared" si="11"/>
        <v>360</v>
      </c>
      <c r="I624" s="191" t="s">
        <v>10</v>
      </c>
    </row>
    <row r="625" s="191" customFormat="1" hidden="1" spans="2:9">
      <c r="B625" s="191">
        <v>212200985</v>
      </c>
      <c r="C625" s="242">
        <v>44531</v>
      </c>
      <c r="D625" s="191" t="s">
        <v>22</v>
      </c>
      <c r="E625" s="191">
        <v>400000</v>
      </c>
      <c r="F625" s="191">
        <v>0.065</v>
      </c>
      <c r="G625" s="242">
        <v>44635</v>
      </c>
      <c r="H625" s="244">
        <f t="shared" si="11"/>
        <v>26000</v>
      </c>
      <c r="I625" s="191" t="s">
        <v>10</v>
      </c>
    </row>
    <row r="626" s="191" customFormat="1" hidden="1" spans="2:9">
      <c r="B626" s="191">
        <v>212200985</v>
      </c>
      <c r="C626" s="242">
        <v>44531</v>
      </c>
      <c r="D626" s="191" t="s">
        <v>25</v>
      </c>
      <c r="E626" s="191">
        <v>20000</v>
      </c>
      <c r="F626" s="191">
        <v>0.016</v>
      </c>
      <c r="G626" s="242">
        <v>44612</v>
      </c>
      <c r="H626" s="244">
        <f t="shared" si="11"/>
        <v>320</v>
      </c>
      <c r="I626" s="191" t="s">
        <v>10</v>
      </c>
    </row>
    <row r="627" s="191" customFormat="1" spans="2:9">
      <c r="B627" s="191">
        <v>212200985</v>
      </c>
      <c r="C627" s="242">
        <v>44531</v>
      </c>
      <c r="D627" s="191" t="s">
        <v>100</v>
      </c>
      <c r="E627" s="191">
        <v>250000</v>
      </c>
      <c r="F627" s="191">
        <v>0.03</v>
      </c>
      <c r="G627" s="242">
        <v>44671</v>
      </c>
      <c r="H627" s="244">
        <f t="shared" si="11"/>
        <v>7500</v>
      </c>
      <c r="I627" s="191" t="s">
        <v>10</v>
      </c>
    </row>
    <row r="628" s="191" customFormat="1" hidden="1" spans="2:9">
      <c r="B628" s="191">
        <v>212200985</v>
      </c>
      <c r="C628" s="242">
        <v>44531</v>
      </c>
      <c r="D628" s="191" t="s">
        <v>56</v>
      </c>
      <c r="E628" s="191">
        <v>60000</v>
      </c>
      <c r="F628" s="191">
        <v>0.04</v>
      </c>
      <c r="G628" s="242">
        <v>44612</v>
      </c>
      <c r="H628" s="244">
        <f t="shared" si="11"/>
        <v>2400</v>
      </c>
      <c r="I628" s="191" t="s">
        <v>10</v>
      </c>
    </row>
    <row r="629" s="191" customFormat="1" hidden="1" spans="2:9">
      <c r="B629" s="191">
        <v>212200985</v>
      </c>
      <c r="C629" s="242">
        <v>44531</v>
      </c>
      <c r="D629" s="191" t="s">
        <v>35</v>
      </c>
      <c r="E629" s="191">
        <v>100000</v>
      </c>
      <c r="F629" s="191">
        <v>0.05</v>
      </c>
      <c r="G629" s="242">
        <v>44635</v>
      </c>
      <c r="H629" s="244">
        <f t="shared" ref="H629:H692" si="12">E629*F629</f>
        <v>5000</v>
      </c>
      <c r="I629" s="191" t="s">
        <v>10</v>
      </c>
    </row>
    <row r="630" s="191" customFormat="1" hidden="1" spans="2:9">
      <c r="B630" s="191">
        <v>212200985</v>
      </c>
      <c r="C630" s="242">
        <v>44531</v>
      </c>
      <c r="D630" s="191" t="s">
        <v>101</v>
      </c>
      <c r="E630" s="191">
        <v>20000</v>
      </c>
      <c r="F630" s="191">
        <v>0.11</v>
      </c>
      <c r="G630" s="242">
        <v>44545</v>
      </c>
      <c r="H630" s="244">
        <f t="shared" si="12"/>
        <v>2200</v>
      </c>
      <c r="I630" s="191" t="s">
        <v>10</v>
      </c>
    </row>
    <row r="631" s="191" customFormat="1" hidden="1" spans="2:9">
      <c r="B631" s="191">
        <v>212200985</v>
      </c>
      <c r="C631" s="242">
        <v>44531</v>
      </c>
      <c r="D631" s="191" t="s">
        <v>41</v>
      </c>
      <c r="E631" s="191">
        <v>20000</v>
      </c>
      <c r="F631" s="191">
        <v>0.285</v>
      </c>
      <c r="G631" s="242">
        <v>44661</v>
      </c>
      <c r="H631" s="244">
        <f t="shared" si="12"/>
        <v>5700</v>
      </c>
      <c r="I631" s="191" t="s">
        <v>107</v>
      </c>
    </row>
    <row r="632" s="191" customFormat="1" hidden="1" spans="2:9">
      <c r="B632" s="191">
        <v>212200985</v>
      </c>
      <c r="C632" s="242">
        <v>44531</v>
      </c>
      <c r="D632" s="191" t="s">
        <v>15</v>
      </c>
      <c r="E632" s="191">
        <v>174000</v>
      </c>
      <c r="F632" s="191">
        <v>0.025</v>
      </c>
      <c r="G632" s="242">
        <v>44612</v>
      </c>
      <c r="H632" s="244">
        <f t="shared" si="12"/>
        <v>4350</v>
      </c>
      <c r="I632" s="191" t="s">
        <v>10</v>
      </c>
    </row>
    <row r="633" s="191" customFormat="1" hidden="1" spans="2:9">
      <c r="B633" s="191">
        <v>212200985</v>
      </c>
      <c r="C633" s="242">
        <v>44531</v>
      </c>
      <c r="D633" s="191" t="s">
        <v>15</v>
      </c>
      <c r="E633" s="191">
        <v>174000</v>
      </c>
      <c r="F633" s="191">
        <v>0.025</v>
      </c>
      <c r="G633" s="242">
        <v>44661</v>
      </c>
      <c r="H633" s="244">
        <f t="shared" si="12"/>
        <v>4350</v>
      </c>
      <c r="I633" s="191" t="s">
        <v>10</v>
      </c>
    </row>
    <row r="634" s="191" customFormat="1" hidden="1" spans="2:9">
      <c r="B634" s="191">
        <v>212200985</v>
      </c>
      <c r="C634" s="242">
        <v>44531</v>
      </c>
      <c r="D634" s="191" t="s">
        <v>83</v>
      </c>
      <c r="E634" s="191">
        <v>20000</v>
      </c>
      <c r="F634" s="191">
        <v>0.023</v>
      </c>
      <c r="G634" s="242">
        <v>44612</v>
      </c>
      <c r="H634" s="244">
        <f t="shared" si="12"/>
        <v>460</v>
      </c>
      <c r="I634" s="191" t="s">
        <v>10</v>
      </c>
    </row>
    <row r="635" s="191" customFormat="1" hidden="1" spans="2:9">
      <c r="B635" s="191">
        <v>212200985</v>
      </c>
      <c r="C635" s="242">
        <v>44531</v>
      </c>
      <c r="D635" s="191" t="s">
        <v>82</v>
      </c>
      <c r="E635" s="191">
        <v>40000</v>
      </c>
      <c r="F635" s="191">
        <v>0.022</v>
      </c>
      <c r="G635" s="242">
        <v>44612</v>
      </c>
      <c r="H635" s="244">
        <f t="shared" si="12"/>
        <v>880</v>
      </c>
      <c r="I635" s="191" t="s">
        <v>10</v>
      </c>
    </row>
    <row r="636" s="191" customFormat="1" hidden="1" spans="2:9">
      <c r="B636" s="191">
        <v>212200985</v>
      </c>
      <c r="C636" s="242">
        <v>44531</v>
      </c>
      <c r="D636" s="191" t="s">
        <v>82</v>
      </c>
      <c r="E636" s="191">
        <v>40000</v>
      </c>
      <c r="F636" s="191">
        <v>0.022</v>
      </c>
      <c r="G636" s="242">
        <v>44635</v>
      </c>
      <c r="H636" s="244">
        <f t="shared" si="12"/>
        <v>880</v>
      </c>
      <c r="I636" s="191" t="s">
        <v>10</v>
      </c>
    </row>
    <row r="637" s="191" customFormat="1" hidden="1" spans="2:9">
      <c r="B637" s="191">
        <v>212200985</v>
      </c>
      <c r="C637" s="242">
        <v>44531</v>
      </c>
      <c r="D637" s="191" t="s">
        <v>82</v>
      </c>
      <c r="E637" s="191">
        <v>40000</v>
      </c>
      <c r="F637" s="191">
        <v>0.022</v>
      </c>
      <c r="G637" s="242">
        <v>44691</v>
      </c>
      <c r="H637" s="244">
        <f t="shared" si="12"/>
        <v>880</v>
      </c>
      <c r="I637" s="191" t="s">
        <v>10</v>
      </c>
    </row>
    <row r="638" s="191" customFormat="1" hidden="1" spans="2:9">
      <c r="B638" s="191">
        <v>212200985</v>
      </c>
      <c r="C638" s="242">
        <v>44531</v>
      </c>
      <c r="D638" s="191" t="s">
        <v>82</v>
      </c>
      <c r="E638" s="191">
        <v>40000</v>
      </c>
      <c r="F638" s="191">
        <v>0.022</v>
      </c>
      <c r="G638" s="242">
        <v>44722</v>
      </c>
      <c r="H638" s="244">
        <f t="shared" si="12"/>
        <v>880</v>
      </c>
      <c r="I638" s="191" t="s">
        <v>10</v>
      </c>
    </row>
    <row r="639" s="191" customFormat="1" hidden="1" spans="2:9">
      <c r="B639" s="191">
        <v>212200985</v>
      </c>
      <c r="C639" s="242">
        <v>44531</v>
      </c>
      <c r="D639" s="191" t="s">
        <v>80</v>
      </c>
      <c r="E639" s="191">
        <v>20000</v>
      </c>
      <c r="F639" s="191">
        <v>0.18</v>
      </c>
      <c r="G639" s="242">
        <v>44612</v>
      </c>
      <c r="H639" s="244">
        <f t="shared" si="12"/>
        <v>3600</v>
      </c>
      <c r="I639" s="191" t="s">
        <v>10</v>
      </c>
    </row>
    <row r="640" s="191" customFormat="1" hidden="1" spans="2:9">
      <c r="B640" s="191">
        <v>212200985</v>
      </c>
      <c r="C640" s="242">
        <v>44531</v>
      </c>
      <c r="D640" s="191" t="s">
        <v>30</v>
      </c>
      <c r="E640" s="191">
        <v>300000</v>
      </c>
      <c r="F640" s="191">
        <v>0.031</v>
      </c>
      <c r="G640" s="242">
        <v>44630</v>
      </c>
      <c r="H640" s="244">
        <f t="shared" si="12"/>
        <v>9300</v>
      </c>
      <c r="I640" s="191" t="s">
        <v>10</v>
      </c>
    </row>
    <row r="641" s="191" customFormat="1" hidden="1" spans="2:9">
      <c r="B641" s="191">
        <v>212200985</v>
      </c>
      <c r="C641" s="242">
        <v>44531</v>
      </c>
      <c r="D641" s="191" t="s">
        <v>30</v>
      </c>
      <c r="E641" s="191">
        <v>300000</v>
      </c>
      <c r="F641" s="191">
        <v>0.031</v>
      </c>
      <c r="G641" s="242">
        <v>44661</v>
      </c>
      <c r="H641" s="244">
        <f t="shared" si="12"/>
        <v>9300</v>
      </c>
      <c r="I641" s="191" t="s">
        <v>10</v>
      </c>
    </row>
    <row r="642" s="191" customFormat="1" hidden="1" spans="2:9">
      <c r="B642" s="191">
        <v>212200985</v>
      </c>
      <c r="C642" s="242">
        <v>44531</v>
      </c>
      <c r="D642" s="191" t="s">
        <v>13</v>
      </c>
      <c r="E642" s="191">
        <v>208000</v>
      </c>
      <c r="F642" s="191">
        <v>0.003</v>
      </c>
      <c r="G642" s="242">
        <v>44555</v>
      </c>
      <c r="H642" s="244">
        <f t="shared" si="12"/>
        <v>624</v>
      </c>
      <c r="I642" s="191" t="s">
        <v>10</v>
      </c>
    </row>
    <row r="643" s="191" customFormat="1" hidden="1" spans="2:9">
      <c r="B643" s="191">
        <v>212200985</v>
      </c>
      <c r="C643" s="242">
        <v>44531</v>
      </c>
      <c r="D643" s="191" t="s">
        <v>13</v>
      </c>
      <c r="E643" s="191">
        <v>112000</v>
      </c>
      <c r="F643" s="191">
        <v>0.003</v>
      </c>
      <c r="G643" s="242">
        <v>44555</v>
      </c>
      <c r="H643" s="244">
        <f t="shared" si="12"/>
        <v>336</v>
      </c>
      <c r="I643" s="191" t="s">
        <v>10</v>
      </c>
    </row>
    <row r="644" s="191" customFormat="1" hidden="1" spans="2:9">
      <c r="B644" s="191">
        <v>212200985</v>
      </c>
      <c r="C644" s="242">
        <v>44531</v>
      </c>
      <c r="D644" s="191" t="s">
        <v>13</v>
      </c>
      <c r="E644" s="191">
        <v>208000</v>
      </c>
      <c r="F644" s="191">
        <v>0.003</v>
      </c>
      <c r="G644" s="242">
        <v>44612</v>
      </c>
      <c r="H644" s="244">
        <f t="shared" si="12"/>
        <v>624</v>
      </c>
      <c r="I644" s="191" t="s">
        <v>10</v>
      </c>
    </row>
    <row r="645" s="191" customFormat="1" hidden="1" spans="2:9">
      <c r="B645" s="191">
        <v>212200985</v>
      </c>
      <c r="C645" s="242">
        <v>44531</v>
      </c>
      <c r="D645" s="191" t="s">
        <v>13</v>
      </c>
      <c r="E645" s="191">
        <v>112000</v>
      </c>
      <c r="F645" s="191">
        <v>0.003</v>
      </c>
      <c r="G645" s="242">
        <v>44612</v>
      </c>
      <c r="H645" s="244">
        <f t="shared" si="12"/>
        <v>336</v>
      </c>
      <c r="I645" s="191" t="s">
        <v>10</v>
      </c>
    </row>
    <row r="646" s="191" customFormat="1" hidden="1" spans="2:9">
      <c r="B646" s="211">
        <v>212201023</v>
      </c>
      <c r="C646" s="212">
        <v>44540</v>
      </c>
      <c r="D646" s="211" t="s">
        <v>111</v>
      </c>
      <c r="E646" s="211">
        <v>20000</v>
      </c>
      <c r="F646" s="211">
        <v>0.045</v>
      </c>
      <c r="G646" s="212">
        <v>44571</v>
      </c>
      <c r="H646" s="214">
        <f t="shared" si="12"/>
        <v>900</v>
      </c>
      <c r="I646" s="191" t="s">
        <v>110</v>
      </c>
    </row>
    <row r="647" hidden="1" spans="2:9">
      <c r="B647" s="191">
        <v>212201042</v>
      </c>
      <c r="C647" s="242">
        <v>44543</v>
      </c>
      <c r="D647" s="191" t="s">
        <v>95</v>
      </c>
      <c r="E647" s="191">
        <v>20060</v>
      </c>
      <c r="F647" s="191">
        <v>0.063</v>
      </c>
      <c r="G647" s="242">
        <v>44640</v>
      </c>
      <c r="H647" s="244">
        <f t="shared" si="12"/>
        <v>1263.78</v>
      </c>
      <c r="I647" s="191" t="s">
        <v>10</v>
      </c>
    </row>
    <row r="648" hidden="1" spans="2:9">
      <c r="B648" s="191">
        <v>212201042</v>
      </c>
      <c r="C648" s="242">
        <v>44543</v>
      </c>
      <c r="D648" s="191" t="s">
        <v>43</v>
      </c>
      <c r="E648" s="191">
        <v>70000</v>
      </c>
      <c r="F648" s="191">
        <v>0.05</v>
      </c>
      <c r="G648" s="242">
        <v>44676</v>
      </c>
      <c r="H648" s="244">
        <f t="shared" si="12"/>
        <v>3500</v>
      </c>
      <c r="I648" s="191" t="s">
        <v>10</v>
      </c>
    </row>
    <row r="649" hidden="1" spans="2:9">
      <c r="B649" s="211">
        <v>212201042</v>
      </c>
      <c r="C649" s="212">
        <v>44543</v>
      </c>
      <c r="D649" s="211" t="s">
        <v>29</v>
      </c>
      <c r="E649" s="211">
        <v>500000</v>
      </c>
      <c r="F649" s="211">
        <v>0.027</v>
      </c>
      <c r="G649" s="212">
        <v>44612</v>
      </c>
      <c r="H649" s="214">
        <f t="shared" si="12"/>
        <v>13500</v>
      </c>
      <c r="I649" s="191" t="s">
        <v>10</v>
      </c>
    </row>
    <row r="650" hidden="1" spans="2:9">
      <c r="B650" s="191">
        <v>212201042</v>
      </c>
      <c r="C650" s="242">
        <v>44543</v>
      </c>
      <c r="D650" s="191" t="s">
        <v>29</v>
      </c>
      <c r="E650" s="191">
        <v>500000</v>
      </c>
      <c r="F650" s="191">
        <v>0.027</v>
      </c>
      <c r="G650" s="242">
        <v>44640</v>
      </c>
      <c r="H650" s="244">
        <f t="shared" si="12"/>
        <v>13500</v>
      </c>
      <c r="I650" s="191" t="s">
        <v>10</v>
      </c>
    </row>
    <row r="651" hidden="1" spans="2:9">
      <c r="B651" s="191">
        <v>212201042</v>
      </c>
      <c r="C651" s="242">
        <v>44543</v>
      </c>
      <c r="D651" s="191" t="s">
        <v>30</v>
      </c>
      <c r="E651" s="191">
        <v>300000</v>
      </c>
      <c r="F651" s="191">
        <v>0.031</v>
      </c>
      <c r="G651" s="242">
        <v>44640</v>
      </c>
      <c r="H651" s="244">
        <f t="shared" si="12"/>
        <v>9300</v>
      </c>
      <c r="I651" s="191" t="s">
        <v>10</v>
      </c>
    </row>
    <row r="652" hidden="1" spans="2:9">
      <c r="B652" s="191">
        <v>212201042</v>
      </c>
      <c r="C652" s="242">
        <v>44543</v>
      </c>
      <c r="D652" s="191" t="s">
        <v>30</v>
      </c>
      <c r="E652" s="191">
        <v>200000</v>
      </c>
      <c r="F652" s="191">
        <v>0.031</v>
      </c>
      <c r="G652" s="242">
        <v>44640</v>
      </c>
      <c r="H652" s="244">
        <f t="shared" si="12"/>
        <v>6200</v>
      </c>
      <c r="I652" s="191" t="s">
        <v>10</v>
      </c>
    </row>
    <row r="653" hidden="1" spans="2:9">
      <c r="B653" s="191">
        <v>212201042</v>
      </c>
      <c r="C653" s="242">
        <v>44543</v>
      </c>
      <c r="D653" s="191" t="s">
        <v>31</v>
      </c>
      <c r="E653" s="191">
        <v>150000</v>
      </c>
      <c r="F653" s="191">
        <v>0.036</v>
      </c>
      <c r="G653" s="242">
        <v>44640</v>
      </c>
      <c r="H653" s="244">
        <f t="shared" si="12"/>
        <v>5400</v>
      </c>
      <c r="I653" s="191" t="s">
        <v>10</v>
      </c>
    </row>
    <row r="654" hidden="1" spans="2:9">
      <c r="B654" s="191">
        <v>212201042</v>
      </c>
      <c r="C654" s="242">
        <v>44543</v>
      </c>
      <c r="D654" s="191" t="s">
        <v>31</v>
      </c>
      <c r="E654" s="191">
        <v>100000</v>
      </c>
      <c r="F654" s="191">
        <v>0.036</v>
      </c>
      <c r="G654" s="242">
        <v>44640</v>
      </c>
      <c r="H654" s="244">
        <f t="shared" si="12"/>
        <v>3600</v>
      </c>
      <c r="I654" s="191" t="s">
        <v>10</v>
      </c>
    </row>
    <row r="655" hidden="1" spans="2:9">
      <c r="B655" s="191">
        <v>212201042</v>
      </c>
      <c r="C655" s="242">
        <v>44543</v>
      </c>
      <c r="D655" s="191" t="s">
        <v>31</v>
      </c>
      <c r="E655" s="191">
        <v>50000</v>
      </c>
      <c r="F655" s="191">
        <v>0.036</v>
      </c>
      <c r="G655" s="242">
        <v>44640</v>
      </c>
      <c r="H655" s="244">
        <f t="shared" si="12"/>
        <v>1800</v>
      </c>
      <c r="I655" s="191" t="s">
        <v>10</v>
      </c>
    </row>
    <row r="656" hidden="1" spans="2:9">
      <c r="B656" s="191">
        <v>212201042</v>
      </c>
      <c r="C656" s="242">
        <v>44543</v>
      </c>
      <c r="D656" s="191" t="s">
        <v>42</v>
      </c>
      <c r="E656" s="191">
        <v>150000</v>
      </c>
      <c r="F656" s="191">
        <v>0.065</v>
      </c>
      <c r="G656" s="242">
        <v>44640</v>
      </c>
      <c r="H656" s="244">
        <f t="shared" si="12"/>
        <v>9750</v>
      </c>
      <c r="I656" s="191" t="s">
        <v>10</v>
      </c>
    </row>
    <row r="657" hidden="1" spans="2:9">
      <c r="B657" s="191">
        <v>212201042</v>
      </c>
      <c r="C657" s="242">
        <v>44543</v>
      </c>
      <c r="D657" s="191" t="s">
        <v>42</v>
      </c>
      <c r="E657" s="191">
        <v>150000</v>
      </c>
      <c r="F657" s="191">
        <v>0.065</v>
      </c>
      <c r="G657" s="242">
        <v>44640</v>
      </c>
      <c r="H657" s="244">
        <f t="shared" si="12"/>
        <v>9750</v>
      </c>
      <c r="I657" s="191" t="s">
        <v>10</v>
      </c>
    </row>
    <row r="658" hidden="1" spans="2:9">
      <c r="B658" s="211">
        <v>212201042</v>
      </c>
      <c r="C658" s="212">
        <v>44543</v>
      </c>
      <c r="D658" s="211" t="s">
        <v>32</v>
      </c>
      <c r="E658" s="211">
        <v>250000</v>
      </c>
      <c r="F658" s="211">
        <v>0.02</v>
      </c>
      <c r="G658" s="212">
        <v>44581</v>
      </c>
      <c r="H658" s="214">
        <f t="shared" si="12"/>
        <v>5000</v>
      </c>
      <c r="I658" s="211" t="s">
        <v>110</v>
      </c>
    </row>
    <row r="659" hidden="1" spans="2:9">
      <c r="B659" s="211">
        <v>212201042</v>
      </c>
      <c r="C659" s="212">
        <v>44543</v>
      </c>
      <c r="D659" s="211" t="s">
        <v>32</v>
      </c>
      <c r="E659" s="211">
        <v>400000</v>
      </c>
      <c r="F659" s="211">
        <v>0.02</v>
      </c>
      <c r="G659" s="212">
        <v>44612</v>
      </c>
      <c r="H659" s="214">
        <f t="shared" si="12"/>
        <v>8000</v>
      </c>
      <c r="I659" s="211" t="s">
        <v>110</v>
      </c>
    </row>
    <row r="660" hidden="1" spans="2:9">
      <c r="B660" s="211">
        <v>212201042</v>
      </c>
      <c r="C660" s="212">
        <v>44543</v>
      </c>
      <c r="D660" s="211" t="s">
        <v>32</v>
      </c>
      <c r="E660" s="211">
        <v>100000</v>
      </c>
      <c r="F660" s="211">
        <v>0.02</v>
      </c>
      <c r="G660" s="212">
        <v>44612</v>
      </c>
      <c r="H660" s="214">
        <f t="shared" si="12"/>
        <v>2000</v>
      </c>
      <c r="I660" s="211" t="s">
        <v>110</v>
      </c>
    </row>
    <row r="661" hidden="1" spans="2:9">
      <c r="B661" s="191">
        <v>212201042</v>
      </c>
      <c r="C661" s="242">
        <v>44543</v>
      </c>
      <c r="D661" s="191" t="s">
        <v>32</v>
      </c>
      <c r="E661" s="191">
        <v>450000</v>
      </c>
      <c r="F661" s="191">
        <v>0.02</v>
      </c>
      <c r="G661" s="242">
        <v>44645</v>
      </c>
      <c r="H661" s="244">
        <f t="shared" si="12"/>
        <v>9000</v>
      </c>
      <c r="I661" s="211" t="s">
        <v>110</v>
      </c>
    </row>
    <row r="662" hidden="1" spans="2:9">
      <c r="B662" s="191">
        <v>212201042</v>
      </c>
      <c r="C662" s="242">
        <v>44543</v>
      </c>
      <c r="D662" s="191" t="s">
        <v>32</v>
      </c>
      <c r="E662" s="191">
        <v>100000</v>
      </c>
      <c r="F662" s="191">
        <v>0.02</v>
      </c>
      <c r="G662" s="242">
        <v>44645</v>
      </c>
      <c r="H662" s="244">
        <f t="shared" si="12"/>
        <v>2000</v>
      </c>
      <c r="I662" s="211" t="s">
        <v>110</v>
      </c>
    </row>
    <row r="663" hidden="1" spans="2:9">
      <c r="B663" s="191">
        <v>212201042</v>
      </c>
      <c r="C663" s="242">
        <v>44543</v>
      </c>
      <c r="D663" s="191" t="s">
        <v>13</v>
      </c>
      <c r="E663" s="191">
        <v>304000</v>
      </c>
      <c r="F663" s="191">
        <v>0.003</v>
      </c>
      <c r="G663" s="242">
        <v>44645</v>
      </c>
      <c r="H663" s="244">
        <f t="shared" si="12"/>
        <v>912</v>
      </c>
      <c r="I663" s="191" t="s">
        <v>10</v>
      </c>
    </row>
    <row r="664" hidden="1" spans="2:9">
      <c r="B664" s="191">
        <v>212201042</v>
      </c>
      <c r="C664" s="242">
        <v>44543</v>
      </c>
      <c r="D664" s="191" t="s">
        <v>13</v>
      </c>
      <c r="E664" s="191">
        <v>304000</v>
      </c>
      <c r="F664" s="191">
        <v>0.003</v>
      </c>
      <c r="G664" s="242">
        <v>44645</v>
      </c>
      <c r="H664" s="244">
        <f t="shared" si="12"/>
        <v>912</v>
      </c>
      <c r="I664" s="191" t="s">
        <v>10</v>
      </c>
    </row>
    <row r="665" hidden="1" spans="2:9">
      <c r="B665" s="191">
        <v>212201042</v>
      </c>
      <c r="C665" s="242">
        <v>44543</v>
      </c>
      <c r="D665" s="191" t="s">
        <v>13</v>
      </c>
      <c r="E665" s="191">
        <v>304000</v>
      </c>
      <c r="F665" s="191">
        <v>0.003</v>
      </c>
      <c r="G665" s="242">
        <v>44676</v>
      </c>
      <c r="H665" s="244">
        <f t="shared" si="12"/>
        <v>912</v>
      </c>
      <c r="I665" s="191" t="s">
        <v>10</v>
      </c>
    </row>
    <row r="666" hidden="1" spans="2:9">
      <c r="B666" s="191">
        <v>212201042</v>
      </c>
      <c r="C666" s="242">
        <v>44543</v>
      </c>
      <c r="D666" s="191" t="s">
        <v>13</v>
      </c>
      <c r="E666" s="191">
        <v>304000</v>
      </c>
      <c r="F666" s="191">
        <v>0.003</v>
      </c>
      <c r="G666" s="242">
        <v>44676</v>
      </c>
      <c r="H666" s="244">
        <f t="shared" si="12"/>
        <v>912</v>
      </c>
      <c r="I666" s="191" t="s">
        <v>10</v>
      </c>
    </row>
    <row r="667" hidden="1" spans="2:9">
      <c r="B667" s="191">
        <v>212201042</v>
      </c>
      <c r="C667" s="242">
        <v>44543</v>
      </c>
      <c r="D667" s="191" t="s">
        <v>106</v>
      </c>
      <c r="E667" s="191">
        <v>52000</v>
      </c>
      <c r="F667" s="191">
        <v>0.04</v>
      </c>
      <c r="G667" s="242">
        <v>44676</v>
      </c>
      <c r="H667" s="244">
        <f t="shared" si="12"/>
        <v>2080</v>
      </c>
      <c r="I667" s="191" t="s">
        <v>10</v>
      </c>
    </row>
    <row r="668" hidden="1" spans="2:9">
      <c r="B668" s="191">
        <v>212201042</v>
      </c>
      <c r="C668" s="242">
        <v>44543</v>
      </c>
      <c r="D668" s="191" t="s">
        <v>99</v>
      </c>
      <c r="E668" s="191">
        <v>234000</v>
      </c>
      <c r="F668" s="191">
        <v>0.027</v>
      </c>
      <c r="G668" s="242">
        <v>44676</v>
      </c>
      <c r="H668" s="244">
        <f t="shared" si="12"/>
        <v>6318</v>
      </c>
      <c r="I668" s="211" t="s">
        <v>110</v>
      </c>
    </row>
    <row r="669" hidden="1" spans="2:9">
      <c r="B669" s="191">
        <v>212201042</v>
      </c>
      <c r="C669" s="242">
        <v>44543</v>
      </c>
      <c r="D669" s="191" t="s">
        <v>53</v>
      </c>
      <c r="E669" s="191">
        <v>626000</v>
      </c>
      <c r="F669" s="191">
        <v>0.03</v>
      </c>
      <c r="G669" s="242">
        <v>44645</v>
      </c>
      <c r="H669" s="244">
        <f t="shared" si="12"/>
        <v>18780</v>
      </c>
      <c r="I669" s="211" t="s">
        <v>110</v>
      </c>
    </row>
    <row r="670" hidden="1" spans="2:9">
      <c r="B670" s="191">
        <v>212201042</v>
      </c>
      <c r="C670" s="242">
        <v>44543</v>
      </c>
      <c r="D670" s="191" t="s">
        <v>53</v>
      </c>
      <c r="E670" s="191">
        <v>626000</v>
      </c>
      <c r="F670" s="191">
        <v>0.03</v>
      </c>
      <c r="G670" s="242">
        <v>44676</v>
      </c>
      <c r="H670" s="244">
        <f t="shared" si="12"/>
        <v>18780</v>
      </c>
      <c r="I670" s="211" t="s">
        <v>110</v>
      </c>
    </row>
    <row r="671" hidden="1" spans="2:9">
      <c r="B671" s="191">
        <v>212201042</v>
      </c>
      <c r="C671" s="242">
        <v>44543</v>
      </c>
      <c r="D671" s="191" t="s">
        <v>53</v>
      </c>
      <c r="E671" s="191">
        <v>626000</v>
      </c>
      <c r="F671" s="191">
        <v>0.03</v>
      </c>
      <c r="G671" s="242">
        <v>44676</v>
      </c>
      <c r="H671" s="244">
        <f t="shared" si="12"/>
        <v>18780</v>
      </c>
      <c r="I671" s="211" t="s">
        <v>110</v>
      </c>
    </row>
    <row r="672" hidden="1" spans="2:9">
      <c r="B672" s="191">
        <v>212201042</v>
      </c>
      <c r="C672" s="242">
        <v>44543</v>
      </c>
      <c r="D672" s="191" t="s">
        <v>53</v>
      </c>
      <c r="E672" s="191">
        <v>626000</v>
      </c>
      <c r="F672" s="191">
        <v>0.03</v>
      </c>
      <c r="G672" s="242">
        <v>44706</v>
      </c>
      <c r="H672" s="244">
        <f t="shared" si="12"/>
        <v>18780</v>
      </c>
      <c r="I672" s="211" t="s">
        <v>110</v>
      </c>
    </row>
    <row r="673" hidden="1" spans="2:9">
      <c r="B673" s="191">
        <v>212201042</v>
      </c>
      <c r="C673" s="242">
        <v>44543</v>
      </c>
      <c r="D673" s="191" t="s">
        <v>104</v>
      </c>
      <c r="E673" s="191">
        <v>80000</v>
      </c>
      <c r="F673" s="191">
        <v>0.028</v>
      </c>
      <c r="G673" s="242">
        <v>44645</v>
      </c>
      <c r="H673" s="244">
        <f t="shared" si="12"/>
        <v>2240</v>
      </c>
      <c r="I673" s="191" t="s">
        <v>10</v>
      </c>
    </row>
    <row r="674" hidden="1" spans="2:9">
      <c r="B674" s="191">
        <v>212201042</v>
      </c>
      <c r="C674" s="242">
        <v>44543</v>
      </c>
      <c r="D674" s="191" t="s">
        <v>104</v>
      </c>
      <c r="E674" s="191">
        <v>80000</v>
      </c>
      <c r="F674" s="191">
        <v>0.028</v>
      </c>
      <c r="G674" s="242">
        <v>44676</v>
      </c>
      <c r="H674" s="244">
        <f t="shared" si="12"/>
        <v>2240</v>
      </c>
      <c r="I674" s="191" t="s">
        <v>10</v>
      </c>
    </row>
    <row r="675" hidden="1" spans="2:9">
      <c r="B675" s="191">
        <v>212201042</v>
      </c>
      <c r="C675" s="242">
        <v>44543</v>
      </c>
      <c r="D675" s="191" t="s">
        <v>41</v>
      </c>
      <c r="E675" s="191">
        <v>30000</v>
      </c>
      <c r="F675" s="191">
        <v>0.285</v>
      </c>
      <c r="G675" s="242">
        <v>44676</v>
      </c>
      <c r="H675" s="244">
        <f t="shared" si="12"/>
        <v>8550</v>
      </c>
      <c r="I675" s="211" t="s">
        <v>110</v>
      </c>
    </row>
    <row r="676" hidden="1" spans="2:9">
      <c r="B676" s="191">
        <v>212201042</v>
      </c>
      <c r="C676" s="242">
        <v>44543</v>
      </c>
      <c r="D676" s="191" t="s">
        <v>41</v>
      </c>
      <c r="E676" s="191">
        <v>30000</v>
      </c>
      <c r="F676" s="191">
        <v>0.285</v>
      </c>
      <c r="G676" s="242">
        <v>44701</v>
      </c>
      <c r="H676" s="244">
        <f t="shared" si="12"/>
        <v>8550</v>
      </c>
      <c r="I676" s="211" t="s">
        <v>110</v>
      </c>
    </row>
    <row r="677" hidden="1" spans="2:9">
      <c r="B677" s="191">
        <v>212201042</v>
      </c>
      <c r="C677" s="242">
        <v>44543</v>
      </c>
      <c r="D677" s="191" t="s">
        <v>41</v>
      </c>
      <c r="E677" s="191">
        <v>30000</v>
      </c>
      <c r="F677" s="191">
        <v>0.285</v>
      </c>
      <c r="G677" s="242">
        <v>44732</v>
      </c>
      <c r="H677" s="244">
        <f t="shared" si="12"/>
        <v>8550</v>
      </c>
      <c r="I677" s="211" t="s">
        <v>110</v>
      </c>
    </row>
    <row r="678" hidden="1" spans="2:9">
      <c r="B678" s="191">
        <v>212201042</v>
      </c>
      <c r="C678" s="242">
        <v>44543</v>
      </c>
      <c r="D678" s="191" t="s">
        <v>12</v>
      </c>
      <c r="E678" s="191">
        <v>20000</v>
      </c>
      <c r="F678" s="191">
        <v>0.06</v>
      </c>
      <c r="G678" s="242">
        <v>44671</v>
      </c>
      <c r="H678" s="244">
        <f t="shared" si="12"/>
        <v>1200</v>
      </c>
      <c r="I678" s="191" t="s">
        <v>10</v>
      </c>
    </row>
    <row r="679" hidden="1" spans="2:9">
      <c r="B679" s="211">
        <v>212201049</v>
      </c>
      <c r="C679" s="212">
        <v>44544</v>
      </c>
      <c r="D679" s="211" t="s">
        <v>125</v>
      </c>
      <c r="E679" s="211">
        <v>160000</v>
      </c>
      <c r="F679" s="211">
        <v>0.0045</v>
      </c>
      <c r="G679" s="275">
        <v>44560</v>
      </c>
      <c r="H679" s="214">
        <f t="shared" si="12"/>
        <v>720</v>
      </c>
      <c r="I679" s="191" t="s">
        <v>10</v>
      </c>
    </row>
    <row r="680" hidden="1" spans="2:9">
      <c r="B680" s="211">
        <v>212201049</v>
      </c>
      <c r="C680" s="212">
        <v>44544</v>
      </c>
      <c r="D680" s="211" t="s">
        <v>125</v>
      </c>
      <c r="E680" s="211">
        <v>80000</v>
      </c>
      <c r="F680" s="211">
        <v>0.0045</v>
      </c>
      <c r="G680" s="212">
        <v>44602</v>
      </c>
      <c r="H680" s="214">
        <f t="shared" si="12"/>
        <v>360</v>
      </c>
      <c r="I680" s="191" t="s">
        <v>10</v>
      </c>
    </row>
    <row r="681" hidden="1" spans="2:9">
      <c r="B681" s="191">
        <v>212201049</v>
      </c>
      <c r="C681" s="242">
        <v>44544</v>
      </c>
      <c r="D681" s="191" t="s">
        <v>125</v>
      </c>
      <c r="E681" s="191">
        <v>80000</v>
      </c>
      <c r="F681" s="191">
        <v>0.0045</v>
      </c>
      <c r="G681" s="242">
        <v>44711</v>
      </c>
      <c r="H681" s="244">
        <f t="shared" si="12"/>
        <v>360</v>
      </c>
      <c r="I681" s="191" t="s">
        <v>10</v>
      </c>
    </row>
    <row r="682" s="191" customFormat="1" hidden="1" spans="2:9">
      <c r="B682" s="211">
        <v>212201049</v>
      </c>
      <c r="C682" s="212">
        <v>44544</v>
      </c>
      <c r="D682" s="211" t="s">
        <v>126</v>
      </c>
      <c r="E682" s="211">
        <v>20000</v>
      </c>
      <c r="F682" s="211">
        <v>0.045</v>
      </c>
      <c r="G682" s="212">
        <v>44560</v>
      </c>
      <c r="H682" s="214">
        <f t="shared" si="12"/>
        <v>900</v>
      </c>
      <c r="I682" s="211" t="s">
        <v>110</v>
      </c>
    </row>
    <row r="683" hidden="1" spans="2:9">
      <c r="B683" s="191">
        <v>212201064</v>
      </c>
      <c r="C683" s="242">
        <v>44546</v>
      </c>
      <c r="D683" s="191" t="s">
        <v>50</v>
      </c>
      <c r="E683" s="191">
        <v>300000</v>
      </c>
      <c r="F683" s="191">
        <v>0.08</v>
      </c>
      <c r="G683" s="242">
        <v>44630</v>
      </c>
      <c r="H683" s="244">
        <f t="shared" si="12"/>
        <v>24000</v>
      </c>
      <c r="I683" s="191" t="s">
        <v>10</v>
      </c>
    </row>
    <row r="684" hidden="1" spans="2:9">
      <c r="B684" s="191">
        <v>212201064</v>
      </c>
      <c r="C684" s="242">
        <v>44546</v>
      </c>
      <c r="D684" s="191" t="s">
        <v>50</v>
      </c>
      <c r="E684" s="191">
        <v>300000</v>
      </c>
      <c r="F684" s="191">
        <v>0.08</v>
      </c>
      <c r="G684" s="242">
        <v>44661</v>
      </c>
      <c r="H684" s="244">
        <f t="shared" si="12"/>
        <v>24000</v>
      </c>
      <c r="I684" s="191" t="s">
        <v>10</v>
      </c>
    </row>
    <row r="685" hidden="1" spans="2:9">
      <c r="B685" s="191">
        <v>212201064</v>
      </c>
      <c r="C685" s="242">
        <v>44546</v>
      </c>
      <c r="D685" s="191" t="s">
        <v>93</v>
      </c>
      <c r="E685" s="191">
        <v>200000</v>
      </c>
      <c r="F685" s="191">
        <v>0.0405</v>
      </c>
      <c r="G685" s="242">
        <v>44630</v>
      </c>
      <c r="H685" s="244">
        <f t="shared" si="12"/>
        <v>8100</v>
      </c>
      <c r="I685" s="211" t="s">
        <v>110</v>
      </c>
    </row>
    <row r="686" hidden="1" spans="2:9">
      <c r="B686" s="211">
        <v>212201070</v>
      </c>
      <c r="C686" s="212">
        <v>44547</v>
      </c>
      <c r="D686" s="211" t="s">
        <v>127</v>
      </c>
      <c r="E686" s="211">
        <v>36000</v>
      </c>
      <c r="F686" s="211">
        <v>0.035</v>
      </c>
      <c r="G686" s="212">
        <v>44607</v>
      </c>
      <c r="H686" s="211">
        <f t="shared" si="12"/>
        <v>1260</v>
      </c>
      <c r="I686" s="191" t="s">
        <v>10</v>
      </c>
    </row>
    <row r="687" hidden="1" spans="2:9">
      <c r="B687" s="191">
        <v>212201070</v>
      </c>
      <c r="C687" s="242">
        <v>44547</v>
      </c>
      <c r="D687" s="191" t="s">
        <v>127</v>
      </c>
      <c r="E687" s="191">
        <v>36000</v>
      </c>
      <c r="F687" s="191">
        <v>0.035</v>
      </c>
      <c r="G687" s="242">
        <v>44666</v>
      </c>
      <c r="H687" s="191">
        <f t="shared" si="12"/>
        <v>1260</v>
      </c>
      <c r="I687" s="191" t="s">
        <v>10</v>
      </c>
    </row>
    <row r="688" hidden="1" spans="2:9">
      <c r="B688" s="211">
        <v>212201070</v>
      </c>
      <c r="C688" s="212">
        <v>44547</v>
      </c>
      <c r="D688" s="211" t="s">
        <v>128</v>
      </c>
      <c r="E688" s="211">
        <v>20000</v>
      </c>
      <c r="F688" s="211">
        <v>0.03</v>
      </c>
      <c r="G688" s="212">
        <v>44607</v>
      </c>
      <c r="H688" s="211">
        <f t="shared" si="12"/>
        <v>600</v>
      </c>
      <c r="I688" s="191" t="s">
        <v>10</v>
      </c>
    </row>
    <row r="689" hidden="1" spans="2:9">
      <c r="B689" s="191">
        <v>212201070</v>
      </c>
      <c r="C689" s="242">
        <v>44547</v>
      </c>
      <c r="D689" s="191" t="s">
        <v>128</v>
      </c>
      <c r="E689" s="191">
        <v>20000</v>
      </c>
      <c r="F689" s="191">
        <v>0.03</v>
      </c>
      <c r="G689" s="242">
        <v>44666</v>
      </c>
      <c r="H689" s="191">
        <f t="shared" si="12"/>
        <v>600</v>
      </c>
      <c r="I689" s="191" t="s">
        <v>10</v>
      </c>
    </row>
    <row r="690" hidden="1" spans="2:9">
      <c r="B690" s="211">
        <v>212201070</v>
      </c>
      <c r="C690" s="212">
        <v>44547</v>
      </c>
      <c r="D690" s="211" t="s">
        <v>129</v>
      </c>
      <c r="E690" s="211">
        <v>24000</v>
      </c>
      <c r="F690" s="211">
        <v>0.03</v>
      </c>
      <c r="G690" s="212">
        <v>44607</v>
      </c>
      <c r="H690" s="211">
        <f t="shared" si="12"/>
        <v>720</v>
      </c>
      <c r="I690" s="191" t="s">
        <v>10</v>
      </c>
    </row>
    <row r="691" hidden="1" spans="2:9">
      <c r="B691" s="191">
        <v>212201070</v>
      </c>
      <c r="C691" s="242">
        <v>44547</v>
      </c>
      <c r="D691" s="191" t="s">
        <v>129</v>
      </c>
      <c r="E691" s="191">
        <v>24000</v>
      </c>
      <c r="F691" s="191">
        <v>0.03</v>
      </c>
      <c r="G691" s="242">
        <v>44666</v>
      </c>
      <c r="H691" s="191">
        <f t="shared" si="12"/>
        <v>720</v>
      </c>
      <c r="I691" s="191" t="s">
        <v>10</v>
      </c>
    </row>
    <row r="692" hidden="1" spans="2:9">
      <c r="B692" s="191">
        <v>212201077</v>
      </c>
      <c r="C692" s="242">
        <v>44547</v>
      </c>
      <c r="D692" s="191" t="s">
        <v>108</v>
      </c>
      <c r="E692" s="191">
        <v>20000</v>
      </c>
      <c r="F692" s="191">
        <v>0.04</v>
      </c>
      <c r="G692" s="242">
        <v>44650</v>
      </c>
      <c r="H692" s="191">
        <f t="shared" si="12"/>
        <v>800</v>
      </c>
      <c r="I692" s="191" t="s">
        <v>10</v>
      </c>
    </row>
    <row r="693" hidden="1" spans="2:9">
      <c r="B693" s="211">
        <v>212201077</v>
      </c>
      <c r="C693" s="212">
        <v>44547</v>
      </c>
      <c r="D693" s="211" t="s">
        <v>43</v>
      </c>
      <c r="E693" s="211">
        <v>70000</v>
      </c>
      <c r="F693" s="211">
        <v>0.05</v>
      </c>
      <c r="G693" s="212">
        <v>44581</v>
      </c>
      <c r="H693" s="211">
        <f t="shared" ref="H693:H734" si="13">E693*F693</f>
        <v>3500</v>
      </c>
      <c r="I693" s="191" t="s">
        <v>10</v>
      </c>
    </row>
    <row r="694" hidden="1" spans="2:9">
      <c r="B694" s="211">
        <v>212201077</v>
      </c>
      <c r="C694" s="212">
        <v>44547</v>
      </c>
      <c r="D694" s="211" t="s">
        <v>43</v>
      </c>
      <c r="E694" s="211">
        <v>70000</v>
      </c>
      <c r="F694" s="211">
        <v>0.05</v>
      </c>
      <c r="G694" s="212">
        <v>44612</v>
      </c>
      <c r="H694" s="211">
        <f t="shared" si="13"/>
        <v>3500</v>
      </c>
      <c r="I694" s="191" t="s">
        <v>10</v>
      </c>
    </row>
    <row r="695" hidden="1" spans="2:9">
      <c r="B695" s="191">
        <v>212201077</v>
      </c>
      <c r="C695" s="242">
        <v>44547</v>
      </c>
      <c r="D695" s="191" t="s">
        <v>43</v>
      </c>
      <c r="E695" s="191">
        <v>70000</v>
      </c>
      <c r="F695" s="191">
        <v>0.05</v>
      </c>
      <c r="G695" s="242">
        <v>44640</v>
      </c>
      <c r="H695" s="191">
        <f t="shared" si="13"/>
        <v>3500</v>
      </c>
      <c r="I695" s="191" t="s">
        <v>10</v>
      </c>
    </row>
    <row r="696" hidden="1" spans="2:9">
      <c r="B696" s="211">
        <v>212201077</v>
      </c>
      <c r="C696" s="212">
        <v>44547</v>
      </c>
      <c r="D696" s="211" t="s">
        <v>18</v>
      </c>
      <c r="E696" s="211">
        <v>200000</v>
      </c>
      <c r="F696" s="211">
        <v>0.0238</v>
      </c>
      <c r="G696" s="212">
        <v>44612</v>
      </c>
      <c r="H696" s="211">
        <f t="shared" si="13"/>
        <v>4760</v>
      </c>
      <c r="I696" s="191" t="s">
        <v>10</v>
      </c>
    </row>
    <row r="697" hidden="1" spans="2:9">
      <c r="B697" s="191">
        <v>212201077</v>
      </c>
      <c r="C697" s="242">
        <v>44547</v>
      </c>
      <c r="D697" s="191" t="s">
        <v>18</v>
      </c>
      <c r="E697" s="191">
        <v>200000</v>
      </c>
      <c r="F697" s="191">
        <v>0.0238</v>
      </c>
      <c r="G697" s="242">
        <v>44630</v>
      </c>
      <c r="H697" s="191">
        <f t="shared" si="13"/>
        <v>4760</v>
      </c>
      <c r="I697" s="191" t="s">
        <v>10</v>
      </c>
    </row>
    <row r="698" hidden="1" spans="2:9">
      <c r="B698" s="191">
        <v>212201077</v>
      </c>
      <c r="C698" s="242">
        <v>44547</v>
      </c>
      <c r="D698" s="191" t="s">
        <v>56</v>
      </c>
      <c r="E698" s="191">
        <v>70000</v>
      </c>
      <c r="F698" s="191">
        <v>0.04</v>
      </c>
      <c r="G698" s="242">
        <v>44650</v>
      </c>
      <c r="H698" s="191">
        <f t="shared" si="13"/>
        <v>2800</v>
      </c>
      <c r="I698" s="191" t="s">
        <v>10</v>
      </c>
    </row>
    <row r="699" hidden="1" spans="2:9">
      <c r="B699" s="191">
        <v>212201077</v>
      </c>
      <c r="C699" s="242">
        <v>44547</v>
      </c>
      <c r="D699" s="191" t="s">
        <v>25</v>
      </c>
      <c r="E699" s="191">
        <v>20000</v>
      </c>
      <c r="F699" s="191">
        <v>0.016</v>
      </c>
      <c r="G699" s="242">
        <v>44650</v>
      </c>
      <c r="H699" s="191">
        <f t="shared" si="13"/>
        <v>320</v>
      </c>
      <c r="I699" s="191" t="s">
        <v>10</v>
      </c>
    </row>
    <row r="700" hidden="1" spans="2:9">
      <c r="B700" s="193">
        <v>212201085</v>
      </c>
      <c r="C700" s="260">
        <v>44550</v>
      </c>
      <c r="D700" s="193" t="s">
        <v>130</v>
      </c>
      <c r="E700" s="193">
        <v>4000</v>
      </c>
      <c r="F700" s="192">
        <v>0.26</v>
      </c>
      <c r="G700" s="212">
        <v>44576</v>
      </c>
      <c r="H700" s="192">
        <f t="shared" si="13"/>
        <v>1040</v>
      </c>
      <c r="I700" s="193" t="s">
        <v>131</v>
      </c>
    </row>
    <row r="701" hidden="1" spans="2:9">
      <c r="B701" s="193">
        <v>212201085</v>
      </c>
      <c r="C701" s="260">
        <v>44550</v>
      </c>
      <c r="D701" s="193" t="s">
        <v>132</v>
      </c>
      <c r="E701" s="193">
        <v>4000</v>
      </c>
      <c r="F701" s="192">
        <v>0.097</v>
      </c>
      <c r="H701" s="192">
        <f t="shared" si="13"/>
        <v>388</v>
      </c>
      <c r="I701" s="193" t="s">
        <v>133</v>
      </c>
    </row>
    <row r="702" hidden="1" spans="2:9">
      <c r="B702" s="191">
        <v>212201096</v>
      </c>
      <c r="C702" s="242">
        <v>44551</v>
      </c>
      <c r="D702" s="191" t="s">
        <v>49</v>
      </c>
      <c r="E702" s="191">
        <v>40000</v>
      </c>
      <c r="F702" s="191">
        <v>0.065</v>
      </c>
      <c r="G702" s="242">
        <v>44661</v>
      </c>
      <c r="H702" s="191">
        <f t="shared" si="13"/>
        <v>2600</v>
      </c>
      <c r="I702" s="191" t="s">
        <v>10</v>
      </c>
    </row>
    <row r="703" hidden="1" spans="2:9">
      <c r="B703" s="191">
        <v>212201096</v>
      </c>
      <c r="C703" s="242">
        <v>44551</v>
      </c>
      <c r="D703" s="191" t="s">
        <v>49</v>
      </c>
      <c r="E703" s="191">
        <v>40000</v>
      </c>
      <c r="F703" s="191">
        <v>0.065</v>
      </c>
      <c r="G703" s="242">
        <v>44681</v>
      </c>
      <c r="H703" s="191">
        <f t="shared" si="13"/>
        <v>2600</v>
      </c>
      <c r="I703" s="191" t="s">
        <v>10</v>
      </c>
    </row>
    <row r="704" hidden="1" spans="2:9">
      <c r="B704" s="191">
        <v>212201096</v>
      </c>
      <c r="C704" s="242">
        <v>44551</v>
      </c>
      <c r="D704" s="191" t="s">
        <v>49</v>
      </c>
      <c r="E704" s="191">
        <v>300000</v>
      </c>
      <c r="F704" s="191">
        <v>0.065</v>
      </c>
      <c r="G704" s="242">
        <v>44661</v>
      </c>
      <c r="H704" s="191">
        <f t="shared" si="13"/>
        <v>19500</v>
      </c>
      <c r="I704" s="191" t="s">
        <v>10</v>
      </c>
    </row>
    <row r="705" hidden="1" spans="2:9">
      <c r="B705" s="191">
        <v>212201096</v>
      </c>
      <c r="C705" s="242">
        <v>44551</v>
      </c>
      <c r="D705" s="191" t="s">
        <v>50</v>
      </c>
      <c r="E705" s="191">
        <v>150000</v>
      </c>
      <c r="F705" s="191">
        <v>0.08</v>
      </c>
      <c r="G705" s="242">
        <v>44661</v>
      </c>
      <c r="H705" s="191">
        <f t="shared" si="13"/>
        <v>12000</v>
      </c>
      <c r="I705" s="191" t="s">
        <v>10</v>
      </c>
    </row>
    <row r="706" hidden="1" spans="2:9">
      <c r="B706" s="191">
        <v>212201096</v>
      </c>
      <c r="C706" s="242">
        <v>44551</v>
      </c>
      <c r="D706" s="191" t="s">
        <v>50</v>
      </c>
      <c r="E706" s="191">
        <v>150000</v>
      </c>
      <c r="F706" s="191">
        <v>0.08</v>
      </c>
      <c r="G706" s="242">
        <v>44681</v>
      </c>
      <c r="H706" s="191">
        <f t="shared" si="13"/>
        <v>12000</v>
      </c>
      <c r="I706" s="191" t="s">
        <v>10</v>
      </c>
    </row>
    <row r="707" hidden="1" spans="2:9">
      <c r="B707" s="211">
        <v>212201096</v>
      </c>
      <c r="C707" s="212">
        <v>44551</v>
      </c>
      <c r="D707" s="211" t="s">
        <v>85</v>
      </c>
      <c r="E707" s="211">
        <v>160000</v>
      </c>
      <c r="F707" s="211">
        <v>0.022</v>
      </c>
      <c r="G707" s="212">
        <v>44571</v>
      </c>
      <c r="H707" s="211">
        <f t="shared" si="13"/>
        <v>3520</v>
      </c>
      <c r="I707" s="211" t="s">
        <v>10</v>
      </c>
    </row>
    <row r="708" hidden="1" spans="2:9">
      <c r="B708" s="211">
        <v>212201096</v>
      </c>
      <c r="C708" s="212">
        <v>44551</v>
      </c>
      <c r="D708" s="211" t="s">
        <v>85</v>
      </c>
      <c r="E708" s="211">
        <v>64000</v>
      </c>
      <c r="F708" s="211">
        <v>0.022</v>
      </c>
      <c r="G708" s="212">
        <v>44581</v>
      </c>
      <c r="H708" s="211">
        <f t="shared" si="13"/>
        <v>1408</v>
      </c>
      <c r="I708" s="211" t="s">
        <v>10</v>
      </c>
    </row>
    <row r="709" hidden="1" spans="2:9">
      <c r="B709" s="211">
        <v>212201096</v>
      </c>
      <c r="C709" s="212">
        <v>44551</v>
      </c>
      <c r="D709" s="211" t="s">
        <v>85</v>
      </c>
      <c r="E709" s="211">
        <v>64000</v>
      </c>
      <c r="F709" s="211">
        <v>0.022</v>
      </c>
      <c r="G709" s="212">
        <v>44602</v>
      </c>
      <c r="H709" s="211">
        <f t="shared" si="13"/>
        <v>1408</v>
      </c>
      <c r="I709" s="211" t="s">
        <v>10</v>
      </c>
    </row>
    <row r="710" hidden="1" spans="2:9">
      <c r="B710" s="211">
        <v>212201096</v>
      </c>
      <c r="C710" s="212">
        <v>44551</v>
      </c>
      <c r="D710" s="211" t="s">
        <v>40</v>
      </c>
      <c r="E710" s="211">
        <v>150000</v>
      </c>
      <c r="F710" s="211">
        <v>0.05</v>
      </c>
      <c r="G710" s="212">
        <v>44581</v>
      </c>
      <c r="H710" s="211">
        <f t="shared" si="13"/>
        <v>7500</v>
      </c>
      <c r="I710" s="191" t="s">
        <v>10</v>
      </c>
    </row>
    <row r="711" hidden="1" spans="2:9">
      <c r="B711" s="211">
        <v>212201096</v>
      </c>
      <c r="C711" s="212">
        <v>44551</v>
      </c>
      <c r="D711" s="211" t="s">
        <v>40</v>
      </c>
      <c r="E711" s="211">
        <v>150000</v>
      </c>
      <c r="F711" s="211">
        <v>0.05</v>
      </c>
      <c r="G711" s="212">
        <v>44612</v>
      </c>
      <c r="H711" s="211">
        <f t="shared" si="13"/>
        <v>7500</v>
      </c>
      <c r="I711" s="191" t="s">
        <v>10</v>
      </c>
    </row>
    <row r="712" hidden="1" spans="2:9">
      <c r="B712" s="191">
        <v>212201096</v>
      </c>
      <c r="C712" s="242">
        <v>44551</v>
      </c>
      <c r="D712" s="191" t="s">
        <v>40</v>
      </c>
      <c r="E712" s="191">
        <v>150000</v>
      </c>
      <c r="F712" s="191">
        <v>0.05</v>
      </c>
      <c r="G712" s="242">
        <v>44640</v>
      </c>
      <c r="H712" s="191">
        <f t="shared" si="13"/>
        <v>7500</v>
      </c>
      <c r="I712" s="191" t="s">
        <v>10</v>
      </c>
    </row>
    <row r="713" hidden="1" spans="2:9">
      <c r="B713" s="211">
        <v>212201096</v>
      </c>
      <c r="C713" s="212">
        <v>44551</v>
      </c>
      <c r="D713" s="211" t="s">
        <v>40</v>
      </c>
      <c r="E713" s="211">
        <v>40000</v>
      </c>
      <c r="F713" s="211">
        <v>0.05</v>
      </c>
      <c r="G713" s="212">
        <v>44581</v>
      </c>
      <c r="H713" s="211">
        <f t="shared" si="13"/>
        <v>2000</v>
      </c>
      <c r="I713" s="191" t="s">
        <v>10</v>
      </c>
    </row>
    <row r="714" hidden="1" spans="2:9">
      <c r="B714" s="211">
        <v>212201096</v>
      </c>
      <c r="C714" s="212">
        <v>44551</v>
      </c>
      <c r="D714" s="211" t="s">
        <v>40</v>
      </c>
      <c r="E714" s="211">
        <v>40000</v>
      </c>
      <c r="F714" s="211">
        <v>0.05</v>
      </c>
      <c r="G714" s="212">
        <v>44612</v>
      </c>
      <c r="H714" s="211">
        <f t="shared" si="13"/>
        <v>2000</v>
      </c>
      <c r="I714" s="191" t="s">
        <v>10</v>
      </c>
    </row>
    <row r="715" hidden="1" spans="2:9">
      <c r="B715" s="191">
        <v>212201096</v>
      </c>
      <c r="C715" s="242">
        <v>44551</v>
      </c>
      <c r="D715" s="191" t="s">
        <v>40</v>
      </c>
      <c r="E715" s="191">
        <v>40000</v>
      </c>
      <c r="F715" s="191">
        <v>0.05</v>
      </c>
      <c r="G715" s="242">
        <v>44640</v>
      </c>
      <c r="H715" s="191">
        <f t="shared" si="13"/>
        <v>2000</v>
      </c>
      <c r="I715" s="191" t="s">
        <v>10</v>
      </c>
    </row>
    <row r="716" hidden="1" spans="2:9">
      <c r="B716" s="211">
        <v>212201096</v>
      </c>
      <c r="C716" s="212">
        <v>44551</v>
      </c>
      <c r="D716" s="211" t="s">
        <v>84</v>
      </c>
      <c r="E716" s="211">
        <v>20000</v>
      </c>
      <c r="F716" s="211">
        <v>0.11</v>
      </c>
      <c r="G716" s="212">
        <v>44586</v>
      </c>
      <c r="H716" s="211">
        <f t="shared" si="13"/>
        <v>2200</v>
      </c>
      <c r="I716" s="191" t="s">
        <v>10</v>
      </c>
    </row>
    <row r="717" hidden="1" spans="2:9">
      <c r="B717" s="211">
        <v>212201096</v>
      </c>
      <c r="C717" s="212">
        <v>44551</v>
      </c>
      <c r="D717" s="211" t="s">
        <v>84</v>
      </c>
      <c r="E717" s="211">
        <v>20000</v>
      </c>
      <c r="F717" s="211">
        <v>0.11</v>
      </c>
      <c r="G717" s="212">
        <v>44602</v>
      </c>
      <c r="H717" s="211">
        <f t="shared" si="13"/>
        <v>2200</v>
      </c>
      <c r="I717" s="191" t="s">
        <v>10</v>
      </c>
    </row>
    <row r="718" hidden="1" spans="2:9">
      <c r="B718" s="211">
        <v>212201096</v>
      </c>
      <c r="C718" s="212">
        <v>44551</v>
      </c>
      <c r="D718" s="211" t="s">
        <v>84</v>
      </c>
      <c r="E718" s="211">
        <v>20000</v>
      </c>
      <c r="F718" s="211">
        <v>0.11</v>
      </c>
      <c r="G718" s="212">
        <v>44612</v>
      </c>
      <c r="H718" s="211">
        <f t="shared" si="13"/>
        <v>2200</v>
      </c>
      <c r="I718" s="191" t="s">
        <v>10</v>
      </c>
    </row>
    <row r="719" hidden="1" spans="2:9">
      <c r="B719" s="191">
        <v>212201096</v>
      </c>
      <c r="C719" s="242">
        <v>44551</v>
      </c>
      <c r="D719" s="191" t="s">
        <v>84</v>
      </c>
      <c r="E719" s="191">
        <v>20000</v>
      </c>
      <c r="F719" s="191">
        <v>0.11</v>
      </c>
      <c r="G719" s="242">
        <v>44640</v>
      </c>
      <c r="H719" s="191">
        <f t="shared" si="13"/>
        <v>2200</v>
      </c>
      <c r="I719" s="191" t="s">
        <v>10</v>
      </c>
    </row>
    <row r="720" hidden="1" spans="2:9">
      <c r="B720" s="191">
        <v>212201098</v>
      </c>
      <c r="C720" s="242">
        <v>44552</v>
      </c>
      <c r="D720" s="191" t="s">
        <v>99</v>
      </c>
      <c r="E720" s="191">
        <v>184000</v>
      </c>
      <c r="F720" s="191">
        <v>0.027</v>
      </c>
      <c r="G720" s="242">
        <v>44727</v>
      </c>
      <c r="H720" s="211">
        <f t="shared" si="13"/>
        <v>4968</v>
      </c>
      <c r="I720" s="211" t="s">
        <v>110</v>
      </c>
    </row>
    <row r="721" hidden="1" spans="2:9">
      <c r="B721" s="191">
        <v>212201098</v>
      </c>
      <c r="C721" s="242">
        <v>44552</v>
      </c>
      <c r="D721" s="191" t="s">
        <v>99</v>
      </c>
      <c r="E721" s="191">
        <v>184000</v>
      </c>
      <c r="F721" s="191">
        <v>0.027</v>
      </c>
      <c r="G721" s="242">
        <v>44757</v>
      </c>
      <c r="H721" s="211">
        <f t="shared" si="13"/>
        <v>4968</v>
      </c>
      <c r="I721" s="211" t="s">
        <v>110</v>
      </c>
    </row>
    <row r="722" hidden="1" spans="2:9">
      <c r="B722" s="191">
        <v>212201087</v>
      </c>
      <c r="C722" s="242">
        <v>44550</v>
      </c>
      <c r="D722" s="191" t="s">
        <v>12</v>
      </c>
      <c r="E722" s="191">
        <v>20000</v>
      </c>
      <c r="F722" s="191">
        <v>0.06</v>
      </c>
      <c r="G722" s="242">
        <v>44581</v>
      </c>
      <c r="H722" s="244">
        <f t="shared" si="13"/>
        <v>1200</v>
      </c>
      <c r="I722" s="191" t="s">
        <v>10</v>
      </c>
    </row>
    <row r="723" hidden="1" spans="2:9">
      <c r="B723" s="191">
        <v>212201087</v>
      </c>
      <c r="C723" s="242">
        <v>44550</v>
      </c>
      <c r="D723" s="191" t="s">
        <v>12</v>
      </c>
      <c r="E723" s="191">
        <v>20000</v>
      </c>
      <c r="F723" s="191">
        <v>0.06</v>
      </c>
      <c r="G723" s="242">
        <v>44612</v>
      </c>
      <c r="H723" s="244">
        <f t="shared" si="13"/>
        <v>1200</v>
      </c>
      <c r="I723" s="191" t="s">
        <v>10</v>
      </c>
    </row>
    <row r="724" hidden="1" spans="2:9">
      <c r="B724" s="191">
        <v>212201101</v>
      </c>
      <c r="C724" s="242">
        <v>44918</v>
      </c>
      <c r="D724" s="191" t="s">
        <v>134</v>
      </c>
      <c r="E724" s="191">
        <v>100000</v>
      </c>
      <c r="F724" s="191">
        <v>0.0304</v>
      </c>
      <c r="G724" s="242">
        <v>44581</v>
      </c>
      <c r="H724" s="244">
        <f t="shared" si="13"/>
        <v>3040</v>
      </c>
      <c r="I724" s="211" t="s">
        <v>110</v>
      </c>
    </row>
    <row r="725" hidden="1" spans="2:9">
      <c r="B725" s="191">
        <v>212201101</v>
      </c>
      <c r="C725" s="242">
        <v>44918</v>
      </c>
      <c r="D725" s="191" t="s">
        <v>135</v>
      </c>
      <c r="E725" s="191">
        <v>100000</v>
      </c>
      <c r="F725" s="191">
        <v>0.035</v>
      </c>
      <c r="G725" s="242">
        <v>44581</v>
      </c>
      <c r="H725" s="244">
        <f t="shared" si="13"/>
        <v>3500</v>
      </c>
      <c r="I725" s="211" t="s">
        <v>110</v>
      </c>
    </row>
    <row r="726" hidden="1" spans="2:9">
      <c r="B726" s="191">
        <v>212201101</v>
      </c>
      <c r="C726" s="242">
        <v>44918</v>
      </c>
      <c r="D726" s="191" t="s">
        <v>135</v>
      </c>
      <c r="E726" s="191">
        <v>100000</v>
      </c>
      <c r="F726" s="191">
        <v>0.035</v>
      </c>
      <c r="G726" s="242">
        <v>44612</v>
      </c>
      <c r="H726" s="244">
        <f t="shared" si="13"/>
        <v>3500</v>
      </c>
      <c r="I726" s="211" t="s">
        <v>110</v>
      </c>
    </row>
    <row r="727" hidden="1" spans="2:9">
      <c r="B727" s="191">
        <v>212201101</v>
      </c>
      <c r="C727" s="242">
        <v>44918</v>
      </c>
      <c r="D727" s="191" t="s">
        <v>136</v>
      </c>
      <c r="E727" s="191">
        <v>100000</v>
      </c>
      <c r="F727" s="191">
        <v>0.035</v>
      </c>
      <c r="G727" s="242">
        <v>44581</v>
      </c>
      <c r="H727" s="244">
        <f t="shared" si="13"/>
        <v>3500</v>
      </c>
      <c r="I727" s="211" t="s">
        <v>110</v>
      </c>
    </row>
    <row r="728" hidden="1" spans="2:9">
      <c r="B728" s="191">
        <v>212201101</v>
      </c>
      <c r="C728" s="242">
        <v>44918</v>
      </c>
      <c r="D728" s="191" t="s">
        <v>136</v>
      </c>
      <c r="E728" s="191">
        <v>100000</v>
      </c>
      <c r="F728" s="191">
        <v>0.035</v>
      </c>
      <c r="G728" s="242">
        <v>44612</v>
      </c>
      <c r="H728" s="244">
        <f t="shared" si="13"/>
        <v>3500</v>
      </c>
      <c r="I728" s="211" t="s">
        <v>110</v>
      </c>
    </row>
    <row r="729" hidden="1" spans="2:9">
      <c r="B729" s="191">
        <v>212201101</v>
      </c>
      <c r="C729" s="242">
        <v>44918</v>
      </c>
      <c r="D729" s="191" t="s">
        <v>137</v>
      </c>
      <c r="E729" s="191">
        <v>80000</v>
      </c>
      <c r="F729" s="191">
        <v>0.019</v>
      </c>
      <c r="G729" s="242">
        <v>44581</v>
      </c>
      <c r="H729" s="244">
        <f t="shared" si="13"/>
        <v>1520</v>
      </c>
      <c r="I729" s="211" t="s">
        <v>10</v>
      </c>
    </row>
    <row r="730" s="191" customFormat="1" hidden="1" spans="2:9">
      <c r="B730" s="191">
        <v>212201101</v>
      </c>
      <c r="C730" s="242">
        <v>44918</v>
      </c>
      <c r="D730" s="191" t="s">
        <v>138</v>
      </c>
      <c r="E730" s="191">
        <v>8000</v>
      </c>
      <c r="F730" s="191">
        <v>0.04</v>
      </c>
      <c r="G730" s="242">
        <v>44581</v>
      </c>
      <c r="H730" s="244">
        <f t="shared" si="13"/>
        <v>320</v>
      </c>
      <c r="I730" s="211" t="s">
        <v>110</v>
      </c>
    </row>
    <row r="731" hidden="1" spans="2:9">
      <c r="B731" s="191">
        <v>212201116</v>
      </c>
      <c r="C731" s="242">
        <v>44926</v>
      </c>
      <c r="D731" s="191" t="s">
        <v>139</v>
      </c>
      <c r="E731" s="191">
        <v>96000</v>
      </c>
      <c r="F731" s="191">
        <v>0.006</v>
      </c>
      <c r="G731" s="242">
        <v>44612</v>
      </c>
      <c r="H731" s="244">
        <f t="shared" si="13"/>
        <v>576</v>
      </c>
      <c r="I731" s="191" t="s">
        <v>10</v>
      </c>
    </row>
    <row r="732" hidden="1" spans="2:9">
      <c r="B732" s="191">
        <v>212201116</v>
      </c>
      <c r="C732" s="242">
        <v>44926</v>
      </c>
      <c r="D732" s="191" t="s">
        <v>139</v>
      </c>
      <c r="E732" s="191">
        <v>96000</v>
      </c>
      <c r="F732" s="191">
        <v>0.006</v>
      </c>
      <c r="G732" s="242">
        <v>44612</v>
      </c>
      <c r="H732" s="244">
        <f t="shared" si="13"/>
        <v>576</v>
      </c>
      <c r="I732" s="191" t="s">
        <v>10</v>
      </c>
    </row>
    <row r="733" hidden="1" spans="2:9">
      <c r="B733" s="191">
        <v>212201116</v>
      </c>
      <c r="C733" s="242">
        <v>44926</v>
      </c>
      <c r="D733" s="191" t="s">
        <v>139</v>
      </c>
      <c r="E733" s="191">
        <v>96000</v>
      </c>
      <c r="F733" s="191">
        <v>0.006</v>
      </c>
      <c r="G733" s="242">
        <v>44640</v>
      </c>
      <c r="H733" s="244">
        <f t="shared" si="13"/>
        <v>576</v>
      </c>
      <c r="I733" s="191" t="s">
        <v>10</v>
      </c>
    </row>
    <row r="734" hidden="1" spans="2:9">
      <c r="B734" s="191">
        <v>212201116</v>
      </c>
      <c r="C734" s="242">
        <v>44926</v>
      </c>
      <c r="D734" s="191" t="s">
        <v>139</v>
      </c>
      <c r="E734" s="191">
        <v>96000</v>
      </c>
      <c r="F734" s="191">
        <v>0.006</v>
      </c>
      <c r="G734" s="242">
        <v>44640</v>
      </c>
      <c r="H734" s="244">
        <f t="shared" si="13"/>
        <v>576</v>
      </c>
      <c r="I734" s="191" t="s">
        <v>10</v>
      </c>
    </row>
  </sheetData>
  <autoFilter xmlns:etc="http://www.wps.cn/officeDocument/2017/etCustomData" ref="B1:M734" etc:filterBottomFollowUsedRange="0">
    <filterColumn colId="2">
      <customFilters>
        <customFilter operator="equal" val="67-11-B7C-BOS1T2EOE-2T8-AM"/>
      </customFilters>
    </filterColumn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N798"/>
  <sheetViews>
    <sheetView workbookViewId="0">
      <selection activeCell="D1" sqref="D1"/>
    </sheetView>
  </sheetViews>
  <sheetFormatPr defaultColWidth="9" defaultRowHeight="14.5"/>
  <cols>
    <col min="1" max="1" width="9" style="19"/>
    <col min="2" max="2" width="11.7272727272727" style="144"/>
    <col min="3" max="3" width="11" style="144" customWidth="1"/>
    <col min="4" max="4" width="45.8181818181818" style="30" customWidth="1"/>
    <col min="5" max="5" width="9" style="145"/>
    <col min="6" max="6" width="11" style="145"/>
    <col min="7" max="7" width="11" style="145" customWidth="1"/>
    <col min="8" max="8" width="9" style="145"/>
    <col min="9" max="9" width="14.8181818181818" style="145" customWidth="1"/>
    <col min="10" max="10" width="22.2727272727273" style="19" customWidth="1"/>
    <col min="11" max="13" width="9" style="19"/>
    <col min="14" max="14" width="9.63636363636364" style="19"/>
    <col min="15" max="16384" width="9" style="19"/>
  </cols>
  <sheetData>
    <row r="1" ht="58" spans="2:10">
      <c r="B1" s="146" t="s">
        <v>0</v>
      </c>
      <c r="C1" s="146" t="s">
        <v>1</v>
      </c>
      <c r="D1" s="146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7" t="s">
        <v>140</v>
      </c>
    </row>
    <row r="2" hidden="1" spans="2:10">
      <c r="B2" s="148">
        <v>212201128</v>
      </c>
      <c r="C2" s="149">
        <v>44564</v>
      </c>
      <c r="D2" s="32" t="s">
        <v>100</v>
      </c>
      <c r="E2" s="150">
        <v>200000</v>
      </c>
      <c r="F2" s="24">
        <v>0.03</v>
      </c>
      <c r="G2" s="151">
        <v>44732</v>
      </c>
      <c r="H2" s="24">
        <f t="shared" ref="H2:H65" si="0">F2*E2</f>
        <v>6000</v>
      </c>
      <c r="I2" s="24" t="s">
        <v>65</v>
      </c>
      <c r="J2" s="152"/>
    </row>
    <row r="3" hidden="1" spans="2:10">
      <c r="B3" s="148">
        <v>212201128</v>
      </c>
      <c r="C3" s="149">
        <v>44564</v>
      </c>
      <c r="D3" s="32" t="s">
        <v>30</v>
      </c>
      <c r="E3" s="24">
        <v>400000</v>
      </c>
      <c r="F3" s="24">
        <v>0.031</v>
      </c>
      <c r="G3" s="151">
        <v>44701</v>
      </c>
      <c r="H3" s="24">
        <f t="shared" si="0"/>
        <v>12400</v>
      </c>
      <c r="I3" s="24" t="s">
        <v>65</v>
      </c>
      <c r="J3" s="152"/>
    </row>
    <row r="4" hidden="1" spans="2:10">
      <c r="B4" s="148">
        <v>212201137</v>
      </c>
      <c r="C4" s="149">
        <v>44566</v>
      </c>
      <c r="D4" s="32" t="s">
        <v>120</v>
      </c>
      <c r="E4" s="24">
        <v>150000</v>
      </c>
      <c r="F4" s="24">
        <v>0.035</v>
      </c>
      <c r="G4" s="151">
        <v>44612</v>
      </c>
      <c r="H4" s="24">
        <f t="shared" si="0"/>
        <v>5250</v>
      </c>
      <c r="I4" s="24" t="s">
        <v>65</v>
      </c>
      <c r="J4" s="152"/>
    </row>
    <row r="5" hidden="1" spans="2:10">
      <c r="B5" s="148">
        <v>212201137</v>
      </c>
      <c r="C5" s="149">
        <v>44566</v>
      </c>
      <c r="D5" s="32" t="s">
        <v>120</v>
      </c>
      <c r="E5" s="24">
        <v>150000</v>
      </c>
      <c r="F5" s="24">
        <v>0.035</v>
      </c>
      <c r="G5" s="151">
        <v>44640</v>
      </c>
      <c r="H5" s="24">
        <f t="shared" si="0"/>
        <v>5250</v>
      </c>
      <c r="I5" s="24" t="s">
        <v>65</v>
      </c>
      <c r="J5" s="152"/>
    </row>
    <row r="6" hidden="1" spans="2:10">
      <c r="B6" s="148">
        <v>212201137</v>
      </c>
      <c r="C6" s="149">
        <v>44566</v>
      </c>
      <c r="D6" s="32" t="s">
        <v>120</v>
      </c>
      <c r="E6" s="24">
        <v>150000</v>
      </c>
      <c r="F6" s="24">
        <v>0.035</v>
      </c>
      <c r="G6" s="151">
        <v>44671</v>
      </c>
      <c r="H6" s="24">
        <f t="shared" si="0"/>
        <v>5250</v>
      </c>
      <c r="I6" s="24" t="s">
        <v>65</v>
      </c>
      <c r="J6" s="152"/>
    </row>
    <row r="7" hidden="1" spans="2:10">
      <c r="B7" s="148">
        <v>212201162</v>
      </c>
      <c r="C7" s="149">
        <v>44573</v>
      </c>
      <c r="D7" s="32" t="s">
        <v>43</v>
      </c>
      <c r="E7" s="153">
        <v>70000</v>
      </c>
      <c r="F7" s="24">
        <v>0.05</v>
      </c>
      <c r="G7" s="151">
        <v>44711</v>
      </c>
      <c r="H7" s="24">
        <f t="shared" si="0"/>
        <v>3500</v>
      </c>
      <c r="I7" s="24" t="s">
        <v>10</v>
      </c>
      <c r="J7" s="152"/>
    </row>
    <row r="8" hidden="1" spans="2:10">
      <c r="B8" s="148">
        <v>212201187</v>
      </c>
      <c r="C8" s="149">
        <v>44576</v>
      </c>
      <c r="D8" s="32" t="s">
        <v>141</v>
      </c>
      <c r="E8" s="24">
        <v>24000</v>
      </c>
      <c r="F8" s="24">
        <v>0.019</v>
      </c>
      <c r="G8" s="151">
        <v>44586</v>
      </c>
      <c r="H8" s="24">
        <f t="shared" si="0"/>
        <v>456</v>
      </c>
      <c r="I8" s="24" t="s">
        <v>10</v>
      </c>
      <c r="J8" s="152"/>
    </row>
    <row r="9" hidden="1" spans="2:10">
      <c r="B9" s="148">
        <v>212201187</v>
      </c>
      <c r="C9" s="149">
        <v>44576</v>
      </c>
      <c r="D9" s="32" t="s">
        <v>141</v>
      </c>
      <c r="E9" s="24">
        <v>24000</v>
      </c>
      <c r="F9" s="24">
        <v>0.019</v>
      </c>
      <c r="G9" s="151">
        <v>44617</v>
      </c>
      <c r="H9" s="24">
        <f t="shared" si="0"/>
        <v>456</v>
      </c>
      <c r="I9" s="24" t="s">
        <v>10</v>
      </c>
      <c r="J9" s="152"/>
    </row>
    <row r="10" hidden="1" spans="2:10">
      <c r="B10" s="148">
        <v>212201187</v>
      </c>
      <c r="C10" s="149">
        <v>44576</v>
      </c>
      <c r="D10" s="32" t="s">
        <v>141</v>
      </c>
      <c r="E10" s="24">
        <v>24000</v>
      </c>
      <c r="F10" s="24">
        <v>0.019</v>
      </c>
      <c r="G10" s="151">
        <v>44645</v>
      </c>
      <c r="H10" s="24">
        <f t="shared" si="0"/>
        <v>456</v>
      </c>
      <c r="I10" s="24" t="s">
        <v>10</v>
      </c>
      <c r="J10" s="152"/>
    </row>
    <row r="11" hidden="1" spans="2:10">
      <c r="B11" s="148">
        <v>212201187</v>
      </c>
      <c r="C11" s="149">
        <v>44576</v>
      </c>
      <c r="D11" s="32" t="s">
        <v>142</v>
      </c>
      <c r="E11" s="24">
        <v>20000</v>
      </c>
      <c r="F11" s="24">
        <v>0.024</v>
      </c>
      <c r="G11" s="151">
        <v>44586</v>
      </c>
      <c r="H11" s="24">
        <f t="shared" si="0"/>
        <v>480</v>
      </c>
      <c r="I11" s="24" t="s">
        <v>10</v>
      </c>
      <c r="J11" s="152"/>
    </row>
    <row r="12" hidden="1" spans="2:10">
      <c r="B12" s="148">
        <v>212201187</v>
      </c>
      <c r="C12" s="149">
        <v>44576</v>
      </c>
      <c r="D12" s="32" t="s">
        <v>142</v>
      </c>
      <c r="E12" s="24">
        <v>20000</v>
      </c>
      <c r="F12" s="24">
        <v>0.024</v>
      </c>
      <c r="G12" s="151">
        <v>44617</v>
      </c>
      <c r="H12" s="24">
        <f t="shared" si="0"/>
        <v>480</v>
      </c>
      <c r="I12" s="24" t="s">
        <v>10</v>
      </c>
      <c r="J12" s="152"/>
    </row>
    <row r="13" s="29" customFormat="1" hidden="1" spans="2:10">
      <c r="B13" s="148">
        <v>212201187</v>
      </c>
      <c r="C13" s="149">
        <v>44576</v>
      </c>
      <c r="D13" s="32" t="s">
        <v>142</v>
      </c>
      <c r="E13" s="24">
        <v>20000</v>
      </c>
      <c r="F13" s="24">
        <v>0.024</v>
      </c>
      <c r="G13" s="151">
        <v>44645</v>
      </c>
      <c r="H13" s="24">
        <f t="shared" si="0"/>
        <v>480</v>
      </c>
      <c r="I13" s="24" t="s">
        <v>10</v>
      </c>
      <c r="J13" s="22"/>
    </row>
    <row r="14" s="107" customFormat="1" hidden="1" spans="2:10">
      <c r="B14" s="148">
        <v>212201220</v>
      </c>
      <c r="C14" s="149">
        <v>44582</v>
      </c>
      <c r="D14" s="32" t="s">
        <v>143</v>
      </c>
      <c r="E14" s="24">
        <v>20000</v>
      </c>
      <c r="F14" s="24">
        <v>0.06</v>
      </c>
      <c r="G14" s="151">
        <v>44617</v>
      </c>
      <c r="H14" s="24">
        <f t="shared" si="0"/>
        <v>1200</v>
      </c>
      <c r="I14" s="24" t="s">
        <v>10</v>
      </c>
      <c r="J14" s="56"/>
    </row>
    <row r="15" hidden="1" spans="2:10">
      <c r="B15" s="148">
        <v>212201235</v>
      </c>
      <c r="C15" s="149">
        <v>44583</v>
      </c>
      <c r="D15" s="32" t="s">
        <v>17</v>
      </c>
      <c r="E15" s="24">
        <v>300000</v>
      </c>
      <c r="F15" s="24">
        <v>0.0145</v>
      </c>
      <c r="G15" s="151">
        <v>44676</v>
      </c>
      <c r="H15" s="24">
        <f t="shared" si="0"/>
        <v>4350</v>
      </c>
      <c r="I15" s="24" t="s">
        <v>10</v>
      </c>
      <c r="J15" s="152"/>
    </row>
    <row r="16" hidden="1" spans="2:10">
      <c r="B16" s="148">
        <v>212201235</v>
      </c>
      <c r="C16" s="149">
        <v>44583</v>
      </c>
      <c r="D16" s="32" t="s">
        <v>17</v>
      </c>
      <c r="E16" s="24">
        <v>201000</v>
      </c>
      <c r="F16" s="24">
        <v>0.0145</v>
      </c>
      <c r="G16" s="151">
        <v>44706</v>
      </c>
      <c r="H16" s="24">
        <f t="shared" si="0"/>
        <v>2914.5</v>
      </c>
      <c r="I16" s="24" t="s">
        <v>65</v>
      </c>
      <c r="J16" s="152"/>
    </row>
    <row r="17" hidden="1" spans="2:10">
      <c r="B17" s="148">
        <v>212201235</v>
      </c>
      <c r="C17" s="149">
        <v>44583</v>
      </c>
      <c r="D17" s="32" t="s">
        <v>17</v>
      </c>
      <c r="E17" s="24">
        <v>201000</v>
      </c>
      <c r="F17" s="24">
        <v>0.0145</v>
      </c>
      <c r="G17" s="151">
        <v>44767</v>
      </c>
      <c r="H17" s="24">
        <f t="shared" si="0"/>
        <v>2914.5</v>
      </c>
      <c r="I17" s="24" t="s">
        <v>65</v>
      </c>
      <c r="J17" s="152"/>
    </row>
    <row r="18" hidden="1" spans="2:10">
      <c r="B18" s="148">
        <v>212201235</v>
      </c>
      <c r="C18" s="149">
        <v>44583</v>
      </c>
      <c r="D18" s="32" t="s">
        <v>17</v>
      </c>
      <c r="E18" s="24">
        <v>201000</v>
      </c>
      <c r="F18" s="24">
        <v>0.0145</v>
      </c>
      <c r="G18" s="151">
        <v>44798</v>
      </c>
      <c r="H18" s="24">
        <f t="shared" si="0"/>
        <v>2914.5</v>
      </c>
      <c r="I18" s="24" t="s">
        <v>65</v>
      </c>
      <c r="J18" s="152"/>
    </row>
    <row r="19" hidden="1" spans="2:10">
      <c r="B19" s="148">
        <v>212201235</v>
      </c>
      <c r="C19" s="149">
        <v>44583</v>
      </c>
      <c r="D19" s="32" t="s">
        <v>18</v>
      </c>
      <c r="E19" s="24">
        <v>300000</v>
      </c>
      <c r="F19" s="24">
        <v>0.0238</v>
      </c>
      <c r="G19" s="151">
        <v>44676</v>
      </c>
      <c r="H19" s="24">
        <f t="shared" si="0"/>
        <v>7140</v>
      </c>
      <c r="I19" s="24" t="s">
        <v>65</v>
      </c>
      <c r="J19" s="152"/>
    </row>
    <row r="20" hidden="1" spans="2:10">
      <c r="B20" s="148">
        <v>212201235</v>
      </c>
      <c r="C20" s="149">
        <v>44583</v>
      </c>
      <c r="D20" s="32" t="s">
        <v>18</v>
      </c>
      <c r="E20" s="24">
        <v>230000</v>
      </c>
      <c r="F20" s="24">
        <v>0.0238</v>
      </c>
      <c r="G20" s="151">
        <v>44706</v>
      </c>
      <c r="H20" s="24">
        <f t="shared" si="0"/>
        <v>5474</v>
      </c>
      <c r="I20" s="24" t="s">
        <v>65</v>
      </c>
      <c r="J20" s="152"/>
    </row>
    <row r="21" hidden="1" spans="2:10">
      <c r="B21" s="148">
        <v>212201235</v>
      </c>
      <c r="C21" s="149">
        <v>44583</v>
      </c>
      <c r="D21" s="32" t="s">
        <v>18</v>
      </c>
      <c r="E21" s="24">
        <v>230000</v>
      </c>
      <c r="F21" s="24">
        <v>0.0238</v>
      </c>
      <c r="G21" s="151">
        <v>44737</v>
      </c>
      <c r="H21" s="24">
        <f t="shared" si="0"/>
        <v>5474</v>
      </c>
      <c r="I21" s="24" t="s">
        <v>65</v>
      </c>
      <c r="J21" s="152"/>
    </row>
    <row r="22" hidden="1" spans="2:10">
      <c r="B22" s="148">
        <v>212201235</v>
      </c>
      <c r="C22" s="149">
        <v>44583</v>
      </c>
      <c r="D22" s="32" t="s">
        <v>18</v>
      </c>
      <c r="E22" s="24">
        <v>250000</v>
      </c>
      <c r="F22" s="24">
        <v>0.0238</v>
      </c>
      <c r="G22" s="151">
        <v>44767</v>
      </c>
      <c r="H22" s="24">
        <f t="shared" si="0"/>
        <v>5950</v>
      </c>
      <c r="I22" s="24" t="s">
        <v>65</v>
      </c>
      <c r="J22" s="152"/>
    </row>
    <row r="23" hidden="1" spans="2:10">
      <c r="B23" s="148">
        <v>212201235</v>
      </c>
      <c r="C23" s="149">
        <v>44583</v>
      </c>
      <c r="D23" s="32" t="s">
        <v>67</v>
      </c>
      <c r="E23" s="24">
        <v>100000</v>
      </c>
      <c r="F23" s="24">
        <v>0.028</v>
      </c>
      <c r="G23" s="151">
        <v>44737</v>
      </c>
      <c r="H23" s="24">
        <f t="shared" si="0"/>
        <v>2800</v>
      </c>
      <c r="I23" s="24" t="s">
        <v>65</v>
      </c>
      <c r="J23" s="152"/>
    </row>
    <row r="24" hidden="1" spans="2:10">
      <c r="B24" s="148">
        <v>212201235</v>
      </c>
      <c r="C24" s="149">
        <v>44583</v>
      </c>
      <c r="D24" s="32" t="s">
        <v>67</v>
      </c>
      <c r="E24" s="24">
        <v>100000</v>
      </c>
      <c r="F24" s="24">
        <v>0.028</v>
      </c>
      <c r="G24" s="151">
        <v>44798</v>
      </c>
      <c r="H24" s="24">
        <f t="shared" si="0"/>
        <v>2800</v>
      </c>
      <c r="I24" s="24" t="s">
        <v>65</v>
      </c>
      <c r="J24" s="152"/>
    </row>
    <row r="25" hidden="1" spans="2:10">
      <c r="B25" s="148">
        <v>212201235</v>
      </c>
      <c r="C25" s="149">
        <v>44583</v>
      </c>
      <c r="D25" s="32" t="s">
        <v>16</v>
      </c>
      <c r="E25" s="24">
        <v>120000</v>
      </c>
      <c r="F25" s="24">
        <v>0.0292</v>
      </c>
      <c r="G25" s="151">
        <v>44706</v>
      </c>
      <c r="H25" s="24">
        <f t="shared" si="0"/>
        <v>3504</v>
      </c>
      <c r="I25" s="24" t="s">
        <v>110</v>
      </c>
      <c r="J25" s="152"/>
    </row>
    <row r="26" hidden="1" spans="2:10">
      <c r="B26" s="148">
        <v>212201235</v>
      </c>
      <c r="C26" s="149">
        <v>44583</v>
      </c>
      <c r="D26" s="32" t="s">
        <v>16</v>
      </c>
      <c r="E26" s="24">
        <v>120000</v>
      </c>
      <c r="F26" s="24">
        <v>0.0292</v>
      </c>
      <c r="G26" s="151">
        <v>44737</v>
      </c>
      <c r="H26" s="24">
        <f t="shared" si="0"/>
        <v>3504</v>
      </c>
      <c r="I26" s="24" t="s">
        <v>110</v>
      </c>
      <c r="J26" s="152"/>
    </row>
    <row r="27" hidden="1" spans="2:10">
      <c r="B27" s="148">
        <v>212201235</v>
      </c>
      <c r="C27" s="149">
        <v>44583</v>
      </c>
      <c r="D27" s="32" t="s">
        <v>16</v>
      </c>
      <c r="E27" s="24">
        <v>120000</v>
      </c>
      <c r="F27" s="24">
        <v>0.0292</v>
      </c>
      <c r="G27" s="151">
        <v>44767</v>
      </c>
      <c r="H27" s="24">
        <f t="shared" si="0"/>
        <v>3504</v>
      </c>
      <c r="I27" s="24" t="s">
        <v>110</v>
      </c>
      <c r="J27" s="152"/>
    </row>
    <row r="28" hidden="1" spans="2:10">
      <c r="B28" s="148">
        <v>212201235</v>
      </c>
      <c r="C28" s="149">
        <v>44583</v>
      </c>
      <c r="D28" s="32" t="s">
        <v>104</v>
      </c>
      <c r="E28" s="24">
        <v>60000</v>
      </c>
      <c r="F28" s="24">
        <v>0.028</v>
      </c>
      <c r="G28" s="151">
        <v>44829</v>
      </c>
      <c r="H28" s="24">
        <f t="shared" si="0"/>
        <v>1680</v>
      </c>
      <c r="I28" s="24" t="s">
        <v>65</v>
      </c>
      <c r="J28" s="152"/>
    </row>
    <row r="29" hidden="1" spans="2:10">
      <c r="B29" s="148">
        <v>212201235</v>
      </c>
      <c r="C29" s="149">
        <v>44583</v>
      </c>
      <c r="D29" s="32" t="s">
        <v>103</v>
      </c>
      <c r="E29" s="24">
        <v>200000</v>
      </c>
      <c r="F29" s="24">
        <v>0.028</v>
      </c>
      <c r="G29" s="151">
        <v>44737</v>
      </c>
      <c r="H29" s="24">
        <f t="shared" si="0"/>
        <v>5600</v>
      </c>
      <c r="I29" s="24" t="s">
        <v>65</v>
      </c>
      <c r="J29" s="152"/>
    </row>
    <row r="30" hidden="1" spans="2:10">
      <c r="B30" s="148">
        <v>212201235</v>
      </c>
      <c r="C30" s="149">
        <v>44583</v>
      </c>
      <c r="D30" s="32" t="s">
        <v>103</v>
      </c>
      <c r="E30" s="24">
        <v>170000</v>
      </c>
      <c r="F30" s="24">
        <v>0.028</v>
      </c>
      <c r="G30" s="151">
        <v>44767</v>
      </c>
      <c r="H30" s="24">
        <f t="shared" si="0"/>
        <v>4760</v>
      </c>
      <c r="I30" s="24" t="s">
        <v>65</v>
      </c>
      <c r="J30" s="152"/>
    </row>
    <row r="31" hidden="1" spans="2:10">
      <c r="B31" s="148">
        <v>212201235</v>
      </c>
      <c r="C31" s="149">
        <v>44583</v>
      </c>
      <c r="D31" s="32" t="s">
        <v>103</v>
      </c>
      <c r="E31" s="24">
        <v>170000</v>
      </c>
      <c r="F31" s="24">
        <v>0.028</v>
      </c>
      <c r="G31" s="151">
        <v>44798</v>
      </c>
      <c r="H31" s="24">
        <f t="shared" si="0"/>
        <v>4760</v>
      </c>
      <c r="I31" s="24" t="s">
        <v>65</v>
      </c>
      <c r="J31" s="152"/>
    </row>
    <row r="32" s="29" customFormat="1" hidden="1" spans="2:10">
      <c r="B32" s="148">
        <v>212201235</v>
      </c>
      <c r="C32" s="149">
        <v>44583</v>
      </c>
      <c r="D32" s="32" t="s">
        <v>102</v>
      </c>
      <c r="E32" s="24">
        <v>100000</v>
      </c>
      <c r="F32" s="24">
        <v>0.034</v>
      </c>
      <c r="G32" s="151">
        <v>44656</v>
      </c>
      <c r="H32" s="24">
        <f t="shared" si="0"/>
        <v>3400</v>
      </c>
      <c r="I32" s="24" t="s">
        <v>65</v>
      </c>
      <c r="J32" s="22"/>
    </row>
    <row r="33" s="29" customFormat="1" hidden="1" spans="2:10">
      <c r="B33" s="148">
        <v>212201235</v>
      </c>
      <c r="C33" s="149">
        <v>44583</v>
      </c>
      <c r="D33" s="32" t="s">
        <v>102</v>
      </c>
      <c r="E33" s="24">
        <v>86000</v>
      </c>
      <c r="F33" s="24">
        <v>0.034</v>
      </c>
      <c r="G33" s="151">
        <v>44691</v>
      </c>
      <c r="H33" s="24">
        <f t="shared" si="0"/>
        <v>2924</v>
      </c>
      <c r="I33" s="24" t="s">
        <v>65</v>
      </c>
      <c r="J33" s="22"/>
    </row>
    <row r="34" hidden="1" spans="2:10">
      <c r="B34" s="148">
        <v>212201235</v>
      </c>
      <c r="C34" s="149">
        <v>44583</v>
      </c>
      <c r="D34" s="32" t="s">
        <v>102</v>
      </c>
      <c r="E34" s="24">
        <v>86000</v>
      </c>
      <c r="F34" s="24">
        <v>0.034</v>
      </c>
      <c r="G34" s="151">
        <v>44737</v>
      </c>
      <c r="H34" s="24">
        <f t="shared" si="0"/>
        <v>2924</v>
      </c>
      <c r="I34" s="24" t="s">
        <v>65</v>
      </c>
      <c r="J34" s="152"/>
    </row>
    <row r="35" hidden="1" spans="2:10">
      <c r="B35" s="148">
        <v>212201235</v>
      </c>
      <c r="C35" s="149">
        <v>44583</v>
      </c>
      <c r="D35" s="32" t="s">
        <v>102</v>
      </c>
      <c r="E35" s="24">
        <v>86000</v>
      </c>
      <c r="F35" s="24">
        <v>0.034</v>
      </c>
      <c r="G35" s="151">
        <v>44767</v>
      </c>
      <c r="H35" s="24">
        <f t="shared" si="0"/>
        <v>2924</v>
      </c>
      <c r="I35" s="24" t="s">
        <v>65</v>
      </c>
      <c r="J35" s="152"/>
    </row>
    <row r="36" hidden="1" spans="2:10">
      <c r="B36" s="148">
        <v>212201235</v>
      </c>
      <c r="C36" s="149">
        <v>44583</v>
      </c>
      <c r="D36" s="32" t="s">
        <v>102</v>
      </c>
      <c r="E36" s="24">
        <v>86000</v>
      </c>
      <c r="F36" s="24">
        <v>0.034</v>
      </c>
      <c r="G36" s="151">
        <v>44798</v>
      </c>
      <c r="H36" s="24">
        <f t="shared" si="0"/>
        <v>2924</v>
      </c>
      <c r="I36" s="24" t="s">
        <v>65</v>
      </c>
      <c r="J36" s="152"/>
    </row>
    <row r="37" s="29" customFormat="1" hidden="1" spans="2:10">
      <c r="B37" s="148">
        <v>212201235</v>
      </c>
      <c r="C37" s="149">
        <v>44583</v>
      </c>
      <c r="D37" s="32" t="s">
        <v>36</v>
      </c>
      <c r="E37" s="24">
        <v>600000</v>
      </c>
      <c r="F37" s="24">
        <v>0.0083</v>
      </c>
      <c r="G37" s="151">
        <v>44630</v>
      </c>
      <c r="H37" s="24">
        <f t="shared" si="0"/>
        <v>4980</v>
      </c>
      <c r="I37" s="24" t="s">
        <v>65</v>
      </c>
      <c r="J37" s="22"/>
    </row>
    <row r="38" s="29" customFormat="1" hidden="1" spans="2:10">
      <c r="B38" s="148">
        <v>212201235</v>
      </c>
      <c r="C38" s="149">
        <v>44583</v>
      </c>
      <c r="D38" s="32" t="s">
        <v>36</v>
      </c>
      <c r="E38" s="24">
        <v>402000</v>
      </c>
      <c r="F38" s="24">
        <v>0.0083</v>
      </c>
      <c r="G38" s="151">
        <v>44676</v>
      </c>
      <c r="H38" s="24">
        <f t="shared" si="0"/>
        <v>3336.6</v>
      </c>
      <c r="I38" s="24" t="s">
        <v>65</v>
      </c>
      <c r="J38" s="22"/>
    </row>
    <row r="39" hidden="1" spans="2:10">
      <c r="B39" s="148">
        <v>212201235</v>
      </c>
      <c r="C39" s="149">
        <v>44583</v>
      </c>
      <c r="D39" s="32" t="s">
        <v>36</v>
      </c>
      <c r="E39" s="24">
        <v>402000</v>
      </c>
      <c r="F39" s="24">
        <v>0.0083</v>
      </c>
      <c r="G39" s="151">
        <v>44706</v>
      </c>
      <c r="H39" s="24">
        <f t="shared" si="0"/>
        <v>3336.6</v>
      </c>
      <c r="I39" s="24" t="s">
        <v>65</v>
      </c>
      <c r="J39" s="152"/>
    </row>
    <row r="40" hidden="1" spans="2:10">
      <c r="B40" s="148">
        <v>212201235</v>
      </c>
      <c r="C40" s="149">
        <v>44583</v>
      </c>
      <c r="D40" s="32" t="s">
        <v>36</v>
      </c>
      <c r="E40" s="24">
        <v>402000</v>
      </c>
      <c r="F40" s="24">
        <v>0.0083</v>
      </c>
      <c r="G40" s="151">
        <v>44737</v>
      </c>
      <c r="H40" s="24">
        <f t="shared" si="0"/>
        <v>3336.6</v>
      </c>
      <c r="I40" s="24" t="s">
        <v>65</v>
      </c>
      <c r="J40" s="152"/>
    </row>
    <row r="41" s="29" customFormat="1" hidden="1" spans="2:10">
      <c r="B41" s="148">
        <v>212201235</v>
      </c>
      <c r="C41" s="149">
        <v>44583</v>
      </c>
      <c r="D41" s="32" t="s">
        <v>80</v>
      </c>
      <c r="E41" s="24">
        <v>30000</v>
      </c>
      <c r="F41" s="24">
        <v>0.18</v>
      </c>
      <c r="G41" s="151">
        <v>44676</v>
      </c>
      <c r="H41" s="24">
        <f t="shared" si="0"/>
        <v>5400</v>
      </c>
      <c r="I41" s="24" t="s">
        <v>65</v>
      </c>
      <c r="J41" s="22"/>
    </row>
    <row r="42" hidden="1" spans="2:10">
      <c r="B42" s="148">
        <v>212201235</v>
      </c>
      <c r="C42" s="149">
        <v>44583</v>
      </c>
      <c r="D42" s="32" t="s">
        <v>80</v>
      </c>
      <c r="E42" s="24">
        <v>20000</v>
      </c>
      <c r="F42" s="24">
        <v>0.18</v>
      </c>
      <c r="G42" s="151">
        <v>44706</v>
      </c>
      <c r="H42" s="24">
        <f t="shared" si="0"/>
        <v>3600</v>
      </c>
      <c r="I42" s="24" t="s">
        <v>65</v>
      </c>
      <c r="J42" s="152"/>
    </row>
    <row r="43" hidden="1" spans="2:10">
      <c r="B43" s="148">
        <v>212201235</v>
      </c>
      <c r="C43" s="149">
        <v>44583</v>
      </c>
      <c r="D43" s="32" t="s">
        <v>80</v>
      </c>
      <c r="E43" s="24">
        <v>20000</v>
      </c>
      <c r="F43" s="24">
        <v>0.18</v>
      </c>
      <c r="G43" s="151">
        <v>44737</v>
      </c>
      <c r="H43" s="24">
        <f t="shared" si="0"/>
        <v>3600</v>
      </c>
      <c r="I43" s="24" t="s">
        <v>65</v>
      </c>
      <c r="J43" s="152"/>
    </row>
    <row r="44" s="29" customFormat="1" hidden="1" spans="2:10">
      <c r="B44" s="148">
        <v>212201255</v>
      </c>
      <c r="C44" s="149">
        <v>44586</v>
      </c>
      <c r="D44" s="32" t="s">
        <v>100</v>
      </c>
      <c r="E44" s="24">
        <v>60000</v>
      </c>
      <c r="F44" s="24">
        <v>0.03</v>
      </c>
      <c r="G44" s="151">
        <v>44620</v>
      </c>
      <c r="H44" s="24">
        <f t="shared" si="0"/>
        <v>1800</v>
      </c>
      <c r="I44" s="24" t="s">
        <v>65</v>
      </c>
      <c r="J44" s="22"/>
    </row>
    <row r="45" s="29" customFormat="1" hidden="1" spans="2:10">
      <c r="B45" s="148">
        <v>212201255</v>
      </c>
      <c r="C45" s="149">
        <v>44586</v>
      </c>
      <c r="D45" s="32" t="s">
        <v>100</v>
      </c>
      <c r="E45" s="24">
        <v>60000</v>
      </c>
      <c r="F45" s="24">
        <v>0.03</v>
      </c>
      <c r="G45" s="151">
        <v>44640</v>
      </c>
      <c r="H45" s="24">
        <f t="shared" si="0"/>
        <v>1800</v>
      </c>
      <c r="I45" s="24" t="s">
        <v>65</v>
      </c>
      <c r="J45" s="22"/>
    </row>
    <row r="46" hidden="1" spans="2:10">
      <c r="B46" s="148">
        <v>212201255</v>
      </c>
      <c r="C46" s="149">
        <v>44586</v>
      </c>
      <c r="D46" s="32" t="s">
        <v>78</v>
      </c>
      <c r="E46" s="24">
        <v>300000</v>
      </c>
      <c r="F46" s="24">
        <v>0.02</v>
      </c>
      <c r="G46" s="151">
        <v>44640</v>
      </c>
      <c r="H46" s="24">
        <f t="shared" si="0"/>
        <v>6000</v>
      </c>
      <c r="I46" s="24" t="s">
        <v>110</v>
      </c>
      <c r="J46" s="152"/>
    </row>
    <row r="47" hidden="1" spans="2:10">
      <c r="B47" s="148">
        <v>212201255</v>
      </c>
      <c r="C47" s="149">
        <v>44586</v>
      </c>
      <c r="D47" s="32" t="s">
        <v>78</v>
      </c>
      <c r="E47" s="24">
        <v>300000</v>
      </c>
      <c r="F47" s="24">
        <v>0.02</v>
      </c>
      <c r="G47" s="151">
        <v>44671</v>
      </c>
      <c r="H47" s="24">
        <f t="shared" si="0"/>
        <v>6000</v>
      </c>
      <c r="I47" s="24" t="s">
        <v>110</v>
      </c>
      <c r="J47" s="152"/>
    </row>
    <row r="48" hidden="1" spans="2:10">
      <c r="B48" s="148">
        <v>212201255</v>
      </c>
      <c r="C48" s="149">
        <v>44586</v>
      </c>
      <c r="D48" s="32" t="s">
        <v>78</v>
      </c>
      <c r="E48" s="24">
        <v>300000</v>
      </c>
      <c r="F48" s="24">
        <v>0.02</v>
      </c>
      <c r="G48" s="151">
        <v>44701</v>
      </c>
      <c r="H48" s="24">
        <f t="shared" si="0"/>
        <v>6000</v>
      </c>
      <c r="I48" s="24" t="s">
        <v>110</v>
      </c>
      <c r="J48" s="152"/>
    </row>
    <row r="49" hidden="1" spans="2:10">
      <c r="B49" s="148">
        <v>212201255</v>
      </c>
      <c r="C49" s="149">
        <v>44586</v>
      </c>
      <c r="D49" s="32" t="s">
        <v>11</v>
      </c>
      <c r="E49" s="24">
        <v>150000</v>
      </c>
      <c r="F49" s="24">
        <v>0.04</v>
      </c>
      <c r="G49" s="151">
        <v>44620</v>
      </c>
      <c r="H49" s="24">
        <f t="shared" si="0"/>
        <v>6000</v>
      </c>
      <c r="I49" s="24" t="s">
        <v>107</v>
      </c>
      <c r="J49" s="152"/>
    </row>
    <row r="50" hidden="1" spans="2:10">
      <c r="B50" s="148">
        <v>212201255</v>
      </c>
      <c r="C50" s="149">
        <v>44586</v>
      </c>
      <c r="D50" s="32" t="s">
        <v>11</v>
      </c>
      <c r="E50" s="24">
        <v>150000</v>
      </c>
      <c r="F50" s="24">
        <v>0.04</v>
      </c>
      <c r="G50" s="151">
        <v>44640</v>
      </c>
      <c r="H50" s="24">
        <f t="shared" si="0"/>
        <v>6000</v>
      </c>
      <c r="I50" s="24" t="s">
        <v>107</v>
      </c>
      <c r="J50" s="152"/>
    </row>
    <row r="51" hidden="1" spans="2:10">
      <c r="B51" s="148">
        <v>212201255</v>
      </c>
      <c r="C51" s="149">
        <v>44586</v>
      </c>
      <c r="D51" s="32" t="s">
        <v>11</v>
      </c>
      <c r="E51" s="24">
        <v>100000</v>
      </c>
      <c r="F51" s="24">
        <v>0.04</v>
      </c>
      <c r="G51" s="151">
        <v>44671</v>
      </c>
      <c r="H51" s="24">
        <f t="shared" si="0"/>
        <v>4000</v>
      </c>
      <c r="I51" s="24" t="s">
        <v>107</v>
      </c>
      <c r="J51" s="152"/>
    </row>
    <row r="52" hidden="1" spans="2:10">
      <c r="B52" s="148">
        <v>212201255</v>
      </c>
      <c r="C52" s="149">
        <v>44586</v>
      </c>
      <c r="D52" s="32" t="s">
        <v>33</v>
      </c>
      <c r="E52" s="24">
        <v>100000</v>
      </c>
      <c r="F52" s="24">
        <v>0.02</v>
      </c>
      <c r="G52" s="151">
        <v>44640</v>
      </c>
      <c r="H52" s="24">
        <f t="shared" si="0"/>
        <v>2000</v>
      </c>
      <c r="I52" s="24" t="s">
        <v>110</v>
      </c>
      <c r="J52" s="152"/>
    </row>
    <row r="53" hidden="1" spans="2:10">
      <c r="B53" s="148">
        <v>212201255</v>
      </c>
      <c r="C53" s="149">
        <v>44586</v>
      </c>
      <c r="D53" s="32" t="s">
        <v>33</v>
      </c>
      <c r="E53" s="24">
        <v>100000</v>
      </c>
      <c r="F53" s="24">
        <v>0.02</v>
      </c>
      <c r="G53" s="151">
        <v>44671</v>
      </c>
      <c r="H53" s="24">
        <f t="shared" si="0"/>
        <v>2000</v>
      </c>
      <c r="I53" s="24" t="s">
        <v>110</v>
      </c>
      <c r="J53" s="152"/>
    </row>
    <row r="54" hidden="1" spans="2:10">
      <c r="B54" s="148">
        <v>212201255</v>
      </c>
      <c r="C54" s="149">
        <v>44586</v>
      </c>
      <c r="D54" s="32" t="s">
        <v>144</v>
      </c>
      <c r="E54" s="24">
        <v>21000</v>
      </c>
      <c r="F54" s="24">
        <v>0.018</v>
      </c>
      <c r="G54" s="151">
        <v>44620</v>
      </c>
      <c r="H54" s="24">
        <f t="shared" si="0"/>
        <v>378</v>
      </c>
      <c r="I54" s="24" t="s">
        <v>65</v>
      </c>
      <c r="J54" s="152"/>
    </row>
    <row r="55" hidden="1" spans="2:10">
      <c r="B55" s="148">
        <v>212201255</v>
      </c>
      <c r="C55" s="149">
        <v>44586</v>
      </c>
      <c r="D55" s="32" t="s">
        <v>144</v>
      </c>
      <c r="E55" s="24">
        <v>21000</v>
      </c>
      <c r="F55" s="24">
        <v>0.018</v>
      </c>
      <c r="G55" s="151">
        <v>44640</v>
      </c>
      <c r="H55" s="24">
        <f t="shared" si="0"/>
        <v>378</v>
      </c>
      <c r="I55" s="24" t="s">
        <v>65</v>
      </c>
      <c r="J55" s="152"/>
    </row>
    <row r="56" hidden="1" spans="2:10">
      <c r="B56" s="148">
        <v>212201255</v>
      </c>
      <c r="C56" s="149">
        <v>44586</v>
      </c>
      <c r="D56" s="32" t="s">
        <v>144</v>
      </c>
      <c r="E56" s="24">
        <v>21000</v>
      </c>
      <c r="F56" s="24">
        <v>0.018</v>
      </c>
      <c r="G56" s="151">
        <v>44671</v>
      </c>
      <c r="H56" s="24">
        <f t="shared" si="0"/>
        <v>378</v>
      </c>
      <c r="I56" s="24" t="s">
        <v>65</v>
      </c>
      <c r="J56" s="152"/>
    </row>
    <row r="57" hidden="1" spans="2:10">
      <c r="B57" s="148">
        <v>212201251</v>
      </c>
      <c r="C57" s="149">
        <v>44586</v>
      </c>
      <c r="D57" s="32" t="s">
        <v>96</v>
      </c>
      <c r="E57" s="24">
        <v>208000</v>
      </c>
      <c r="F57" s="24">
        <v>0.0055</v>
      </c>
      <c r="G57" s="151">
        <v>44620</v>
      </c>
      <c r="H57" s="24">
        <f t="shared" si="0"/>
        <v>1144</v>
      </c>
      <c r="I57" s="24" t="s">
        <v>65</v>
      </c>
      <c r="J57" s="152"/>
    </row>
    <row r="58" hidden="1" spans="2:10">
      <c r="B58" s="148">
        <v>212201251</v>
      </c>
      <c r="C58" s="149">
        <v>44586</v>
      </c>
      <c r="D58" s="32" t="s">
        <v>96</v>
      </c>
      <c r="E58" s="24">
        <v>208000</v>
      </c>
      <c r="F58" s="24">
        <v>0.0055</v>
      </c>
      <c r="G58" s="151">
        <v>44640</v>
      </c>
      <c r="H58" s="24">
        <f t="shared" si="0"/>
        <v>1144</v>
      </c>
      <c r="I58" s="24" t="s">
        <v>65</v>
      </c>
      <c r="J58" s="152"/>
    </row>
    <row r="59" s="29" customFormat="1" hidden="1" spans="2:10">
      <c r="B59" s="148">
        <v>212201251</v>
      </c>
      <c r="C59" s="149">
        <v>44586</v>
      </c>
      <c r="D59" s="32" t="s">
        <v>45</v>
      </c>
      <c r="E59" s="24">
        <v>200000</v>
      </c>
      <c r="F59" s="24">
        <v>0.028</v>
      </c>
      <c r="G59" s="151">
        <v>44691</v>
      </c>
      <c r="H59" s="24">
        <f t="shared" si="0"/>
        <v>5600</v>
      </c>
      <c r="I59" s="24" t="s">
        <v>65</v>
      </c>
      <c r="J59" s="22"/>
    </row>
    <row r="60" hidden="1" spans="2:10">
      <c r="B60" s="148">
        <v>212201251</v>
      </c>
      <c r="C60" s="149">
        <v>44586</v>
      </c>
      <c r="D60" s="32" t="s">
        <v>45</v>
      </c>
      <c r="E60" s="24">
        <v>200000</v>
      </c>
      <c r="F60" s="24">
        <v>0.028</v>
      </c>
      <c r="G60" s="151">
        <v>44711</v>
      </c>
      <c r="H60" s="24">
        <f t="shared" si="0"/>
        <v>5600</v>
      </c>
      <c r="I60" s="24" t="s">
        <v>65</v>
      </c>
      <c r="J60" s="152"/>
    </row>
    <row r="61" hidden="1" spans="2:10">
      <c r="B61" s="148">
        <v>212201251</v>
      </c>
      <c r="C61" s="149">
        <v>44586</v>
      </c>
      <c r="D61" s="32" t="s">
        <v>73</v>
      </c>
      <c r="E61" s="24">
        <v>144000</v>
      </c>
      <c r="F61" s="24">
        <v>0.024</v>
      </c>
      <c r="G61" s="151">
        <v>44691</v>
      </c>
      <c r="H61" s="24">
        <f t="shared" si="0"/>
        <v>3456</v>
      </c>
      <c r="I61" s="24" t="s">
        <v>65</v>
      </c>
      <c r="J61" s="152"/>
    </row>
    <row r="62" hidden="1" spans="2:10">
      <c r="B62" s="148">
        <v>212201251</v>
      </c>
      <c r="C62" s="149">
        <v>44586</v>
      </c>
      <c r="D62" s="32" t="s">
        <v>38</v>
      </c>
      <c r="E62" s="24">
        <v>100000</v>
      </c>
      <c r="F62" s="24">
        <v>0.01</v>
      </c>
      <c r="G62" s="151">
        <v>44630</v>
      </c>
      <c r="H62" s="24">
        <f t="shared" si="0"/>
        <v>1000</v>
      </c>
      <c r="I62" s="24" t="s">
        <v>65</v>
      </c>
      <c r="J62" s="152"/>
    </row>
    <row r="63" hidden="1" spans="2:10">
      <c r="B63" s="148">
        <v>212201251</v>
      </c>
      <c r="C63" s="149">
        <v>44586</v>
      </c>
      <c r="D63" s="32" t="s">
        <v>38</v>
      </c>
      <c r="E63" s="24">
        <v>100000</v>
      </c>
      <c r="F63" s="24">
        <v>0.01</v>
      </c>
      <c r="G63" s="151">
        <v>44650</v>
      </c>
      <c r="H63" s="24">
        <f t="shared" si="0"/>
        <v>1000</v>
      </c>
      <c r="I63" s="24" t="s">
        <v>65</v>
      </c>
      <c r="J63" s="152"/>
    </row>
    <row r="64" s="29" customFormat="1" hidden="1" spans="2:10">
      <c r="B64" s="148">
        <v>212201251</v>
      </c>
      <c r="C64" s="149">
        <v>44586</v>
      </c>
      <c r="D64" s="32" t="s">
        <v>38</v>
      </c>
      <c r="E64" s="24">
        <v>100000</v>
      </c>
      <c r="F64" s="24">
        <v>0.01</v>
      </c>
      <c r="G64" s="151">
        <v>44661</v>
      </c>
      <c r="H64" s="24">
        <f t="shared" si="0"/>
        <v>1000</v>
      </c>
      <c r="I64" s="24" t="s">
        <v>65</v>
      </c>
      <c r="J64" s="22"/>
    </row>
    <row r="65" hidden="1" spans="2:10">
      <c r="B65" s="148">
        <v>212201251</v>
      </c>
      <c r="C65" s="149">
        <v>44586</v>
      </c>
      <c r="D65" s="32" t="s">
        <v>61</v>
      </c>
      <c r="E65" s="24">
        <v>160000</v>
      </c>
      <c r="F65" s="24">
        <v>0.022</v>
      </c>
      <c r="G65" s="151">
        <v>44630</v>
      </c>
      <c r="H65" s="24">
        <f t="shared" si="0"/>
        <v>3520</v>
      </c>
      <c r="I65" s="24" t="s">
        <v>65</v>
      </c>
      <c r="J65" s="152"/>
    </row>
    <row r="66" hidden="1" spans="2:10">
      <c r="B66" s="148">
        <v>212201251</v>
      </c>
      <c r="C66" s="149">
        <v>44586</v>
      </c>
      <c r="D66" s="32" t="s">
        <v>61</v>
      </c>
      <c r="E66" s="24">
        <v>160000</v>
      </c>
      <c r="F66" s="24">
        <v>0.022</v>
      </c>
      <c r="G66" s="151">
        <v>44650</v>
      </c>
      <c r="H66" s="24">
        <f t="shared" ref="H66:H129" si="1">F66*E66</f>
        <v>3520</v>
      </c>
      <c r="I66" s="24" t="s">
        <v>10</v>
      </c>
      <c r="J66" s="152"/>
    </row>
    <row r="67" hidden="1" spans="2:10">
      <c r="B67" s="148">
        <v>212201251</v>
      </c>
      <c r="C67" s="149">
        <v>44586</v>
      </c>
      <c r="D67" s="32" t="s">
        <v>61</v>
      </c>
      <c r="E67" s="24">
        <v>160000</v>
      </c>
      <c r="F67" s="24">
        <v>0.022</v>
      </c>
      <c r="G67" s="151">
        <v>44661</v>
      </c>
      <c r="H67" s="24">
        <f t="shared" si="1"/>
        <v>3520</v>
      </c>
      <c r="I67" s="24" t="s">
        <v>65</v>
      </c>
      <c r="J67" s="152"/>
    </row>
    <row r="68" hidden="1" spans="2:10">
      <c r="B68" s="148">
        <v>212201251</v>
      </c>
      <c r="C68" s="149">
        <v>44586</v>
      </c>
      <c r="D68" s="32" t="s">
        <v>61</v>
      </c>
      <c r="E68" s="24">
        <v>160000</v>
      </c>
      <c r="F68" s="24">
        <v>0.022</v>
      </c>
      <c r="G68" s="151">
        <v>44681</v>
      </c>
      <c r="H68" s="24">
        <f t="shared" si="1"/>
        <v>3520</v>
      </c>
      <c r="I68" s="24" t="s">
        <v>65</v>
      </c>
      <c r="J68" s="152"/>
    </row>
    <row r="69" s="29" customFormat="1" hidden="1" spans="2:10">
      <c r="B69" s="148">
        <v>212201251</v>
      </c>
      <c r="C69" s="149">
        <v>44586</v>
      </c>
      <c r="D69" s="32" t="s">
        <v>61</v>
      </c>
      <c r="E69" s="24">
        <v>160000</v>
      </c>
      <c r="F69" s="24">
        <v>0.022</v>
      </c>
      <c r="G69" s="151">
        <v>44691</v>
      </c>
      <c r="H69" s="24">
        <f t="shared" si="1"/>
        <v>3520</v>
      </c>
      <c r="I69" s="24" t="s">
        <v>65</v>
      </c>
      <c r="J69" s="22"/>
    </row>
    <row r="70" s="29" customFormat="1" hidden="1" spans="2:10">
      <c r="B70" s="148">
        <v>212201251</v>
      </c>
      <c r="C70" s="149">
        <v>44586</v>
      </c>
      <c r="D70" s="32" t="s">
        <v>145</v>
      </c>
      <c r="E70" s="24">
        <v>112000</v>
      </c>
      <c r="F70" s="24">
        <v>0.006</v>
      </c>
      <c r="G70" s="151">
        <v>44630</v>
      </c>
      <c r="H70" s="24">
        <f t="shared" si="1"/>
        <v>672</v>
      </c>
      <c r="I70" s="24" t="s">
        <v>65</v>
      </c>
      <c r="J70" s="22"/>
    </row>
    <row r="71" s="29" customFormat="1" hidden="1" spans="2:10">
      <c r="B71" s="148">
        <v>212201251</v>
      </c>
      <c r="C71" s="149">
        <v>44586</v>
      </c>
      <c r="D71" s="32" t="s">
        <v>145</v>
      </c>
      <c r="E71" s="24">
        <v>112000</v>
      </c>
      <c r="F71" s="24">
        <v>0.006</v>
      </c>
      <c r="G71" s="151">
        <v>44650</v>
      </c>
      <c r="H71" s="24">
        <f t="shared" si="1"/>
        <v>672</v>
      </c>
      <c r="I71" s="24" t="s">
        <v>65</v>
      </c>
      <c r="J71" s="22"/>
    </row>
    <row r="72" s="29" customFormat="1" hidden="1" spans="2:10">
      <c r="B72" s="148">
        <v>212201251</v>
      </c>
      <c r="C72" s="149">
        <v>44586</v>
      </c>
      <c r="D72" s="32" t="s">
        <v>145</v>
      </c>
      <c r="E72" s="24">
        <v>112000</v>
      </c>
      <c r="F72" s="24">
        <v>0.006</v>
      </c>
      <c r="G72" s="151">
        <v>44661</v>
      </c>
      <c r="H72" s="24">
        <f t="shared" si="1"/>
        <v>672</v>
      </c>
      <c r="I72" s="24" t="s">
        <v>65</v>
      </c>
      <c r="J72" s="22"/>
    </row>
    <row r="73" hidden="1" spans="2:10">
      <c r="B73" s="148">
        <v>212201251</v>
      </c>
      <c r="C73" s="149">
        <v>44586</v>
      </c>
      <c r="D73" s="32" t="s">
        <v>39</v>
      </c>
      <c r="E73" s="24">
        <v>1000000</v>
      </c>
      <c r="F73" s="24">
        <v>0.03</v>
      </c>
      <c r="G73" s="151">
        <v>44691</v>
      </c>
      <c r="H73" s="24">
        <f t="shared" si="1"/>
        <v>30000</v>
      </c>
      <c r="I73" s="24" t="s">
        <v>107</v>
      </c>
      <c r="J73" s="152" t="s">
        <v>146</v>
      </c>
    </row>
    <row r="74" hidden="1" spans="2:10">
      <c r="B74" s="148">
        <v>212201251</v>
      </c>
      <c r="C74" s="149">
        <v>44586</v>
      </c>
      <c r="D74" s="32" t="s">
        <v>39</v>
      </c>
      <c r="E74" s="24">
        <v>1000000</v>
      </c>
      <c r="F74" s="24">
        <v>0.03</v>
      </c>
      <c r="G74" s="151">
        <v>44722</v>
      </c>
      <c r="H74" s="24">
        <f t="shared" si="1"/>
        <v>30000</v>
      </c>
      <c r="I74" s="24" t="s">
        <v>110</v>
      </c>
      <c r="J74" s="152"/>
    </row>
    <row r="75" hidden="1" spans="2:10">
      <c r="B75" s="148">
        <v>212201251</v>
      </c>
      <c r="C75" s="149">
        <v>44586</v>
      </c>
      <c r="D75" s="32" t="s">
        <v>39</v>
      </c>
      <c r="E75" s="24">
        <v>1000000</v>
      </c>
      <c r="F75" s="24">
        <v>0.03</v>
      </c>
      <c r="G75" s="151">
        <v>44752</v>
      </c>
      <c r="H75" s="24">
        <f t="shared" si="1"/>
        <v>30000</v>
      </c>
      <c r="I75" s="24" t="s">
        <v>110</v>
      </c>
      <c r="J75" s="152"/>
    </row>
    <row r="76" hidden="1" spans="2:10">
      <c r="B76" s="148">
        <v>212201251</v>
      </c>
      <c r="C76" s="149">
        <v>44586</v>
      </c>
      <c r="D76" s="32" t="s">
        <v>50</v>
      </c>
      <c r="E76" s="24">
        <v>300000</v>
      </c>
      <c r="F76" s="24">
        <v>0.08</v>
      </c>
      <c r="G76" s="151">
        <v>44691</v>
      </c>
      <c r="H76" s="24">
        <f t="shared" si="1"/>
        <v>24000</v>
      </c>
      <c r="I76" s="24" t="s">
        <v>65</v>
      </c>
      <c r="J76" s="152"/>
    </row>
    <row r="77" hidden="1" spans="2:10">
      <c r="B77" s="148">
        <v>212201251</v>
      </c>
      <c r="C77" s="149">
        <v>44586</v>
      </c>
      <c r="D77" s="32" t="s">
        <v>50</v>
      </c>
      <c r="E77" s="24">
        <v>300000</v>
      </c>
      <c r="F77" s="24">
        <v>0.08</v>
      </c>
      <c r="G77" s="151">
        <v>44706</v>
      </c>
      <c r="H77" s="24">
        <f t="shared" si="1"/>
        <v>24000</v>
      </c>
      <c r="I77" s="24" t="s">
        <v>65</v>
      </c>
      <c r="J77" s="152"/>
    </row>
    <row r="78" hidden="1" spans="2:10">
      <c r="B78" s="148">
        <v>212201251</v>
      </c>
      <c r="C78" s="149">
        <v>44586</v>
      </c>
      <c r="D78" s="32" t="s">
        <v>50</v>
      </c>
      <c r="E78" s="24">
        <v>300000</v>
      </c>
      <c r="F78" s="24">
        <v>0.08</v>
      </c>
      <c r="G78" s="151">
        <v>44722</v>
      </c>
      <c r="H78" s="24">
        <f t="shared" si="1"/>
        <v>24000</v>
      </c>
      <c r="I78" s="24" t="s">
        <v>65</v>
      </c>
      <c r="J78" s="152"/>
    </row>
    <row r="79" hidden="1" spans="2:10">
      <c r="B79" s="148">
        <v>212201251</v>
      </c>
      <c r="C79" s="149">
        <v>44586</v>
      </c>
      <c r="D79" s="32" t="s">
        <v>50</v>
      </c>
      <c r="E79" s="24">
        <v>300000</v>
      </c>
      <c r="F79" s="24">
        <v>0.08</v>
      </c>
      <c r="G79" s="151">
        <v>44737</v>
      </c>
      <c r="H79" s="24">
        <f t="shared" si="1"/>
        <v>24000</v>
      </c>
      <c r="I79" s="24" t="s">
        <v>65</v>
      </c>
      <c r="J79" s="152"/>
    </row>
    <row r="80" hidden="1" spans="2:10">
      <c r="B80" s="148">
        <v>212201251</v>
      </c>
      <c r="C80" s="149">
        <v>44586</v>
      </c>
      <c r="D80" s="32" t="s">
        <v>40</v>
      </c>
      <c r="E80" s="24">
        <v>200000</v>
      </c>
      <c r="F80" s="24">
        <v>0.05</v>
      </c>
      <c r="G80" s="151">
        <v>44691</v>
      </c>
      <c r="H80" s="24">
        <f t="shared" si="1"/>
        <v>10000</v>
      </c>
      <c r="I80" s="24" t="s">
        <v>65</v>
      </c>
      <c r="J80" s="152"/>
    </row>
    <row r="81" hidden="1" spans="2:10">
      <c r="B81" s="148">
        <v>212201251</v>
      </c>
      <c r="C81" s="149">
        <v>44586</v>
      </c>
      <c r="D81" s="32" t="s">
        <v>40</v>
      </c>
      <c r="E81" s="24">
        <v>200000</v>
      </c>
      <c r="F81" s="24">
        <v>0.05</v>
      </c>
      <c r="G81" s="151">
        <v>44706</v>
      </c>
      <c r="H81" s="24">
        <f t="shared" si="1"/>
        <v>10000</v>
      </c>
      <c r="I81" s="24" t="s">
        <v>65</v>
      </c>
      <c r="J81" s="152"/>
    </row>
    <row r="82" hidden="1" spans="2:10">
      <c r="B82" s="148">
        <v>212201251</v>
      </c>
      <c r="C82" s="149">
        <v>44586</v>
      </c>
      <c r="D82" s="32" t="s">
        <v>40</v>
      </c>
      <c r="E82" s="24">
        <v>200000</v>
      </c>
      <c r="F82" s="24">
        <v>0.05</v>
      </c>
      <c r="G82" s="151">
        <v>44722</v>
      </c>
      <c r="H82" s="24">
        <f t="shared" si="1"/>
        <v>10000</v>
      </c>
      <c r="I82" s="24" t="s">
        <v>65</v>
      </c>
      <c r="J82" s="152"/>
    </row>
    <row r="83" hidden="1" spans="2:10">
      <c r="B83" s="148">
        <v>212201251</v>
      </c>
      <c r="C83" s="149">
        <v>44586</v>
      </c>
      <c r="D83" s="32" t="s">
        <v>40</v>
      </c>
      <c r="E83" s="24">
        <v>200000</v>
      </c>
      <c r="F83" s="24">
        <v>0.05</v>
      </c>
      <c r="G83" s="151">
        <v>44737</v>
      </c>
      <c r="H83" s="24">
        <f t="shared" si="1"/>
        <v>10000</v>
      </c>
      <c r="I83" s="24" t="s">
        <v>65</v>
      </c>
      <c r="J83" s="152"/>
    </row>
    <row r="84" hidden="1" spans="2:10">
      <c r="B84" s="148">
        <v>212201251</v>
      </c>
      <c r="C84" s="149">
        <v>44586</v>
      </c>
      <c r="D84" s="32" t="s">
        <v>111</v>
      </c>
      <c r="E84" s="24">
        <v>20000</v>
      </c>
      <c r="F84" s="24">
        <v>0.045</v>
      </c>
      <c r="G84" s="151">
        <v>44661</v>
      </c>
      <c r="H84" s="24">
        <f t="shared" si="1"/>
        <v>900</v>
      </c>
      <c r="I84" s="24" t="s">
        <v>110</v>
      </c>
      <c r="J84" s="152"/>
    </row>
    <row r="85" hidden="1" spans="2:10">
      <c r="B85" s="148">
        <v>212201251</v>
      </c>
      <c r="C85" s="149">
        <v>44586</v>
      </c>
      <c r="D85" s="32" t="s">
        <v>111</v>
      </c>
      <c r="E85" s="24">
        <v>20000</v>
      </c>
      <c r="F85" s="24">
        <v>0.045</v>
      </c>
      <c r="G85" s="151">
        <v>44681</v>
      </c>
      <c r="H85" s="24">
        <f t="shared" si="1"/>
        <v>900</v>
      </c>
      <c r="I85" s="24" t="s">
        <v>110</v>
      </c>
      <c r="J85" s="152"/>
    </row>
    <row r="86" s="29" customFormat="1" hidden="1" spans="2:10">
      <c r="B86" s="148">
        <v>212201260</v>
      </c>
      <c r="C86" s="149">
        <v>44586</v>
      </c>
      <c r="D86" s="32" t="s">
        <v>108</v>
      </c>
      <c r="E86" s="24">
        <v>20000</v>
      </c>
      <c r="F86" s="24">
        <v>0.04</v>
      </c>
      <c r="G86" s="151">
        <v>44661</v>
      </c>
      <c r="H86" s="24">
        <f t="shared" si="1"/>
        <v>800</v>
      </c>
      <c r="I86" s="24" t="s">
        <v>65</v>
      </c>
      <c r="J86" s="22"/>
    </row>
    <row r="87" hidden="1" spans="2:10">
      <c r="B87" s="148">
        <v>212201260</v>
      </c>
      <c r="C87" s="149">
        <v>44586</v>
      </c>
      <c r="D87" s="32" t="s">
        <v>36</v>
      </c>
      <c r="E87" s="24">
        <v>105000</v>
      </c>
      <c r="F87" s="24">
        <v>0.0083</v>
      </c>
      <c r="G87" s="151">
        <v>44630</v>
      </c>
      <c r="H87" s="24">
        <f t="shared" si="1"/>
        <v>871.5</v>
      </c>
      <c r="I87" s="24" t="s">
        <v>65</v>
      </c>
      <c r="J87" s="152"/>
    </row>
    <row r="88" s="29" customFormat="1" hidden="1" spans="2:10">
      <c r="B88" s="148">
        <v>212201260</v>
      </c>
      <c r="C88" s="149">
        <v>44586</v>
      </c>
      <c r="D88" s="32" t="s">
        <v>36</v>
      </c>
      <c r="E88" s="24">
        <v>105000</v>
      </c>
      <c r="F88" s="24">
        <v>0.0083</v>
      </c>
      <c r="G88" s="151">
        <v>44661</v>
      </c>
      <c r="H88" s="24">
        <f t="shared" si="1"/>
        <v>871.5</v>
      </c>
      <c r="I88" s="24" t="s">
        <v>65</v>
      </c>
      <c r="J88" s="22"/>
    </row>
    <row r="89" s="29" customFormat="1" hidden="1" spans="2:10">
      <c r="B89" s="148">
        <v>212201260</v>
      </c>
      <c r="C89" s="149">
        <v>44586</v>
      </c>
      <c r="D89" s="32" t="s">
        <v>36</v>
      </c>
      <c r="E89" s="24">
        <v>90000</v>
      </c>
      <c r="F89" s="24">
        <v>0.0083</v>
      </c>
      <c r="G89" s="151">
        <v>44691</v>
      </c>
      <c r="H89" s="24">
        <f t="shared" si="1"/>
        <v>747</v>
      </c>
      <c r="I89" s="24" t="s">
        <v>65</v>
      </c>
      <c r="J89" s="22"/>
    </row>
    <row r="90" s="29" customFormat="1" hidden="1" spans="2:10">
      <c r="B90" s="148">
        <v>212201260</v>
      </c>
      <c r="C90" s="149">
        <v>44586</v>
      </c>
      <c r="D90" s="32" t="s">
        <v>17</v>
      </c>
      <c r="E90" s="24">
        <v>21000</v>
      </c>
      <c r="F90" s="24">
        <v>0.0145</v>
      </c>
      <c r="G90" s="151">
        <v>44661</v>
      </c>
      <c r="H90" s="24">
        <f t="shared" si="1"/>
        <v>304.5</v>
      </c>
      <c r="I90" s="24" t="s">
        <v>65</v>
      </c>
      <c r="J90" s="22"/>
    </row>
    <row r="91" hidden="1" spans="2:10">
      <c r="B91" s="148">
        <v>212201260</v>
      </c>
      <c r="C91" s="149">
        <v>44586</v>
      </c>
      <c r="D91" s="32" t="s">
        <v>147</v>
      </c>
      <c r="E91" s="24">
        <v>20060</v>
      </c>
      <c r="F91" s="24">
        <v>0.063</v>
      </c>
      <c r="G91" s="151">
        <v>44661</v>
      </c>
      <c r="H91" s="24">
        <f t="shared" si="1"/>
        <v>1263.78</v>
      </c>
      <c r="I91" s="24" t="s">
        <v>65</v>
      </c>
      <c r="J91" s="152"/>
    </row>
    <row r="92" s="29" customFormat="1" hidden="1" spans="2:10">
      <c r="B92" s="148">
        <v>212201260</v>
      </c>
      <c r="C92" s="149">
        <v>44586</v>
      </c>
      <c r="D92" s="32" t="s">
        <v>148</v>
      </c>
      <c r="E92" s="24">
        <v>20000</v>
      </c>
      <c r="F92" s="24">
        <v>0.016</v>
      </c>
      <c r="G92" s="151">
        <v>44691</v>
      </c>
      <c r="H92" s="24">
        <f t="shared" si="1"/>
        <v>320</v>
      </c>
      <c r="I92" s="24" t="s">
        <v>65</v>
      </c>
      <c r="J92" s="22"/>
    </row>
    <row r="93" hidden="1" spans="2:10">
      <c r="B93" s="148">
        <v>212201260</v>
      </c>
      <c r="C93" s="149">
        <v>44586</v>
      </c>
      <c r="D93" s="32" t="s">
        <v>11</v>
      </c>
      <c r="E93" s="24">
        <v>450000</v>
      </c>
      <c r="F93" s="24">
        <v>0.04</v>
      </c>
      <c r="G93" s="151">
        <v>44602</v>
      </c>
      <c r="H93" s="24">
        <f t="shared" si="1"/>
        <v>18000</v>
      </c>
      <c r="I93" s="24" t="s">
        <v>107</v>
      </c>
      <c r="J93" s="152"/>
    </row>
    <row r="94" hidden="1" spans="2:10">
      <c r="B94" s="148">
        <v>212201260</v>
      </c>
      <c r="C94" s="149">
        <v>44586</v>
      </c>
      <c r="D94" s="32" t="s">
        <v>11</v>
      </c>
      <c r="E94" s="24">
        <v>160000</v>
      </c>
      <c r="F94" s="24">
        <v>0.04</v>
      </c>
      <c r="G94" s="151">
        <v>44602</v>
      </c>
      <c r="H94" s="24">
        <f t="shared" si="1"/>
        <v>6400</v>
      </c>
      <c r="I94" s="24" t="s">
        <v>107</v>
      </c>
      <c r="J94" s="152"/>
    </row>
    <row r="95" hidden="1" spans="2:10">
      <c r="B95" s="148">
        <v>212201260</v>
      </c>
      <c r="C95" s="149">
        <v>44586</v>
      </c>
      <c r="D95" s="32" t="s">
        <v>11</v>
      </c>
      <c r="E95" s="24">
        <v>450000</v>
      </c>
      <c r="F95" s="24">
        <v>0.04</v>
      </c>
      <c r="G95" s="151">
        <v>44630</v>
      </c>
      <c r="H95" s="24">
        <f t="shared" si="1"/>
        <v>18000</v>
      </c>
      <c r="I95" s="24" t="s">
        <v>107</v>
      </c>
      <c r="J95" s="152"/>
    </row>
    <row r="96" hidden="1" spans="2:10">
      <c r="B96" s="148">
        <v>212201260</v>
      </c>
      <c r="C96" s="149">
        <v>44586</v>
      </c>
      <c r="D96" s="32" t="s">
        <v>11</v>
      </c>
      <c r="E96" s="24">
        <v>160000</v>
      </c>
      <c r="F96" s="24">
        <v>0.04</v>
      </c>
      <c r="G96" s="151">
        <v>44630</v>
      </c>
      <c r="H96" s="24">
        <f t="shared" si="1"/>
        <v>6400</v>
      </c>
      <c r="I96" s="24" t="s">
        <v>107</v>
      </c>
      <c r="J96" s="152"/>
    </row>
    <row r="97" hidden="1" spans="2:10">
      <c r="B97" s="148">
        <v>212201260</v>
      </c>
      <c r="C97" s="149">
        <v>44586</v>
      </c>
      <c r="D97" s="32" t="s">
        <v>43</v>
      </c>
      <c r="E97" s="24">
        <v>200000</v>
      </c>
      <c r="F97" s="24">
        <v>0.05</v>
      </c>
      <c r="G97" s="151">
        <v>44630</v>
      </c>
      <c r="H97" s="24">
        <f t="shared" si="1"/>
        <v>10000</v>
      </c>
      <c r="I97" s="24" t="s">
        <v>65</v>
      </c>
      <c r="J97" s="152"/>
    </row>
    <row r="98" s="29" customFormat="1" hidden="1" spans="2:10">
      <c r="B98" s="148">
        <v>212201260</v>
      </c>
      <c r="C98" s="149">
        <v>44586</v>
      </c>
      <c r="D98" s="32" t="s">
        <v>43</v>
      </c>
      <c r="E98" s="24">
        <v>200000</v>
      </c>
      <c r="F98" s="24">
        <v>0.05</v>
      </c>
      <c r="G98" s="151">
        <v>44661</v>
      </c>
      <c r="H98" s="24">
        <f t="shared" si="1"/>
        <v>10000</v>
      </c>
      <c r="I98" s="24" t="s">
        <v>65</v>
      </c>
      <c r="J98" s="22"/>
    </row>
    <row r="99" hidden="1" spans="2:10">
      <c r="B99" s="148">
        <v>212201260</v>
      </c>
      <c r="C99" s="149">
        <v>44586</v>
      </c>
      <c r="D99" s="32" t="s">
        <v>43</v>
      </c>
      <c r="E99" s="24">
        <v>200000</v>
      </c>
      <c r="F99" s="24">
        <v>0.05</v>
      </c>
      <c r="G99" s="151">
        <v>44691</v>
      </c>
      <c r="H99" s="24">
        <f t="shared" si="1"/>
        <v>10000</v>
      </c>
      <c r="I99" s="24" t="s">
        <v>10</v>
      </c>
      <c r="J99" s="152"/>
    </row>
    <row r="100" hidden="1" spans="2:10">
      <c r="B100" s="148">
        <v>212201260</v>
      </c>
      <c r="C100" s="149">
        <v>44586</v>
      </c>
      <c r="D100" s="32" t="s">
        <v>100</v>
      </c>
      <c r="E100" s="24">
        <v>200000</v>
      </c>
      <c r="F100" s="24">
        <v>0.03</v>
      </c>
      <c r="G100" s="151">
        <v>44630</v>
      </c>
      <c r="H100" s="24">
        <f t="shared" si="1"/>
        <v>6000</v>
      </c>
      <c r="I100" s="24" t="s">
        <v>65</v>
      </c>
      <c r="J100" s="152"/>
    </row>
    <row r="101" hidden="1" spans="2:10">
      <c r="B101" s="148">
        <v>212201260</v>
      </c>
      <c r="C101" s="149">
        <v>44586</v>
      </c>
      <c r="D101" s="32" t="s">
        <v>100</v>
      </c>
      <c r="E101" s="24">
        <v>20000</v>
      </c>
      <c r="F101" s="24">
        <v>0.03</v>
      </c>
      <c r="G101" s="151">
        <v>44630</v>
      </c>
      <c r="H101" s="24">
        <f t="shared" si="1"/>
        <v>600</v>
      </c>
      <c r="I101" s="24" t="s">
        <v>65</v>
      </c>
      <c r="J101" s="152"/>
    </row>
    <row r="102" hidden="1" spans="2:10">
      <c r="B102" s="148">
        <v>212201260</v>
      </c>
      <c r="C102" s="149">
        <v>44586</v>
      </c>
      <c r="D102" s="32" t="s">
        <v>100</v>
      </c>
      <c r="E102" s="24">
        <v>20000</v>
      </c>
      <c r="F102" s="24">
        <v>0.03</v>
      </c>
      <c r="G102" s="151">
        <v>44630</v>
      </c>
      <c r="H102" s="24">
        <f t="shared" si="1"/>
        <v>600</v>
      </c>
      <c r="I102" s="24" t="s">
        <v>65</v>
      </c>
      <c r="J102" s="152"/>
    </row>
    <row r="103" s="29" customFormat="1" hidden="1" spans="2:10">
      <c r="B103" s="148">
        <v>212201260</v>
      </c>
      <c r="C103" s="149">
        <v>44586</v>
      </c>
      <c r="D103" s="32" t="s">
        <v>100</v>
      </c>
      <c r="E103" s="24">
        <v>200000</v>
      </c>
      <c r="F103" s="24">
        <v>0.03</v>
      </c>
      <c r="G103" s="151">
        <v>44661</v>
      </c>
      <c r="H103" s="24">
        <f t="shared" si="1"/>
        <v>6000</v>
      </c>
      <c r="I103" s="24" t="s">
        <v>65</v>
      </c>
      <c r="J103" s="22"/>
    </row>
    <row r="104" hidden="1" spans="2:10">
      <c r="B104" s="148">
        <v>212201260</v>
      </c>
      <c r="C104" s="149">
        <v>44586</v>
      </c>
      <c r="D104" s="32" t="s">
        <v>100</v>
      </c>
      <c r="E104" s="24">
        <v>20000</v>
      </c>
      <c r="F104" s="24">
        <v>0.03</v>
      </c>
      <c r="G104" s="151">
        <v>44661</v>
      </c>
      <c r="H104" s="24">
        <f t="shared" si="1"/>
        <v>600</v>
      </c>
      <c r="I104" s="24" t="s">
        <v>65</v>
      </c>
      <c r="J104" s="152"/>
    </row>
    <row r="105" hidden="1" spans="2:10">
      <c r="B105" s="148">
        <v>212201261</v>
      </c>
      <c r="C105" s="149">
        <v>44586</v>
      </c>
      <c r="D105" s="32" t="s">
        <v>100</v>
      </c>
      <c r="E105" s="24">
        <v>20000</v>
      </c>
      <c r="F105" s="24">
        <v>0.03</v>
      </c>
      <c r="G105" s="151">
        <v>44661</v>
      </c>
      <c r="H105" s="24">
        <f t="shared" si="1"/>
        <v>600</v>
      </c>
      <c r="I105" s="24" t="s">
        <v>65</v>
      </c>
      <c r="J105" s="152"/>
    </row>
    <row r="106" hidden="1" spans="2:10">
      <c r="B106" s="148">
        <v>212201261</v>
      </c>
      <c r="C106" s="149">
        <v>44586</v>
      </c>
      <c r="D106" s="32" t="s">
        <v>29</v>
      </c>
      <c r="E106" s="24">
        <v>500000</v>
      </c>
      <c r="F106" s="24">
        <v>0.027</v>
      </c>
      <c r="G106" s="151">
        <v>44630</v>
      </c>
      <c r="H106" s="24">
        <f t="shared" si="1"/>
        <v>13500</v>
      </c>
      <c r="I106" s="24" t="s">
        <v>65</v>
      </c>
      <c r="J106" s="152"/>
    </row>
    <row r="107" s="29" customFormat="1" hidden="1" spans="2:10">
      <c r="B107" s="148">
        <v>212201261</v>
      </c>
      <c r="C107" s="149">
        <v>44586</v>
      </c>
      <c r="D107" s="32" t="s">
        <v>29</v>
      </c>
      <c r="E107" s="24">
        <v>500000</v>
      </c>
      <c r="F107" s="24">
        <v>0.027</v>
      </c>
      <c r="G107" s="151">
        <v>44661</v>
      </c>
      <c r="H107" s="24">
        <f t="shared" si="1"/>
        <v>13500</v>
      </c>
      <c r="I107" s="24" t="s">
        <v>65</v>
      </c>
      <c r="J107" s="22"/>
    </row>
    <row r="108" hidden="1" spans="2:10">
      <c r="B108" s="148">
        <v>212201261</v>
      </c>
      <c r="C108" s="149">
        <v>44586</v>
      </c>
      <c r="D108" s="32" t="s">
        <v>29</v>
      </c>
      <c r="E108" s="24">
        <v>500000</v>
      </c>
      <c r="F108" s="24">
        <v>0.027</v>
      </c>
      <c r="G108" s="151">
        <v>44691</v>
      </c>
      <c r="H108" s="24">
        <f t="shared" si="1"/>
        <v>13500</v>
      </c>
      <c r="I108" s="24" t="s">
        <v>65</v>
      </c>
      <c r="J108" s="152"/>
    </row>
    <row r="109" s="29" customFormat="1" hidden="1" spans="2:10">
      <c r="B109" s="148">
        <v>212201261</v>
      </c>
      <c r="C109" s="149">
        <v>44586</v>
      </c>
      <c r="D109" s="32" t="s">
        <v>18</v>
      </c>
      <c r="E109" s="24">
        <v>150000</v>
      </c>
      <c r="F109" s="24">
        <v>0.0238</v>
      </c>
      <c r="G109" s="151">
        <v>44691</v>
      </c>
      <c r="H109" s="24">
        <f t="shared" si="1"/>
        <v>3570</v>
      </c>
      <c r="I109" s="24" t="s">
        <v>65</v>
      </c>
      <c r="J109" s="22"/>
    </row>
    <row r="110" s="29" customFormat="1" hidden="1" spans="2:10">
      <c r="B110" s="148">
        <v>212201261</v>
      </c>
      <c r="C110" s="149">
        <v>44586</v>
      </c>
      <c r="D110" s="32" t="s">
        <v>30</v>
      </c>
      <c r="E110" s="24">
        <v>400000</v>
      </c>
      <c r="F110" s="24">
        <v>0.031</v>
      </c>
      <c r="G110" s="151">
        <v>44661</v>
      </c>
      <c r="H110" s="24">
        <f t="shared" si="1"/>
        <v>12400</v>
      </c>
      <c r="I110" s="24" t="s">
        <v>65</v>
      </c>
      <c r="J110" s="22"/>
    </row>
    <row r="111" hidden="1" spans="2:10">
      <c r="B111" s="148">
        <v>212201261</v>
      </c>
      <c r="C111" s="149">
        <v>44586</v>
      </c>
      <c r="D111" s="32" t="s">
        <v>30</v>
      </c>
      <c r="E111" s="24">
        <v>400000</v>
      </c>
      <c r="F111" s="24">
        <v>0.031</v>
      </c>
      <c r="G111" s="151">
        <v>44691</v>
      </c>
      <c r="H111" s="24">
        <f t="shared" si="1"/>
        <v>12400</v>
      </c>
      <c r="I111" s="24" t="s">
        <v>65</v>
      </c>
      <c r="J111" s="152"/>
    </row>
    <row r="112" hidden="1" spans="2:10">
      <c r="B112" s="148">
        <v>212201261</v>
      </c>
      <c r="C112" s="149">
        <v>44586</v>
      </c>
      <c r="D112" s="32" t="s">
        <v>31</v>
      </c>
      <c r="E112" s="24">
        <v>400000</v>
      </c>
      <c r="F112" s="24">
        <v>0.036</v>
      </c>
      <c r="G112" s="151">
        <v>44630</v>
      </c>
      <c r="H112" s="24">
        <f t="shared" si="1"/>
        <v>14400</v>
      </c>
      <c r="I112" s="24" t="s">
        <v>65</v>
      </c>
      <c r="J112" s="152"/>
    </row>
    <row r="113" hidden="1" spans="2:10">
      <c r="B113" s="148">
        <v>212201261</v>
      </c>
      <c r="C113" s="149">
        <v>44586</v>
      </c>
      <c r="D113" s="32" t="s">
        <v>31</v>
      </c>
      <c r="E113" s="24">
        <v>200000</v>
      </c>
      <c r="F113" s="24">
        <v>0.036</v>
      </c>
      <c r="G113" s="151">
        <v>44630</v>
      </c>
      <c r="H113" s="24">
        <f t="shared" si="1"/>
        <v>7200</v>
      </c>
      <c r="I113" s="24" t="s">
        <v>65</v>
      </c>
      <c r="J113" s="152"/>
    </row>
    <row r="114" hidden="1" spans="2:10">
      <c r="B114" s="148">
        <v>212201261</v>
      </c>
      <c r="C114" s="149">
        <v>44586</v>
      </c>
      <c r="D114" s="32" t="s">
        <v>31</v>
      </c>
      <c r="E114" s="24">
        <v>100000</v>
      </c>
      <c r="F114" s="24">
        <v>0.036</v>
      </c>
      <c r="G114" s="151">
        <v>44630</v>
      </c>
      <c r="H114" s="24">
        <f t="shared" si="1"/>
        <v>3600</v>
      </c>
      <c r="I114" s="24" t="s">
        <v>65</v>
      </c>
      <c r="J114" s="152"/>
    </row>
    <row r="115" s="29" customFormat="1" hidden="1" spans="2:10">
      <c r="B115" s="148">
        <v>212201261</v>
      </c>
      <c r="C115" s="149">
        <v>44586</v>
      </c>
      <c r="D115" s="32" t="s">
        <v>31</v>
      </c>
      <c r="E115" s="24">
        <v>400000</v>
      </c>
      <c r="F115" s="24">
        <v>0.036</v>
      </c>
      <c r="G115" s="151">
        <v>44661</v>
      </c>
      <c r="H115" s="24">
        <f t="shared" si="1"/>
        <v>14400</v>
      </c>
      <c r="I115" s="24" t="s">
        <v>65</v>
      </c>
      <c r="J115" s="22"/>
    </row>
    <row r="116" s="29" customFormat="1" hidden="1" spans="2:10">
      <c r="B116" s="148">
        <v>212201261</v>
      </c>
      <c r="C116" s="149">
        <v>44586</v>
      </c>
      <c r="D116" s="32" t="s">
        <v>31</v>
      </c>
      <c r="E116" s="24">
        <v>200000</v>
      </c>
      <c r="F116" s="24">
        <v>0.036</v>
      </c>
      <c r="G116" s="151">
        <v>44661</v>
      </c>
      <c r="H116" s="24">
        <f t="shared" si="1"/>
        <v>7200</v>
      </c>
      <c r="I116" s="24" t="s">
        <v>65</v>
      </c>
      <c r="J116" s="22"/>
    </row>
    <row r="117" s="29" customFormat="1" hidden="1" spans="2:10">
      <c r="B117" s="148">
        <v>212201261</v>
      </c>
      <c r="C117" s="149">
        <v>44586</v>
      </c>
      <c r="D117" s="32" t="s">
        <v>31</v>
      </c>
      <c r="E117" s="24">
        <v>100000</v>
      </c>
      <c r="F117" s="24">
        <v>0.036</v>
      </c>
      <c r="G117" s="151">
        <v>44661</v>
      </c>
      <c r="H117" s="24">
        <f t="shared" si="1"/>
        <v>3600</v>
      </c>
      <c r="I117" s="24" t="s">
        <v>65</v>
      </c>
      <c r="J117" s="22"/>
    </row>
    <row r="118" hidden="1" spans="2:10">
      <c r="B118" s="148">
        <v>212201261</v>
      </c>
      <c r="C118" s="149">
        <v>44586</v>
      </c>
      <c r="D118" s="32" t="s">
        <v>32</v>
      </c>
      <c r="E118" s="24">
        <v>600000</v>
      </c>
      <c r="F118" s="24">
        <v>0.02</v>
      </c>
      <c r="G118" s="151">
        <v>44661</v>
      </c>
      <c r="H118" s="24">
        <f t="shared" si="1"/>
        <v>12000</v>
      </c>
      <c r="I118" s="24" t="s">
        <v>107</v>
      </c>
      <c r="J118" s="152" t="s">
        <v>149</v>
      </c>
    </row>
    <row r="119" hidden="1" spans="2:10">
      <c r="B119" s="148">
        <v>212201261</v>
      </c>
      <c r="C119" s="149">
        <v>44586</v>
      </c>
      <c r="D119" s="32" t="s">
        <v>32</v>
      </c>
      <c r="E119" s="24">
        <v>600000</v>
      </c>
      <c r="F119" s="24">
        <v>0.02</v>
      </c>
      <c r="G119" s="151">
        <v>44691</v>
      </c>
      <c r="H119" s="24">
        <f t="shared" si="1"/>
        <v>12000</v>
      </c>
      <c r="I119" s="24" t="s">
        <v>107</v>
      </c>
      <c r="J119" s="152"/>
    </row>
    <row r="120" hidden="1" spans="2:10">
      <c r="B120" s="148">
        <v>212201261</v>
      </c>
      <c r="C120" s="149">
        <v>44586</v>
      </c>
      <c r="D120" s="32" t="s">
        <v>32</v>
      </c>
      <c r="E120" s="24">
        <v>600000</v>
      </c>
      <c r="F120" s="24">
        <v>0.02</v>
      </c>
      <c r="G120" s="151">
        <v>44722</v>
      </c>
      <c r="H120" s="24">
        <f t="shared" si="1"/>
        <v>12000</v>
      </c>
      <c r="I120" s="24" t="s">
        <v>107</v>
      </c>
      <c r="J120" s="152"/>
    </row>
    <row r="121" s="29" customFormat="1" hidden="1" spans="2:10">
      <c r="B121" s="148">
        <v>212201261</v>
      </c>
      <c r="C121" s="149">
        <v>44586</v>
      </c>
      <c r="D121" s="32" t="s">
        <v>106</v>
      </c>
      <c r="E121" s="24">
        <v>52000</v>
      </c>
      <c r="F121" s="24">
        <v>0.04</v>
      </c>
      <c r="G121" s="151">
        <v>44691</v>
      </c>
      <c r="H121" s="24">
        <f t="shared" si="1"/>
        <v>2080</v>
      </c>
      <c r="I121" s="24" t="s">
        <v>65</v>
      </c>
      <c r="J121" s="22"/>
    </row>
    <row r="122" s="29" customFormat="1" hidden="1" spans="2:10">
      <c r="B122" s="148">
        <v>212201261</v>
      </c>
      <c r="C122" s="149">
        <v>44586</v>
      </c>
      <c r="D122" s="32" t="s">
        <v>56</v>
      </c>
      <c r="E122" s="24">
        <v>70000</v>
      </c>
      <c r="F122" s="24">
        <v>0.04</v>
      </c>
      <c r="G122" s="151">
        <v>44661</v>
      </c>
      <c r="H122" s="24">
        <f t="shared" si="1"/>
        <v>2800</v>
      </c>
      <c r="I122" s="24" t="s">
        <v>65</v>
      </c>
      <c r="J122" s="22"/>
    </row>
    <row r="123" hidden="1" spans="2:10">
      <c r="B123" s="148">
        <v>212201261</v>
      </c>
      <c r="C123" s="149">
        <v>44586</v>
      </c>
      <c r="D123" s="32" t="s">
        <v>119</v>
      </c>
      <c r="E123" s="24">
        <v>30000</v>
      </c>
      <c r="F123" s="24">
        <v>0.07</v>
      </c>
      <c r="G123" s="151">
        <v>44630</v>
      </c>
      <c r="H123" s="24">
        <f t="shared" si="1"/>
        <v>2100</v>
      </c>
      <c r="I123" s="24" t="s">
        <v>65</v>
      </c>
      <c r="J123" s="152"/>
    </row>
    <row r="124" s="29" customFormat="1" hidden="1" spans="2:10">
      <c r="B124" s="148">
        <v>212201261</v>
      </c>
      <c r="C124" s="149">
        <v>44586</v>
      </c>
      <c r="D124" s="32" t="s">
        <v>119</v>
      </c>
      <c r="E124" s="24">
        <v>30000</v>
      </c>
      <c r="F124" s="24">
        <v>0.07</v>
      </c>
      <c r="G124" s="151">
        <v>44661</v>
      </c>
      <c r="H124" s="24">
        <f t="shared" si="1"/>
        <v>2100</v>
      </c>
      <c r="I124" s="24" t="s">
        <v>65</v>
      </c>
      <c r="J124" s="22"/>
    </row>
    <row r="125" s="29" customFormat="1" hidden="1" spans="2:10">
      <c r="B125" s="148">
        <v>212201261</v>
      </c>
      <c r="C125" s="149">
        <v>44586</v>
      </c>
      <c r="D125" s="32" t="s">
        <v>150</v>
      </c>
      <c r="E125" s="24">
        <v>40000</v>
      </c>
      <c r="F125" s="24">
        <v>0.022</v>
      </c>
      <c r="G125" s="151">
        <v>44661</v>
      </c>
      <c r="H125" s="24">
        <f t="shared" si="1"/>
        <v>880</v>
      </c>
      <c r="I125" s="24" t="s">
        <v>65</v>
      </c>
      <c r="J125" s="22"/>
    </row>
    <row r="126" s="29" customFormat="1" hidden="1" spans="2:10">
      <c r="B126" s="148">
        <v>212201261</v>
      </c>
      <c r="C126" s="149">
        <v>44586</v>
      </c>
      <c r="D126" s="32" t="s">
        <v>150</v>
      </c>
      <c r="E126" s="24">
        <v>40000</v>
      </c>
      <c r="F126" s="24">
        <v>0.022</v>
      </c>
      <c r="G126" s="151">
        <v>44691</v>
      </c>
      <c r="H126" s="24">
        <f t="shared" si="1"/>
        <v>880</v>
      </c>
      <c r="I126" s="24" t="s">
        <v>65</v>
      </c>
      <c r="J126" s="22"/>
    </row>
    <row r="127" s="29" customFormat="1" hidden="1" spans="2:10">
      <c r="B127" s="148">
        <v>212201264</v>
      </c>
      <c r="C127" s="149">
        <v>44588</v>
      </c>
      <c r="D127" s="32" t="s">
        <v>38</v>
      </c>
      <c r="E127" s="24">
        <v>200000</v>
      </c>
      <c r="F127" s="24">
        <v>0.01</v>
      </c>
      <c r="G127" s="151">
        <v>44602</v>
      </c>
      <c r="H127" s="24">
        <f t="shared" si="1"/>
        <v>2000</v>
      </c>
      <c r="I127" s="24" t="s">
        <v>65</v>
      </c>
      <c r="J127" s="22"/>
    </row>
    <row r="128" s="29" customFormat="1" hidden="1" spans="2:10">
      <c r="B128" s="148">
        <v>212201264</v>
      </c>
      <c r="C128" s="149">
        <v>44588</v>
      </c>
      <c r="D128" s="32" t="s">
        <v>38</v>
      </c>
      <c r="E128" s="24">
        <v>200000</v>
      </c>
      <c r="F128" s="24">
        <v>0.01</v>
      </c>
      <c r="G128" s="151">
        <v>44630</v>
      </c>
      <c r="H128" s="24">
        <f t="shared" si="1"/>
        <v>2000</v>
      </c>
      <c r="I128" s="24" t="s">
        <v>65</v>
      </c>
      <c r="J128" s="22"/>
    </row>
    <row r="129" s="29" customFormat="1" hidden="1" spans="2:10">
      <c r="B129" s="148">
        <v>212201264</v>
      </c>
      <c r="C129" s="149">
        <v>44588</v>
      </c>
      <c r="D129" s="32" t="s">
        <v>38</v>
      </c>
      <c r="E129" s="24">
        <v>200000</v>
      </c>
      <c r="F129" s="24">
        <v>0.01</v>
      </c>
      <c r="G129" s="151">
        <v>44661</v>
      </c>
      <c r="H129" s="24">
        <f t="shared" si="1"/>
        <v>2000</v>
      </c>
      <c r="I129" s="24" t="s">
        <v>65</v>
      </c>
      <c r="J129" s="22"/>
    </row>
    <row r="130" hidden="1" spans="2:10">
      <c r="B130" s="148">
        <v>212201264</v>
      </c>
      <c r="C130" s="149">
        <v>44588</v>
      </c>
      <c r="D130" s="32" t="s">
        <v>93</v>
      </c>
      <c r="E130" s="24">
        <v>200000</v>
      </c>
      <c r="F130" s="24">
        <v>0.0405</v>
      </c>
      <c r="G130" s="151">
        <v>44661</v>
      </c>
      <c r="H130" s="24">
        <f t="shared" ref="H130:H193" si="2">F130*E130</f>
        <v>8100</v>
      </c>
      <c r="I130" s="24" t="s">
        <v>110</v>
      </c>
      <c r="J130" s="152"/>
    </row>
    <row r="131" hidden="1" spans="2:10">
      <c r="B131" s="148">
        <v>212201264</v>
      </c>
      <c r="C131" s="149">
        <v>44588</v>
      </c>
      <c r="D131" s="32" t="s">
        <v>93</v>
      </c>
      <c r="E131" s="24">
        <v>200000</v>
      </c>
      <c r="F131" s="24">
        <v>0.0405</v>
      </c>
      <c r="G131" s="151">
        <v>44691</v>
      </c>
      <c r="H131" s="24">
        <f t="shared" si="2"/>
        <v>8100</v>
      </c>
      <c r="I131" s="24" t="s">
        <v>110</v>
      </c>
      <c r="J131" s="152"/>
    </row>
    <row r="132" s="29" customFormat="1" hidden="1" spans="2:10">
      <c r="B132" s="148">
        <v>212201264</v>
      </c>
      <c r="C132" s="149">
        <v>44588</v>
      </c>
      <c r="D132" s="32" t="s">
        <v>58</v>
      </c>
      <c r="E132" s="24">
        <v>300000</v>
      </c>
      <c r="F132" s="24">
        <v>0.019</v>
      </c>
      <c r="G132" s="151">
        <v>44602</v>
      </c>
      <c r="H132" s="24">
        <f t="shared" si="2"/>
        <v>5700</v>
      </c>
      <c r="I132" s="24" t="s">
        <v>65</v>
      </c>
      <c r="J132" s="22"/>
    </row>
    <row r="133" s="29" customFormat="1" hidden="1" spans="2:10">
      <c r="B133" s="148">
        <v>212201264</v>
      </c>
      <c r="C133" s="149">
        <v>44588</v>
      </c>
      <c r="D133" s="32" t="s">
        <v>58</v>
      </c>
      <c r="E133" s="24">
        <v>300000</v>
      </c>
      <c r="F133" s="24">
        <v>0.019</v>
      </c>
      <c r="G133" s="151">
        <v>44630</v>
      </c>
      <c r="H133" s="24">
        <f t="shared" si="2"/>
        <v>5700</v>
      </c>
      <c r="I133" s="24" t="s">
        <v>65</v>
      </c>
      <c r="J133" s="22"/>
    </row>
    <row r="134" s="29" customFormat="1" hidden="1" spans="2:10">
      <c r="B134" s="148">
        <v>212201264</v>
      </c>
      <c r="C134" s="149">
        <v>44588</v>
      </c>
      <c r="D134" s="32" t="s">
        <v>58</v>
      </c>
      <c r="E134" s="24">
        <v>300000</v>
      </c>
      <c r="F134" s="24">
        <v>0.019</v>
      </c>
      <c r="G134" s="151">
        <v>44661</v>
      </c>
      <c r="H134" s="24">
        <f t="shared" si="2"/>
        <v>5700</v>
      </c>
      <c r="I134" s="24" t="s">
        <v>65</v>
      </c>
      <c r="J134" s="22"/>
    </row>
    <row r="135" s="107" customFormat="1" hidden="1" spans="2:10">
      <c r="B135" s="148">
        <v>212201270</v>
      </c>
      <c r="C135" s="149">
        <v>44588</v>
      </c>
      <c r="D135" s="32" t="s">
        <v>151</v>
      </c>
      <c r="E135" s="24">
        <v>21000</v>
      </c>
      <c r="F135" s="24">
        <v>0.022</v>
      </c>
      <c r="G135" s="151">
        <v>44589</v>
      </c>
      <c r="H135" s="24">
        <f t="shared" si="2"/>
        <v>462</v>
      </c>
      <c r="I135" s="24" t="s">
        <v>65</v>
      </c>
      <c r="J135" s="56"/>
    </row>
    <row r="136" s="29" customFormat="1" hidden="1" spans="2:10">
      <c r="B136" s="148">
        <v>212201307</v>
      </c>
      <c r="C136" s="149">
        <v>44601</v>
      </c>
      <c r="D136" s="32" t="s">
        <v>152</v>
      </c>
      <c r="E136" s="24">
        <v>250000</v>
      </c>
      <c r="F136" s="24">
        <v>0.26</v>
      </c>
      <c r="G136" s="151">
        <v>44611</v>
      </c>
      <c r="H136" s="24">
        <f t="shared" si="2"/>
        <v>65000</v>
      </c>
      <c r="I136" s="24" t="s">
        <v>10</v>
      </c>
      <c r="J136" s="22"/>
    </row>
    <row r="137" s="29" customFormat="1" hidden="1" spans="2:10">
      <c r="B137" s="148">
        <v>212201307</v>
      </c>
      <c r="C137" s="149">
        <v>44601</v>
      </c>
      <c r="D137" s="32" t="s">
        <v>153</v>
      </c>
      <c r="E137" s="24">
        <v>280000</v>
      </c>
      <c r="F137" s="24">
        <v>0.097</v>
      </c>
      <c r="G137" s="151">
        <v>44601</v>
      </c>
      <c r="H137" s="24">
        <f t="shared" si="2"/>
        <v>27160</v>
      </c>
      <c r="I137" s="24" t="s">
        <v>10</v>
      </c>
      <c r="J137" s="22"/>
    </row>
    <row r="138" s="29" customFormat="1" hidden="1" spans="2:10">
      <c r="B138" s="148">
        <v>212201307</v>
      </c>
      <c r="C138" s="149">
        <v>44601</v>
      </c>
      <c r="D138" s="32" t="s">
        <v>153</v>
      </c>
      <c r="E138" s="24">
        <v>170000</v>
      </c>
      <c r="F138" s="24">
        <v>0.097</v>
      </c>
      <c r="G138" s="151">
        <v>44611</v>
      </c>
      <c r="H138" s="24">
        <f t="shared" si="2"/>
        <v>16490</v>
      </c>
      <c r="I138" s="24" t="s">
        <v>65</v>
      </c>
      <c r="J138" s="22"/>
    </row>
    <row r="139" s="29" customFormat="1" hidden="1" spans="2:10">
      <c r="B139" s="148">
        <v>212201307</v>
      </c>
      <c r="C139" s="149">
        <v>44601</v>
      </c>
      <c r="D139" s="32" t="s">
        <v>154</v>
      </c>
      <c r="E139" s="24">
        <v>20000</v>
      </c>
      <c r="F139" s="24">
        <v>0.07</v>
      </c>
      <c r="G139" s="151">
        <v>44671</v>
      </c>
      <c r="H139" s="24">
        <f t="shared" si="2"/>
        <v>1400</v>
      </c>
      <c r="I139" s="24" t="s">
        <v>65</v>
      </c>
      <c r="J139" s="22"/>
    </row>
    <row r="140" hidden="1" spans="2:10">
      <c r="B140" s="148">
        <v>212201307</v>
      </c>
      <c r="C140" s="149">
        <v>44601</v>
      </c>
      <c r="D140" s="32" t="s">
        <v>154</v>
      </c>
      <c r="E140" s="24">
        <v>20000</v>
      </c>
      <c r="F140" s="24">
        <v>0.07</v>
      </c>
      <c r="G140" s="151">
        <v>44701</v>
      </c>
      <c r="H140" s="24">
        <f t="shared" si="2"/>
        <v>1400</v>
      </c>
      <c r="I140" s="24" t="s">
        <v>65</v>
      </c>
      <c r="J140" s="152"/>
    </row>
    <row r="141" hidden="1" spans="2:10">
      <c r="B141" s="148">
        <v>212201307</v>
      </c>
      <c r="C141" s="149">
        <v>44601</v>
      </c>
      <c r="D141" s="32" t="s">
        <v>41</v>
      </c>
      <c r="E141" s="24">
        <v>20000</v>
      </c>
      <c r="F141" s="24">
        <v>0.285</v>
      </c>
      <c r="G141" s="151">
        <v>44617</v>
      </c>
      <c r="H141" s="24">
        <f t="shared" si="2"/>
        <v>5700</v>
      </c>
      <c r="I141" s="24" t="s">
        <v>110</v>
      </c>
      <c r="J141" s="152"/>
    </row>
    <row r="142" hidden="1" spans="2:10">
      <c r="B142" s="148">
        <v>212201307</v>
      </c>
      <c r="C142" s="149">
        <v>44601</v>
      </c>
      <c r="D142" s="32" t="s">
        <v>41</v>
      </c>
      <c r="E142" s="24">
        <v>20000</v>
      </c>
      <c r="F142" s="24">
        <v>0.285</v>
      </c>
      <c r="G142" s="151">
        <v>44645</v>
      </c>
      <c r="H142" s="24">
        <f t="shared" si="2"/>
        <v>5700</v>
      </c>
      <c r="I142" s="24" t="s">
        <v>110</v>
      </c>
      <c r="J142" s="152"/>
    </row>
    <row r="143" hidden="1" spans="2:10">
      <c r="B143" s="148">
        <v>212201307</v>
      </c>
      <c r="C143" s="149">
        <v>44601</v>
      </c>
      <c r="D143" s="32" t="s">
        <v>41</v>
      </c>
      <c r="E143" s="24">
        <v>20000</v>
      </c>
      <c r="F143" s="24">
        <v>0.285</v>
      </c>
      <c r="G143" s="151">
        <v>44676</v>
      </c>
      <c r="H143" s="24">
        <f t="shared" si="2"/>
        <v>5700</v>
      </c>
      <c r="I143" s="24" t="s">
        <v>110</v>
      </c>
      <c r="J143" s="152"/>
    </row>
    <row r="144" s="29" customFormat="1" hidden="1" spans="2:10">
      <c r="B144" s="148">
        <v>212201307</v>
      </c>
      <c r="C144" s="149">
        <v>44601</v>
      </c>
      <c r="D144" s="32" t="s">
        <v>155</v>
      </c>
      <c r="E144" s="24">
        <v>18000</v>
      </c>
      <c r="F144" s="24">
        <v>0.88</v>
      </c>
      <c r="G144" s="151">
        <v>44601</v>
      </c>
      <c r="H144" s="24">
        <f t="shared" si="2"/>
        <v>15840</v>
      </c>
      <c r="I144" s="24" t="s">
        <v>65</v>
      </c>
      <c r="J144" s="22"/>
    </row>
    <row r="145" s="29" customFormat="1" hidden="1" spans="2:10">
      <c r="B145" s="148">
        <v>212201307</v>
      </c>
      <c r="C145" s="149">
        <v>44601</v>
      </c>
      <c r="D145" s="32" t="s">
        <v>155</v>
      </c>
      <c r="E145" s="24">
        <v>12000</v>
      </c>
      <c r="F145" s="24">
        <v>0.88</v>
      </c>
      <c r="G145" s="151">
        <v>44611</v>
      </c>
      <c r="H145" s="24">
        <f t="shared" si="2"/>
        <v>10560</v>
      </c>
      <c r="I145" s="24" t="s">
        <v>65</v>
      </c>
      <c r="J145" s="22"/>
    </row>
    <row r="146" s="29" customFormat="1" hidden="1" spans="2:10">
      <c r="B146" s="148">
        <v>212201307</v>
      </c>
      <c r="C146" s="149">
        <v>44601</v>
      </c>
      <c r="D146" s="32" t="s">
        <v>156</v>
      </c>
      <c r="E146" s="24">
        <v>18000</v>
      </c>
      <c r="F146" s="24">
        <v>0.28</v>
      </c>
      <c r="G146" s="151">
        <v>44601</v>
      </c>
      <c r="H146" s="24">
        <f t="shared" si="2"/>
        <v>5040</v>
      </c>
      <c r="I146" s="24" t="s">
        <v>65</v>
      </c>
      <c r="J146" s="22"/>
    </row>
    <row r="147" s="29" customFormat="1" hidden="1" spans="2:10">
      <c r="B147" s="148">
        <v>212201307</v>
      </c>
      <c r="C147" s="149">
        <v>44601</v>
      </c>
      <c r="D147" s="32" t="s">
        <v>156</v>
      </c>
      <c r="E147" s="24">
        <v>12000</v>
      </c>
      <c r="F147" s="24">
        <v>0.28</v>
      </c>
      <c r="G147" s="151">
        <v>44611</v>
      </c>
      <c r="H147" s="24">
        <f t="shared" si="2"/>
        <v>3360</v>
      </c>
      <c r="I147" s="24" t="s">
        <v>65</v>
      </c>
      <c r="J147" s="22"/>
    </row>
    <row r="148" s="29" customFormat="1" hidden="1" spans="2:10">
      <c r="B148" s="148">
        <v>212201305</v>
      </c>
      <c r="C148" s="149">
        <v>44600</v>
      </c>
      <c r="D148" s="32" t="s">
        <v>38</v>
      </c>
      <c r="E148" s="24">
        <v>300000</v>
      </c>
      <c r="F148" s="24">
        <v>0.01</v>
      </c>
      <c r="G148" s="151">
        <v>44602</v>
      </c>
      <c r="H148" s="24">
        <f t="shared" si="2"/>
        <v>3000</v>
      </c>
      <c r="I148" s="24" t="s">
        <v>65</v>
      </c>
      <c r="J148" s="22"/>
    </row>
    <row r="149" s="29" customFormat="1" hidden="1" spans="2:10">
      <c r="B149" s="148">
        <v>212201305</v>
      </c>
      <c r="C149" s="149">
        <v>44600</v>
      </c>
      <c r="D149" s="32" t="s">
        <v>38</v>
      </c>
      <c r="E149" s="24">
        <v>300000</v>
      </c>
      <c r="F149" s="24">
        <v>0.01</v>
      </c>
      <c r="G149" s="151">
        <v>44630</v>
      </c>
      <c r="H149" s="24">
        <f t="shared" si="2"/>
        <v>3000</v>
      </c>
      <c r="I149" s="24" t="s">
        <v>65</v>
      </c>
      <c r="J149" s="22"/>
    </row>
    <row r="150" s="29" customFormat="1" hidden="1" spans="2:10">
      <c r="B150" s="148">
        <v>212201305</v>
      </c>
      <c r="C150" s="149">
        <v>44600</v>
      </c>
      <c r="D150" s="32" t="s">
        <v>38</v>
      </c>
      <c r="E150" s="24">
        <v>300000</v>
      </c>
      <c r="F150" s="24">
        <v>0.01</v>
      </c>
      <c r="G150" s="151">
        <v>44661</v>
      </c>
      <c r="H150" s="24">
        <f t="shared" si="2"/>
        <v>3000</v>
      </c>
      <c r="I150" s="24" t="s">
        <v>65</v>
      </c>
      <c r="J150" s="22"/>
    </row>
    <row r="151" s="29" customFormat="1" hidden="1" spans="2:10">
      <c r="B151" s="148">
        <v>212201305</v>
      </c>
      <c r="C151" s="149">
        <v>44600</v>
      </c>
      <c r="D151" s="32" t="s">
        <v>38</v>
      </c>
      <c r="E151" s="24">
        <v>300000</v>
      </c>
      <c r="F151" s="24">
        <v>0.01</v>
      </c>
      <c r="G151" s="151">
        <v>44722</v>
      </c>
      <c r="H151" s="24">
        <f t="shared" si="2"/>
        <v>3000</v>
      </c>
      <c r="I151" s="24" t="s">
        <v>65</v>
      </c>
      <c r="J151" s="22"/>
    </row>
    <row r="152" s="29" customFormat="1" hidden="1" spans="2:10">
      <c r="B152" s="148">
        <v>212201324</v>
      </c>
      <c r="C152" s="149">
        <v>44603</v>
      </c>
      <c r="D152" s="32" t="s">
        <v>157</v>
      </c>
      <c r="E152" s="24">
        <v>160000</v>
      </c>
      <c r="F152" s="24">
        <v>0.0045</v>
      </c>
      <c r="G152" s="151">
        <v>44617</v>
      </c>
      <c r="H152" s="24">
        <f t="shared" si="2"/>
        <v>720</v>
      </c>
      <c r="I152" s="24" t="s">
        <v>65</v>
      </c>
      <c r="J152" s="22"/>
    </row>
    <row r="153" s="29" customFormat="1" hidden="1" spans="2:10">
      <c r="B153" s="148">
        <v>212201324</v>
      </c>
      <c r="C153" s="149">
        <v>44603</v>
      </c>
      <c r="D153" s="32" t="s">
        <v>157</v>
      </c>
      <c r="E153" s="24">
        <v>160000</v>
      </c>
      <c r="F153" s="24">
        <v>0.0045</v>
      </c>
      <c r="G153" s="151">
        <v>44645</v>
      </c>
      <c r="H153" s="24">
        <f t="shared" si="2"/>
        <v>720</v>
      </c>
      <c r="I153" s="24" t="s">
        <v>65</v>
      </c>
      <c r="J153" s="22"/>
    </row>
    <row r="154" s="29" customFormat="1" hidden="1" spans="2:10">
      <c r="B154" s="148">
        <v>212201324</v>
      </c>
      <c r="C154" s="149">
        <v>44603</v>
      </c>
      <c r="D154" s="32" t="s">
        <v>157</v>
      </c>
      <c r="E154" s="24">
        <v>160000</v>
      </c>
      <c r="F154" s="24">
        <v>0.0045</v>
      </c>
      <c r="G154" s="151">
        <v>44676</v>
      </c>
      <c r="H154" s="24">
        <f t="shared" si="2"/>
        <v>720</v>
      </c>
      <c r="I154" s="24" t="s">
        <v>65</v>
      </c>
      <c r="J154" s="22"/>
    </row>
    <row r="155" s="29" customFormat="1" hidden="1" spans="2:10">
      <c r="B155" s="148">
        <v>212201324</v>
      </c>
      <c r="C155" s="149">
        <v>44603</v>
      </c>
      <c r="D155" s="32" t="s">
        <v>59</v>
      </c>
      <c r="E155" s="24">
        <v>208000</v>
      </c>
      <c r="F155" s="24">
        <v>0.015</v>
      </c>
      <c r="G155" s="151">
        <v>44635</v>
      </c>
      <c r="H155" s="24">
        <f t="shared" si="2"/>
        <v>3120</v>
      </c>
      <c r="I155" s="24" t="s">
        <v>65</v>
      </c>
      <c r="J155" s="22"/>
    </row>
    <row r="156" s="107" customFormat="1" hidden="1" spans="2:10">
      <c r="B156" s="148">
        <v>212201349</v>
      </c>
      <c r="C156" s="149">
        <v>44613</v>
      </c>
      <c r="D156" s="32" t="s">
        <v>11</v>
      </c>
      <c r="E156" s="24">
        <v>200000</v>
      </c>
      <c r="F156" s="24">
        <v>0.04</v>
      </c>
      <c r="G156" s="151">
        <v>44793</v>
      </c>
      <c r="H156" s="24">
        <f t="shared" si="2"/>
        <v>8000</v>
      </c>
      <c r="I156" s="24" t="s">
        <v>107</v>
      </c>
      <c r="J156" s="56"/>
    </row>
    <row r="157" s="107" customFormat="1" hidden="1" spans="2:10">
      <c r="B157" s="148">
        <v>212201349</v>
      </c>
      <c r="C157" s="149">
        <v>44613</v>
      </c>
      <c r="D157" s="32" t="s">
        <v>11</v>
      </c>
      <c r="E157" s="24">
        <v>200000</v>
      </c>
      <c r="F157" s="24">
        <v>0.04</v>
      </c>
      <c r="G157" s="151">
        <v>44824</v>
      </c>
      <c r="H157" s="24">
        <f t="shared" si="2"/>
        <v>8000</v>
      </c>
      <c r="I157" s="24" t="s">
        <v>107</v>
      </c>
      <c r="J157" s="56"/>
    </row>
    <row r="158" s="107" customFormat="1" hidden="1" spans="2:10">
      <c r="B158" s="148">
        <v>212201255</v>
      </c>
      <c r="C158" s="149">
        <v>44586</v>
      </c>
      <c r="D158" s="32" t="s">
        <v>144</v>
      </c>
      <c r="E158" s="24">
        <v>21000</v>
      </c>
      <c r="F158" s="24">
        <v>0.018</v>
      </c>
      <c r="G158" s="151">
        <v>44701</v>
      </c>
      <c r="H158" s="24">
        <f t="shared" si="2"/>
        <v>378</v>
      </c>
      <c r="I158" s="24" t="s">
        <v>65</v>
      </c>
      <c r="J158" s="56"/>
    </row>
    <row r="159" hidden="1" spans="2:10">
      <c r="B159" s="148">
        <v>212201370</v>
      </c>
      <c r="C159" s="149">
        <v>44616</v>
      </c>
      <c r="D159" s="32" t="s">
        <v>119</v>
      </c>
      <c r="E159" s="24">
        <v>20000</v>
      </c>
      <c r="F159" s="24">
        <v>0.07</v>
      </c>
      <c r="G159" s="151">
        <v>44630</v>
      </c>
      <c r="H159" s="24">
        <f t="shared" si="2"/>
        <v>1400</v>
      </c>
      <c r="I159" s="24" t="s">
        <v>65</v>
      </c>
      <c r="J159" s="152"/>
    </row>
    <row r="160" hidden="1" spans="2:10">
      <c r="B160" s="148">
        <v>212201370</v>
      </c>
      <c r="C160" s="149">
        <v>44616</v>
      </c>
      <c r="D160" s="32" t="s">
        <v>119</v>
      </c>
      <c r="E160" s="24">
        <v>20000</v>
      </c>
      <c r="F160" s="24">
        <v>0.07</v>
      </c>
      <c r="G160" s="151">
        <v>44661</v>
      </c>
      <c r="H160" s="24">
        <f t="shared" si="2"/>
        <v>1400</v>
      </c>
      <c r="I160" s="24" t="s">
        <v>65</v>
      </c>
      <c r="J160" s="152"/>
    </row>
    <row r="161" hidden="1" spans="2:10">
      <c r="B161" s="148">
        <v>212201370</v>
      </c>
      <c r="C161" s="149">
        <v>44616</v>
      </c>
      <c r="D161" s="32" t="s">
        <v>119</v>
      </c>
      <c r="E161" s="24">
        <v>20000</v>
      </c>
      <c r="F161" s="24">
        <v>0.07</v>
      </c>
      <c r="G161" s="151">
        <v>44691</v>
      </c>
      <c r="H161" s="24">
        <f t="shared" si="2"/>
        <v>1400</v>
      </c>
      <c r="I161" s="24" t="s">
        <v>65</v>
      </c>
      <c r="J161" s="152"/>
    </row>
    <row r="162" hidden="1" spans="2:10">
      <c r="B162" s="148">
        <v>212201370</v>
      </c>
      <c r="C162" s="149">
        <v>44616</v>
      </c>
      <c r="D162" s="32" t="s">
        <v>119</v>
      </c>
      <c r="E162" s="24">
        <v>20000</v>
      </c>
      <c r="F162" s="24">
        <v>0.07</v>
      </c>
      <c r="G162" s="151">
        <v>44722</v>
      </c>
      <c r="H162" s="24">
        <f t="shared" si="2"/>
        <v>1400</v>
      </c>
      <c r="I162" s="24" t="s">
        <v>65</v>
      </c>
      <c r="J162" s="152"/>
    </row>
    <row r="163" spans="2:10">
      <c r="B163" s="148">
        <v>212201437</v>
      </c>
      <c r="C163" s="149">
        <v>44630</v>
      </c>
      <c r="D163" s="32" t="s">
        <v>158</v>
      </c>
      <c r="E163" s="24">
        <v>10000</v>
      </c>
      <c r="F163" s="24">
        <v>0.36</v>
      </c>
      <c r="G163" s="151">
        <v>44629</v>
      </c>
      <c r="H163" s="24">
        <f t="shared" si="2"/>
        <v>3600</v>
      </c>
      <c r="I163" s="24" t="s">
        <v>65</v>
      </c>
      <c r="J163" s="152"/>
    </row>
    <row r="164" spans="2:10">
      <c r="B164" s="148">
        <v>212201437</v>
      </c>
      <c r="C164" s="149">
        <v>44630</v>
      </c>
      <c r="D164" s="32" t="s">
        <v>158</v>
      </c>
      <c r="E164" s="24">
        <v>10000</v>
      </c>
      <c r="F164" s="24">
        <v>0.36</v>
      </c>
      <c r="G164" s="151">
        <v>44676</v>
      </c>
      <c r="H164" s="24">
        <f t="shared" si="2"/>
        <v>3600</v>
      </c>
      <c r="I164" s="24" t="s">
        <v>65</v>
      </c>
      <c r="J164" s="152"/>
    </row>
    <row r="165" s="107" customFormat="1" hidden="1" spans="2:10">
      <c r="B165" s="148">
        <v>212201443</v>
      </c>
      <c r="C165" s="149">
        <v>44631</v>
      </c>
      <c r="D165" s="32" t="s">
        <v>123</v>
      </c>
      <c r="E165" s="24">
        <v>20000</v>
      </c>
      <c r="F165" s="24">
        <v>0.024</v>
      </c>
      <c r="G165" s="151">
        <v>44650</v>
      </c>
      <c r="H165" s="24">
        <f t="shared" si="2"/>
        <v>480</v>
      </c>
      <c r="I165" s="24" t="s">
        <v>65</v>
      </c>
      <c r="J165" s="56"/>
    </row>
    <row r="166" s="107" customFormat="1" hidden="1" spans="2:10">
      <c r="B166" s="148">
        <v>212201449</v>
      </c>
      <c r="C166" s="149">
        <v>44634</v>
      </c>
      <c r="D166" s="32" t="s">
        <v>83</v>
      </c>
      <c r="E166" s="24">
        <v>20000</v>
      </c>
      <c r="F166" s="24">
        <v>0.023</v>
      </c>
      <c r="G166" s="151">
        <v>44676</v>
      </c>
      <c r="H166" s="24">
        <f t="shared" si="2"/>
        <v>460</v>
      </c>
      <c r="I166" s="24" t="s">
        <v>65</v>
      </c>
      <c r="J166" s="56"/>
    </row>
    <row r="167" hidden="1" spans="2:10">
      <c r="B167" s="148">
        <v>212201481</v>
      </c>
      <c r="C167" s="149">
        <v>44638</v>
      </c>
      <c r="D167" s="32" t="s">
        <v>36</v>
      </c>
      <c r="E167" s="24">
        <v>150000</v>
      </c>
      <c r="F167" s="24">
        <v>0.0083</v>
      </c>
      <c r="G167" s="151">
        <v>44671</v>
      </c>
      <c r="H167" s="24">
        <f t="shared" si="2"/>
        <v>1245</v>
      </c>
      <c r="I167" s="24" t="s">
        <v>65</v>
      </c>
      <c r="J167" s="152"/>
    </row>
    <row r="168" hidden="1" spans="2:10">
      <c r="B168" s="148">
        <v>212201481</v>
      </c>
      <c r="C168" s="149">
        <v>44638</v>
      </c>
      <c r="D168" s="32" t="s">
        <v>36</v>
      </c>
      <c r="E168" s="24">
        <v>150000</v>
      </c>
      <c r="F168" s="24">
        <v>0.0083</v>
      </c>
      <c r="G168" s="151">
        <v>44701</v>
      </c>
      <c r="H168" s="24">
        <f t="shared" si="2"/>
        <v>1245</v>
      </c>
      <c r="I168" s="24" t="s">
        <v>65</v>
      </c>
      <c r="J168" s="152"/>
    </row>
    <row r="169" hidden="1" spans="2:10">
      <c r="B169" s="148">
        <v>212201481</v>
      </c>
      <c r="C169" s="149">
        <v>44638</v>
      </c>
      <c r="D169" s="32" t="s">
        <v>36</v>
      </c>
      <c r="E169" s="24">
        <v>150000</v>
      </c>
      <c r="F169" s="24">
        <v>0.0083</v>
      </c>
      <c r="G169" s="151">
        <v>44732</v>
      </c>
      <c r="H169" s="24">
        <f t="shared" si="2"/>
        <v>1245</v>
      </c>
      <c r="I169" s="24" t="s">
        <v>65</v>
      </c>
      <c r="J169" s="152"/>
    </row>
    <row r="170" hidden="1" spans="2:10">
      <c r="B170" s="148">
        <v>212201481</v>
      </c>
      <c r="C170" s="149">
        <v>44638</v>
      </c>
      <c r="D170" s="32" t="s">
        <v>36</v>
      </c>
      <c r="E170" s="24">
        <v>150000</v>
      </c>
      <c r="F170" s="24">
        <v>0.0083</v>
      </c>
      <c r="G170" s="151">
        <v>44762</v>
      </c>
      <c r="H170" s="24">
        <f t="shared" si="2"/>
        <v>1245</v>
      </c>
      <c r="I170" s="24" t="s">
        <v>65</v>
      </c>
      <c r="J170" s="152"/>
    </row>
    <row r="171" hidden="1" spans="2:10">
      <c r="B171" s="148">
        <v>212201481</v>
      </c>
      <c r="C171" s="149">
        <v>44638</v>
      </c>
      <c r="D171" s="32" t="s">
        <v>11</v>
      </c>
      <c r="E171" s="24">
        <v>150000</v>
      </c>
      <c r="F171" s="24">
        <v>0.04</v>
      </c>
      <c r="G171" s="151">
        <v>44666</v>
      </c>
      <c r="H171" s="24">
        <f t="shared" si="2"/>
        <v>6000</v>
      </c>
      <c r="I171" s="24" t="s">
        <v>110</v>
      </c>
      <c r="J171" s="152" t="s">
        <v>159</v>
      </c>
    </row>
    <row r="172" hidden="1" spans="2:10">
      <c r="B172" s="148">
        <v>212201481</v>
      </c>
      <c r="C172" s="149">
        <v>44638</v>
      </c>
      <c r="D172" s="32" t="s">
        <v>11</v>
      </c>
      <c r="E172" s="24">
        <v>150000</v>
      </c>
      <c r="F172" s="24">
        <v>0.04</v>
      </c>
      <c r="G172" s="151">
        <v>44681</v>
      </c>
      <c r="H172" s="24">
        <f t="shared" si="2"/>
        <v>6000</v>
      </c>
      <c r="I172" s="24" t="s">
        <v>110</v>
      </c>
      <c r="J172" s="152" t="s">
        <v>159</v>
      </c>
    </row>
    <row r="173" hidden="1" spans="2:10">
      <c r="B173" s="148">
        <v>212201481</v>
      </c>
      <c r="C173" s="149">
        <v>44638</v>
      </c>
      <c r="D173" s="154" t="s">
        <v>29</v>
      </c>
      <c r="E173" s="24">
        <v>600000</v>
      </c>
      <c r="F173" s="24">
        <v>0.027</v>
      </c>
      <c r="G173" s="151">
        <v>44671</v>
      </c>
      <c r="H173" s="24">
        <f t="shared" si="2"/>
        <v>16200</v>
      </c>
      <c r="I173" s="24" t="s">
        <v>65</v>
      </c>
      <c r="J173" s="152"/>
    </row>
    <row r="174" hidden="1" spans="2:10">
      <c r="B174" s="148">
        <v>212201481</v>
      </c>
      <c r="C174" s="149">
        <v>44638</v>
      </c>
      <c r="D174" s="154" t="s">
        <v>29</v>
      </c>
      <c r="E174" s="24">
        <v>600000</v>
      </c>
      <c r="F174" s="24">
        <v>0.027</v>
      </c>
      <c r="G174" s="151">
        <v>44701</v>
      </c>
      <c r="H174" s="24">
        <f t="shared" si="2"/>
        <v>16200</v>
      </c>
      <c r="I174" s="24" t="s">
        <v>65</v>
      </c>
      <c r="J174" s="152"/>
    </row>
    <row r="175" hidden="1" spans="2:10">
      <c r="B175" s="148">
        <v>212201481</v>
      </c>
      <c r="C175" s="149">
        <v>44638</v>
      </c>
      <c r="D175" s="32" t="s">
        <v>31</v>
      </c>
      <c r="E175" s="24">
        <v>300000</v>
      </c>
      <c r="F175" s="24">
        <v>0.036</v>
      </c>
      <c r="G175" s="151">
        <v>44671</v>
      </c>
      <c r="H175" s="24">
        <f t="shared" si="2"/>
        <v>10800</v>
      </c>
      <c r="I175" s="24" t="s">
        <v>65</v>
      </c>
      <c r="J175" s="152"/>
    </row>
    <row r="176" hidden="1" spans="2:10">
      <c r="B176" s="148">
        <v>212201481</v>
      </c>
      <c r="C176" s="149">
        <v>44638</v>
      </c>
      <c r="D176" s="32" t="s">
        <v>31</v>
      </c>
      <c r="E176" s="24">
        <v>300000</v>
      </c>
      <c r="F176" s="24">
        <v>0.036</v>
      </c>
      <c r="G176" s="151">
        <v>44681</v>
      </c>
      <c r="H176" s="24">
        <f t="shared" si="2"/>
        <v>10800</v>
      </c>
      <c r="I176" s="24" t="s">
        <v>65</v>
      </c>
      <c r="J176" s="152"/>
    </row>
    <row r="177" hidden="1" spans="2:10">
      <c r="B177" s="148">
        <v>212201481</v>
      </c>
      <c r="C177" s="149">
        <v>44638</v>
      </c>
      <c r="D177" s="32" t="s">
        <v>31</v>
      </c>
      <c r="E177" s="24">
        <v>300000</v>
      </c>
      <c r="F177" s="24">
        <v>0.036</v>
      </c>
      <c r="G177" s="151">
        <v>44732</v>
      </c>
      <c r="H177" s="24">
        <f t="shared" si="2"/>
        <v>10800</v>
      </c>
      <c r="I177" s="24" t="s">
        <v>65</v>
      </c>
      <c r="J177" s="152"/>
    </row>
    <row r="178" hidden="1" spans="2:10">
      <c r="B178" s="148">
        <v>212201481</v>
      </c>
      <c r="C178" s="149">
        <v>44638</v>
      </c>
      <c r="D178" s="32" t="s">
        <v>49</v>
      </c>
      <c r="E178" s="24">
        <v>40000</v>
      </c>
      <c r="F178" s="24">
        <v>0.065</v>
      </c>
      <c r="G178" s="151">
        <v>44671</v>
      </c>
      <c r="H178" s="24">
        <f t="shared" si="2"/>
        <v>2600</v>
      </c>
      <c r="I178" s="24" t="s">
        <v>65</v>
      </c>
      <c r="J178" s="152"/>
    </row>
    <row r="179" hidden="1" spans="2:10">
      <c r="B179" s="148">
        <v>212201481</v>
      </c>
      <c r="C179" s="149">
        <v>44638</v>
      </c>
      <c r="D179" s="32" t="s">
        <v>49</v>
      </c>
      <c r="E179" s="24">
        <v>40000</v>
      </c>
      <c r="F179" s="24">
        <v>0.065</v>
      </c>
      <c r="G179" s="151">
        <v>44701</v>
      </c>
      <c r="H179" s="24">
        <f t="shared" si="2"/>
        <v>2600</v>
      </c>
      <c r="I179" s="24" t="s">
        <v>65</v>
      </c>
      <c r="J179" s="152"/>
    </row>
    <row r="180" hidden="1" spans="2:10">
      <c r="B180" s="148">
        <v>212201481</v>
      </c>
      <c r="C180" s="149">
        <v>44638</v>
      </c>
      <c r="D180" s="32" t="s">
        <v>42</v>
      </c>
      <c r="E180" s="24">
        <v>300000</v>
      </c>
      <c r="F180" s="24">
        <v>0.065</v>
      </c>
      <c r="G180" s="151">
        <v>44706</v>
      </c>
      <c r="H180" s="24">
        <f t="shared" si="2"/>
        <v>19500</v>
      </c>
      <c r="I180" s="24" t="s">
        <v>65</v>
      </c>
      <c r="J180" s="152"/>
    </row>
    <row r="181" hidden="1" spans="2:10">
      <c r="B181" s="148">
        <v>212201481</v>
      </c>
      <c r="C181" s="149">
        <v>44638</v>
      </c>
      <c r="D181" s="32" t="s">
        <v>33</v>
      </c>
      <c r="E181" s="24">
        <v>100000</v>
      </c>
      <c r="F181" s="24">
        <v>0.02</v>
      </c>
      <c r="G181" s="151">
        <v>44671</v>
      </c>
      <c r="H181" s="24">
        <f t="shared" si="2"/>
        <v>2000</v>
      </c>
      <c r="I181" s="24" t="s">
        <v>110</v>
      </c>
      <c r="J181" s="152"/>
    </row>
    <row r="182" hidden="1" spans="2:10">
      <c r="B182" s="148">
        <v>212201481</v>
      </c>
      <c r="C182" s="149">
        <v>44638</v>
      </c>
      <c r="D182" s="32" t="s">
        <v>33</v>
      </c>
      <c r="E182" s="24">
        <v>100000</v>
      </c>
      <c r="F182" s="24">
        <v>0.02</v>
      </c>
      <c r="G182" s="151">
        <v>44701</v>
      </c>
      <c r="H182" s="24">
        <f t="shared" si="2"/>
        <v>2000</v>
      </c>
      <c r="I182" s="24" t="s">
        <v>110</v>
      </c>
      <c r="J182" s="152"/>
    </row>
    <row r="183" hidden="1" spans="2:10">
      <c r="B183" s="148">
        <v>212201481</v>
      </c>
      <c r="C183" s="149">
        <v>44638</v>
      </c>
      <c r="D183" s="32" t="s">
        <v>33</v>
      </c>
      <c r="E183" s="24">
        <v>100000</v>
      </c>
      <c r="F183" s="24">
        <v>0.02</v>
      </c>
      <c r="G183" s="151">
        <v>44732</v>
      </c>
      <c r="H183" s="24">
        <f t="shared" si="2"/>
        <v>2000</v>
      </c>
      <c r="I183" s="24" t="s">
        <v>110</v>
      </c>
      <c r="J183" s="152"/>
    </row>
    <row r="184" hidden="1" spans="2:10">
      <c r="B184" s="148">
        <v>212201481</v>
      </c>
      <c r="C184" s="149">
        <v>44638</v>
      </c>
      <c r="D184" s="32" t="s">
        <v>34</v>
      </c>
      <c r="E184" s="24">
        <v>100000</v>
      </c>
      <c r="F184" s="24">
        <v>0.051</v>
      </c>
      <c r="G184" s="151">
        <v>44661</v>
      </c>
      <c r="H184" s="24">
        <f t="shared" si="2"/>
        <v>5100</v>
      </c>
      <c r="I184" s="24" t="s">
        <v>65</v>
      </c>
      <c r="J184" s="152"/>
    </row>
    <row r="185" hidden="1" spans="2:10">
      <c r="B185" s="148">
        <v>212201481</v>
      </c>
      <c r="C185" s="149">
        <v>44638</v>
      </c>
      <c r="D185" s="32" t="s">
        <v>34</v>
      </c>
      <c r="E185" s="24">
        <v>100000</v>
      </c>
      <c r="F185" s="24">
        <v>0.051</v>
      </c>
      <c r="G185" s="151">
        <v>44691</v>
      </c>
      <c r="H185" s="24">
        <f t="shared" si="2"/>
        <v>5100</v>
      </c>
      <c r="I185" s="24" t="s">
        <v>65</v>
      </c>
      <c r="J185" s="152"/>
    </row>
    <row r="186" hidden="1" spans="2:10">
      <c r="B186" s="148">
        <v>212201481</v>
      </c>
      <c r="C186" s="149">
        <v>44638</v>
      </c>
      <c r="D186" s="32" t="s">
        <v>93</v>
      </c>
      <c r="E186" s="24">
        <v>350000</v>
      </c>
      <c r="F186" s="24">
        <v>0.0405</v>
      </c>
      <c r="G186" s="151">
        <v>44661</v>
      </c>
      <c r="H186" s="24">
        <f t="shared" si="2"/>
        <v>14175</v>
      </c>
      <c r="I186" s="24" t="s">
        <v>110</v>
      </c>
      <c r="J186" s="152" t="s">
        <v>160</v>
      </c>
    </row>
    <row r="187" hidden="1" spans="2:10">
      <c r="B187" s="148">
        <v>212201481</v>
      </c>
      <c r="C187" s="149">
        <v>44638</v>
      </c>
      <c r="D187" s="32" t="s">
        <v>93</v>
      </c>
      <c r="E187" s="24">
        <v>400000</v>
      </c>
      <c r="F187" s="24">
        <v>0.0405</v>
      </c>
      <c r="G187" s="151">
        <v>44691</v>
      </c>
      <c r="H187" s="24">
        <f t="shared" si="2"/>
        <v>16200</v>
      </c>
      <c r="I187" s="24" t="s">
        <v>110</v>
      </c>
      <c r="J187" s="152" t="s">
        <v>160</v>
      </c>
    </row>
    <row r="188" hidden="1" spans="2:10">
      <c r="B188" s="148">
        <v>212201481</v>
      </c>
      <c r="C188" s="149">
        <v>44638</v>
      </c>
      <c r="D188" s="32" t="s">
        <v>161</v>
      </c>
      <c r="E188" s="24">
        <v>20000</v>
      </c>
      <c r="F188" s="24">
        <v>0.07</v>
      </c>
      <c r="G188" s="151">
        <v>44711</v>
      </c>
      <c r="H188" s="24">
        <f t="shared" si="2"/>
        <v>1400</v>
      </c>
      <c r="I188" s="24" t="s">
        <v>65</v>
      </c>
      <c r="J188" s="152"/>
    </row>
    <row r="189" hidden="1" spans="2:10">
      <c r="B189" s="148">
        <v>212201481</v>
      </c>
      <c r="C189" s="149">
        <v>44638</v>
      </c>
      <c r="D189" s="32" t="s">
        <v>111</v>
      </c>
      <c r="E189" s="24">
        <v>40000</v>
      </c>
      <c r="F189" s="24">
        <v>0.045</v>
      </c>
      <c r="G189" s="151">
        <v>44824</v>
      </c>
      <c r="H189" s="24">
        <f t="shared" si="2"/>
        <v>1800</v>
      </c>
      <c r="I189" s="24" t="s">
        <v>107</v>
      </c>
      <c r="J189" s="152"/>
    </row>
    <row r="190" s="107" customFormat="1" hidden="1" spans="2:10">
      <c r="B190" s="148">
        <v>212201584</v>
      </c>
      <c r="C190" s="149">
        <v>44649</v>
      </c>
      <c r="D190" s="32" t="s">
        <v>84</v>
      </c>
      <c r="E190" s="24">
        <v>20000</v>
      </c>
      <c r="F190" s="24">
        <v>0.11</v>
      </c>
      <c r="G190" s="151">
        <v>44671</v>
      </c>
      <c r="H190" s="24">
        <f t="shared" si="2"/>
        <v>2200</v>
      </c>
      <c r="I190" s="24" t="s">
        <v>65</v>
      </c>
      <c r="J190" s="56"/>
    </row>
    <row r="191" s="107" customFormat="1" hidden="1" spans="2:10">
      <c r="B191" s="148">
        <v>212201584</v>
      </c>
      <c r="C191" s="149">
        <v>44649</v>
      </c>
      <c r="D191" s="32" t="s">
        <v>84</v>
      </c>
      <c r="E191" s="24">
        <v>20000</v>
      </c>
      <c r="F191" s="24">
        <v>0.11</v>
      </c>
      <c r="G191" s="151">
        <v>44701</v>
      </c>
      <c r="H191" s="24">
        <f t="shared" si="2"/>
        <v>2200</v>
      </c>
      <c r="I191" s="24" t="s">
        <v>65</v>
      </c>
      <c r="J191" s="56"/>
    </row>
    <row r="192" s="107" customFormat="1" hidden="1" spans="2:10">
      <c r="B192" s="148">
        <v>212201584</v>
      </c>
      <c r="C192" s="149">
        <v>44649</v>
      </c>
      <c r="D192" s="32" t="s">
        <v>162</v>
      </c>
      <c r="E192" s="24">
        <v>50000</v>
      </c>
      <c r="F192" s="24">
        <v>0.065</v>
      </c>
      <c r="G192" s="151">
        <v>44671</v>
      </c>
      <c r="H192" s="24">
        <f t="shared" si="2"/>
        <v>3250</v>
      </c>
      <c r="I192" s="24" t="s">
        <v>10</v>
      </c>
      <c r="J192" s="56"/>
    </row>
    <row r="193" s="107" customFormat="1" hidden="1" spans="2:10">
      <c r="B193" s="148">
        <v>212201584</v>
      </c>
      <c r="C193" s="149">
        <v>44649</v>
      </c>
      <c r="D193" s="32" t="s">
        <v>162</v>
      </c>
      <c r="E193" s="24">
        <v>50000</v>
      </c>
      <c r="F193" s="24">
        <v>0.065</v>
      </c>
      <c r="G193" s="151">
        <v>44701</v>
      </c>
      <c r="H193" s="24">
        <f t="shared" si="2"/>
        <v>3250</v>
      </c>
      <c r="I193" s="24" t="s">
        <v>10</v>
      </c>
      <c r="J193" s="56"/>
    </row>
    <row r="194" s="107" customFormat="1" hidden="1" spans="2:10">
      <c r="B194" s="148">
        <v>212201584</v>
      </c>
      <c r="C194" s="149">
        <v>44649</v>
      </c>
      <c r="D194" s="32" t="s">
        <v>162</v>
      </c>
      <c r="E194" s="24">
        <v>50000</v>
      </c>
      <c r="F194" s="24">
        <v>0.065</v>
      </c>
      <c r="G194" s="151">
        <v>44732</v>
      </c>
      <c r="H194" s="24">
        <f t="shared" ref="H194:H257" si="3">F194*E194</f>
        <v>3250</v>
      </c>
      <c r="I194" s="24" t="s">
        <v>10</v>
      </c>
      <c r="J194" s="56"/>
    </row>
    <row r="195" hidden="1" spans="2:10">
      <c r="B195" s="148">
        <v>222300029</v>
      </c>
      <c r="C195" s="149">
        <v>44744</v>
      </c>
      <c r="D195" s="154" t="s">
        <v>163</v>
      </c>
      <c r="E195" s="24">
        <v>208000</v>
      </c>
      <c r="F195" s="24">
        <v>0.0025</v>
      </c>
      <c r="G195" s="151">
        <v>44733</v>
      </c>
      <c r="H195" s="24">
        <f t="shared" si="3"/>
        <v>520</v>
      </c>
      <c r="I195" s="24" t="s">
        <v>65</v>
      </c>
      <c r="J195" s="152"/>
    </row>
    <row r="196" hidden="1" spans="2:10">
      <c r="B196" s="148">
        <v>222300029</v>
      </c>
      <c r="C196" s="149">
        <v>44744</v>
      </c>
      <c r="D196" s="154" t="s">
        <v>163</v>
      </c>
      <c r="E196" s="24">
        <v>208000</v>
      </c>
      <c r="F196" s="24">
        <v>0.0025</v>
      </c>
      <c r="G196" s="151">
        <v>44734</v>
      </c>
      <c r="H196" s="24">
        <f t="shared" si="3"/>
        <v>520</v>
      </c>
      <c r="I196" s="24" t="s">
        <v>65</v>
      </c>
      <c r="J196" s="152"/>
    </row>
    <row r="197" hidden="1" spans="2:10">
      <c r="B197" s="148">
        <v>222300029</v>
      </c>
      <c r="C197" s="149">
        <v>44744</v>
      </c>
      <c r="D197" s="154" t="s">
        <v>163</v>
      </c>
      <c r="E197" s="24">
        <v>208000</v>
      </c>
      <c r="F197" s="24">
        <v>0.0025</v>
      </c>
      <c r="G197" s="151">
        <v>44735</v>
      </c>
      <c r="H197" s="24">
        <f t="shared" si="3"/>
        <v>520</v>
      </c>
      <c r="I197" s="24" t="s">
        <v>65</v>
      </c>
      <c r="J197" s="152"/>
    </row>
    <row r="198" hidden="1" spans="2:10">
      <c r="B198" s="148">
        <v>222300029</v>
      </c>
      <c r="C198" s="149">
        <v>44744</v>
      </c>
      <c r="D198" s="154" t="s">
        <v>163</v>
      </c>
      <c r="E198" s="24">
        <v>208000</v>
      </c>
      <c r="F198" s="24">
        <v>0.0025</v>
      </c>
      <c r="G198" s="151">
        <v>44736</v>
      </c>
      <c r="H198" s="24">
        <f t="shared" si="3"/>
        <v>520</v>
      </c>
      <c r="I198" s="24" t="s">
        <v>65</v>
      </c>
      <c r="J198" s="152"/>
    </row>
    <row r="199" hidden="1" spans="2:10">
      <c r="B199" s="148">
        <v>222300029</v>
      </c>
      <c r="C199" s="149">
        <v>44744</v>
      </c>
      <c r="D199" s="154" t="s">
        <v>163</v>
      </c>
      <c r="E199" s="24">
        <v>208000</v>
      </c>
      <c r="F199" s="24">
        <v>0.0025</v>
      </c>
      <c r="G199" s="151">
        <v>44737</v>
      </c>
      <c r="H199" s="24">
        <f t="shared" si="3"/>
        <v>520</v>
      </c>
      <c r="I199" s="24" t="s">
        <v>65</v>
      </c>
      <c r="J199" s="152"/>
    </row>
    <row r="200" s="107" customFormat="1" hidden="1" spans="2:10">
      <c r="B200" s="148">
        <v>222300061</v>
      </c>
      <c r="C200" s="149">
        <v>44664</v>
      </c>
      <c r="D200" s="154" t="s">
        <v>68</v>
      </c>
      <c r="E200" s="24">
        <v>20000</v>
      </c>
      <c r="F200" s="24">
        <v>0.04</v>
      </c>
      <c r="G200" s="151">
        <v>44701</v>
      </c>
      <c r="H200" s="24">
        <f t="shared" si="3"/>
        <v>800</v>
      </c>
      <c r="I200" s="24" t="s">
        <v>65</v>
      </c>
      <c r="J200" s="56"/>
    </row>
    <row r="201" hidden="1" spans="2:10">
      <c r="B201" s="148">
        <v>222300069</v>
      </c>
      <c r="C201" s="149">
        <v>44666</v>
      </c>
      <c r="D201" s="32" t="s">
        <v>164</v>
      </c>
      <c r="E201" s="24">
        <v>102000</v>
      </c>
      <c r="F201" s="24">
        <v>0.011</v>
      </c>
      <c r="G201" s="151">
        <v>44671</v>
      </c>
      <c r="H201" s="24">
        <f t="shared" si="3"/>
        <v>1122</v>
      </c>
      <c r="I201" s="24" t="s">
        <v>65</v>
      </c>
      <c r="J201" s="152"/>
    </row>
    <row r="202" hidden="1" spans="2:10">
      <c r="B202" s="148">
        <v>222300069</v>
      </c>
      <c r="C202" s="149">
        <v>44666</v>
      </c>
      <c r="D202" s="32" t="s">
        <v>164</v>
      </c>
      <c r="E202" s="24">
        <v>102000</v>
      </c>
      <c r="F202" s="24">
        <v>0.011</v>
      </c>
      <c r="G202" s="151">
        <v>44676</v>
      </c>
      <c r="H202" s="24">
        <f t="shared" si="3"/>
        <v>1122</v>
      </c>
      <c r="I202" s="24" t="s">
        <v>65</v>
      </c>
      <c r="J202" s="152"/>
    </row>
    <row r="203" hidden="1" spans="2:10">
      <c r="B203" s="148">
        <v>222300069</v>
      </c>
      <c r="C203" s="149">
        <v>44666</v>
      </c>
      <c r="D203" s="32" t="s">
        <v>164</v>
      </c>
      <c r="E203" s="24">
        <v>60000</v>
      </c>
      <c r="F203" s="24">
        <v>0.011</v>
      </c>
      <c r="G203" s="151">
        <v>44737</v>
      </c>
      <c r="H203" s="24">
        <f t="shared" si="3"/>
        <v>660</v>
      </c>
      <c r="I203" s="24" t="s">
        <v>65</v>
      </c>
      <c r="J203" s="152"/>
    </row>
    <row r="204" hidden="1" spans="2:10">
      <c r="B204" s="148">
        <v>222300069</v>
      </c>
      <c r="C204" s="149">
        <v>44666</v>
      </c>
      <c r="D204" s="32" t="s">
        <v>165</v>
      </c>
      <c r="E204" s="24">
        <v>21000</v>
      </c>
      <c r="F204" s="24">
        <v>0.025</v>
      </c>
      <c r="G204" s="151">
        <v>44737</v>
      </c>
      <c r="H204" s="24">
        <f t="shared" si="3"/>
        <v>525</v>
      </c>
      <c r="I204" s="24" t="s">
        <v>65</v>
      </c>
      <c r="J204" s="152"/>
    </row>
    <row r="205" hidden="1" spans="2:10">
      <c r="B205" s="148">
        <v>222300070</v>
      </c>
      <c r="C205" s="149">
        <v>44666</v>
      </c>
      <c r="D205" s="32" t="s">
        <v>48</v>
      </c>
      <c r="E205" s="24">
        <v>208000</v>
      </c>
      <c r="F205" s="24">
        <v>0.022</v>
      </c>
      <c r="G205" s="151">
        <v>44671</v>
      </c>
      <c r="H205" s="24">
        <f t="shared" si="3"/>
        <v>4576</v>
      </c>
      <c r="I205" s="24" t="s">
        <v>65</v>
      </c>
      <c r="J205" s="152"/>
    </row>
    <row r="206" hidden="1" spans="2:10">
      <c r="B206" s="148">
        <v>222300070</v>
      </c>
      <c r="C206" s="149">
        <v>44666</v>
      </c>
      <c r="D206" s="32" t="s">
        <v>48</v>
      </c>
      <c r="E206" s="24">
        <v>208000</v>
      </c>
      <c r="F206" s="24">
        <v>0.022</v>
      </c>
      <c r="G206" s="151">
        <v>44701</v>
      </c>
      <c r="H206" s="24">
        <f t="shared" si="3"/>
        <v>4576</v>
      </c>
      <c r="I206" s="24" t="s">
        <v>65</v>
      </c>
      <c r="J206" s="152"/>
    </row>
    <row r="207" hidden="1" spans="2:10">
      <c r="B207" s="148">
        <v>222300070</v>
      </c>
      <c r="C207" s="149">
        <v>44666</v>
      </c>
      <c r="D207" s="32" t="s">
        <v>45</v>
      </c>
      <c r="E207" s="24">
        <v>200000</v>
      </c>
      <c r="F207" s="24">
        <v>0.028</v>
      </c>
      <c r="G207" s="151">
        <v>44737</v>
      </c>
      <c r="H207" s="24">
        <f t="shared" si="3"/>
        <v>5600</v>
      </c>
      <c r="I207" s="24" t="s">
        <v>65</v>
      </c>
      <c r="J207" s="152"/>
    </row>
    <row r="208" hidden="1" spans="2:10">
      <c r="B208" s="148">
        <v>222300070</v>
      </c>
      <c r="C208" s="149">
        <v>44666</v>
      </c>
      <c r="D208" s="32" t="s">
        <v>45</v>
      </c>
      <c r="E208" s="24">
        <v>200000</v>
      </c>
      <c r="F208" s="24">
        <v>0.028</v>
      </c>
      <c r="G208" s="151">
        <v>44671</v>
      </c>
      <c r="H208" s="24">
        <f t="shared" si="3"/>
        <v>5600</v>
      </c>
      <c r="I208" s="24" t="s">
        <v>65</v>
      </c>
      <c r="J208" s="152"/>
    </row>
    <row r="209" hidden="1" spans="2:10">
      <c r="B209" s="148">
        <v>222300070</v>
      </c>
      <c r="C209" s="149">
        <v>44666</v>
      </c>
      <c r="D209" s="32" t="s">
        <v>45</v>
      </c>
      <c r="E209" s="24">
        <v>200000</v>
      </c>
      <c r="F209" s="24">
        <v>0.028</v>
      </c>
      <c r="G209" s="151">
        <v>44701</v>
      </c>
      <c r="H209" s="24">
        <f t="shared" si="3"/>
        <v>5600</v>
      </c>
      <c r="I209" s="24" t="s">
        <v>65</v>
      </c>
      <c r="J209" s="152"/>
    </row>
    <row r="210" hidden="1" spans="2:10">
      <c r="B210" s="148">
        <v>222300071</v>
      </c>
      <c r="C210" s="149">
        <v>44666</v>
      </c>
      <c r="D210" s="32" t="s">
        <v>18</v>
      </c>
      <c r="E210" s="24">
        <v>100000</v>
      </c>
      <c r="F210" s="24">
        <v>0.0238</v>
      </c>
      <c r="G210" s="151">
        <v>44671</v>
      </c>
      <c r="H210" s="24">
        <f t="shared" si="3"/>
        <v>2380</v>
      </c>
      <c r="I210" s="24" t="s">
        <v>65</v>
      </c>
      <c r="J210" s="152"/>
    </row>
    <row r="211" hidden="1" spans="2:10">
      <c r="B211" s="148">
        <v>222300071</v>
      </c>
      <c r="C211" s="149">
        <v>44666</v>
      </c>
      <c r="D211" s="32" t="s">
        <v>18</v>
      </c>
      <c r="E211" s="24">
        <v>60000</v>
      </c>
      <c r="F211" s="24">
        <v>0.0238</v>
      </c>
      <c r="G211" s="151">
        <v>44701</v>
      </c>
      <c r="H211" s="24">
        <f t="shared" si="3"/>
        <v>1428</v>
      </c>
      <c r="I211" s="24" t="s">
        <v>65</v>
      </c>
      <c r="J211" s="152"/>
    </row>
    <row r="212" hidden="1" spans="2:10">
      <c r="B212" s="148">
        <v>222300071</v>
      </c>
      <c r="C212" s="149">
        <v>44666</v>
      </c>
      <c r="D212" s="32" t="s">
        <v>18</v>
      </c>
      <c r="E212" s="24">
        <v>60000</v>
      </c>
      <c r="F212" s="24">
        <v>0.0238</v>
      </c>
      <c r="G212" s="151">
        <v>44737</v>
      </c>
      <c r="H212" s="24">
        <f t="shared" si="3"/>
        <v>1428</v>
      </c>
      <c r="I212" s="24" t="s">
        <v>65</v>
      </c>
      <c r="J212" s="152"/>
    </row>
    <row r="213" hidden="1" spans="2:10">
      <c r="B213" s="148">
        <v>222300076</v>
      </c>
      <c r="C213" s="149">
        <v>44669</v>
      </c>
      <c r="D213" s="32" t="s">
        <v>29</v>
      </c>
      <c r="E213" s="24">
        <v>600000</v>
      </c>
      <c r="F213" s="24">
        <v>0.027</v>
      </c>
      <c r="G213" s="151">
        <v>44737</v>
      </c>
      <c r="H213" s="24">
        <f t="shared" si="3"/>
        <v>16200</v>
      </c>
      <c r="I213" s="24" t="s">
        <v>65</v>
      </c>
      <c r="J213" s="152"/>
    </row>
    <row r="214" hidden="1" spans="2:10">
      <c r="B214" s="148">
        <v>222300076</v>
      </c>
      <c r="C214" s="149">
        <v>44669</v>
      </c>
      <c r="D214" s="32" t="s">
        <v>29</v>
      </c>
      <c r="E214" s="24">
        <v>600000</v>
      </c>
      <c r="F214" s="24">
        <v>0.027</v>
      </c>
      <c r="G214" s="151">
        <v>44767</v>
      </c>
      <c r="H214" s="24">
        <f t="shared" si="3"/>
        <v>16200</v>
      </c>
      <c r="I214" s="24" t="s">
        <v>65</v>
      </c>
      <c r="J214" s="152"/>
    </row>
    <row r="215" hidden="1" spans="2:10">
      <c r="B215" s="148">
        <v>222300076</v>
      </c>
      <c r="C215" s="149">
        <v>44669</v>
      </c>
      <c r="D215" s="32" t="s">
        <v>30</v>
      </c>
      <c r="E215" s="24">
        <v>200000</v>
      </c>
      <c r="F215" s="24">
        <v>0.028</v>
      </c>
      <c r="G215" s="151">
        <v>44722</v>
      </c>
      <c r="H215" s="24">
        <f t="shared" si="3"/>
        <v>5600</v>
      </c>
      <c r="I215" s="24" t="s">
        <v>107</v>
      </c>
      <c r="J215" s="152"/>
    </row>
    <row r="216" hidden="1" spans="2:10">
      <c r="B216" s="148">
        <v>222300076</v>
      </c>
      <c r="C216" s="149">
        <v>44669</v>
      </c>
      <c r="D216" s="32" t="s">
        <v>30</v>
      </c>
      <c r="E216" s="24">
        <v>200000</v>
      </c>
      <c r="F216" s="24">
        <v>0.028</v>
      </c>
      <c r="G216" s="151">
        <v>44752</v>
      </c>
      <c r="H216" s="24">
        <f t="shared" si="3"/>
        <v>5600</v>
      </c>
      <c r="I216" s="24" t="s">
        <v>107</v>
      </c>
      <c r="J216" s="152"/>
    </row>
    <row r="217" hidden="1" spans="2:10">
      <c r="B217" s="148">
        <v>222300076</v>
      </c>
      <c r="C217" s="149">
        <v>44669</v>
      </c>
      <c r="D217" s="32" t="s">
        <v>49</v>
      </c>
      <c r="E217" s="24">
        <v>60000</v>
      </c>
      <c r="F217" s="24">
        <v>0.065</v>
      </c>
      <c r="G217" s="151">
        <v>44722</v>
      </c>
      <c r="H217" s="24">
        <f t="shared" si="3"/>
        <v>3900</v>
      </c>
      <c r="I217" s="24" t="s">
        <v>65</v>
      </c>
      <c r="J217" s="152"/>
    </row>
    <row r="218" hidden="1" spans="2:10">
      <c r="B218" s="148">
        <v>222300076</v>
      </c>
      <c r="C218" s="149">
        <v>44669</v>
      </c>
      <c r="D218" s="32" t="s">
        <v>50</v>
      </c>
      <c r="E218" s="24">
        <v>300000</v>
      </c>
      <c r="F218" s="24">
        <v>0.08</v>
      </c>
      <c r="G218" s="151">
        <v>44752</v>
      </c>
      <c r="H218" s="24">
        <f t="shared" si="3"/>
        <v>24000</v>
      </c>
      <c r="I218" s="24" t="s">
        <v>65</v>
      </c>
      <c r="J218" s="152"/>
    </row>
    <row r="219" hidden="1" spans="2:10">
      <c r="B219" s="148">
        <v>222300076</v>
      </c>
      <c r="C219" s="149">
        <v>44669</v>
      </c>
      <c r="D219" s="32" t="s">
        <v>50</v>
      </c>
      <c r="E219" s="24">
        <v>300000</v>
      </c>
      <c r="F219" s="24">
        <v>0.08</v>
      </c>
      <c r="G219" s="151">
        <v>44783</v>
      </c>
      <c r="H219" s="24">
        <f t="shared" si="3"/>
        <v>24000</v>
      </c>
      <c r="I219" s="24" t="s">
        <v>65</v>
      </c>
      <c r="J219" s="152"/>
    </row>
    <row r="220" hidden="1" spans="2:10">
      <c r="B220" s="148">
        <v>222300076</v>
      </c>
      <c r="C220" s="149">
        <v>44669</v>
      </c>
      <c r="D220" s="32" t="s">
        <v>48</v>
      </c>
      <c r="E220" s="24">
        <v>208000</v>
      </c>
      <c r="F220" s="24">
        <v>0.022</v>
      </c>
      <c r="G220" s="151">
        <v>44752</v>
      </c>
      <c r="H220" s="24">
        <f t="shared" si="3"/>
        <v>4576</v>
      </c>
      <c r="I220" s="24" t="s">
        <v>65</v>
      </c>
      <c r="J220" s="152"/>
    </row>
    <row r="221" hidden="1" spans="2:10">
      <c r="B221" s="148">
        <v>222300076</v>
      </c>
      <c r="C221" s="149">
        <v>44669</v>
      </c>
      <c r="D221" s="32" t="s">
        <v>33</v>
      </c>
      <c r="E221" s="24">
        <v>150000</v>
      </c>
      <c r="F221" s="24">
        <v>0.02</v>
      </c>
      <c r="G221" s="151">
        <v>44752</v>
      </c>
      <c r="H221" s="24">
        <f t="shared" si="3"/>
        <v>3000</v>
      </c>
      <c r="I221" s="24" t="s">
        <v>107</v>
      </c>
      <c r="J221" s="152"/>
    </row>
    <row r="222" hidden="1" spans="2:10">
      <c r="B222" s="148">
        <v>222300076</v>
      </c>
      <c r="C222" s="149">
        <v>44669</v>
      </c>
      <c r="D222" s="32" t="s">
        <v>93</v>
      </c>
      <c r="E222" s="24">
        <v>250000</v>
      </c>
      <c r="F222" s="24">
        <v>0.0405</v>
      </c>
      <c r="G222" s="151">
        <v>44722</v>
      </c>
      <c r="H222" s="24">
        <f t="shared" si="3"/>
        <v>10125</v>
      </c>
      <c r="I222" s="24" t="s">
        <v>110</v>
      </c>
      <c r="J222" s="152"/>
    </row>
    <row r="223" hidden="1" spans="2:10">
      <c r="B223" s="148">
        <v>222300076</v>
      </c>
      <c r="C223" s="149">
        <v>44669</v>
      </c>
      <c r="D223" s="32" t="s">
        <v>93</v>
      </c>
      <c r="E223" s="24">
        <v>250000</v>
      </c>
      <c r="F223" s="24">
        <v>0.0405</v>
      </c>
      <c r="G223" s="151">
        <v>44752</v>
      </c>
      <c r="H223" s="24">
        <f t="shared" si="3"/>
        <v>10125</v>
      </c>
      <c r="I223" s="24" t="s">
        <v>110</v>
      </c>
      <c r="J223" s="152"/>
    </row>
    <row r="224" hidden="1" spans="2:10">
      <c r="B224" s="148">
        <v>222300076</v>
      </c>
      <c r="C224" s="149">
        <v>44669</v>
      </c>
      <c r="D224" s="32" t="s">
        <v>111</v>
      </c>
      <c r="E224" s="24">
        <v>20000</v>
      </c>
      <c r="F224" s="24">
        <v>0.045</v>
      </c>
      <c r="G224" s="151">
        <v>44752</v>
      </c>
      <c r="H224" s="24">
        <f t="shared" si="3"/>
        <v>900</v>
      </c>
      <c r="I224" s="24" t="s">
        <v>107</v>
      </c>
      <c r="J224" s="152"/>
    </row>
    <row r="225" s="29" customFormat="1" hidden="1" spans="2:10">
      <c r="B225" s="148">
        <v>222300098</v>
      </c>
      <c r="C225" s="149">
        <v>44671</v>
      </c>
      <c r="D225" s="32" t="s">
        <v>166</v>
      </c>
      <c r="E225" s="24">
        <v>2000</v>
      </c>
      <c r="F225" s="24">
        <v>0.568</v>
      </c>
      <c r="G225" s="151">
        <v>44676</v>
      </c>
      <c r="H225" s="24">
        <f t="shared" si="3"/>
        <v>1136</v>
      </c>
      <c r="I225" s="24" t="s">
        <v>10</v>
      </c>
      <c r="J225" s="22"/>
    </row>
    <row r="226" hidden="1" spans="2:10">
      <c r="B226" s="148">
        <v>222300098</v>
      </c>
      <c r="C226" s="149">
        <v>44671</v>
      </c>
      <c r="D226" s="32" t="s">
        <v>61</v>
      </c>
      <c r="E226" s="24">
        <v>32000</v>
      </c>
      <c r="F226" s="24">
        <v>0.022</v>
      </c>
      <c r="G226" s="151">
        <v>44676</v>
      </c>
      <c r="H226" s="24">
        <f t="shared" si="3"/>
        <v>704</v>
      </c>
      <c r="I226" s="24" t="s">
        <v>10</v>
      </c>
      <c r="J226" s="152"/>
    </row>
    <row r="227" hidden="1" spans="2:10">
      <c r="B227" s="148">
        <v>222300097</v>
      </c>
      <c r="C227" s="149">
        <v>44671</v>
      </c>
      <c r="D227" s="32" t="s">
        <v>167</v>
      </c>
      <c r="E227" s="24">
        <v>6000</v>
      </c>
      <c r="F227" s="24">
        <v>0.042</v>
      </c>
      <c r="G227" s="151">
        <v>44676</v>
      </c>
      <c r="H227" s="24">
        <f t="shared" si="3"/>
        <v>252</v>
      </c>
      <c r="I227" s="24" t="s">
        <v>168</v>
      </c>
      <c r="J227" s="152"/>
    </row>
    <row r="228" hidden="1" spans="2:10">
      <c r="B228" s="148">
        <v>222300097</v>
      </c>
      <c r="C228" s="149">
        <v>44671</v>
      </c>
      <c r="D228" s="32" t="s">
        <v>169</v>
      </c>
      <c r="E228" s="24">
        <v>4000</v>
      </c>
      <c r="F228" s="24">
        <v>0.0354</v>
      </c>
      <c r="G228" s="151">
        <v>44676</v>
      </c>
      <c r="H228" s="24">
        <f t="shared" si="3"/>
        <v>141.6</v>
      </c>
      <c r="I228" s="24" t="s">
        <v>168</v>
      </c>
      <c r="J228" s="152"/>
    </row>
    <row r="229" hidden="1" spans="2:10">
      <c r="B229" s="148">
        <v>222300097</v>
      </c>
      <c r="C229" s="149">
        <v>44671</v>
      </c>
      <c r="D229" s="32" t="s">
        <v>170</v>
      </c>
      <c r="E229" s="24">
        <v>6000</v>
      </c>
      <c r="F229" s="24">
        <v>0.0356</v>
      </c>
      <c r="G229" s="151">
        <v>44676</v>
      </c>
      <c r="H229" s="24">
        <f t="shared" si="3"/>
        <v>213.6</v>
      </c>
      <c r="I229" s="24" t="s">
        <v>168</v>
      </c>
      <c r="J229" s="152"/>
    </row>
    <row r="230" hidden="1" spans="2:10">
      <c r="B230" s="148">
        <v>222300097</v>
      </c>
      <c r="C230" s="149">
        <v>44671</v>
      </c>
      <c r="D230" s="32" t="s">
        <v>171</v>
      </c>
      <c r="E230" s="24">
        <v>6000</v>
      </c>
      <c r="F230" s="58">
        <v>0.0348</v>
      </c>
      <c r="G230" s="155">
        <v>44676</v>
      </c>
      <c r="H230" s="58">
        <f t="shared" si="3"/>
        <v>208.8</v>
      </c>
      <c r="I230" s="58" t="s">
        <v>168</v>
      </c>
      <c r="J230" s="152"/>
    </row>
    <row r="231" hidden="1" spans="2:10">
      <c r="B231" s="148">
        <v>222300108</v>
      </c>
      <c r="C231" s="149">
        <v>44673</v>
      </c>
      <c r="D231" s="32" t="s">
        <v>31</v>
      </c>
      <c r="E231" s="24">
        <v>200000</v>
      </c>
      <c r="F231" s="24">
        <v>0.036</v>
      </c>
      <c r="G231" s="151">
        <v>44732</v>
      </c>
      <c r="H231" s="24">
        <f t="shared" si="3"/>
        <v>7200</v>
      </c>
      <c r="I231" s="24" t="s">
        <v>10</v>
      </c>
      <c r="J231" s="152"/>
    </row>
    <row r="232" hidden="1" spans="2:10">
      <c r="B232" s="148">
        <v>222300108</v>
      </c>
      <c r="C232" s="149">
        <v>44673</v>
      </c>
      <c r="D232" s="32" t="s">
        <v>31</v>
      </c>
      <c r="E232" s="24">
        <v>200000</v>
      </c>
      <c r="F232" s="24">
        <v>0.036</v>
      </c>
      <c r="G232" s="151">
        <v>44762</v>
      </c>
      <c r="H232" s="24">
        <f t="shared" si="3"/>
        <v>7200</v>
      </c>
      <c r="I232" s="24" t="s">
        <v>10</v>
      </c>
      <c r="J232" s="152"/>
    </row>
    <row r="233" hidden="1" spans="2:10">
      <c r="B233" s="148">
        <v>222300108</v>
      </c>
      <c r="C233" s="149">
        <v>44673</v>
      </c>
      <c r="D233" s="32" t="s">
        <v>57</v>
      </c>
      <c r="E233" s="24">
        <v>20000</v>
      </c>
      <c r="F233" s="24">
        <v>0.15</v>
      </c>
      <c r="G233" s="151">
        <v>44727</v>
      </c>
      <c r="H233" s="24">
        <f t="shared" si="3"/>
        <v>3000</v>
      </c>
      <c r="I233" s="24" t="s">
        <v>10</v>
      </c>
      <c r="J233" s="152"/>
    </row>
    <row r="234" hidden="1" spans="2:10">
      <c r="B234" s="148">
        <v>222300108</v>
      </c>
      <c r="C234" s="149">
        <v>44673</v>
      </c>
      <c r="D234" s="32" t="s">
        <v>32</v>
      </c>
      <c r="E234" s="24">
        <v>80000</v>
      </c>
      <c r="F234" s="24">
        <v>0.02</v>
      </c>
      <c r="G234" s="151">
        <v>44727</v>
      </c>
      <c r="H234" s="24">
        <f t="shared" si="3"/>
        <v>1600</v>
      </c>
      <c r="I234" s="24" t="s">
        <v>107</v>
      </c>
      <c r="J234" s="152"/>
    </row>
    <row r="235" hidden="1" spans="2:10">
      <c r="B235" s="148">
        <v>222300108</v>
      </c>
      <c r="C235" s="149">
        <v>44673</v>
      </c>
      <c r="D235" s="32" t="s">
        <v>32</v>
      </c>
      <c r="E235" s="24">
        <v>80000</v>
      </c>
      <c r="F235" s="24">
        <v>0.02</v>
      </c>
      <c r="G235" s="151">
        <v>44757</v>
      </c>
      <c r="H235" s="24">
        <f t="shared" si="3"/>
        <v>1600</v>
      </c>
      <c r="I235" s="24" t="s">
        <v>107</v>
      </c>
      <c r="J235" s="152"/>
    </row>
    <row r="236" hidden="1" spans="2:10">
      <c r="B236" s="148">
        <v>222300108</v>
      </c>
      <c r="C236" s="149">
        <v>44673</v>
      </c>
      <c r="D236" s="32" t="s">
        <v>56</v>
      </c>
      <c r="E236" s="24">
        <v>70000</v>
      </c>
      <c r="F236" s="24">
        <v>0.04</v>
      </c>
      <c r="G236" s="151">
        <v>44696</v>
      </c>
      <c r="H236" s="24">
        <f t="shared" si="3"/>
        <v>2800</v>
      </c>
      <c r="I236" s="24" t="s">
        <v>10</v>
      </c>
      <c r="J236" s="152"/>
    </row>
    <row r="237" hidden="1" spans="2:10">
      <c r="B237" s="148">
        <v>222300108</v>
      </c>
      <c r="C237" s="149">
        <v>44673</v>
      </c>
      <c r="D237" s="32" t="s">
        <v>56</v>
      </c>
      <c r="E237" s="24">
        <v>70000</v>
      </c>
      <c r="F237" s="24">
        <v>0.04</v>
      </c>
      <c r="G237" s="151">
        <v>44727</v>
      </c>
      <c r="H237" s="24">
        <f t="shared" si="3"/>
        <v>2800</v>
      </c>
      <c r="I237" s="24" t="s">
        <v>10</v>
      </c>
      <c r="J237" s="152"/>
    </row>
    <row r="238" hidden="1" spans="2:10">
      <c r="B238" s="148">
        <v>222300108</v>
      </c>
      <c r="C238" s="149">
        <v>44673</v>
      </c>
      <c r="D238" s="32" t="s">
        <v>56</v>
      </c>
      <c r="E238" s="24">
        <v>70000</v>
      </c>
      <c r="F238" s="24">
        <v>0.04</v>
      </c>
      <c r="G238" s="151">
        <v>44757</v>
      </c>
      <c r="H238" s="24">
        <f t="shared" si="3"/>
        <v>2800</v>
      </c>
      <c r="I238" s="24" t="s">
        <v>10</v>
      </c>
      <c r="J238" s="152"/>
    </row>
    <row r="239" hidden="1" spans="2:10">
      <c r="B239" s="148">
        <v>222300108</v>
      </c>
      <c r="C239" s="149">
        <v>44673</v>
      </c>
      <c r="D239" s="32" t="s">
        <v>43</v>
      </c>
      <c r="E239" s="24">
        <v>200000</v>
      </c>
      <c r="F239" s="24">
        <v>0.05</v>
      </c>
      <c r="G239" s="151">
        <v>44757</v>
      </c>
      <c r="H239" s="24">
        <f t="shared" si="3"/>
        <v>10000</v>
      </c>
      <c r="I239" s="24" t="s">
        <v>10</v>
      </c>
      <c r="J239" s="152"/>
    </row>
    <row r="240" hidden="1" spans="2:10">
      <c r="B240" s="148">
        <v>222300108</v>
      </c>
      <c r="C240" s="149">
        <v>44673</v>
      </c>
      <c r="D240" s="32" t="s">
        <v>43</v>
      </c>
      <c r="E240" s="24">
        <v>200000</v>
      </c>
      <c r="F240" s="24">
        <v>0.05</v>
      </c>
      <c r="G240" s="151">
        <v>44788</v>
      </c>
      <c r="H240" s="24">
        <f t="shared" si="3"/>
        <v>10000</v>
      </c>
      <c r="I240" s="24" t="s">
        <v>10</v>
      </c>
      <c r="J240" s="152"/>
    </row>
    <row r="241" hidden="1" spans="2:10">
      <c r="B241" s="148">
        <v>222300108</v>
      </c>
      <c r="C241" s="149">
        <v>44673</v>
      </c>
      <c r="D241" s="32" t="s">
        <v>108</v>
      </c>
      <c r="E241" s="24">
        <v>20000</v>
      </c>
      <c r="F241" s="24">
        <v>0.04</v>
      </c>
      <c r="G241" s="151">
        <v>44727</v>
      </c>
      <c r="H241" s="24">
        <f t="shared" si="3"/>
        <v>800</v>
      </c>
      <c r="I241" s="24" t="s">
        <v>10</v>
      </c>
      <c r="J241" s="152"/>
    </row>
    <row r="242" hidden="1" spans="2:10">
      <c r="B242" s="148">
        <v>222300108</v>
      </c>
      <c r="C242" s="149">
        <v>44673</v>
      </c>
      <c r="D242" s="32" t="s">
        <v>108</v>
      </c>
      <c r="E242" s="24">
        <v>20000</v>
      </c>
      <c r="F242" s="24">
        <v>0.04</v>
      </c>
      <c r="G242" s="151">
        <v>44788</v>
      </c>
      <c r="H242" s="24">
        <f t="shared" si="3"/>
        <v>800</v>
      </c>
      <c r="I242" s="24" t="s">
        <v>10</v>
      </c>
      <c r="J242" s="152"/>
    </row>
    <row r="243" hidden="1" spans="2:10">
      <c r="B243" s="148">
        <v>222300108</v>
      </c>
      <c r="C243" s="149">
        <v>44673</v>
      </c>
      <c r="D243" s="32" t="s">
        <v>120</v>
      </c>
      <c r="E243" s="24">
        <v>150000</v>
      </c>
      <c r="F243" s="24">
        <v>0.035</v>
      </c>
      <c r="G243" s="151">
        <v>44788</v>
      </c>
      <c r="H243" s="24">
        <f t="shared" si="3"/>
        <v>5250</v>
      </c>
      <c r="I243" s="24" t="s">
        <v>10</v>
      </c>
      <c r="J243" s="152"/>
    </row>
    <row r="244" hidden="1" spans="2:10">
      <c r="B244" s="148">
        <v>222300131</v>
      </c>
      <c r="C244" s="149">
        <v>44674</v>
      </c>
      <c r="D244" s="32" t="s">
        <v>31</v>
      </c>
      <c r="E244" s="24">
        <v>300000</v>
      </c>
      <c r="F244" s="24">
        <v>0.036</v>
      </c>
      <c r="G244" s="151">
        <v>44762</v>
      </c>
      <c r="H244" s="24">
        <f t="shared" si="3"/>
        <v>10800</v>
      </c>
      <c r="I244" s="24" t="s">
        <v>10</v>
      </c>
      <c r="J244" s="152"/>
    </row>
    <row r="245" hidden="1" spans="2:10">
      <c r="B245" s="148">
        <v>222300131</v>
      </c>
      <c r="C245" s="149">
        <v>44674</v>
      </c>
      <c r="D245" s="32" t="s">
        <v>31</v>
      </c>
      <c r="E245" s="24">
        <v>300000</v>
      </c>
      <c r="F245" s="24">
        <v>0.036</v>
      </c>
      <c r="G245" s="151">
        <v>44762</v>
      </c>
      <c r="H245" s="24">
        <f t="shared" si="3"/>
        <v>10800</v>
      </c>
      <c r="I245" s="24" t="s">
        <v>10</v>
      </c>
      <c r="J245" s="152"/>
    </row>
    <row r="246" hidden="1" spans="2:10">
      <c r="B246" s="148">
        <v>222300131</v>
      </c>
      <c r="C246" s="149">
        <v>44674</v>
      </c>
      <c r="D246" s="32" t="s">
        <v>30</v>
      </c>
      <c r="E246" s="24">
        <v>600000</v>
      </c>
      <c r="F246" s="24">
        <v>0.028</v>
      </c>
      <c r="G246" s="151">
        <v>44762</v>
      </c>
      <c r="H246" s="24">
        <f t="shared" si="3"/>
        <v>16800</v>
      </c>
      <c r="I246" s="24" t="s">
        <v>107</v>
      </c>
      <c r="J246" s="152"/>
    </row>
    <row r="247" hidden="1" spans="2:10">
      <c r="B247" s="148">
        <v>222300131</v>
      </c>
      <c r="C247" s="149">
        <v>44674</v>
      </c>
      <c r="D247" s="32" t="s">
        <v>30</v>
      </c>
      <c r="E247" s="24">
        <v>500000</v>
      </c>
      <c r="F247" s="24">
        <v>0.028</v>
      </c>
      <c r="G247" s="151">
        <v>44798</v>
      </c>
      <c r="H247" s="24">
        <f t="shared" si="3"/>
        <v>14000</v>
      </c>
      <c r="I247" s="24" t="s">
        <v>107</v>
      </c>
      <c r="J247" s="152"/>
    </row>
    <row r="248" hidden="1" spans="2:10">
      <c r="B248" s="148">
        <v>222300131</v>
      </c>
      <c r="C248" s="149">
        <v>44674</v>
      </c>
      <c r="D248" s="32" t="s">
        <v>41</v>
      </c>
      <c r="E248" s="24">
        <v>34000</v>
      </c>
      <c r="F248" s="24">
        <v>0.285</v>
      </c>
      <c r="G248" s="151">
        <v>44829</v>
      </c>
      <c r="H248" s="24">
        <f t="shared" si="3"/>
        <v>9690</v>
      </c>
      <c r="I248" s="24" t="s">
        <v>107</v>
      </c>
      <c r="J248" s="152"/>
    </row>
    <row r="249" hidden="1" spans="2:10">
      <c r="B249" s="148">
        <v>222300131</v>
      </c>
      <c r="C249" s="149">
        <v>44674</v>
      </c>
      <c r="D249" s="32" t="s">
        <v>18</v>
      </c>
      <c r="E249" s="24">
        <v>500000</v>
      </c>
      <c r="F249" s="24">
        <v>0.0238</v>
      </c>
      <c r="G249" s="151">
        <v>44727</v>
      </c>
      <c r="H249" s="24">
        <f t="shared" si="3"/>
        <v>11900</v>
      </c>
      <c r="I249" s="24" t="s">
        <v>10</v>
      </c>
      <c r="J249" s="152"/>
    </row>
    <row r="250" hidden="1" spans="2:10">
      <c r="B250" s="148">
        <v>222300131</v>
      </c>
      <c r="C250" s="149">
        <v>44674</v>
      </c>
      <c r="D250" s="32" t="s">
        <v>18</v>
      </c>
      <c r="E250" s="24">
        <v>500000</v>
      </c>
      <c r="F250" s="24">
        <v>0.0238</v>
      </c>
      <c r="G250" s="151">
        <v>44762</v>
      </c>
      <c r="H250" s="24">
        <f t="shared" si="3"/>
        <v>11900</v>
      </c>
      <c r="I250" s="24" t="s">
        <v>10</v>
      </c>
      <c r="J250" s="152"/>
    </row>
    <row r="251" hidden="1" spans="2:10">
      <c r="B251" s="148">
        <v>222300131</v>
      </c>
      <c r="C251" s="149">
        <v>44674</v>
      </c>
      <c r="D251" s="32" t="s">
        <v>16</v>
      </c>
      <c r="E251" s="24">
        <v>100000</v>
      </c>
      <c r="F251" s="24">
        <v>0.0292</v>
      </c>
      <c r="G251" s="151">
        <v>44798</v>
      </c>
      <c r="H251" s="24">
        <f t="shared" si="3"/>
        <v>2920</v>
      </c>
      <c r="I251" s="24" t="s">
        <v>107</v>
      </c>
      <c r="J251" s="152"/>
    </row>
    <row r="252" hidden="1" spans="2:10">
      <c r="B252" s="148">
        <v>222300131</v>
      </c>
      <c r="C252" s="149">
        <v>44674</v>
      </c>
      <c r="D252" s="32" t="s">
        <v>16</v>
      </c>
      <c r="E252" s="24">
        <v>100000</v>
      </c>
      <c r="F252" s="24">
        <v>0.0292</v>
      </c>
      <c r="G252" s="151">
        <v>44798</v>
      </c>
      <c r="H252" s="24">
        <f t="shared" si="3"/>
        <v>2920</v>
      </c>
      <c r="I252" s="24" t="s">
        <v>107</v>
      </c>
      <c r="J252" s="152"/>
    </row>
    <row r="253" hidden="1" spans="2:10">
      <c r="B253" s="148">
        <v>222300131</v>
      </c>
      <c r="C253" s="149">
        <v>44674</v>
      </c>
      <c r="D253" s="32" t="s">
        <v>67</v>
      </c>
      <c r="E253" s="24">
        <v>150000</v>
      </c>
      <c r="F253" s="156">
        <v>0.028</v>
      </c>
      <c r="G253" s="151">
        <v>44737</v>
      </c>
      <c r="H253" s="24">
        <f t="shared" si="3"/>
        <v>4200</v>
      </c>
      <c r="I253" s="24" t="s">
        <v>10</v>
      </c>
      <c r="J253" s="152"/>
    </row>
    <row r="254" hidden="1" spans="2:10">
      <c r="B254" s="148">
        <v>222300131</v>
      </c>
      <c r="C254" s="149">
        <v>44674</v>
      </c>
      <c r="D254" s="32" t="s">
        <v>67</v>
      </c>
      <c r="E254" s="24">
        <v>50000</v>
      </c>
      <c r="F254" s="156">
        <v>0.028</v>
      </c>
      <c r="G254" s="151">
        <v>44737</v>
      </c>
      <c r="H254" s="24">
        <f t="shared" si="3"/>
        <v>1400</v>
      </c>
      <c r="I254" s="24" t="s">
        <v>10</v>
      </c>
      <c r="J254" s="152"/>
    </row>
    <row r="255" hidden="1" spans="2:10">
      <c r="B255" s="148">
        <v>222300131</v>
      </c>
      <c r="C255" s="149">
        <v>44674</v>
      </c>
      <c r="D255" s="32" t="s">
        <v>104</v>
      </c>
      <c r="E255" s="24">
        <v>60000</v>
      </c>
      <c r="F255" s="156">
        <v>0.028</v>
      </c>
      <c r="G255" s="151">
        <v>44737</v>
      </c>
      <c r="H255" s="24">
        <f t="shared" si="3"/>
        <v>1680</v>
      </c>
      <c r="I255" s="24" t="s">
        <v>10</v>
      </c>
      <c r="J255" s="152"/>
    </row>
    <row r="256" hidden="1" spans="2:10">
      <c r="B256" s="148">
        <v>222300131</v>
      </c>
      <c r="C256" s="149">
        <v>44674</v>
      </c>
      <c r="D256" s="32" t="s">
        <v>82</v>
      </c>
      <c r="E256" s="24">
        <v>80000</v>
      </c>
      <c r="F256" s="24">
        <v>0.022</v>
      </c>
      <c r="G256" s="151">
        <v>44737</v>
      </c>
      <c r="H256" s="24">
        <f t="shared" si="3"/>
        <v>1760</v>
      </c>
      <c r="I256" s="24" t="s">
        <v>10</v>
      </c>
      <c r="J256" s="152"/>
    </row>
    <row r="257" hidden="1" spans="2:10">
      <c r="B257" s="148">
        <v>222300131</v>
      </c>
      <c r="C257" s="149">
        <v>44674</v>
      </c>
      <c r="D257" s="32" t="s">
        <v>82</v>
      </c>
      <c r="E257" s="24">
        <v>60000</v>
      </c>
      <c r="F257" s="24">
        <v>0.022</v>
      </c>
      <c r="G257" s="151">
        <v>44762</v>
      </c>
      <c r="H257" s="24">
        <f t="shared" si="3"/>
        <v>1320</v>
      </c>
      <c r="I257" s="24" t="s">
        <v>10</v>
      </c>
      <c r="J257" s="152"/>
    </row>
    <row r="258" hidden="1" spans="2:10">
      <c r="B258" s="148">
        <v>222300131</v>
      </c>
      <c r="C258" s="149">
        <v>44674</v>
      </c>
      <c r="D258" s="32" t="s">
        <v>82</v>
      </c>
      <c r="E258" s="24">
        <v>60000</v>
      </c>
      <c r="F258" s="24">
        <v>0.022</v>
      </c>
      <c r="G258" s="151">
        <v>44798</v>
      </c>
      <c r="H258" s="24">
        <f t="shared" ref="H258:H321" si="4">F258*E258</f>
        <v>1320</v>
      </c>
      <c r="I258" s="24" t="s">
        <v>10</v>
      </c>
      <c r="J258" s="152"/>
    </row>
    <row r="259" hidden="1" spans="2:10">
      <c r="B259" s="148">
        <v>222300131</v>
      </c>
      <c r="C259" s="149">
        <v>44674</v>
      </c>
      <c r="D259" s="32" t="s">
        <v>83</v>
      </c>
      <c r="E259" s="24">
        <v>50000</v>
      </c>
      <c r="F259" s="24">
        <v>0.023</v>
      </c>
      <c r="G259" s="151">
        <v>44737</v>
      </c>
      <c r="H259" s="24">
        <f t="shared" si="4"/>
        <v>1150</v>
      </c>
      <c r="I259" s="24" t="s">
        <v>10</v>
      </c>
      <c r="J259" s="152"/>
    </row>
    <row r="260" hidden="1" spans="2:10">
      <c r="B260" s="148">
        <v>222300131</v>
      </c>
      <c r="C260" s="149">
        <v>44674</v>
      </c>
      <c r="D260" s="32" t="s">
        <v>39</v>
      </c>
      <c r="E260" s="24">
        <v>800000</v>
      </c>
      <c r="F260" s="24">
        <v>0.03</v>
      </c>
      <c r="G260" s="151">
        <v>44752</v>
      </c>
      <c r="H260" s="24">
        <f t="shared" si="4"/>
        <v>24000</v>
      </c>
      <c r="I260" s="24" t="s">
        <v>107</v>
      </c>
      <c r="J260" s="152"/>
    </row>
    <row r="261" hidden="1" spans="2:10">
      <c r="B261" s="148">
        <v>222300131</v>
      </c>
      <c r="C261" s="149">
        <v>44674</v>
      </c>
      <c r="D261" s="32" t="s">
        <v>39</v>
      </c>
      <c r="E261" s="24">
        <v>400000</v>
      </c>
      <c r="F261" s="24">
        <v>0.03</v>
      </c>
      <c r="G261" s="151">
        <v>44752</v>
      </c>
      <c r="H261" s="24">
        <f t="shared" si="4"/>
        <v>12000</v>
      </c>
      <c r="I261" s="24" t="s">
        <v>107</v>
      </c>
      <c r="J261" s="152"/>
    </row>
    <row r="262" hidden="1" spans="2:10">
      <c r="B262" s="148">
        <v>222300162</v>
      </c>
      <c r="C262" s="149">
        <v>44685</v>
      </c>
      <c r="D262" s="32" t="s">
        <v>39</v>
      </c>
      <c r="E262" s="24">
        <v>1000000</v>
      </c>
      <c r="F262" s="24">
        <v>0.03</v>
      </c>
      <c r="G262" s="151">
        <v>44783</v>
      </c>
      <c r="H262" s="24">
        <f t="shared" si="4"/>
        <v>30000</v>
      </c>
      <c r="I262" s="24" t="s">
        <v>107</v>
      </c>
      <c r="J262" s="152"/>
    </row>
    <row r="263" hidden="1" spans="2:10">
      <c r="B263" s="148">
        <v>222300162</v>
      </c>
      <c r="C263" s="149">
        <v>44685</v>
      </c>
      <c r="D263" s="32" t="s">
        <v>39</v>
      </c>
      <c r="E263" s="24">
        <v>1000000</v>
      </c>
      <c r="F263" s="24">
        <v>0.03</v>
      </c>
      <c r="G263" s="151">
        <v>44814</v>
      </c>
      <c r="H263" s="24">
        <f t="shared" si="4"/>
        <v>30000</v>
      </c>
      <c r="I263" s="24" t="s">
        <v>107</v>
      </c>
      <c r="J263" s="152"/>
    </row>
    <row r="264" hidden="1" spans="2:10">
      <c r="B264" s="148">
        <v>222300162</v>
      </c>
      <c r="C264" s="149">
        <v>44685</v>
      </c>
      <c r="D264" s="32" t="s">
        <v>11</v>
      </c>
      <c r="E264" s="24">
        <v>150000</v>
      </c>
      <c r="F264" s="24">
        <v>0.04</v>
      </c>
      <c r="G264" s="151">
        <v>44722</v>
      </c>
      <c r="H264" s="24">
        <f t="shared" si="4"/>
        <v>6000</v>
      </c>
      <c r="I264" s="24" t="s">
        <v>107</v>
      </c>
      <c r="J264" s="152"/>
    </row>
    <row r="265" hidden="1" spans="2:10">
      <c r="B265" s="148">
        <v>222300162</v>
      </c>
      <c r="C265" s="149">
        <v>44685</v>
      </c>
      <c r="D265" s="32" t="s">
        <v>11</v>
      </c>
      <c r="E265" s="24">
        <v>150000</v>
      </c>
      <c r="F265" s="24">
        <v>0.04</v>
      </c>
      <c r="G265" s="151">
        <v>44752</v>
      </c>
      <c r="H265" s="24">
        <f t="shared" si="4"/>
        <v>6000</v>
      </c>
      <c r="I265" s="24" t="s">
        <v>110</v>
      </c>
      <c r="J265" s="152"/>
    </row>
    <row r="266" hidden="1" spans="2:10">
      <c r="B266" s="148">
        <v>222300162</v>
      </c>
      <c r="C266" s="149">
        <v>44685</v>
      </c>
      <c r="D266" s="32" t="s">
        <v>30</v>
      </c>
      <c r="E266" s="24">
        <v>150000</v>
      </c>
      <c r="F266" s="24">
        <v>0.028</v>
      </c>
      <c r="G266" s="151">
        <v>44722</v>
      </c>
      <c r="H266" s="24">
        <f t="shared" si="4"/>
        <v>4200</v>
      </c>
      <c r="I266" s="24" t="s">
        <v>107</v>
      </c>
      <c r="J266" s="152"/>
    </row>
    <row r="267" hidden="1" spans="2:10">
      <c r="B267" s="148">
        <v>222300162</v>
      </c>
      <c r="C267" s="149">
        <v>44685</v>
      </c>
      <c r="D267" s="32" t="s">
        <v>34</v>
      </c>
      <c r="E267" s="24">
        <v>100000</v>
      </c>
      <c r="F267" s="24">
        <v>0.051</v>
      </c>
      <c r="G267" s="151">
        <v>44757</v>
      </c>
      <c r="H267" s="24">
        <f t="shared" si="4"/>
        <v>5100</v>
      </c>
      <c r="I267" s="24" t="s">
        <v>65</v>
      </c>
      <c r="J267" s="152"/>
    </row>
    <row r="268" hidden="1" spans="2:10">
      <c r="B268" s="148">
        <v>222300162</v>
      </c>
      <c r="C268" s="149">
        <v>44685</v>
      </c>
      <c r="D268" s="32" t="s">
        <v>100</v>
      </c>
      <c r="E268" s="24">
        <v>40000</v>
      </c>
      <c r="F268" s="24">
        <v>0.03</v>
      </c>
      <c r="G268" s="151">
        <v>44757</v>
      </c>
      <c r="H268" s="24">
        <f t="shared" si="4"/>
        <v>1200</v>
      </c>
      <c r="I268" s="24" t="s">
        <v>65</v>
      </c>
      <c r="J268" s="152"/>
    </row>
    <row r="269" hidden="1" spans="2:10">
      <c r="B269" s="148">
        <v>222300162</v>
      </c>
      <c r="C269" s="149">
        <v>44685</v>
      </c>
      <c r="D269" s="32" t="s">
        <v>36</v>
      </c>
      <c r="E269" s="24">
        <v>200000</v>
      </c>
      <c r="F269" s="24">
        <v>0.0083</v>
      </c>
      <c r="G269" s="151">
        <v>44757</v>
      </c>
      <c r="H269" s="24">
        <f t="shared" si="4"/>
        <v>1660</v>
      </c>
      <c r="I269" s="24" t="s">
        <v>65</v>
      </c>
      <c r="J269" s="152"/>
    </row>
    <row r="270" hidden="1" spans="2:10">
      <c r="B270" s="148">
        <v>222300162</v>
      </c>
      <c r="C270" s="149">
        <v>44685</v>
      </c>
      <c r="D270" s="32" t="s">
        <v>172</v>
      </c>
      <c r="E270" s="24">
        <v>208000</v>
      </c>
      <c r="F270" s="24">
        <v>0.002</v>
      </c>
      <c r="G270" s="151">
        <v>44727</v>
      </c>
      <c r="H270" s="24">
        <f t="shared" si="4"/>
        <v>416</v>
      </c>
      <c r="I270" s="24" t="s">
        <v>65</v>
      </c>
      <c r="J270" s="152"/>
    </row>
    <row r="271" hidden="1" spans="2:10">
      <c r="B271" s="148">
        <v>222300162</v>
      </c>
      <c r="C271" s="149">
        <v>44685</v>
      </c>
      <c r="D271" s="32" t="s">
        <v>172</v>
      </c>
      <c r="E271" s="24">
        <v>208000</v>
      </c>
      <c r="F271" s="24">
        <v>0.002</v>
      </c>
      <c r="G271" s="151">
        <v>44772</v>
      </c>
      <c r="H271" s="24">
        <f t="shared" si="4"/>
        <v>416</v>
      </c>
      <c r="I271" s="24" t="s">
        <v>65</v>
      </c>
      <c r="J271" s="152"/>
    </row>
    <row r="272" hidden="1" spans="2:10">
      <c r="B272" s="148">
        <v>222300162</v>
      </c>
      <c r="C272" s="149">
        <v>44685</v>
      </c>
      <c r="D272" s="32" t="s">
        <v>173</v>
      </c>
      <c r="E272" s="24">
        <v>96000</v>
      </c>
      <c r="F272" s="24">
        <v>0.006</v>
      </c>
      <c r="G272" s="151">
        <v>44757</v>
      </c>
      <c r="H272" s="24">
        <f t="shared" si="4"/>
        <v>576</v>
      </c>
      <c r="I272" s="24" t="s">
        <v>65</v>
      </c>
      <c r="J272" s="152"/>
    </row>
    <row r="273" hidden="1" spans="2:10">
      <c r="B273" s="148">
        <v>222300162</v>
      </c>
      <c r="C273" s="149">
        <v>44685</v>
      </c>
      <c r="D273" s="32" t="s">
        <v>173</v>
      </c>
      <c r="E273" s="24">
        <v>96000</v>
      </c>
      <c r="F273" s="24">
        <v>0.006</v>
      </c>
      <c r="G273" s="151">
        <v>44701</v>
      </c>
      <c r="H273" s="24">
        <f t="shared" si="4"/>
        <v>576</v>
      </c>
      <c r="I273" s="24" t="s">
        <v>65</v>
      </c>
      <c r="J273" s="152"/>
    </row>
    <row r="274" hidden="1" spans="2:10">
      <c r="B274" s="148">
        <v>222300162</v>
      </c>
      <c r="C274" s="149">
        <v>44685</v>
      </c>
      <c r="D274" s="32" t="s">
        <v>58</v>
      </c>
      <c r="E274" s="24">
        <v>200000</v>
      </c>
      <c r="F274" s="24">
        <v>0.019</v>
      </c>
      <c r="G274" s="151">
        <v>44701</v>
      </c>
      <c r="H274" s="24">
        <f t="shared" si="4"/>
        <v>3800</v>
      </c>
      <c r="I274" s="24" t="s">
        <v>65</v>
      </c>
      <c r="J274" s="152"/>
    </row>
    <row r="275" hidden="1" spans="2:10">
      <c r="B275" s="148">
        <v>222300162</v>
      </c>
      <c r="C275" s="149">
        <v>44685</v>
      </c>
      <c r="D275" s="32" t="s">
        <v>58</v>
      </c>
      <c r="E275" s="24">
        <v>200000</v>
      </c>
      <c r="F275" s="24">
        <v>0.019</v>
      </c>
      <c r="G275" s="151">
        <v>44742</v>
      </c>
      <c r="H275" s="24">
        <f t="shared" si="4"/>
        <v>3800</v>
      </c>
      <c r="I275" s="24" t="s">
        <v>65</v>
      </c>
      <c r="J275" s="152"/>
    </row>
    <row r="276" hidden="1" spans="2:10">
      <c r="B276" s="148">
        <v>222300162</v>
      </c>
      <c r="C276" s="149">
        <v>44685</v>
      </c>
      <c r="D276" s="32" t="s">
        <v>58</v>
      </c>
      <c r="E276" s="24">
        <v>200000</v>
      </c>
      <c r="F276" s="24">
        <v>0.019</v>
      </c>
      <c r="G276" s="151">
        <v>44772</v>
      </c>
      <c r="H276" s="24">
        <f t="shared" si="4"/>
        <v>3800</v>
      </c>
      <c r="I276" s="24" t="s">
        <v>65</v>
      </c>
      <c r="J276" s="152"/>
    </row>
    <row r="277" hidden="1" spans="2:10">
      <c r="B277" s="148">
        <v>222300162</v>
      </c>
      <c r="C277" s="149">
        <v>44685</v>
      </c>
      <c r="D277" s="32" t="s">
        <v>58</v>
      </c>
      <c r="E277" s="24">
        <v>200000</v>
      </c>
      <c r="F277" s="24">
        <v>0.019</v>
      </c>
      <c r="G277" s="151">
        <v>44772</v>
      </c>
      <c r="H277" s="24">
        <f t="shared" si="4"/>
        <v>3800</v>
      </c>
      <c r="I277" s="24" t="s">
        <v>65</v>
      </c>
      <c r="J277" s="152"/>
    </row>
    <row r="278" hidden="1" spans="2:10">
      <c r="B278" s="148">
        <v>222300170</v>
      </c>
      <c r="C278" s="149">
        <v>44687</v>
      </c>
      <c r="D278" s="32" t="s">
        <v>166</v>
      </c>
      <c r="E278" s="24">
        <v>23000</v>
      </c>
      <c r="F278" s="24">
        <v>0.568</v>
      </c>
      <c r="G278" s="151">
        <v>44772</v>
      </c>
      <c r="H278" s="24">
        <f t="shared" si="4"/>
        <v>13064</v>
      </c>
      <c r="I278" s="24" t="s">
        <v>10</v>
      </c>
      <c r="J278" s="152"/>
    </row>
    <row r="279" hidden="1" spans="2:10">
      <c r="B279" s="148">
        <v>222300131</v>
      </c>
      <c r="C279" s="149">
        <v>44674</v>
      </c>
      <c r="D279" s="32" t="s">
        <v>30</v>
      </c>
      <c r="E279" s="24">
        <v>300000</v>
      </c>
      <c r="F279" s="24">
        <v>0.028</v>
      </c>
      <c r="G279" s="151">
        <v>44762</v>
      </c>
      <c r="H279" s="24">
        <f t="shared" si="4"/>
        <v>8400</v>
      </c>
      <c r="I279" s="24" t="s">
        <v>107</v>
      </c>
      <c r="J279" s="152"/>
    </row>
    <row r="280" hidden="1" spans="2:10">
      <c r="B280" s="148">
        <v>222300240</v>
      </c>
      <c r="C280" s="149">
        <v>44701</v>
      </c>
      <c r="D280" s="32" t="s">
        <v>39</v>
      </c>
      <c r="E280" s="24">
        <v>500000</v>
      </c>
      <c r="F280" s="24">
        <v>0.03</v>
      </c>
      <c r="G280" s="151">
        <v>44793</v>
      </c>
      <c r="H280" s="24">
        <f t="shared" si="4"/>
        <v>15000</v>
      </c>
      <c r="I280" s="24" t="s">
        <v>110</v>
      </c>
      <c r="J280" s="152" t="s">
        <v>174</v>
      </c>
    </row>
    <row r="281" hidden="1" spans="2:10">
      <c r="B281" s="148">
        <v>222300240</v>
      </c>
      <c r="C281" s="149">
        <v>44701</v>
      </c>
      <c r="D281" s="32" t="s">
        <v>39</v>
      </c>
      <c r="E281" s="24">
        <v>500000</v>
      </c>
      <c r="F281" s="24">
        <v>0.03</v>
      </c>
      <c r="G281" s="151">
        <v>44793</v>
      </c>
      <c r="H281" s="24">
        <f t="shared" si="4"/>
        <v>15000</v>
      </c>
      <c r="I281" s="24" t="s">
        <v>110</v>
      </c>
      <c r="J281" s="152"/>
    </row>
    <row r="282" hidden="1" spans="2:10">
      <c r="B282" s="148">
        <v>222300240</v>
      </c>
      <c r="C282" s="149">
        <v>44701</v>
      </c>
      <c r="D282" s="32" t="s">
        <v>39</v>
      </c>
      <c r="E282" s="24">
        <v>500000</v>
      </c>
      <c r="F282" s="24">
        <v>0.03</v>
      </c>
      <c r="G282" s="151">
        <v>44793</v>
      </c>
      <c r="H282" s="24">
        <f t="shared" si="4"/>
        <v>15000</v>
      </c>
      <c r="I282" s="24" t="s">
        <v>110</v>
      </c>
      <c r="J282" s="152"/>
    </row>
    <row r="283" hidden="1" spans="2:10">
      <c r="B283" s="148">
        <v>222300240</v>
      </c>
      <c r="C283" s="149">
        <v>44701</v>
      </c>
      <c r="D283" s="32" t="s">
        <v>39</v>
      </c>
      <c r="E283" s="24">
        <v>1000000</v>
      </c>
      <c r="F283" s="24">
        <v>0.03</v>
      </c>
      <c r="G283" s="151">
        <v>44824</v>
      </c>
      <c r="H283" s="24">
        <f t="shared" si="4"/>
        <v>30000</v>
      </c>
      <c r="I283" s="24" t="s">
        <v>110</v>
      </c>
      <c r="J283" s="152"/>
    </row>
    <row r="284" hidden="1" spans="2:10">
      <c r="B284" s="148">
        <v>222300240</v>
      </c>
      <c r="C284" s="149">
        <v>44701</v>
      </c>
      <c r="D284" s="32" t="s">
        <v>39</v>
      </c>
      <c r="E284" s="24">
        <v>1000000</v>
      </c>
      <c r="F284" s="24">
        <v>0.03</v>
      </c>
      <c r="G284" s="151">
        <v>44824</v>
      </c>
      <c r="H284" s="24">
        <f t="shared" si="4"/>
        <v>30000</v>
      </c>
      <c r="I284" s="24" t="s">
        <v>110</v>
      </c>
      <c r="J284" s="152"/>
    </row>
    <row r="285" hidden="1" spans="2:10">
      <c r="B285" s="157">
        <v>222300289</v>
      </c>
      <c r="C285" s="149">
        <v>44708</v>
      </c>
      <c r="D285" s="32" t="s">
        <v>119</v>
      </c>
      <c r="E285" s="24">
        <v>50000</v>
      </c>
      <c r="F285" s="24">
        <v>0.07</v>
      </c>
      <c r="G285" s="151">
        <v>44737</v>
      </c>
      <c r="H285" s="24">
        <f t="shared" si="4"/>
        <v>3500</v>
      </c>
      <c r="I285" s="24" t="s">
        <v>65</v>
      </c>
      <c r="J285" s="152"/>
    </row>
    <row r="286" hidden="1" spans="2:10">
      <c r="B286" s="157">
        <v>222300289</v>
      </c>
      <c r="C286" s="149">
        <v>44708</v>
      </c>
      <c r="D286" s="32" t="s">
        <v>119</v>
      </c>
      <c r="E286" s="24">
        <v>50000</v>
      </c>
      <c r="F286" s="24">
        <v>0.07</v>
      </c>
      <c r="G286" s="151">
        <v>44767</v>
      </c>
      <c r="H286" s="24">
        <f t="shared" si="4"/>
        <v>3500</v>
      </c>
      <c r="I286" s="24" t="s">
        <v>65</v>
      </c>
      <c r="J286" s="152"/>
    </row>
    <row r="287" hidden="1" spans="2:10">
      <c r="B287" s="157">
        <v>222300289</v>
      </c>
      <c r="C287" s="149">
        <v>44708</v>
      </c>
      <c r="D287" s="32" t="s">
        <v>119</v>
      </c>
      <c r="E287" s="24">
        <v>50000</v>
      </c>
      <c r="F287" s="24">
        <v>0.07</v>
      </c>
      <c r="G287" s="151">
        <v>44798</v>
      </c>
      <c r="H287" s="24">
        <f t="shared" si="4"/>
        <v>3500</v>
      </c>
      <c r="I287" s="24" t="s">
        <v>65</v>
      </c>
      <c r="J287" s="152"/>
    </row>
    <row r="288" hidden="1" spans="2:10">
      <c r="B288" s="157">
        <v>222300323</v>
      </c>
      <c r="C288" s="149">
        <v>44715</v>
      </c>
      <c r="D288" s="32" t="s">
        <v>175</v>
      </c>
      <c r="E288" s="24">
        <v>21000</v>
      </c>
      <c r="F288" s="24">
        <v>0.018</v>
      </c>
      <c r="G288" s="151">
        <v>44732</v>
      </c>
      <c r="H288" s="24">
        <f t="shared" si="4"/>
        <v>378</v>
      </c>
      <c r="I288" s="24" t="s">
        <v>10</v>
      </c>
      <c r="J288" s="152"/>
    </row>
    <row r="289" hidden="1" spans="2:10">
      <c r="B289" s="148">
        <v>222300324</v>
      </c>
      <c r="C289" s="149">
        <v>44715</v>
      </c>
      <c r="D289" s="32" t="s">
        <v>38</v>
      </c>
      <c r="E289" s="24">
        <v>300000</v>
      </c>
      <c r="F289" s="24">
        <v>0.01</v>
      </c>
      <c r="G289" s="151">
        <v>44762</v>
      </c>
      <c r="H289" s="24">
        <f t="shared" si="4"/>
        <v>3000</v>
      </c>
      <c r="I289" s="24" t="s">
        <v>65</v>
      </c>
      <c r="J289" s="152"/>
    </row>
    <row r="290" hidden="1" spans="2:10">
      <c r="B290" s="148">
        <v>222300324</v>
      </c>
      <c r="C290" s="149">
        <v>44715</v>
      </c>
      <c r="D290" s="32" t="s">
        <v>38</v>
      </c>
      <c r="E290" s="24">
        <v>300000</v>
      </c>
      <c r="F290" s="24">
        <v>0.01</v>
      </c>
      <c r="G290" s="151">
        <v>44793</v>
      </c>
      <c r="H290" s="24">
        <f t="shared" si="4"/>
        <v>3000</v>
      </c>
      <c r="I290" s="24" t="s">
        <v>65</v>
      </c>
      <c r="J290" s="152"/>
    </row>
    <row r="291" hidden="1" spans="2:10">
      <c r="B291" s="148">
        <v>222300324</v>
      </c>
      <c r="C291" s="149">
        <v>44715</v>
      </c>
      <c r="D291" s="32" t="s">
        <v>38</v>
      </c>
      <c r="E291" s="24">
        <v>300000</v>
      </c>
      <c r="F291" s="24">
        <v>0.01</v>
      </c>
      <c r="G291" s="151">
        <v>44824</v>
      </c>
      <c r="H291" s="24">
        <f t="shared" si="4"/>
        <v>3000</v>
      </c>
      <c r="I291" s="24" t="s">
        <v>65</v>
      </c>
      <c r="J291" s="152"/>
    </row>
    <row r="292" hidden="1" spans="2:10">
      <c r="B292" s="148">
        <v>222300335</v>
      </c>
      <c r="C292" s="149">
        <v>44716</v>
      </c>
      <c r="D292" s="32" t="s">
        <v>100</v>
      </c>
      <c r="E292" s="24">
        <v>40000</v>
      </c>
      <c r="F292" s="24">
        <v>0.03</v>
      </c>
      <c r="G292" s="151">
        <v>44762</v>
      </c>
      <c r="H292" s="24">
        <f t="shared" si="4"/>
        <v>1200</v>
      </c>
      <c r="I292" s="24" t="s">
        <v>65</v>
      </c>
      <c r="J292" s="152"/>
    </row>
    <row r="293" hidden="1" spans="2:10">
      <c r="B293" s="148">
        <v>222300335</v>
      </c>
      <c r="C293" s="149">
        <v>44716</v>
      </c>
      <c r="D293" s="32" t="s">
        <v>100</v>
      </c>
      <c r="E293" s="24">
        <v>40000</v>
      </c>
      <c r="F293" s="24">
        <v>0.03</v>
      </c>
      <c r="G293" s="151">
        <v>44783</v>
      </c>
      <c r="H293" s="24">
        <f t="shared" si="4"/>
        <v>1200</v>
      </c>
      <c r="I293" s="24" t="s">
        <v>65</v>
      </c>
      <c r="J293" s="152"/>
    </row>
    <row r="294" hidden="1" spans="2:10">
      <c r="B294" s="148">
        <v>222300335</v>
      </c>
      <c r="C294" s="149">
        <v>44716</v>
      </c>
      <c r="D294" s="32" t="s">
        <v>29</v>
      </c>
      <c r="E294" s="24">
        <v>300000</v>
      </c>
      <c r="F294" s="24">
        <v>0.027</v>
      </c>
      <c r="G294" s="151">
        <v>44767</v>
      </c>
      <c r="H294" s="24">
        <f t="shared" si="4"/>
        <v>8100</v>
      </c>
      <c r="I294" s="24" t="s">
        <v>10</v>
      </c>
      <c r="J294" s="152"/>
    </row>
    <row r="295" hidden="1" spans="2:10">
      <c r="B295" s="148">
        <v>222300335</v>
      </c>
      <c r="C295" s="149">
        <v>44716</v>
      </c>
      <c r="D295" s="32" t="s">
        <v>29</v>
      </c>
      <c r="E295" s="24">
        <v>300000</v>
      </c>
      <c r="F295" s="24">
        <v>0.027</v>
      </c>
      <c r="G295" s="151">
        <v>44767</v>
      </c>
      <c r="H295" s="24">
        <f t="shared" si="4"/>
        <v>8100</v>
      </c>
      <c r="I295" s="24" t="s">
        <v>10</v>
      </c>
      <c r="J295" s="152"/>
    </row>
    <row r="296" hidden="1" spans="2:10">
      <c r="B296" s="148">
        <v>222300335</v>
      </c>
      <c r="C296" s="149">
        <v>44716</v>
      </c>
      <c r="D296" s="32" t="s">
        <v>29</v>
      </c>
      <c r="E296" s="24">
        <v>300000</v>
      </c>
      <c r="F296" s="24">
        <v>0.027</v>
      </c>
      <c r="G296" s="151">
        <v>44841</v>
      </c>
      <c r="H296" s="24">
        <f t="shared" si="4"/>
        <v>8100</v>
      </c>
      <c r="I296" s="24" t="s">
        <v>10</v>
      </c>
      <c r="J296" s="152"/>
    </row>
    <row r="297" hidden="1" spans="2:10">
      <c r="B297" s="148">
        <v>222300335</v>
      </c>
      <c r="C297" s="149">
        <v>44716</v>
      </c>
      <c r="D297" s="32" t="s">
        <v>29</v>
      </c>
      <c r="E297" s="24">
        <v>300000</v>
      </c>
      <c r="F297" s="24">
        <v>0.027</v>
      </c>
      <c r="G297" s="151">
        <v>44841</v>
      </c>
      <c r="H297" s="24">
        <f t="shared" si="4"/>
        <v>8100</v>
      </c>
      <c r="I297" s="24" t="s">
        <v>10</v>
      </c>
      <c r="J297" s="152"/>
    </row>
    <row r="298" hidden="1" spans="2:10">
      <c r="B298" s="148">
        <v>222300335</v>
      </c>
      <c r="C298" s="149">
        <v>44716</v>
      </c>
      <c r="D298" s="32" t="s">
        <v>32</v>
      </c>
      <c r="E298" s="24">
        <v>300000</v>
      </c>
      <c r="F298" s="24">
        <v>0.02</v>
      </c>
      <c r="G298" s="151">
        <v>44783</v>
      </c>
      <c r="H298" s="24">
        <f t="shared" si="4"/>
        <v>6000</v>
      </c>
      <c r="I298" s="24" t="s">
        <v>110</v>
      </c>
      <c r="J298" s="152"/>
    </row>
    <row r="299" hidden="1" spans="2:10">
      <c r="B299" s="148">
        <v>222300335</v>
      </c>
      <c r="C299" s="149">
        <v>44716</v>
      </c>
      <c r="D299" s="32" t="s">
        <v>32</v>
      </c>
      <c r="E299" s="24">
        <v>300000</v>
      </c>
      <c r="F299" s="24">
        <v>0.02</v>
      </c>
      <c r="G299" s="151">
        <v>44793</v>
      </c>
      <c r="H299" s="24">
        <f t="shared" si="4"/>
        <v>6000</v>
      </c>
      <c r="I299" s="24" t="s">
        <v>110</v>
      </c>
      <c r="J299" s="152"/>
    </row>
    <row r="300" hidden="1" spans="2:10">
      <c r="B300" s="148">
        <v>222300335</v>
      </c>
      <c r="C300" s="149">
        <v>44716</v>
      </c>
      <c r="D300" s="32" t="s">
        <v>78</v>
      </c>
      <c r="E300" s="24">
        <v>200000</v>
      </c>
      <c r="F300" s="24">
        <v>0.02</v>
      </c>
      <c r="G300" s="151">
        <v>44783</v>
      </c>
      <c r="H300" s="24">
        <f t="shared" si="4"/>
        <v>4000</v>
      </c>
      <c r="I300" s="24" t="s">
        <v>110</v>
      </c>
      <c r="J300" s="152"/>
    </row>
    <row r="301" hidden="1" spans="2:10">
      <c r="B301" s="148">
        <v>222300335</v>
      </c>
      <c r="C301" s="149">
        <v>44716</v>
      </c>
      <c r="D301" s="32" t="s">
        <v>78</v>
      </c>
      <c r="E301" s="24">
        <v>200000</v>
      </c>
      <c r="F301" s="24">
        <v>0.02</v>
      </c>
      <c r="G301" s="151">
        <v>44793</v>
      </c>
      <c r="H301" s="24">
        <f t="shared" si="4"/>
        <v>4000</v>
      </c>
      <c r="I301" s="24" t="s">
        <v>110</v>
      </c>
      <c r="J301" s="152"/>
    </row>
    <row r="302" hidden="1" spans="2:10">
      <c r="B302" s="148">
        <v>222300335</v>
      </c>
      <c r="C302" s="149">
        <v>44716</v>
      </c>
      <c r="D302" s="32" t="s">
        <v>96</v>
      </c>
      <c r="E302" s="24">
        <v>208000</v>
      </c>
      <c r="F302" s="24">
        <v>0.0055</v>
      </c>
      <c r="G302" s="151">
        <v>44742</v>
      </c>
      <c r="H302" s="24">
        <f t="shared" si="4"/>
        <v>1144</v>
      </c>
      <c r="I302" s="24" t="s">
        <v>10</v>
      </c>
      <c r="J302" s="152"/>
    </row>
    <row r="303" hidden="1" spans="2:10">
      <c r="B303" s="148">
        <v>222300335</v>
      </c>
      <c r="C303" s="149">
        <v>44716</v>
      </c>
      <c r="D303" s="32" t="s">
        <v>96</v>
      </c>
      <c r="E303" s="24">
        <v>208000</v>
      </c>
      <c r="F303" s="24">
        <v>0.0055</v>
      </c>
      <c r="G303" s="151">
        <v>44803</v>
      </c>
      <c r="H303" s="24">
        <f t="shared" si="4"/>
        <v>1144</v>
      </c>
      <c r="I303" s="24" t="s">
        <v>10</v>
      </c>
      <c r="J303" s="152"/>
    </row>
    <row r="304" hidden="1" spans="2:10">
      <c r="B304" s="148">
        <v>222300335</v>
      </c>
      <c r="C304" s="149">
        <v>44716</v>
      </c>
      <c r="D304" s="32" t="s">
        <v>45</v>
      </c>
      <c r="E304" s="24">
        <v>300000</v>
      </c>
      <c r="F304" s="24">
        <v>0.028</v>
      </c>
      <c r="G304" s="151">
        <v>44783</v>
      </c>
      <c r="H304" s="24">
        <f t="shared" si="4"/>
        <v>8400</v>
      </c>
      <c r="I304" s="24" t="s">
        <v>10</v>
      </c>
      <c r="J304" s="152"/>
    </row>
    <row r="305" hidden="1" spans="2:10">
      <c r="B305" s="148">
        <v>222300335</v>
      </c>
      <c r="C305" s="149">
        <v>44716</v>
      </c>
      <c r="D305" s="32" t="s">
        <v>45</v>
      </c>
      <c r="E305" s="24">
        <v>300000</v>
      </c>
      <c r="F305" s="24">
        <v>0.028</v>
      </c>
      <c r="G305" s="151">
        <v>44814</v>
      </c>
      <c r="H305" s="24">
        <f t="shared" si="4"/>
        <v>8400</v>
      </c>
      <c r="I305" s="24" t="s">
        <v>10</v>
      </c>
      <c r="J305" s="152"/>
    </row>
    <row r="306" hidden="1" spans="2:10">
      <c r="B306" s="148">
        <v>222300335</v>
      </c>
      <c r="C306" s="149">
        <v>44716</v>
      </c>
      <c r="D306" s="32" t="s">
        <v>61</v>
      </c>
      <c r="E306" s="24">
        <v>144000</v>
      </c>
      <c r="F306" s="24">
        <v>0.022</v>
      </c>
      <c r="G306" s="151">
        <v>44814</v>
      </c>
      <c r="H306" s="24">
        <f t="shared" si="4"/>
        <v>3168</v>
      </c>
      <c r="I306" s="24" t="s">
        <v>65</v>
      </c>
      <c r="J306" s="152"/>
    </row>
    <row r="307" hidden="1" spans="2:10">
      <c r="B307" s="148">
        <v>222300335</v>
      </c>
      <c r="C307" s="149">
        <v>44716</v>
      </c>
      <c r="D307" s="32" t="s">
        <v>33</v>
      </c>
      <c r="E307" s="24">
        <v>100000</v>
      </c>
      <c r="F307" s="24">
        <v>0.02</v>
      </c>
      <c r="G307" s="151">
        <v>44772</v>
      </c>
      <c r="H307" s="24">
        <f t="shared" si="4"/>
        <v>2000</v>
      </c>
      <c r="I307" s="24" t="s">
        <v>110</v>
      </c>
      <c r="J307" s="152"/>
    </row>
    <row r="308" hidden="1" spans="2:10">
      <c r="B308" s="148">
        <v>222300335</v>
      </c>
      <c r="C308" s="149">
        <v>44716</v>
      </c>
      <c r="D308" s="32" t="s">
        <v>33</v>
      </c>
      <c r="E308" s="24">
        <v>100000</v>
      </c>
      <c r="F308" s="24">
        <v>0.02</v>
      </c>
      <c r="G308" s="151">
        <v>44814</v>
      </c>
      <c r="H308" s="24">
        <f t="shared" si="4"/>
        <v>2000</v>
      </c>
      <c r="I308" s="24" t="s">
        <v>110</v>
      </c>
      <c r="J308" s="152"/>
    </row>
    <row r="309" hidden="1" spans="2:10">
      <c r="B309" s="148">
        <v>222300335</v>
      </c>
      <c r="C309" s="149">
        <v>44716</v>
      </c>
      <c r="D309" s="32" t="s">
        <v>173</v>
      </c>
      <c r="E309" s="24">
        <v>96000</v>
      </c>
      <c r="F309" s="24">
        <v>0.006</v>
      </c>
      <c r="G309" s="151">
        <v>44803</v>
      </c>
      <c r="H309" s="24">
        <f t="shared" si="4"/>
        <v>576</v>
      </c>
      <c r="I309" s="24" t="s">
        <v>10</v>
      </c>
      <c r="J309" s="152"/>
    </row>
    <row r="310" hidden="1" spans="2:10">
      <c r="B310" s="148">
        <v>222300335</v>
      </c>
      <c r="C310" s="149">
        <v>44716</v>
      </c>
      <c r="D310" s="32" t="s">
        <v>34</v>
      </c>
      <c r="E310" s="24">
        <v>150000</v>
      </c>
      <c r="F310" s="24">
        <v>0.051</v>
      </c>
      <c r="G310" s="151">
        <v>44783</v>
      </c>
      <c r="H310" s="24">
        <f t="shared" si="4"/>
        <v>7650</v>
      </c>
      <c r="I310" s="24" t="s">
        <v>10</v>
      </c>
      <c r="J310" s="152"/>
    </row>
    <row r="311" spans="2:10">
      <c r="B311" s="148">
        <v>222300335</v>
      </c>
      <c r="C311" s="149">
        <v>44716</v>
      </c>
      <c r="D311" s="32" t="s">
        <v>158</v>
      </c>
      <c r="E311" s="24">
        <v>20000</v>
      </c>
      <c r="F311" s="24">
        <v>0.36</v>
      </c>
      <c r="G311" s="151">
        <v>44793</v>
      </c>
      <c r="H311" s="24">
        <f t="shared" si="4"/>
        <v>7200</v>
      </c>
      <c r="I311" s="24" t="s">
        <v>10</v>
      </c>
      <c r="J311" s="152"/>
    </row>
    <row r="312" hidden="1" spans="2:10">
      <c r="B312" s="148">
        <v>222300335</v>
      </c>
      <c r="C312" s="149">
        <v>44716</v>
      </c>
      <c r="D312" s="32" t="s">
        <v>100</v>
      </c>
      <c r="E312" s="24">
        <v>300000</v>
      </c>
      <c r="F312" s="24">
        <v>0.03</v>
      </c>
      <c r="G312" s="151">
        <v>44742</v>
      </c>
      <c r="H312" s="24">
        <f t="shared" si="4"/>
        <v>9000</v>
      </c>
      <c r="I312" s="24" t="s">
        <v>65</v>
      </c>
      <c r="J312" s="152"/>
    </row>
    <row r="313" hidden="1" spans="2:10">
      <c r="B313" s="148">
        <v>222300335</v>
      </c>
      <c r="C313" s="149">
        <v>44716</v>
      </c>
      <c r="D313" s="32" t="s">
        <v>100</v>
      </c>
      <c r="E313" s="24">
        <v>250000</v>
      </c>
      <c r="F313" s="24">
        <v>0.03</v>
      </c>
      <c r="G313" s="151">
        <v>44767</v>
      </c>
      <c r="H313" s="24">
        <f t="shared" si="4"/>
        <v>7500</v>
      </c>
      <c r="I313" s="24" t="s">
        <v>65</v>
      </c>
      <c r="J313" s="152"/>
    </row>
    <row r="314" hidden="1" spans="2:10">
      <c r="B314" s="148">
        <v>222300335</v>
      </c>
      <c r="C314" s="149">
        <v>44716</v>
      </c>
      <c r="D314" s="32" t="s">
        <v>100</v>
      </c>
      <c r="E314" s="24">
        <v>250000</v>
      </c>
      <c r="F314" s="24">
        <v>0.03</v>
      </c>
      <c r="G314" s="151">
        <v>44798</v>
      </c>
      <c r="H314" s="24">
        <f t="shared" si="4"/>
        <v>7500</v>
      </c>
      <c r="I314" s="24" t="s">
        <v>65</v>
      </c>
      <c r="J314" s="152"/>
    </row>
    <row r="315" hidden="1" spans="2:10">
      <c r="B315" s="148">
        <v>222300335</v>
      </c>
      <c r="C315" s="149">
        <v>44716</v>
      </c>
      <c r="D315" s="32" t="s">
        <v>30</v>
      </c>
      <c r="E315" s="24">
        <v>600000</v>
      </c>
      <c r="F315" s="24">
        <v>0.028</v>
      </c>
      <c r="G315" s="151">
        <v>44849</v>
      </c>
      <c r="H315" s="24">
        <f t="shared" si="4"/>
        <v>16800</v>
      </c>
      <c r="I315" s="24" t="s">
        <v>110</v>
      </c>
      <c r="J315" s="152"/>
    </row>
    <row r="316" hidden="1" spans="2:10">
      <c r="B316" s="148">
        <v>222300335</v>
      </c>
      <c r="C316" s="149">
        <v>44716</v>
      </c>
      <c r="D316" s="32" t="s">
        <v>11</v>
      </c>
      <c r="E316" s="24">
        <v>350000</v>
      </c>
      <c r="F316" s="24">
        <v>0.04</v>
      </c>
      <c r="G316" s="151">
        <v>44737</v>
      </c>
      <c r="H316" s="24">
        <f t="shared" si="4"/>
        <v>14000</v>
      </c>
      <c r="I316" s="24" t="s">
        <v>110</v>
      </c>
      <c r="J316" s="152"/>
    </row>
    <row r="317" hidden="1" spans="2:10">
      <c r="B317" s="148">
        <v>222300335</v>
      </c>
      <c r="C317" s="149">
        <v>44716</v>
      </c>
      <c r="D317" s="32" t="s">
        <v>11</v>
      </c>
      <c r="E317" s="24">
        <v>350000</v>
      </c>
      <c r="F317" s="24">
        <v>0.04</v>
      </c>
      <c r="G317" s="151">
        <v>44737</v>
      </c>
      <c r="H317" s="24">
        <f t="shared" si="4"/>
        <v>14000</v>
      </c>
      <c r="I317" s="24" t="s">
        <v>110</v>
      </c>
      <c r="J317" s="152"/>
    </row>
    <row r="318" hidden="1" spans="2:10">
      <c r="B318" s="148">
        <v>222300335</v>
      </c>
      <c r="C318" s="149">
        <v>44716</v>
      </c>
      <c r="D318" s="32" t="s">
        <v>11</v>
      </c>
      <c r="E318" s="24">
        <v>500000</v>
      </c>
      <c r="F318" s="24">
        <v>0.04</v>
      </c>
      <c r="G318" s="151">
        <v>44757</v>
      </c>
      <c r="H318" s="24">
        <f t="shared" si="4"/>
        <v>20000</v>
      </c>
      <c r="I318" s="24" t="s">
        <v>110</v>
      </c>
      <c r="J318" s="152"/>
    </row>
    <row r="319" hidden="1" spans="2:10">
      <c r="B319" s="148">
        <v>222300335</v>
      </c>
      <c r="C319" s="149">
        <v>44716</v>
      </c>
      <c r="D319" s="32" t="s">
        <v>11</v>
      </c>
      <c r="E319" s="24">
        <v>500000</v>
      </c>
      <c r="F319" s="24">
        <v>0.04</v>
      </c>
      <c r="G319" s="151">
        <v>44788</v>
      </c>
      <c r="H319" s="24">
        <f t="shared" si="4"/>
        <v>20000</v>
      </c>
      <c r="I319" s="24" t="s">
        <v>110</v>
      </c>
      <c r="J319" s="152"/>
    </row>
    <row r="320" hidden="1" spans="2:10">
      <c r="B320" s="148">
        <v>222300335</v>
      </c>
      <c r="C320" s="149">
        <v>44716</v>
      </c>
      <c r="D320" s="32" t="s">
        <v>11</v>
      </c>
      <c r="E320" s="24">
        <v>500000</v>
      </c>
      <c r="F320" s="24">
        <v>0.04</v>
      </c>
      <c r="G320" s="151">
        <v>44819</v>
      </c>
      <c r="H320" s="24">
        <f t="shared" si="4"/>
        <v>20000</v>
      </c>
      <c r="I320" s="24" t="s">
        <v>110</v>
      </c>
      <c r="J320" s="152"/>
    </row>
    <row r="321" hidden="1" spans="2:10">
      <c r="B321" s="148">
        <v>222300335</v>
      </c>
      <c r="C321" s="149">
        <v>44716</v>
      </c>
      <c r="D321" s="32" t="s">
        <v>119</v>
      </c>
      <c r="E321" s="24">
        <v>60000</v>
      </c>
      <c r="F321" s="24">
        <v>0.07</v>
      </c>
      <c r="G321" s="151">
        <v>44767</v>
      </c>
      <c r="H321" s="24">
        <f t="shared" si="4"/>
        <v>4200</v>
      </c>
      <c r="I321" s="24" t="s">
        <v>10</v>
      </c>
      <c r="J321" s="152"/>
    </row>
    <row r="322" hidden="1" spans="2:10">
      <c r="B322" s="148">
        <v>222300335</v>
      </c>
      <c r="C322" s="149">
        <v>44716</v>
      </c>
      <c r="D322" s="32" t="s">
        <v>119</v>
      </c>
      <c r="E322" s="24">
        <v>60000</v>
      </c>
      <c r="F322" s="24">
        <v>0.07</v>
      </c>
      <c r="G322" s="151">
        <v>44829</v>
      </c>
      <c r="H322" s="24">
        <f t="shared" ref="H322:H385" si="5">F322*E322</f>
        <v>4200</v>
      </c>
      <c r="I322" s="24" t="s">
        <v>10</v>
      </c>
      <c r="J322" s="152"/>
    </row>
    <row r="323" hidden="1" spans="2:10">
      <c r="B323" s="148">
        <v>222300334</v>
      </c>
      <c r="C323" s="149">
        <v>44716</v>
      </c>
      <c r="D323" s="32" t="s">
        <v>176</v>
      </c>
      <c r="E323" s="24">
        <v>21000</v>
      </c>
      <c r="F323" s="24">
        <v>0.027</v>
      </c>
      <c r="G323" s="151">
        <v>44722</v>
      </c>
      <c r="H323" s="24">
        <f t="shared" si="5"/>
        <v>567</v>
      </c>
      <c r="I323" s="24" t="s">
        <v>65</v>
      </c>
      <c r="J323" s="152"/>
    </row>
    <row r="324" hidden="1" spans="2:10">
      <c r="B324" s="148">
        <v>222300334</v>
      </c>
      <c r="C324" s="149">
        <v>44716</v>
      </c>
      <c r="D324" s="32" t="s">
        <v>165</v>
      </c>
      <c r="E324" s="24">
        <v>21000</v>
      </c>
      <c r="F324" s="24">
        <v>0.024</v>
      </c>
      <c r="G324" s="151">
        <v>44767</v>
      </c>
      <c r="H324" s="24">
        <f t="shared" si="5"/>
        <v>504</v>
      </c>
      <c r="I324" s="24" t="s">
        <v>65</v>
      </c>
      <c r="J324" s="152"/>
    </row>
    <row r="325" hidden="1" spans="2:10">
      <c r="B325" s="148">
        <v>222300334</v>
      </c>
      <c r="C325" s="149">
        <v>44716</v>
      </c>
      <c r="D325" s="32" t="s">
        <v>165</v>
      </c>
      <c r="E325" s="24">
        <v>21000</v>
      </c>
      <c r="F325" s="158">
        <v>0.024</v>
      </c>
      <c r="G325" s="151">
        <v>44829</v>
      </c>
      <c r="H325" s="24">
        <f t="shared" si="5"/>
        <v>504</v>
      </c>
      <c r="I325" s="24" t="s">
        <v>65</v>
      </c>
      <c r="J325" s="152"/>
    </row>
    <row r="326" hidden="1" spans="2:10">
      <c r="B326" s="148">
        <v>222300334</v>
      </c>
      <c r="C326" s="149">
        <v>44716</v>
      </c>
      <c r="D326" s="32" t="s">
        <v>164</v>
      </c>
      <c r="E326" s="24">
        <v>36000</v>
      </c>
      <c r="F326" s="24">
        <v>0.011</v>
      </c>
      <c r="G326" s="151">
        <v>44829</v>
      </c>
      <c r="H326" s="24">
        <f t="shared" si="5"/>
        <v>396</v>
      </c>
      <c r="I326" s="24" t="s">
        <v>65</v>
      </c>
      <c r="J326" s="152"/>
    </row>
    <row r="327" hidden="1" spans="2:10">
      <c r="B327" s="148">
        <v>222300334</v>
      </c>
      <c r="C327" s="149">
        <v>44716</v>
      </c>
      <c r="D327" s="32" t="s">
        <v>177</v>
      </c>
      <c r="E327" s="24">
        <v>21000</v>
      </c>
      <c r="F327" s="24">
        <v>0.025</v>
      </c>
      <c r="G327" s="151">
        <v>44722</v>
      </c>
      <c r="H327" s="24">
        <f t="shared" si="5"/>
        <v>525</v>
      </c>
      <c r="I327" s="24" t="s">
        <v>65</v>
      </c>
      <c r="J327" s="152"/>
    </row>
    <row r="328" hidden="1" spans="2:10">
      <c r="B328" s="148">
        <v>222300333</v>
      </c>
      <c r="C328" s="149">
        <v>44716</v>
      </c>
      <c r="D328" s="32" t="s">
        <v>38</v>
      </c>
      <c r="E328" s="24">
        <v>152000</v>
      </c>
      <c r="F328" s="24">
        <v>0.01</v>
      </c>
      <c r="G328" s="151">
        <v>44737</v>
      </c>
      <c r="H328" s="24">
        <f t="shared" si="5"/>
        <v>1520</v>
      </c>
      <c r="I328" s="24" t="s">
        <v>10</v>
      </c>
      <c r="J328" s="152"/>
    </row>
    <row r="329" hidden="1" spans="2:10">
      <c r="B329" s="148">
        <v>222300333</v>
      </c>
      <c r="C329" s="149">
        <v>44716</v>
      </c>
      <c r="D329" s="32" t="s">
        <v>38</v>
      </c>
      <c r="E329" s="24">
        <v>152000</v>
      </c>
      <c r="F329" s="24">
        <v>0.01</v>
      </c>
      <c r="G329" s="151">
        <v>44767</v>
      </c>
      <c r="H329" s="24">
        <f t="shared" si="5"/>
        <v>1520</v>
      </c>
      <c r="I329" s="24" t="s">
        <v>10</v>
      </c>
      <c r="J329" s="152"/>
    </row>
    <row r="330" hidden="1" spans="2:10">
      <c r="B330" s="148">
        <v>222300333</v>
      </c>
      <c r="C330" s="149">
        <v>44716</v>
      </c>
      <c r="D330" s="32" t="s">
        <v>38</v>
      </c>
      <c r="E330" s="24">
        <v>152000</v>
      </c>
      <c r="F330" s="24">
        <v>0.01</v>
      </c>
      <c r="G330" s="151">
        <v>44798</v>
      </c>
      <c r="H330" s="24">
        <f t="shared" si="5"/>
        <v>1520</v>
      </c>
      <c r="I330" s="24" t="s">
        <v>10</v>
      </c>
      <c r="J330" s="152"/>
    </row>
    <row r="331" hidden="1" spans="2:10">
      <c r="B331" s="148">
        <v>222300333</v>
      </c>
      <c r="C331" s="149">
        <v>44716</v>
      </c>
      <c r="D331" s="32" t="s">
        <v>38</v>
      </c>
      <c r="E331" s="24">
        <v>152000</v>
      </c>
      <c r="F331" s="24">
        <v>0.01</v>
      </c>
      <c r="G331" s="151">
        <v>44829</v>
      </c>
      <c r="H331" s="24">
        <f t="shared" si="5"/>
        <v>1520</v>
      </c>
      <c r="I331" s="24" t="s">
        <v>10</v>
      </c>
      <c r="J331" s="152"/>
    </row>
    <row r="332" hidden="1" spans="2:10">
      <c r="B332" s="148">
        <v>222300333</v>
      </c>
      <c r="C332" s="149">
        <v>44716</v>
      </c>
      <c r="D332" s="32" t="s">
        <v>45</v>
      </c>
      <c r="E332" s="24">
        <v>28000</v>
      </c>
      <c r="F332" s="24">
        <v>0.028</v>
      </c>
      <c r="G332" s="151">
        <v>44767</v>
      </c>
      <c r="H332" s="24">
        <f t="shared" si="5"/>
        <v>784</v>
      </c>
      <c r="I332" s="24" t="s">
        <v>10</v>
      </c>
      <c r="J332" s="152"/>
    </row>
    <row r="333" hidden="1" spans="2:10">
      <c r="B333" s="148">
        <v>222300333</v>
      </c>
      <c r="C333" s="149">
        <v>44716</v>
      </c>
      <c r="D333" s="32" t="s">
        <v>45</v>
      </c>
      <c r="E333" s="24">
        <v>28000</v>
      </c>
      <c r="F333" s="24">
        <v>0.028</v>
      </c>
      <c r="G333" s="151">
        <v>44798</v>
      </c>
      <c r="H333" s="24">
        <f t="shared" si="5"/>
        <v>784</v>
      </c>
      <c r="I333" s="24" t="s">
        <v>10</v>
      </c>
      <c r="J333" s="152"/>
    </row>
    <row r="334" hidden="1" spans="2:10">
      <c r="B334" s="148">
        <v>222300333</v>
      </c>
      <c r="C334" s="149">
        <v>44716</v>
      </c>
      <c r="D334" s="32" t="s">
        <v>45</v>
      </c>
      <c r="E334" s="24">
        <v>28000</v>
      </c>
      <c r="F334" s="24">
        <v>0.028</v>
      </c>
      <c r="G334" s="151">
        <v>44829</v>
      </c>
      <c r="H334" s="24">
        <f t="shared" si="5"/>
        <v>784</v>
      </c>
      <c r="I334" s="24" t="s">
        <v>10</v>
      </c>
      <c r="J334" s="152"/>
    </row>
    <row r="335" hidden="1" spans="2:10">
      <c r="B335" s="148">
        <v>222300333</v>
      </c>
      <c r="C335" s="149">
        <v>44716</v>
      </c>
      <c r="D335" s="32" t="s">
        <v>61</v>
      </c>
      <c r="E335" s="24">
        <v>32000</v>
      </c>
      <c r="F335" s="24">
        <v>0.022</v>
      </c>
      <c r="G335" s="151">
        <v>44767</v>
      </c>
      <c r="H335" s="24">
        <f t="shared" si="5"/>
        <v>704</v>
      </c>
      <c r="I335" s="24" t="s">
        <v>10</v>
      </c>
      <c r="J335" s="152"/>
    </row>
    <row r="336" hidden="1" spans="2:10">
      <c r="B336" s="148">
        <v>222300333</v>
      </c>
      <c r="C336" s="149">
        <v>44716</v>
      </c>
      <c r="D336" s="32" t="s">
        <v>61</v>
      </c>
      <c r="E336" s="24">
        <v>32000</v>
      </c>
      <c r="F336" s="24">
        <v>0.022</v>
      </c>
      <c r="G336" s="151">
        <v>44798</v>
      </c>
      <c r="H336" s="24">
        <f t="shared" si="5"/>
        <v>704</v>
      </c>
      <c r="I336" s="24" t="s">
        <v>10</v>
      </c>
      <c r="J336" s="152"/>
    </row>
    <row r="337" hidden="1" spans="2:10">
      <c r="B337" s="148">
        <v>222300333</v>
      </c>
      <c r="C337" s="149">
        <v>44716</v>
      </c>
      <c r="D337" s="32" t="s">
        <v>61</v>
      </c>
      <c r="E337" s="24">
        <v>32000</v>
      </c>
      <c r="F337" s="24">
        <v>0.022</v>
      </c>
      <c r="G337" s="151">
        <v>44829</v>
      </c>
      <c r="H337" s="24">
        <f t="shared" si="5"/>
        <v>704</v>
      </c>
      <c r="I337" s="24" t="s">
        <v>10</v>
      </c>
      <c r="J337" s="152"/>
    </row>
    <row r="338" hidden="1" spans="2:10">
      <c r="B338" s="148">
        <v>222300371</v>
      </c>
      <c r="C338" s="149">
        <v>44728</v>
      </c>
      <c r="D338" s="32" t="s">
        <v>153</v>
      </c>
      <c r="E338" s="24">
        <v>200000</v>
      </c>
      <c r="F338" s="24">
        <v>0.097</v>
      </c>
      <c r="G338" s="151">
        <v>44737</v>
      </c>
      <c r="H338" s="24">
        <f t="shared" si="5"/>
        <v>19400</v>
      </c>
      <c r="I338" s="24" t="s">
        <v>65</v>
      </c>
      <c r="J338" s="152"/>
    </row>
    <row r="339" hidden="1" spans="2:10">
      <c r="B339" s="148">
        <v>222300371</v>
      </c>
      <c r="C339" s="149">
        <v>44728</v>
      </c>
      <c r="D339" s="32" t="s">
        <v>153</v>
      </c>
      <c r="E339" s="24">
        <v>200000</v>
      </c>
      <c r="F339" s="24">
        <v>0.097</v>
      </c>
      <c r="G339" s="151">
        <v>44798</v>
      </c>
      <c r="H339" s="24">
        <f t="shared" si="5"/>
        <v>19400</v>
      </c>
      <c r="I339" s="24" t="s">
        <v>65</v>
      </c>
      <c r="J339" s="152"/>
    </row>
    <row r="340" hidden="1" spans="2:10">
      <c r="B340" s="148">
        <v>222300371</v>
      </c>
      <c r="C340" s="149">
        <v>44728</v>
      </c>
      <c r="D340" s="32" t="s">
        <v>152</v>
      </c>
      <c r="E340" s="24">
        <v>210000</v>
      </c>
      <c r="F340" s="24">
        <v>0.26</v>
      </c>
      <c r="G340" s="151">
        <v>44737</v>
      </c>
      <c r="H340" s="24">
        <f t="shared" si="5"/>
        <v>54600</v>
      </c>
      <c r="I340" s="24" t="s">
        <v>65</v>
      </c>
      <c r="J340" s="152"/>
    </row>
    <row r="341" hidden="1" spans="2:10">
      <c r="B341" s="148">
        <v>222300371</v>
      </c>
      <c r="C341" s="149">
        <v>44728</v>
      </c>
      <c r="D341" s="32" t="s">
        <v>152</v>
      </c>
      <c r="E341" s="24">
        <v>210000</v>
      </c>
      <c r="F341" s="24">
        <v>0.26</v>
      </c>
      <c r="G341" s="151">
        <v>44829</v>
      </c>
      <c r="H341" s="24">
        <f t="shared" si="5"/>
        <v>54600</v>
      </c>
      <c r="I341" s="24" t="s">
        <v>65</v>
      </c>
      <c r="J341" s="152"/>
    </row>
    <row r="342" hidden="1" spans="2:10">
      <c r="B342" s="148">
        <v>222300371</v>
      </c>
      <c r="C342" s="149">
        <v>44728</v>
      </c>
      <c r="D342" s="32" t="s">
        <v>156</v>
      </c>
      <c r="E342" s="24">
        <v>14000</v>
      </c>
      <c r="F342" s="24">
        <v>0.28</v>
      </c>
      <c r="G342" s="151">
        <v>44737</v>
      </c>
      <c r="H342" s="24">
        <f t="shared" si="5"/>
        <v>3920</v>
      </c>
      <c r="I342" s="24" t="s">
        <v>65</v>
      </c>
      <c r="J342" s="152"/>
    </row>
    <row r="343" hidden="1" spans="2:10">
      <c r="B343" s="148">
        <v>222300371</v>
      </c>
      <c r="C343" s="149">
        <v>44728</v>
      </c>
      <c r="D343" s="32" t="s">
        <v>156</v>
      </c>
      <c r="E343" s="24">
        <v>14000</v>
      </c>
      <c r="F343" s="24">
        <v>0.28</v>
      </c>
      <c r="G343" s="151">
        <v>44829</v>
      </c>
      <c r="H343" s="24">
        <f t="shared" si="5"/>
        <v>3920</v>
      </c>
      <c r="I343" s="24" t="s">
        <v>65</v>
      </c>
      <c r="J343" s="152"/>
    </row>
    <row r="344" hidden="1" spans="2:10">
      <c r="B344" s="148">
        <v>222300371</v>
      </c>
      <c r="C344" s="149">
        <v>44728</v>
      </c>
      <c r="D344" s="32" t="s">
        <v>155</v>
      </c>
      <c r="E344" s="24">
        <v>14000</v>
      </c>
      <c r="F344" s="24">
        <v>0.88</v>
      </c>
      <c r="G344" s="151">
        <v>44737</v>
      </c>
      <c r="H344" s="24">
        <f t="shared" si="5"/>
        <v>12320</v>
      </c>
      <c r="I344" s="24" t="s">
        <v>65</v>
      </c>
      <c r="J344" s="152"/>
    </row>
    <row r="345" hidden="1" spans="2:10">
      <c r="B345" s="148">
        <v>222300371</v>
      </c>
      <c r="C345" s="149">
        <v>44728</v>
      </c>
      <c r="D345" s="32" t="s">
        <v>155</v>
      </c>
      <c r="E345" s="24">
        <v>14000</v>
      </c>
      <c r="F345" s="24">
        <v>0.88</v>
      </c>
      <c r="G345" s="151">
        <v>44829</v>
      </c>
      <c r="H345" s="24">
        <f t="shared" si="5"/>
        <v>12320</v>
      </c>
      <c r="I345" s="24" t="s">
        <v>65</v>
      </c>
      <c r="J345" s="152"/>
    </row>
    <row r="346" hidden="1" spans="2:10">
      <c r="B346" s="148">
        <v>222300372</v>
      </c>
      <c r="C346" s="149">
        <v>44728</v>
      </c>
      <c r="D346" s="32" t="s">
        <v>61</v>
      </c>
      <c r="E346" s="24">
        <v>160000</v>
      </c>
      <c r="F346" s="24">
        <v>0.022</v>
      </c>
      <c r="G346" s="151">
        <v>44767</v>
      </c>
      <c r="H346" s="24">
        <f t="shared" si="5"/>
        <v>3520</v>
      </c>
      <c r="I346" s="24" t="s">
        <v>65</v>
      </c>
      <c r="J346" s="152"/>
    </row>
    <row r="347" hidden="1" spans="2:10">
      <c r="B347" s="148">
        <v>222300372</v>
      </c>
      <c r="C347" s="149">
        <v>44728</v>
      </c>
      <c r="D347" s="32" t="s">
        <v>61</v>
      </c>
      <c r="E347" s="24">
        <v>80000</v>
      </c>
      <c r="F347" s="24">
        <v>0.022</v>
      </c>
      <c r="G347" s="151">
        <v>44767</v>
      </c>
      <c r="H347" s="24">
        <f t="shared" si="5"/>
        <v>1760</v>
      </c>
      <c r="I347" s="24" t="s">
        <v>65</v>
      </c>
      <c r="J347" s="152"/>
    </row>
    <row r="348" hidden="1" spans="2:10">
      <c r="B348" s="148">
        <v>222300372</v>
      </c>
      <c r="C348" s="149">
        <v>44728</v>
      </c>
      <c r="D348" s="32" t="s">
        <v>61</v>
      </c>
      <c r="E348" s="24">
        <v>80000</v>
      </c>
      <c r="F348" s="24">
        <v>0.022</v>
      </c>
      <c r="G348" s="151">
        <v>44798</v>
      </c>
      <c r="H348" s="24">
        <f t="shared" si="5"/>
        <v>1760</v>
      </c>
      <c r="I348" s="24" t="s">
        <v>65</v>
      </c>
      <c r="J348" s="152"/>
    </row>
    <row r="349" hidden="1" spans="2:10">
      <c r="B349" s="148">
        <v>222300372</v>
      </c>
      <c r="C349" s="149">
        <v>44728</v>
      </c>
      <c r="D349" s="32" t="s">
        <v>61</v>
      </c>
      <c r="E349" s="24">
        <v>80000</v>
      </c>
      <c r="F349" s="24">
        <v>0.022</v>
      </c>
      <c r="G349" s="151">
        <v>44829</v>
      </c>
      <c r="H349" s="24">
        <f t="shared" si="5"/>
        <v>1760</v>
      </c>
      <c r="I349" s="24" t="s">
        <v>65</v>
      </c>
      <c r="J349" s="152"/>
    </row>
    <row r="350" hidden="1" spans="2:10">
      <c r="B350" s="148">
        <v>222300372</v>
      </c>
      <c r="C350" s="149">
        <v>44728</v>
      </c>
      <c r="D350" s="32" t="s">
        <v>61</v>
      </c>
      <c r="E350" s="24">
        <v>160000</v>
      </c>
      <c r="F350" s="24">
        <v>0.022</v>
      </c>
      <c r="G350" s="151">
        <v>44799</v>
      </c>
      <c r="H350" s="24">
        <f t="shared" si="5"/>
        <v>3520</v>
      </c>
      <c r="I350" s="24" t="s">
        <v>65</v>
      </c>
      <c r="J350" s="152"/>
    </row>
    <row r="351" hidden="1" spans="2:10">
      <c r="B351" s="148">
        <v>222300372</v>
      </c>
      <c r="C351" s="149">
        <v>44730</v>
      </c>
      <c r="D351" s="32" t="s">
        <v>163</v>
      </c>
      <c r="E351" s="24">
        <v>208000</v>
      </c>
      <c r="F351" s="24">
        <v>0.0025</v>
      </c>
      <c r="G351" s="151">
        <v>44772</v>
      </c>
      <c r="H351" s="24">
        <f t="shared" si="5"/>
        <v>520</v>
      </c>
      <c r="I351" s="24" t="s">
        <v>65</v>
      </c>
      <c r="J351" s="152"/>
    </row>
    <row r="352" hidden="1" spans="2:10">
      <c r="B352" s="148">
        <v>222300372</v>
      </c>
      <c r="C352" s="149">
        <v>44730</v>
      </c>
      <c r="D352" s="32" t="s">
        <v>163</v>
      </c>
      <c r="E352" s="24">
        <v>208000</v>
      </c>
      <c r="F352" s="24">
        <v>0.0025</v>
      </c>
      <c r="G352" s="151">
        <v>44803</v>
      </c>
      <c r="H352" s="24">
        <f t="shared" si="5"/>
        <v>520</v>
      </c>
      <c r="I352" s="24" t="s">
        <v>65</v>
      </c>
      <c r="J352" s="152"/>
    </row>
    <row r="353" hidden="1" spans="2:10">
      <c r="B353" s="148">
        <v>222300372</v>
      </c>
      <c r="C353" s="149">
        <v>44730</v>
      </c>
      <c r="D353" s="32" t="s">
        <v>163</v>
      </c>
      <c r="E353" s="24">
        <v>208000</v>
      </c>
      <c r="F353" s="24">
        <v>0.0025</v>
      </c>
      <c r="G353" s="151">
        <v>44834</v>
      </c>
      <c r="H353" s="24">
        <f t="shared" si="5"/>
        <v>520</v>
      </c>
      <c r="I353" s="24" t="s">
        <v>65</v>
      </c>
      <c r="J353" s="152"/>
    </row>
    <row r="354" hidden="1" spans="2:10">
      <c r="B354" s="148">
        <v>222300402</v>
      </c>
      <c r="C354" s="149">
        <v>44733</v>
      </c>
      <c r="D354" s="32" t="s">
        <v>119</v>
      </c>
      <c r="E354" s="24">
        <v>20000</v>
      </c>
      <c r="F354" s="24">
        <v>0.07</v>
      </c>
      <c r="G354" s="151">
        <v>44772</v>
      </c>
      <c r="H354" s="24">
        <f t="shared" si="5"/>
        <v>1400</v>
      </c>
      <c r="I354" s="24" t="s">
        <v>65</v>
      </c>
      <c r="J354" s="152"/>
    </row>
    <row r="355" hidden="1" spans="2:10">
      <c r="B355" s="148">
        <v>222300402</v>
      </c>
      <c r="C355" s="149">
        <v>44733</v>
      </c>
      <c r="D355" s="32" t="s">
        <v>119</v>
      </c>
      <c r="E355" s="24">
        <v>20000</v>
      </c>
      <c r="F355" s="24">
        <v>0.07</v>
      </c>
      <c r="G355" s="151">
        <v>44803</v>
      </c>
      <c r="H355" s="24">
        <f t="shared" si="5"/>
        <v>1400</v>
      </c>
      <c r="I355" s="24" t="s">
        <v>65</v>
      </c>
      <c r="J355" s="152"/>
    </row>
    <row r="356" hidden="1" spans="2:10">
      <c r="B356" s="148">
        <v>222300402</v>
      </c>
      <c r="C356" s="149">
        <v>44733</v>
      </c>
      <c r="D356" s="32" t="s">
        <v>119</v>
      </c>
      <c r="E356" s="24">
        <v>20000</v>
      </c>
      <c r="F356" s="24">
        <v>0.07</v>
      </c>
      <c r="G356" s="151">
        <v>44834</v>
      </c>
      <c r="H356" s="24">
        <f t="shared" si="5"/>
        <v>1400</v>
      </c>
      <c r="I356" s="24" t="s">
        <v>65</v>
      </c>
      <c r="J356" s="152"/>
    </row>
    <row r="357" hidden="1" spans="2:10">
      <c r="B357" s="148">
        <v>222300412</v>
      </c>
      <c r="C357" s="149">
        <v>44736</v>
      </c>
      <c r="D357" s="32" t="s">
        <v>36</v>
      </c>
      <c r="E357" s="24">
        <v>402000</v>
      </c>
      <c r="F357" s="24">
        <v>0.0083</v>
      </c>
      <c r="G357" s="151">
        <v>44762</v>
      </c>
      <c r="H357" s="24">
        <f t="shared" si="5"/>
        <v>3336.6</v>
      </c>
      <c r="I357" s="24" t="s">
        <v>10</v>
      </c>
      <c r="J357" s="152"/>
    </row>
    <row r="358" hidden="1" spans="2:10">
      <c r="B358" s="148">
        <v>222300412</v>
      </c>
      <c r="C358" s="149">
        <v>44736</v>
      </c>
      <c r="D358" s="32" t="s">
        <v>36</v>
      </c>
      <c r="E358" s="24">
        <v>201000</v>
      </c>
      <c r="F358" s="24">
        <v>0.0083</v>
      </c>
      <c r="G358" s="151">
        <v>44762</v>
      </c>
      <c r="H358" s="24">
        <f t="shared" si="5"/>
        <v>1668.3</v>
      </c>
      <c r="I358" s="24" t="s">
        <v>10</v>
      </c>
      <c r="J358" s="152"/>
    </row>
    <row r="359" hidden="1" spans="2:10">
      <c r="B359" s="148">
        <v>222300412</v>
      </c>
      <c r="C359" s="149">
        <v>44736</v>
      </c>
      <c r="D359" s="32" t="s">
        <v>36</v>
      </c>
      <c r="E359" s="24">
        <v>402000</v>
      </c>
      <c r="F359" s="24">
        <v>0.0083</v>
      </c>
      <c r="G359" s="151">
        <v>44803</v>
      </c>
      <c r="H359" s="24">
        <f t="shared" si="5"/>
        <v>3336.6</v>
      </c>
      <c r="I359" s="24" t="s">
        <v>10</v>
      </c>
      <c r="J359" s="152"/>
    </row>
    <row r="360" hidden="1" spans="2:10">
      <c r="B360" s="148">
        <v>222300412</v>
      </c>
      <c r="C360" s="149">
        <v>44736</v>
      </c>
      <c r="D360" s="32" t="s">
        <v>36</v>
      </c>
      <c r="E360" s="24">
        <v>402000</v>
      </c>
      <c r="F360" s="24">
        <v>0.0083</v>
      </c>
      <c r="G360" s="151">
        <v>44834</v>
      </c>
      <c r="H360" s="24">
        <f t="shared" si="5"/>
        <v>3336.6</v>
      </c>
      <c r="I360" s="24" t="s">
        <v>10</v>
      </c>
      <c r="J360" s="152"/>
    </row>
    <row r="361" hidden="1" spans="2:10">
      <c r="B361" s="148">
        <v>222300412</v>
      </c>
      <c r="C361" s="149">
        <v>44736</v>
      </c>
      <c r="D361" s="32" t="s">
        <v>104</v>
      </c>
      <c r="E361" s="24">
        <v>200000</v>
      </c>
      <c r="F361" s="24">
        <v>0.028</v>
      </c>
      <c r="G361" s="151">
        <v>44762</v>
      </c>
      <c r="H361" s="24">
        <f t="shared" si="5"/>
        <v>5600</v>
      </c>
      <c r="I361" s="24" t="s">
        <v>10</v>
      </c>
      <c r="J361" s="152"/>
    </row>
    <row r="362" hidden="1" spans="2:10">
      <c r="B362" s="148">
        <v>222300412</v>
      </c>
      <c r="C362" s="149">
        <v>44736</v>
      </c>
      <c r="D362" s="32" t="s">
        <v>104</v>
      </c>
      <c r="E362" s="24">
        <v>200000</v>
      </c>
      <c r="F362" s="24">
        <v>0.028</v>
      </c>
      <c r="G362" s="151">
        <v>44793</v>
      </c>
      <c r="H362" s="24">
        <f t="shared" si="5"/>
        <v>5600</v>
      </c>
      <c r="I362" s="24" t="s">
        <v>10</v>
      </c>
      <c r="J362" s="152"/>
    </row>
    <row r="363" hidden="1" spans="2:10">
      <c r="B363" s="148">
        <v>222300412</v>
      </c>
      <c r="C363" s="149">
        <v>44736</v>
      </c>
      <c r="D363" s="32" t="s">
        <v>104</v>
      </c>
      <c r="E363" s="24">
        <v>200000</v>
      </c>
      <c r="F363" s="24">
        <v>0.028</v>
      </c>
      <c r="G363" s="151">
        <v>44824</v>
      </c>
      <c r="H363" s="24">
        <f t="shared" si="5"/>
        <v>5600</v>
      </c>
      <c r="I363" s="24" t="s">
        <v>10</v>
      </c>
      <c r="J363" s="152"/>
    </row>
    <row r="364" s="29" customFormat="1" hidden="1" spans="2:10">
      <c r="B364" s="148">
        <v>222300418</v>
      </c>
      <c r="C364" s="149">
        <v>44739</v>
      </c>
      <c r="D364" s="32" t="s">
        <v>96</v>
      </c>
      <c r="E364" s="24">
        <v>208000</v>
      </c>
      <c r="F364" s="24">
        <v>0.0055</v>
      </c>
      <c r="G364" s="151">
        <v>44814</v>
      </c>
      <c r="H364" s="24">
        <f t="shared" si="5"/>
        <v>1144</v>
      </c>
      <c r="I364" s="24" t="s">
        <v>10</v>
      </c>
      <c r="J364" s="22"/>
    </row>
    <row r="365" s="29" customFormat="1" hidden="1" spans="2:10">
      <c r="B365" s="148">
        <v>222300418</v>
      </c>
      <c r="C365" s="149">
        <v>44739</v>
      </c>
      <c r="D365" s="32" t="s">
        <v>61</v>
      </c>
      <c r="E365" s="24">
        <v>160000</v>
      </c>
      <c r="F365" s="24">
        <v>0.022</v>
      </c>
      <c r="G365" s="151">
        <v>44819</v>
      </c>
      <c r="H365" s="24">
        <f t="shared" si="5"/>
        <v>3520</v>
      </c>
      <c r="I365" s="24" t="s">
        <v>10</v>
      </c>
      <c r="J365" s="22"/>
    </row>
    <row r="366" hidden="1" spans="2:10">
      <c r="B366" s="148">
        <v>222300418</v>
      </c>
      <c r="C366" s="149">
        <v>44739</v>
      </c>
      <c r="D366" s="32" t="s">
        <v>38</v>
      </c>
      <c r="E366" s="24">
        <v>120000</v>
      </c>
      <c r="F366" s="24">
        <v>0.01</v>
      </c>
      <c r="G366" s="151">
        <v>44803</v>
      </c>
      <c r="H366" s="24">
        <f t="shared" si="5"/>
        <v>1200</v>
      </c>
      <c r="I366" s="24" t="s">
        <v>10</v>
      </c>
      <c r="J366" s="152"/>
    </row>
    <row r="367" hidden="1" spans="2:10">
      <c r="B367" s="148">
        <v>222300418</v>
      </c>
      <c r="C367" s="149">
        <v>44739</v>
      </c>
      <c r="D367" s="32" t="s">
        <v>38</v>
      </c>
      <c r="E367" s="24">
        <v>120000</v>
      </c>
      <c r="F367" s="24">
        <v>0.01</v>
      </c>
      <c r="G367" s="151">
        <v>44834</v>
      </c>
      <c r="H367" s="24">
        <f t="shared" si="5"/>
        <v>1200</v>
      </c>
      <c r="I367" s="24" t="s">
        <v>10</v>
      </c>
      <c r="J367" s="152"/>
    </row>
    <row r="368" s="29" customFormat="1" hidden="1" spans="2:10">
      <c r="B368" s="148">
        <v>222300418</v>
      </c>
      <c r="C368" s="149">
        <v>44739</v>
      </c>
      <c r="D368" s="32" t="s">
        <v>38</v>
      </c>
      <c r="E368" s="24">
        <v>120000</v>
      </c>
      <c r="F368" s="24">
        <v>0.01</v>
      </c>
      <c r="G368" s="151">
        <v>44864</v>
      </c>
      <c r="H368" s="24">
        <f t="shared" si="5"/>
        <v>1200</v>
      </c>
      <c r="I368" s="24" t="s">
        <v>10</v>
      </c>
      <c r="J368" s="22"/>
    </row>
    <row r="369" hidden="1" spans="2:10">
      <c r="B369" s="148">
        <v>222300418</v>
      </c>
      <c r="C369" s="149">
        <v>44739</v>
      </c>
      <c r="D369" s="32" t="s">
        <v>48</v>
      </c>
      <c r="E369" s="24">
        <v>208000</v>
      </c>
      <c r="F369" s="24">
        <v>0.022</v>
      </c>
      <c r="G369" s="151">
        <v>44814</v>
      </c>
      <c r="H369" s="24">
        <f t="shared" si="5"/>
        <v>4576</v>
      </c>
      <c r="I369" s="24" t="s">
        <v>10</v>
      </c>
      <c r="J369" s="152"/>
    </row>
    <row r="370" s="29" customFormat="1" hidden="1" spans="2:10">
      <c r="B370" s="148">
        <v>222300418</v>
      </c>
      <c r="C370" s="149">
        <v>44739</v>
      </c>
      <c r="D370" s="32" t="s">
        <v>36</v>
      </c>
      <c r="E370" s="24">
        <v>300000</v>
      </c>
      <c r="F370" s="24">
        <v>0.0083</v>
      </c>
      <c r="G370" s="151">
        <v>44803</v>
      </c>
      <c r="H370" s="24">
        <f t="shared" si="5"/>
        <v>2490</v>
      </c>
      <c r="I370" s="24" t="s">
        <v>10</v>
      </c>
      <c r="J370" s="22"/>
    </row>
    <row r="371" hidden="1" spans="2:10">
      <c r="B371" s="148">
        <v>222300418</v>
      </c>
      <c r="C371" s="149">
        <v>44739</v>
      </c>
      <c r="D371" s="32" t="s">
        <v>11</v>
      </c>
      <c r="E371" s="24">
        <v>150000</v>
      </c>
      <c r="F371" s="24">
        <v>0.04</v>
      </c>
      <c r="G371" s="151">
        <v>44752</v>
      </c>
      <c r="H371" s="24">
        <f t="shared" si="5"/>
        <v>6000</v>
      </c>
      <c r="I371" s="24" t="s">
        <v>107</v>
      </c>
      <c r="J371" s="152"/>
    </row>
    <row r="372" s="29" customFormat="1" hidden="1" spans="2:10">
      <c r="B372" s="148">
        <v>222300418</v>
      </c>
      <c r="C372" s="149">
        <v>44739</v>
      </c>
      <c r="D372" s="32" t="s">
        <v>34</v>
      </c>
      <c r="E372" s="24">
        <v>150000</v>
      </c>
      <c r="F372" s="24">
        <v>0.051</v>
      </c>
      <c r="G372" s="151">
        <v>44803</v>
      </c>
      <c r="H372" s="24">
        <f t="shared" si="5"/>
        <v>7650</v>
      </c>
      <c r="I372" s="24" t="s">
        <v>10</v>
      </c>
      <c r="J372" s="22"/>
    </row>
    <row r="373" hidden="1" spans="2:10">
      <c r="B373" s="148">
        <v>222300418</v>
      </c>
      <c r="C373" s="149">
        <v>44739</v>
      </c>
      <c r="D373" s="32" t="s">
        <v>33</v>
      </c>
      <c r="E373" s="24">
        <v>150000</v>
      </c>
      <c r="F373" s="24">
        <v>0.02</v>
      </c>
      <c r="G373" s="151">
        <v>44834</v>
      </c>
      <c r="H373" s="24">
        <f t="shared" si="5"/>
        <v>3000</v>
      </c>
      <c r="I373" s="24" t="s">
        <v>107</v>
      </c>
      <c r="J373" s="152"/>
    </row>
    <row r="374" hidden="1" spans="2:10">
      <c r="B374" s="148">
        <v>222300418</v>
      </c>
      <c r="C374" s="149">
        <v>44739</v>
      </c>
      <c r="D374" s="32" t="s">
        <v>33</v>
      </c>
      <c r="E374" s="24">
        <v>150000</v>
      </c>
      <c r="F374" s="24">
        <v>0.02</v>
      </c>
      <c r="G374" s="151">
        <v>44864</v>
      </c>
      <c r="H374" s="24">
        <f t="shared" si="5"/>
        <v>3000</v>
      </c>
      <c r="I374" s="24" t="s">
        <v>107</v>
      </c>
      <c r="J374" s="152"/>
    </row>
    <row r="375" s="29" customFormat="1" hidden="1" spans="2:10">
      <c r="B375" s="148">
        <v>222300418</v>
      </c>
      <c r="C375" s="149">
        <v>44739</v>
      </c>
      <c r="D375" s="32" t="s">
        <v>58</v>
      </c>
      <c r="E375" s="24">
        <v>200000</v>
      </c>
      <c r="F375" s="24">
        <v>0.019</v>
      </c>
      <c r="G375" s="151">
        <v>44834</v>
      </c>
      <c r="H375" s="24">
        <f t="shared" si="5"/>
        <v>3800</v>
      </c>
      <c r="I375" s="24" t="s">
        <v>10</v>
      </c>
      <c r="J375" s="22"/>
    </row>
    <row r="376" s="29" customFormat="1" hidden="1" spans="2:10">
      <c r="B376" s="148">
        <v>222300418</v>
      </c>
      <c r="C376" s="149">
        <v>44739</v>
      </c>
      <c r="D376" s="32" t="s">
        <v>58</v>
      </c>
      <c r="E376" s="24">
        <v>200000</v>
      </c>
      <c r="F376" s="24">
        <v>0.019</v>
      </c>
      <c r="G376" s="151">
        <v>44864</v>
      </c>
      <c r="H376" s="24">
        <f t="shared" si="5"/>
        <v>3800</v>
      </c>
      <c r="I376" s="24" t="s">
        <v>10</v>
      </c>
      <c r="J376" s="22"/>
    </row>
    <row r="377" hidden="1" spans="2:10">
      <c r="B377" s="148">
        <v>222300462</v>
      </c>
      <c r="C377" s="149">
        <v>44754</v>
      </c>
      <c r="D377" s="32" t="s">
        <v>36</v>
      </c>
      <c r="E377" s="24">
        <v>201000</v>
      </c>
      <c r="F377" s="24">
        <v>0.0083</v>
      </c>
      <c r="G377" s="151">
        <v>44829</v>
      </c>
      <c r="H377" s="24">
        <f t="shared" si="5"/>
        <v>1668.3</v>
      </c>
      <c r="I377" s="24" t="s">
        <v>65</v>
      </c>
      <c r="J377" s="152"/>
    </row>
    <row r="378" hidden="1" spans="2:10">
      <c r="B378" s="148">
        <v>222300462</v>
      </c>
      <c r="C378" s="149">
        <v>44754</v>
      </c>
      <c r="D378" s="32" t="s">
        <v>36</v>
      </c>
      <c r="E378" s="24">
        <v>201000</v>
      </c>
      <c r="F378" s="24">
        <v>0.0083</v>
      </c>
      <c r="G378" s="151">
        <v>44859</v>
      </c>
      <c r="H378" s="24">
        <f t="shared" si="5"/>
        <v>1668.3</v>
      </c>
      <c r="I378" s="24" t="s">
        <v>65</v>
      </c>
      <c r="J378" s="152"/>
    </row>
    <row r="379" hidden="1" spans="2:10">
      <c r="B379" s="148">
        <v>222300462</v>
      </c>
      <c r="C379" s="149">
        <v>44754</v>
      </c>
      <c r="D379" s="32" t="s">
        <v>11</v>
      </c>
      <c r="E379" s="24">
        <v>100000</v>
      </c>
      <c r="F379" s="24">
        <v>0.04</v>
      </c>
      <c r="G379" s="151">
        <v>44829</v>
      </c>
      <c r="H379" s="24">
        <f t="shared" si="5"/>
        <v>4000</v>
      </c>
      <c r="I379" s="24" t="s">
        <v>107</v>
      </c>
      <c r="J379" s="152"/>
    </row>
    <row r="380" hidden="1" spans="2:10">
      <c r="B380" s="148">
        <v>222300462</v>
      </c>
      <c r="C380" s="149">
        <v>44754</v>
      </c>
      <c r="D380" s="32" t="s">
        <v>11</v>
      </c>
      <c r="E380" s="24">
        <v>100000</v>
      </c>
      <c r="F380" s="24">
        <v>0.04</v>
      </c>
      <c r="G380" s="151">
        <v>44859</v>
      </c>
      <c r="H380" s="24">
        <f t="shared" si="5"/>
        <v>4000</v>
      </c>
      <c r="I380" s="24" t="s">
        <v>107</v>
      </c>
      <c r="J380" s="152"/>
    </row>
    <row r="381" hidden="1" spans="2:10">
      <c r="B381" s="148">
        <v>222300462</v>
      </c>
      <c r="C381" s="149">
        <v>44754</v>
      </c>
      <c r="D381" s="32" t="s">
        <v>29</v>
      </c>
      <c r="E381" s="24">
        <v>500000</v>
      </c>
      <c r="F381" s="24">
        <v>0.027</v>
      </c>
      <c r="G381" s="151">
        <v>44829</v>
      </c>
      <c r="H381" s="24">
        <f t="shared" si="5"/>
        <v>13500</v>
      </c>
      <c r="I381" s="24" t="s">
        <v>65</v>
      </c>
      <c r="J381" s="152"/>
    </row>
    <row r="382" hidden="1" spans="2:10">
      <c r="B382" s="148">
        <v>222300462</v>
      </c>
      <c r="C382" s="149">
        <v>44754</v>
      </c>
      <c r="D382" s="32" t="s">
        <v>29</v>
      </c>
      <c r="E382" s="24">
        <v>500000</v>
      </c>
      <c r="F382" s="24">
        <v>0.027</v>
      </c>
      <c r="G382" s="151">
        <v>44859</v>
      </c>
      <c r="H382" s="24">
        <f t="shared" si="5"/>
        <v>13500</v>
      </c>
      <c r="I382" s="24" t="s">
        <v>65</v>
      </c>
      <c r="J382" s="152"/>
    </row>
    <row r="383" hidden="1" spans="2:10">
      <c r="B383" s="148">
        <v>222300462</v>
      </c>
      <c r="C383" s="149">
        <v>44754</v>
      </c>
      <c r="D383" s="32" t="s">
        <v>29</v>
      </c>
      <c r="E383" s="24">
        <v>500000</v>
      </c>
      <c r="F383" s="24">
        <v>0.027</v>
      </c>
      <c r="G383" s="151">
        <v>44859</v>
      </c>
      <c r="H383" s="24">
        <f t="shared" si="5"/>
        <v>13500</v>
      </c>
      <c r="I383" s="24" t="s">
        <v>65</v>
      </c>
      <c r="J383" s="152"/>
    </row>
    <row r="384" hidden="1" spans="2:10">
      <c r="B384" s="148">
        <v>222300462</v>
      </c>
      <c r="C384" s="149">
        <v>44754</v>
      </c>
      <c r="D384" s="32" t="s">
        <v>29</v>
      </c>
      <c r="E384" s="24">
        <v>500000</v>
      </c>
      <c r="F384" s="24">
        <v>0.027</v>
      </c>
      <c r="G384" s="151">
        <v>44890</v>
      </c>
      <c r="H384" s="24">
        <f t="shared" si="5"/>
        <v>13500</v>
      </c>
      <c r="I384" s="24" t="s">
        <v>65</v>
      </c>
      <c r="J384" s="152"/>
    </row>
    <row r="385" hidden="1" spans="2:10">
      <c r="B385" s="148">
        <v>222300462</v>
      </c>
      <c r="C385" s="149">
        <v>44754</v>
      </c>
      <c r="D385" s="32" t="s">
        <v>31</v>
      </c>
      <c r="E385" s="24">
        <v>400000</v>
      </c>
      <c r="F385" s="24">
        <v>0.036</v>
      </c>
      <c r="G385" s="151">
        <v>44829</v>
      </c>
      <c r="H385" s="24">
        <f t="shared" si="5"/>
        <v>14400</v>
      </c>
      <c r="I385" s="24" t="s">
        <v>65</v>
      </c>
      <c r="J385" s="152"/>
    </row>
    <row r="386" hidden="1" spans="2:10">
      <c r="B386" s="148">
        <v>222300462</v>
      </c>
      <c r="C386" s="149">
        <v>44754</v>
      </c>
      <c r="D386" s="32" t="s">
        <v>31</v>
      </c>
      <c r="E386" s="24">
        <v>200000</v>
      </c>
      <c r="F386" s="24">
        <v>0.036</v>
      </c>
      <c r="G386" s="151">
        <v>44859</v>
      </c>
      <c r="H386" s="24">
        <f t="shared" ref="H386:H449" si="6">F386*E386</f>
        <v>7200</v>
      </c>
      <c r="I386" s="24" t="s">
        <v>65</v>
      </c>
      <c r="J386" s="152"/>
    </row>
    <row r="387" hidden="1" spans="2:10">
      <c r="B387" s="148">
        <v>222300462</v>
      </c>
      <c r="C387" s="149">
        <v>44754</v>
      </c>
      <c r="D387" s="32" t="s">
        <v>31</v>
      </c>
      <c r="E387" s="24">
        <v>200000</v>
      </c>
      <c r="F387" s="24">
        <v>0.036</v>
      </c>
      <c r="G387" s="151">
        <v>44859</v>
      </c>
      <c r="H387" s="24">
        <f t="shared" si="6"/>
        <v>7200</v>
      </c>
      <c r="I387" s="24" t="s">
        <v>65</v>
      </c>
      <c r="J387" s="152"/>
    </row>
    <row r="388" hidden="1" spans="2:10">
      <c r="B388" s="148">
        <v>222300462</v>
      </c>
      <c r="C388" s="149">
        <v>44754</v>
      </c>
      <c r="D388" s="32" t="s">
        <v>78</v>
      </c>
      <c r="E388" s="24">
        <v>200000</v>
      </c>
      <c r="F388" s="24">
        <v>0.02</v>
      </c>
      <c r="G388" s="151">
        <v>44829</v>
      </c>
      <c r="H388" s="24">
        <f t="shared" si="6"/>
        <v>4000</v>
      </c>
      <c r="I388" s="24" t="s">
        <v>107</v>
      </c>
      <c r="J388" s="152"/>
    </row>
    <row r="389" hidden="1" spans="2:10">
      <c r="B389" s="148">
        <v>222300462</v>
      </c>
      <c r="C389" s="149">
        <v>44754</v>
      </c>
      <c r="D389" s="32" t="s">
        <v>78</v>
      </c>
      <c r="E389" s="24">
        <v>200000</v>
      </c>
      <c r="F389" s="24">
        <v>0.02</v>
      </c>
      <c r="G389" s="151">
        <v>44859</v>
      </c>
      <c r="H389" s="24">
        <f t="shared" si="6"/>
        <v>4000</v>
      </c>
      <c r="I389" s="24" t="s">
        <v>107</v>
      </c>
      <c r="J389" s="152"/>
    </row>
    <row r="390" hidden="1" spans="2:10">
      <c r="B390" s="148">
        <v>222300462</v>
      </c>
      <c r="C390" s="149">
        <v>44754</v>
      </c>
      <c r="D390" s="32" t="s">
        <v>32</v>
      </c>
      <c r="E390" s="24">
        <v>400000</v>
      </c>
      <c r="F390" s="24">
        <v>0.02</v>
      </c>
      <c r="G390" s="151">
        <v>44829</v>
      </c>
      <c r="H390" s="24">
        <f t="shared" si="6"/>
        <v>8000</v>
      </c>
      <c r="I390" s="24" t="s">
        <v>107</v>
      </c>
      <c r="J390" s="152"/>
    </row>
    <row r="391" hidden="1" spans="2:10">
      <c r="B391" s="148">
        <v>222300462</v>
      </c>
      <c r="C391" s="149">
        <v>44754</v>
      </c>
      <c r="D391" s="32" t="s">
        <v>32</v>
      </c>
      <c r="E391" s="24">
        <v>400000</v>
      </c>
      <c r="F391" s="24">
        <v>0.02</v>
      </c>
      <c r="G391" s="151">
        <v>44859</v>
      </c>
      <c r="H391" s="24">
        <f t="shared" si="6"/>
        <v>8000</v>
      </c>
      <c r="I391" s="24" t="s">
        <v>107</v>
      </c>
      <c r="J391" s="152"/>
    </row>
    <row r="392" hidden="1" spans="2:10">
      <c r="B392" s="148">
        <v>222300462</v>
      </c>
      <c r="C392" s="149">
        <v>44754</v>
      </c>
      <c r="D392" s="32" t="s">
        <v>61</v>
      </c>
      <c r="E392" s="24">
        <v>144000</v>
      </c>
      <c r="F392" s="24">
        <v>0.022</v>
      </c>
      <c r="G392" s="151">
        <v>44829</v>
      </c>
      <c r="H392" s="24">
        <f t="shared" si="6"/>
        <v>3168</v>
      </c>
      <c r="I392" s="24" t="s">
        <v>65</v>
      </c>
      <c r="J392" s="152"/>
    </row>
    <row r="393" hidden="1" spans="2:10">
      <c r="B393" s="148">
        <v>222300462</v>
      </c>
      <c r="C393" s="149">
        <v>44754</v>
      </c>
      <c r="D393" s="32" t="s">
        <v>58</v>
      </c>
      <c r="E393" s="24">
        <v>200000</v>
      </c>
      <c r="F393" s="24">
        <v>0.019</v>
      </c>
      <c r="G393" s="151">
        <v>44829</v>
      </c>
      <c r="H393" s="24">
        <f t="shared" si="6"/>
        <v>3800</v>
      </c>
      <c r="I393" s="24" t="s">
        <v>65</v>
      </c>
      <c r="J393" s="152"/>
    </row>
    <row r="394" hidden="1" spans="2:10">
      <c r="B394" s="148">
        <v>222300462</v>
      </c>
      <c r="C394" s="149">
        <v>44754</v>
      </c>
      <c r="D394" s="32" t="s">
        <v>58</v>
      </c>
      <c r="E394" s="24">
        <v>200000</v>
      </c>
      <c r="F394" s="24">
        <v>0.019</v>
      </c>
      <c r="G394" s="151">
        <v>44859</v>
      </c>
      <c r="H394" s="24">
        <f t="shared" si="6"/>
        <v>3800</v>
      </c>
      <c r="I394" s="24" t="s">
        <v>65</v>
      </c>
      <c r="J394" s="152"/>
    </row>
    <row r="395" hidden="1" spans="2:10">
      <c r="B395" s="148">
        <v>222300462</v>
      </c>
      <c r="C395" s="149">
        <v>44754</v>
      </c>
      <c r="D395" s="32" t="s">
        <v>33</v>
      </c>
      <c r="E395" s="24">
        <v>100000</v>
      </c>
      <c r="F395" s="24">
        <v>0.02</v>
      </c>
      <c r="G395" s="151">
        <v>44829</v>
      </c>
      <c r="H395" s="24">
        <f t="shared" si="6"/>
        <v>2000</v>
      </c>
      <c r="I395" s="24" t="s">
        <v>107</v>
      </c>
      <c r="J395" s="152"/>
    </row>
    <row r="396" hidden="1" spans="2:10">
      <c r="B396" s="148">
        <v>222300462</v>
      </c>
      <c r="C396" s="149">
        <v>44754</v>
      </c>
      <c r="D396" s="32" t="s">
        <v>33</v>
      </c>
      <c r="E396" s="24">
        <v>100000</v>
      </c>
      <c r="F396" s="24">
        <v>0.02</v>
      </c>
      <c r="G396" s="151">
        <v>44859</v>
      </c>
      <c r="H396" s="24">
        <f t="shared" si="6"/>
        <v>2000</v>
      </c>
      <c r="I396" s="24" t="s">
        <v>107</v>
      </c>
      <c r="J396" s="152"/>
    </row>
    <row r="397" hidden="1" spans="2:10">
      <c r="B397" s="148">
        <v>222300463</v>
      </c>
      <c r="C397" s="149">
        <v>44754</v>
      </c>
      <c r="D397" s="32" t="s">
        <v>100</v>
      </c>
      <c r="E397" s="24">
        <v>40000</v>
      </c>
      <c r="F397" s="24">
        <v>0.03</v>
      </c>
      <c r="G397" s="151">
        <v>44814</v>
      </c>
      <c r="H397" s="24">
        <f t="shared" si="6"/>
        <v>1200</v>
      </c>
      <c r="I397" s="24" t="s">
        <v>65</v>
      </c>
      <c r="J397" s="152"/>
    </row>
    <row r="398" hidden="1" spans="2:10">
      <c r="B398" s="148">
        <v>222300463</v>
      </c>
      <c r="C398" s="149">
        <v>44754</v>
      </c>
      <c r="D398" s="32" t="s">
        <v>100</v>
      </c>
      <c r="E398" s="24">
        <v>40000</v>
      </c>
      <c r="F398" s="24">
        <v>0.03</v>
      </c>
      <c r="G398" s="151">
        <v>44844</v>
      </c>
      <c r="H398" s="24">
        <f t="shared" si="6"/>
        <v>1200</v>
      </c>
      <c r="I398" s="24" t="s">
        <v>65</v>
      </c>
      <c r="J398" s="152"/>
    </row>
    <row r="399" hidden="1" spans="2:10">
      <c r="B399" s="148">
        <v>222300463</v>
      </c>
      <c r="C399" s="149">
        <v>44754</v>
      </c>
      <c r="D399" s="32" t="s">
        <v>34</v>
      </c>
      <c r="E399" s="24">
        <v>100000</v>
      </c>
      <c r="F399" s="24">
        <v>0.051</v>
      </c>
      <c r="G399" s="151">
        <v>44814</v>
      </c>
      <c r="H399" s="24">
        <f t="shared" si="6"/>
        <v>5100</v>
      </c>
      <c r="I399" s="24" t="s">
        <v>65</v>
      </c>
      <c r="J399" s="152"/>
    </row>
    <row r="400" hidden="1" spans="2:10">
      <c r="B400" s="148">
        <v>222300460</v>
      </c>
      <c r="C400" s="149">
        <v>44753</v>
      </c>
      <c r="D400" s="32" t="s">
        <v>164</v>
      </c>
      <c r="E400" s="24">
        <v>102000</v>
      </c>
      <c r="F400" s="24">
        <v>0.011</v>
      </c>
      <c r="G400" s="24"/>
      <c r="H400" s="24">
        <f t="shared" si="6"/>
        <v>1122</v>
      </c>
      <c r="I400" s="24" t="s">
        <v>65</v>
      </c>
      <c r="J400" s="152"/>
    </row>
    <row r="401" hidden="1" spans="2:10">
      <c r="B401" s="148">
        <v>222300460</v>
      </c>
      <c r="C401" s="149">
        <v>44753</v>
      </c>
      <c r="D401" s="32" t="s">
        <v>164</v>
      </c>
      <c r="E401" s="24">
        <v>102000</v>
      </c>
      <c r="F401" s="24">
        <v>0.011</v>
      </c>
      <c r="G401" s="24"/>
      <c r="H401" s="24">
        <f t="shared" si="6"/>
        <v>1122</v>
      </c>
      <c r="I401" s="24" t="s">
        <v>65</v>
      </c>
      <c r="J401" s="152"/>
    </row>
    <row r="402" hidden="1" spans="2:10">
      <c r="B402" s="148">
        <v>222300460</v>
      </c>
      <c r="C402" s="149">
        <v>44753</v>
      </c>
      <c r="D402" s="32" t="s">
        <v>177</v>
      </c>
      <c r="E402" s="24">
        <v>20000</v>
      </c>
      <c r="F402" s="24">
        <v>0.025</v>
      </c>
      <c r="G402" s="24"/>
      <c r="H402" s="24">
        <f t="shared" si="6"/>
        <v>500</v>
      </c>
      <c r="I402" s="24" t="s">
        <v>65</v>
      </c>
      <c r="J402" s="152"/>
    </row>
    <row r="403" hidden="1" spans="2:10">
      <c r="B403" s="148">
        <v>222300460</v>
      </c>
      <c r="C403" s="149">
        <v>44753</v>
      </c>
      <c r="D403" s="32" t="s">
        <v>177</v>
      </c>
      <c r="E403" s="24">
        <v>20000</v>
      </c>
      <c r="F403" s="24">
        <v>0.025</v>
      </c>
      <c r="G403" s="24"/>
      <c r="H403" s="24">
        <f t="shared" si="6"/>
        <v>500</v>
      </c>
      <c r="I403" s="24" t="s">
        <v>65</v>
      </c>
      <c r="J403" s="152"/>
    </row>
    <row r="404" hidden="1" spans="2:10">
      <c r="B404" s="148">
        <v>222300460</v>
      </c>
      <c r="C404" s="149">
        <v>44753</v>
      </c>
      <c r="D404" s="32" t="s">
        <v>26</v>
      </c>
      <c r="E404" s="24">
        <v>20000</v>
      </c>
      <c r="F404" s="24">
        <v>0.014</v>
      </c>
      <c r="G404" s="24"/>
      <c r="H404" s="24">
        <f t="shared" si="6"/>
        <v>280</v>
      </c>
      <c r="I404" s="24" t="s">
        <v>65</v>
      </c>
      <c r="J404" s="152"/>
    </row>
    <row r="405" hidden="1" spans="2:10">
      <c r="B405" s="148">
        <v>222300460</v>
      </c>
      <c r="C405" s="149">
        <v>44753</v>
      </c>
      <c r="D405" s="32" t="s">
        <v>26</v>
      </c>
      <c r="E405" s="24">
        <v>20000</v>
      </c>
      <c r="F405" s="24">
        <v>0.014</v>
      </c>
      <c r="G405" s="24"/>
      <c r="H405" s="24">
        <f t="shared" si="6"/>
        <v>280</v>
      </c>
      <c r="I405" s="24" t="s">
        <v>65</v>
      </c>
      <c r="J405" s="152"/>
    </row>
    <row r="406" hidden="1" spans="2:10">
      <c r="B406" s="148">
        <v>222300460</v>
      </c>
      <c r="C406" s="149">
        <v>44753</v>
      </c>
      <c r="D406" s="32" t="s">
        <v>178</v>
      </c>
      <c r="E406" s="24">
        <v>20000</v>
      </c>
      <c r="F406" s="24">
        <v>0.027</v>
      </c>
      <c r="G406" s="24"/>
      <c r="H406" s="24">
        <f t="shared" si="6"/>
        <v>540</v>
      </c>
      <c r="I406" s="24" t="s">
        <v>65</v>
      </c>
      <c r="J406" s="152"/>
    </row>
    <row r="407" hidden="1" spans="2:10">
      <c r="B407" s="148">
        <v>222300460</v>
      </c>
      <c r="C407" s="149">
        <v>44753</v>
      </c>
      <c r="D407" s="32" t="s">
        <v>178</v>
      </c>
      <c r="E407" s="24">
        <v>40000</v>
      </c>
      <c r="F407" s="24">
        <v>0.027</v>
      </c>
      <c r="G407" s="24"/>
      <c r="H407" s="24">
        <f t="shared" si="6"/>
        <v>1080</v>
      </c>
      <c r="I407" s="24" t="s">
        <v>65</v>
      </c>
      <c r="J407" s="152"/>
    </row>
    <row r="408" hidden="1" spans="2:10">
      <c r="B408" s="148">
        <v>222300460</v>
      </c>
      <c r="C408" s="149">
        <v>44753</v>
      </c>
      <c r="D408" s="32" t="s">
        <v>71</v>
      </c>
      <c r="E408" s="24">
        <v>20000</v>
      </c>
      <c r="F408" s="24">
        <v>0.02</v>
      </c>
      <c r="G408" s="24"/>
      <c r="H408" s="24">
        <f t="shared" si="6"/>
        <v>400</v>
      </c>
      <c r="I408" s="24" t="s">
        <v>65</v>
      </c>
      <c r="J408" s="152"/>
    </row>
    <row r="409" hidden="1" spans="2:10">
      <c r="B409" s="148">
        <v>222300460</v>
      </c>
      <c r="C409" s="149">
        <v>44753</v>
      </c>
      <c r="D409" s="32" t="s">
        <v>71</v>
      </c>
      <c r="E409" s="24">
        <v>30000</v>
      </c>
      <c r="F409" s="24">
        <v>0.02</v>
      </c>
      <c r="G409" s="24"/>
      <c r="H409" s="24">
        <f t="shared" si="6"/>
        <v>600</v>
      </c>
      <c r="I409" s="24" t="s">
        <v>65</v>
      </c>
      <c r="J409" s="152"/>
    </row>
    <row r="410" hidden="1" spans="2:10">
      <c r="B410" s="148">
        <v>222300496</v>
      </c>
      <c r="C410" s="149">
        <v>44760</v>
      </c>
      <c r="D410" s="32" t="s">
        <v>67</v>
      </c>
      <c r="E410" s="24">
        <v>120000</v>
      </c>
      <c r="F410" s="24">
        <v>0.028</v>
      </c>
      <c r="G410" s="151">
        <v>44890</v>
      </c>
      <c r="H410" s="24">
        <f t="shared" si="6"/>
        <v>3360</v>
      </c>
      <c r="I410" s="24" t="s">
        <v>65</v>
      </c>
      <c r="J410" s="152"/>
    </row>
    <row r="411" hidden="1" spans="2:10">
      <c r="B411" s="148">
        <v>222300496</v>
      </c>
      <c r="C411" s="149">
        <v>44760</v>
      </c>
      <c r="D411" s="32" t="s">
        <v>100</v>
      </c>
      <c r="E411" s="24">
        <v>200000</v>
      </c>
      <c r="F411" s="24">
        <v>0.03</v>
      </c>
      <c r="G411" s="151">
        <v>44890</v>
      </c>
      <c r="H411" s="24">
        <f t="shared" si="6"/>
        <v>6000</v>
      </c>
      <c r="I411" s="24" t="s">
        <v>65</v>
      </c>
      <c r="J411" s="152"/>
    </row>
    <row r="412" hidden="1" spans="2:10">
      <c r="B412" s="148">
        <v>222300496</v>
      </c>
      <c r="C412" s="149">
        <v>44760</v>
      </c>
      <c r="D412" s="32" t="s">
        <v>30</v>
      </c>
      <c r="E412" s="24">
        <v>500000</v>
      </c>
      <c r="F412" s="24">
        <v>0.028</v>
      </c>
      <c r="G412" s="151">
        <v>44859</v>
      </c>
      <c r="H412" s="24">
        <f t="shared" si="6"/>
        <v>14000</v>
      </c>
      <c r="I412" s="24" t="s">
        <v>107</v>
      </c>
      <c r="J412" s="152"/>
    </row>
    <row r="413" hidden="1" spans="2:10">
      <c r="B413" s="148">
        <v>222300496</v>
      </c>
      <c r="C413" s="149">
        <v>44760</v>
      </c>
      <c r="D413" s="32" t="s">
        <v>30</v>
      </c>
      <c r="E413" s="24">
        <v>500000</v>
      </c>
      <c r="F413" s="24">
        <v>0.028</v>
      </c>
      <c r="G413" s="151">
        <v>44890</v>
      </c>
      <c r="H413" s="24">
        <f t="shared" si="6"/>
        <v>14000</v>
      </c>
      <c r="I413" s="24" t="s">
        <v>107</v>
      </c>
      <c r="J413" s="152"/>
    </row>
    <row r="414" hidden="1" spans="2:10">
      <c r="B414" s="148">
        <v>222300496</v>
      </c>
      <c r="C414" s="149">
        <v>44760</v>
      </c>
      <c r="D414" s="32" t="s">
        <v>30</v>
      </c>
      <c r="E414" s="24">
        <v>500000</v>
      </c>
      <c r="F414" s="24">
        <v>0.028</v>
      </c>
      <c r="G414" s="151">
        <v>44920</v>
      </c>
      <c r="H414" s="24">
        <f t="shared" si="6"/>
        <v>14000</v>
      </c>
      <c r="I414" s="24" t="s">
        <v>107</v>
      </c>
      <c r="J414" s="152"/>
    </row>
    <row r="415" hidden="1" spans="2:10">
      <c r="B415" s="148">
        <v>222300496</v>
      </c>
      <c r="C415" s="149">
        <v>44760</v>
      </c>
      <c r="D415" s="32" t="s">
        <v>11</v>
      </c>
      <c r="E415" s="24">
        <v>250000</v>
      </c>
      <c r="F415" s="24">
        <v>0.04</v>
      </c>
      <c r="G415" s="151">
        <v>44920</v>
      </c>
      <c r="H415" s="24">
        <f t="shared" si="6"/>
        <v>10000</v>
      </c>
      <c r="I415" s="24" t="s">
        <v>110</v>
      </c>
      <c r="J415" s="152"/>
    </row>
    <row r="416" hidden="1" spans="2:10">
      <c r="B416" s="148">
        <v>222300496</v>
      </c>
      <c r="C416" s="149">
        <v>44760</v>
      </c>
      <c r="D416" s="32" t="s">
        <v>12</v>
      </c>
      <c r="E416" s="24">
        <v>20000</v>
      </c>
      <c r="F416" s="24">
        <v>0.06</v>
      </c>
      <c r="G416" s="151">
        <v>44890</v>
      </c>
      <c r="H416" s="24">
        <f t="shared" si="6"/>
        <v>1200</v>
      </c>
      <c r="I416" s="24" t="s">
        <v>65</v>
      </c>
      <c r="J416" s="152"/>
    </row>
    <row r="417" hidden="1" spans="2:10">
      <c r="B417" s="148">
        <v>222300496</v>
      </c>
      <c r="C417" s="149">
        <v>44760</v>
      </c>
      <c r="D417" s="32" t="s">
        <v>32</v>
      </c>
      <c r="E417" s="24">
        <v>150000</v>
      </c>
      <c r="F417" s="24">
        <v>0.02</v>
      </c>
      <c r="G417" s="151">
        <v>44920</v>
      </c>
      <c r="H417" s="24">
        <f t="shared" si="6"/>
        <v>3000</v>
      </c>
      <c r="I417" s="24" t="s">
        <v>110</v>
      </c>
      <c r="J417" s="152"/>
    </row>
    <row r="418" hidden="1" spans="2:10">
      <c r="B418" s="148">
        <v>222300496</v>
      </c>
      <c r="C418" s="149">
        <v>44760</v>
      </c>
      <c r="D418" s="32" t="s">
        <v>32</v>
      </c>
      <c r="E418" s="24">
        <v>350000</v>
      </c>
      <c r="F418" s="24">
        <v>0.02</v>
      </c>
      <c r="G418" s="151">
        <v>44920</v>
      </c>
      <c r="H418" s="24">
        <f t="shared" si="6"/>
        <v>7000</v>
      </c>
      <c r="I418" s="24" t="s">
        <v>110</v>
      </c>
      <c r="J418" s="152"/>
    </row>
    <row r="419" hidden="1" spans="2:10">
      <c r="B419" s="148">
        <v>222300496</v>
      </c>
      <c r="C419" s="149">
        <v>44760</v>
      </c>
      <c r="D419" s="32" t="s">
        <v>11</v>
      </c>
      <c r="E419" s="24">
        <v>250000</v>
      </c>
      <c r="F419" s="24">
        <v>0.04</v>
      </c>
      <c r="G419" s="151">
        <v>44951</v>
      </c>
      <c r="H419" s="24">
        <f t="shared" si="6"/>
        <v>10000</v>
      </c>
      <c r="I419" s="24" t="s">
        <v>110</v>
      </c>
      <c r="J419" s="152"/>
    </row>
    <row r="420" hidden="1" spans="2:10">
      <c r="B420" s="148">
        <v>222300528</v>
      </c>
      <c r="C420" s="149">
        <v>44761</v>
      </c>
      <c r="D420" s="32" t="s">
        <v>179</v>
      </c>
      <c r="E420" s="24">
        <v>50000</v>
      </c>
      <c r="F420" s="24">
        <v>0.08</v>
      </c>
      <c r="G420" s="151">
        <v>44767</v>
      </c>
      <c r="H420" s="24">
        <f t="shared" si="6"/>
        <v>4000</v>
      </c>
      <c r="I420" s="24" t="s">
        <v>65</v>
      </c>
      <c r="J420" s="152"/>
    </row>
    <row r="421" hidden="1" spans="2:10">
      <c r="B421" s="148">
        <v>222300528</v>
      </c>
      <c r="C421" s="149">
        <v>44761</v>
      </c>
      <c r="D421" s="32" t="s">
        <v>179</v>
      </c>
      <c r="E421" s="24">
        <v>50000</v>
      </c>
      <c r="F421" s="24">
        <v>0.08</v>
      </c>
      <c r="G421" s="151">
        <v>44798</v>
      </c>
      <c r="H421" s="24">
        <f t="shared" si="6"/>
        <v>4000</v>
      </c>
      <c r="I421" s="24" t="s">
        <v>65</v>
      </c>
      <c r="J421" s="152"/>
    </row>
    <row r="422" hidden="1" spans="2:10">
      <c r="B422" s="148">
        <v>222300528</v>
      </c>
      <c r="C422" s="149">
        <v>44761</v>
      </c>
      <c r="D422" s="32" t="s">
        <v>179</v>
      </c>
      <c r="E422" s="24">
        <v>50000</v>
      </c>
      <c r="F422" s="24">
        <v>0.08</v>
      </c>
      <c r="G422" s="151">
        <v>44829</v>
      </c>
      <c r="H422" s="24">
        <f t="shared" si="6"/>
        <v>4000</v>
      </c>
      <c r="I422" s="24" t="s">
        <v>65</v>
      </c>
      <c r="J422" s="152"/>
    </row>
    <row r="423" hidden="1" spans="2:10">
      <c r="B423" s="148">
        <v>222300529</v>
      </c>
      <c r="C423" s="149">
        <v>44761</v>
      </c>
      <c r="D423" s="32" t="s">
        <v>25</v>
      </c>
      <c r="E423" s="24">
        <v>12000</v>
      </c>
      <c r="F423" s="24">
        <v>0.016</v>
      </c>
      <c r="G423" s="151">
        <v>44783</v>
      </c>
      <c r="H423" s="24">
        <f t="shared" si="6"/>
        <v>192</v>
      </c>
      <c r="I423" s="24" t="s">
        <v>10</v>
      </c>
      <c r="J423" s="152"/>
    </row>
    <row r="424" hidden="1" spans="2:10">
      <c r="B424" s="148">
        <v>222300529</v>
      </c>
      <c r="C424" s="149">
        <v>44761</v>
      </c>
      <c r="D424" s="32" t="s">
        <v>25</v>
      </c>
      <c r="E424" s="24">
        <v>12000</v>
      </c>
      <c r="F424" s="24">
        <v>0.016</v>
      </c>
      <c r="G424" s="151">
        <v>44814</v>
      </c>
      <c r="H424" s="24">
        <f t="shared" si="6"/>
        <v>192</v>
      </c>
      <c r="I424" s="24" t="s">
        <v>10</v>
      </c>
      <c r="J424" s="152"/>
    </row>
    <row r="425" hidden="1" spans="2:10">
      <c r="B425" s="148">
        <v>222300529</v>
      </c>
      <c r="C425" s="149">
        <v>44761</v>
      </c>
      <c r="D425" s="32" t="s">
        <v>25</v>
      </c>
      <c r="E425" s="24">
        <v>12000</v>
      </c>
      <c r="F425" s="24">
        <v>0.016</v>
      </c>
      <c r="G425" s="151">
        <v>44844</v>
      </c>
      <c r="H425" s="24">
        <f t="shared" si="6"/>
        <v>192</v>
      </c>
      <c r="I425" s="24" t="s">
        <v>10</v>
      </c>
      <c r="J425" s="152"/>
    </row>
    <row r="426" hidden="1" spans="2:10">
      <c r="B426" s="148">
        <v>222300529</v>
      </c>
      <c r="C426" s="149">
        <v>44761</v>
      </c>
      <c r="D426" s="32" t="s">
        <v>31</v>
      </c>
      <c r="E426" s="24">
        <v>240000</v>
      </c>
      <c r="F426" s="24">
        <v>0.036</v>
      </c>
      <c r="G426" s="151">
        <v>44814</v>
      </c>
      <c r="H426" s="24">
        <f t="shared" si="6"/>
        <v>8640</v>
      </c>
      <c r="I426" s="24" t="s">
        <v>10</v>
      </c>
      <c r="J426" s="152"/>
    </row>
    <row r="427" hidden="1" spans="2:10">
      <c r="B427" s="148">
        <v>222300529</v>
      </c>
      <c r="C427" s="149">
        <v>44761</v>
      </c>
      <c r="D427" s="32" t="s">
        <v>31</v>
      </c>
      <c r="E427" s="24">
        <v>240000</v>
      </c>
      <c r="F427" s="24">
        <v>0.036</v>
      </c>
      <c r="G427" s="151">
        <v>44844</v>
      </c>
      <c r="H427" s="24">
        <f t="shared" si="6"/>
        <v>8640</v>
      </c>
      <c r="I427" s="24" t="s">
        <v>10</v>
      </c>
      <c r="J427" s="152"/>
    </row>
    <row r="428" hidden="1" spans="2:10">
      <c r="B428" s="148">
        <v>222300529</v>
      </c>
      <c r="C428" s="149">
        <v>44761</v>
      </c>
      <c r="D428" s="32" t="s">
        <v>57</v>
      </c>
      <c r="E428" s="24">
        <v>8000</v>
      </c>
      <c r="F428" s="24">
        <v>0.15</v>
      </c>
      <c r="G428" s="151">
        <v>44875</v>
      </c>
      <c r="H428" s="24">
        <f t="shared" si="6"/>
        <v>1200</v>
      </c>
      <c r="I428" s="24" t="s">
        <v>10</v>
      </c>
      <c r="J428" s="152"/>
    </row>
    <row r="429" hidden="1" spans="2:10">
      <c r="B429" s="148">
        <v>222300529</v>
      </c>
      <c r="C429" s="149">
        <v>44761</v>
      </c>
      <c r="D429" s="32" t="s">
        <v>66</v>
      </c>
      <c r="E429" s="24">
        <v>200000</v>
      </c>
      <c r="F429" s="24">
        <v>0.0238</v>
      </c>
      <c r="G429" s="151">
        <v>44844</v>
      </c>
      <c r="H429" s="24">
        <f t="shared" si="6"/>
        <v>4760</v>
      </c>
      <c r="I429" s="24" t="s">
        <v>10</v>
      </c>
      <c r="J429" s="152"/>
    </row>
    <row r="430" hidden="1" spans="2:10">
      <c r="B430" s="148">
        <v>222300529</v>
      </c>
      <c r="C430" s="149">
        <v>44761</v>
      </c>
      <c r="D430" s="32" t="s">
        <v>66</v>
      </c>
      <c r="E430" s="24">
        <v>200000</v>
      </c>
      <c r="F430" s="24">
        <v>0.0238</v>
      </c>
      <c r="G430" s="151">
        <v>44875</v>
      </c>
      <c r="H430" s="24">
        <f t="shared" si="6"/>
        <v>4760</v>
      </c>
      <c r="I430" s="24" t="s">
        <v>10</v>
      </c>
      <c r="J430" s="152"/>
    </row>
    <row r="431" hidden="1" spans="2:10">
      <c r="B431" s="148">
        <v>222300529</v>
      </c>
      <c r="C431" s="149">
        <v>44761</v>
      </c>
      <c r="D431" s="32" t="s">
        <v>66</v>
      </c>
      <c r="E431" s="24">
        <v>200000</v>
      </c>
      <c r="F431" s="24">
        <v>0.0238</v>
      </c>
      <c r="G431" s="151">
        <v>44905</v>
      </c>
      <c r="H431" s="24">
        <f t="shared" si="6"/>
        <v>4760</v>
      </c>
      <c r="I431" s="24" t="s">
        <v>10</v>
      </c>
      <c r="J431" s="152"/>
    </row>
    <row r="432" hidden="1" spans="2:10">
      <c r="B432" s="148">
        <v>222300529</v>
      </c>
      <c r="C432" s="149">
        <v>44761</v>
      </c>
      <c r="D432" s="32" t="s">
        <v>58</v>
      </c>
      <c r="E432" s="24">
        <v>80000</v>
      </c>
      <c r="F432" s="24">
        <v>0.019</v>
      </c>
      <c r="G432" s="151">
        <v>44783</v>
      </c>
      <c r="H432" s="24">
        <f t="shared" si="6"/>
        <v>1520</v>
      </c>
      <c r="I432" s="24" t="s">
        <v>10</v>
      </c>
      <c r="J432" s="152"/>
    </row>
    <row r="433" hidden="1" spans="1:10">
      <c r="B433" s="148">
        <v>222300529</v>
      </c>
      <c r="C433" s="149">
        <v>44761</v>
      </c>
      <c r="D433" s="32" t="s">
        <v>58</v>
      </c>
      <c r="E433" s="24">
        <v>80000</v>
      </c>
      <c r="F433" s="24">
        <v>0.019</v>
      </c>
      <c r="G433" s="151">
        <v>44814</v>
      </c>
      <c r="H433" s="24">
        <f t="shared" si="6"/>
        <v>1520</v>
      </c>
      <c r="I433" s="24" t="s">
        <v>10</v>
      </c>
      <c r="J433" s="152"/>
    </row>
    <row r="434" hidden="1" spans="1:10">
      <c r="B434" s="148">
        <v>222300529</v>
      </c>
      <c r="C434" s="149">
        <v>44761</v>
      </c>
      <c r="D434" s="32" t="s">
        <v>58</v>
      </c>
      <c r="E434" s="24">
        <v>80000</v>
      </c>
      <c r="F434" s="24">
        <v>0.019</v>
      </c>
      <c r="G434" s="151">
        <v>44844</v>
      </c>
      <c r="H434" s="24">
        <f t="shared" si="6"/>
        <v>1520</v>
      </c>
      <c r="I434" s="24" t="s">
        <v>10</v>
      </c>
      <c r="J434" s="152"/>
    </row>
    <row r="435" s="29" customFormat="1" hidden="1" spans="1:10">
      <c r="B435" s="148">
        <v>222300529</v>
      </c>
      <c r="C435" s="149">
        <v>44761</v>
      </c>
      <c r="D435" s="32" t="s">
        <v>180</v>
      </c>
      <c r="E435" s="24">
        <v>20000</v>
      </c>
      <c r="F435" s="24">
        <v>0.028</v>
      </c>
      <c r="G435" s="151">
        <v>44905</v>
      </c>
      <c r="H435" s="24">
        <f t="shared" si="6"/>
        <v>560</v>
      </c>
      <c r="I435" s="24" t="s">
        <v>10</v>
      </c>
      <c r="J435" s="22"/>
    </row>
    <row r="436" hidden="1" spans="1:10">
      <c r="A436" s="29"/>
      <c r="B436" s="148">
        <v>222300529</v>
      </c>
      <c r="C436" s="149">
        <v>44761</v>
      </c>
      <c r="D436" s="32" t="s">
        <v>56</v>
      </c>
      <c r="E436" s="24">
        <v>120000</v>
      </c>
      <c r="F436" s="24">
        <v>0.04</v>
      </c>
      <c r="G436" s="151">
        <v>44814</v>
      </c>
      <c r="H436" s="24">
        <f t="shared" si="6"/>
        <v>4800</v>
      </c>
      <c r="I436" s="24" t="s">
        <v>10</v>
      </c>
      <c r="J436" s="152"/>
    </row>
    <row r="437" hidden="1" spans="1:10">
      <c r="A437" s="29"/>
      <c r="B437" s="148">
        <v>222300529</v>
      </c>
      <c r="C437" s="149">
        <v>44761</v>
      </c>
      <c r="D437" s="32" t="s">
        <v>56</v>
      </c>
      <c r="E437" s="24">
        <v>120000</v>
      </c>
      <c r="F437" s="24">
        <v>0.04</v>
      </c>
      <c r="G437" s="151">
        <v>44844</v>
      </c>
      <c r="H437" s="24">
        <f t="shared" si="6"/>
        <v>4800</v>
      </c>
      <c r="I437" s="24" t="s">
        <v>10</v>
      </c>
      <c r="J437" s="152"/>
    </row>
    <row r="438" hidden="1" spans="1:10">
      <c r="B438" s="148">
        <v>222300529</v>
      </c>
      <c r="C438" s="149">
        <v>44761</v>
      </c>
      <c r="D438" s="32" t="s">
        <v>108</v>
      </c>
      <c r="E438" s="24">
        <v>50000</v>
      </c>
      <c r="F438" s="24">
        <v>0.04</v>
      </c>
      <c r="G438" s="151">
        <v>44814</v>
      </c>
      <c r="H438" s="24">
        <f t="shared" si="6"/>
        <v>2000</v>
      </c>
      <c r="I438" s="24" t="s">
        <v>10</v>
      </c>
      <c r="J438" s="152"/>
    </row>
    <row r="439" hidden="1" spans="1:10">
      <c r="B439" s="148">
        <v>222300529</v>
      </c>
      <c r="C439" s="149">
        <v>44761</v>
      </c>
      <c r="D439" s="32" t="s">
        <v>108</v>
      </c>
      <c r="E439" s="24">
        <v>50000</v>
      </c>
      <c r="F439" s="24">
        <v>0.04</v>
      </c>
      <c r="G439" s="151">
        <v>44844</v>
      </c>
      <c r="H439" s="24">
        <f t="shared" si="6"/>
        <v>2000</v>
      </c>
      <c r="I439" s="24" t="s">
        <v>10</v>
      </c>
      <c r="J439" s="152"/>
    </row>
    <row r="440" hidden="1" spans="1:10">
      <c r="B440" s="148">
        <v>222300529</v>
      </c>
      <c r="C440" s="149">
        <v>44761</v>
      </c>
      <c r="D440" s="32" t="s">
        <v>108</v>
      </c>
      <c r="E440" s="24">
        <v>50000</v>
      </c>
      <c r="F440" s="24">
        <v>0.04</v>
      </c>
      <c r="G440" s="151">
        <v>44875</v>
      </c>
      <c r="H440" s="24">
        <f t="shared" si="6"/>
        <v>2000</v>
      </c>
      <c r="I440" s="24" t="s">
        <v>10</v>
      </c>
      <c r="J440" s="152"/>
    </row>
    <row r="441" s="107" customFormat="1" hidden="1" spans="1:10">
      <c r="B441" s="148">
        <v>222300538</v>
      </c>
      <c r="C441" s="149">
        <v>44762</v>
      </c>
      <c r="D441" s="32" t="s">
        <v>30</v>
      </c>
      <c r="E441" s="24">
        <v>200000</v>
      </c>
      <c r="F441" s="24">
        <v>0.028</v>
      </c>
      <c r="G441" s="151">
        <v>44849</v>
      </c>
      <c r="H441" s="24">
        <f t="shared" si="6"/>
        <v>5600</v>
      </c>
      <c r="I441" s="24" t="s">
        <v>107</v>
      </c>
      <c r="J441" s="56"/>
    </row>
    <row r="442" hidden="1" spans="1:10">
      <c r="B442" s="148">
        <v>222300566</v>
      </c>
      <c r="C442" s="149">
        <v>44770</v>
      </c>
      <c r="D442" s="32" t="s">
        <v>181</v>
      </c>
      <c r="E442" s="24">
        <v>40000</v>
      </c>
      <c r="F442" s="24">
        <v>0.03</v>
      </c>
      <c r="G442" s="151">
        <v>44798</v>
      </c>
      <c r="H442" s="24">
        <f t="shared" si="6"/>
        <v>1200</v>
      </c>
      <c r="I442" s="24" t="s">
        <v>110</v>
      </c>
      <c r="J442" s="152"/>
    </row>
    <row r="443" hidden="1" spans="1:10">
      <c r="B443" s="148">
        <v>222300566</v>
      </c>
      <c r="C443" s="149">
        <v>44770</v>
      </c>
      <c r="D443" s="32" t="s">
        <v>181</v>
      </c>
      <c r="E443" s="24">
        <v>40000</v>
      </c>
      <c r="F443" s="24">
        <v>0.03</v>
      </c>
      <c r="G443" s="151">
        <v>44829</v>
      </c>
      <c r="H443" s="24">
        <f t="shared" si="6"/>
        <v>1200</v>
      </c>
      <c r="I443" s="24" t="s">
        <v>110</v>
      </c>
      <c r="J443" s="152"/>
    </row>
    <row r="444" hidden="1" spans="1:10">
      <c r="B444" s="148">
        <v>222300566</v>
      </c>
      <c r="C444" s="149">
        <v>44770</v>
      </c>
      <c r="D444" s="32" t="s">
        <v>181</v>
      </c>
      <c r="E444" s="24">
        <v>40000</v>
      </c>
      <c r="F444" s="24">
        <v>0.03</v>
      </c>
      <c r="G444" s="151">
        <v>44859</v>
      </c>
      <c r="H444" s="24">
        <f t="shared" si="6"/>
        <v>1200</v>
      </c>
      <c r="I444" s="24" t="s">
        <v>110</v>
      </c>
      <c r="J444" s="152"/>
    </row>
    <row r="445" hidden="1" spans="1:10">
      <c r="B445" s="148">
        <v>222300566</v>
      </c>
      <c r="C445" s="149">
        <v>44770</v>
      </c>
      <c r="D445" s="32" t="s">
        <v>31</v>
      </c>
      <c r="E445" s="24">
        <v>50000</v>
      </c>
      <c r="F445" s="24">
        <v>0.036</v>
      </c>
      <c r="G445" s="151">
        <v>44798</v>
      </c>
      <c r="H445" s="24">
        <f t="shared" si="6"/>
        <v>1800</v>
      </c>
      <c r="I445" s="24" t="s">
        <v>10</v>
      </c>
      <c r="J445" s="152"/>
    </row>
    <row r="446" hidden="1" spans="1:10">
      <c r="B446" s="148">
        <v>222300566</v>
      </c>
      <c r="C446" s="149">
        <v>44770</v>
      </c>
      <c r="D446" s="32" t="s">
        <v>31</v>
      </c>
      <c r="E446" s="24">
        <v>50000</v>
      </c>
      <c r="F446" s="24">
        <v>0.036</v>
      </c>
      <c r="G446" s="151">
        <v>44829</v>
      </c>
      <c r="H446" s="24">
        <f t="shared" si="6"/>
        <v>1800</v>
      </c>
      <c r="I446" s="24" t="s">
        <v>10</v>
      </c>
      <c r="J446" s="152"/>
    </row>
    <row r="447" hidden="1" spans="1:10">
      <c r="B447" s="148">
        <v>222300566</v>
      </c>
      <c r="C447" s="149">
        <v>44770</v>
      </c>
      <c r="D447" s="32" t="s">
        <v>31</v>
      </c>
      <c r="E447" s="24">
        <v>50000</v>
      </c>
      <c r="F447" s="24">
        <v>0.036</v>
      </c>
      <c r="G447" s="151">
        <v>44859</v>
      </c>
      <c r="H447" s="24">
        <f t="shared" si="6"/>
        <v>1800</v>
      </c>
      <c r="I447" s="24" t="s">
        <v>10</v>
      </c>
      <c r="J447" s="152"/>
    </row>
    <row r="448" hidden="1" spans="1:10">
      <c r="B448" s="148">
        <v>222300566</v>
      </c>
      <c r="C448" s="149">
        <v>44770</v>
      </c>
      <c r="D448" s="32" t="s">
        <v>78</v>
      </c>
      <c r="E448" s="24">
        <v>74000</v>
      </c>
      <c r="F448" s="24">
        <v>0.02</v>
      </c>
      <c r="G448" s="151">
        <v>44798</v>
      </c>
      <c r="H448" s="24">
        <f t="shared" si="6"/>
        <v>1480</v>
      </c>
      <c r="I448" s="24" t="s">
        <v>110</v>
      </c>
      <c r="J448" s="152"/>
    </row>
    <row r="449" hidden="1" spans="2:10">
      <c r="B449" s="148">
        <v>222300566</v>
      </c>
      <c r="C449" s="149">
        <v>44770</v>
      </c>
      <c r="D449" s="32" t="s">
        <v>78</v>
      </c>
      <c r="E449" s="24">
        <v>74000</v>
      </c>
      <c r="F449" s="24">
        <v>0.02</v>
      </c>
      <c r="G449" s="151">
        <v>44829</v>
      </c>
      <c r="H449" s="24">
        <f t="shared" si="6"/>
        <v>1480</v>
      </c>
      <c r="I449" s="24" t="s">
        <v>110</v>
      </c>
      <c r="J449" s="152"/>
    </row>
    <row r="450" hidden="1" spans="2:10">
      <c r="B450" s="148">
        <v>222300566</v>
      </c>
      <c r="C450" s="149">
        <v>44770</v>
      </c>
      <c r="D450" s="32" t="s">
        <v>78</v>
      </c>
      <c r="E450" s="24">
        <v>74000</v>
      </c>
      <c r="F450" s="24">
        <v>0.02</v>
      </c>
      <c r="G450" s="151">
        <v>44859</v>
      </c>
      <c r="H450" s="24">
        <f t="shared" ref="H450:H513" si="7">F450*E450</f>
        <v>1480</v>
      </c>
      <c r="I450" s="24" t="s">
        <v>110</v>
      </c>
      <c r="J450" s="152"/>
    </row>
    <row r="451" hidden="1" spans="2:10">
      <c r="B451" s="148">
        <v>222300566</v>
      </c>
      <c r="C451" s="149">
        <v>44770</v>
      </c>
      <c r="D451" s="32" t="s">
        <v>33</v>
      </c>
      <c r="E451" s="24">
        <v>200000</v>
      </c>
      <c r="F451" s="24">
        <v>0.02</v>
      </c>
      <c r="G451" s="151">
        <v>44798</v>
      </c>
      <c r="H451" s="24">
        <f t="shared" si="7"/>
        <v>4000</v>
      </c>
      <c r="I451" s="24" t="s">
        <v>110</v>
      </c>
      <c r="J451" s="152"/>
    </row>
    <row r="452" hidden="1" spans="2:10">
      <c r="B452" s="148">
        <v>222300566</v>
      </c>
      <c r="C452" s="149">
        <v>44770</v>
      </c>
      <c r="D452" s="32" t="s">
        <v>33</v>
      </c>
      <c r="E452" s="24">
        <v>100000</v>
      </c>
      <c r="F452" s="24">
        <v>0.02</v>
      </c>
      <c r="G452" s="151">
        <v>44829</v>
      </c>
      <c r="H452" s="24">
        <f t="shared" si="7"/>
        <v>2000</v>
      </c>
      <c r="I452" s="24" t="s">
        <v>110</v>
      </c>
      <c r="J452" s="152"/>
    </row>
    <row r="453" hidden="1" spans="2:10">
      <c r="B453" s="148">
        <v>222300566</v>
      </c>
      <c r="C453" s="149">
        <v>44770</v>
      </c>
      <c r="D453" s="32" t="s">
        <v>33</v>
      </c>
      <c r="E453" s="24">
        <v>100000</v>
      </c>
      <c r="F453" s="24">
        <v>0.02</v>
      </c>
      <c r="G453" s="151">
        <v>44859</v>
      </c>
      <c r="H453" s="24">
        <f t="shared" si="7"/>
        <v>2000</v>
      </c>
      <c r="I453" s="24" t="s">
        <v>110</v>
      </c>
      <c r="J453" s="152"/>
    </row>
    <row r="454" hidden="1" spans="2:10">
      <c r="B454" s="148">
        <v>222300566</v>
      </c>
      <c r="C454" s="149">
        <v>44770</v>
      </c>
      <c r="D454" s="32" t="s">
        <v>33</v>
      </c>
      <c r="E454" s="24">
        <v>100000</v>
      </c>
      <c r="F454" s="24">
        <v>0.02</v>
      </c>
      <c r="G454" s="151">
        <v>44859</v>
      </c>
      <c r="H454" s="24">
        <f t="shared" si="7"/>
        <v>2000</v>
      </c>
      <c r="I454" s="24" t="s">
        <v>110</v>
      </c>
      <c r="J454" s="152"/>
    </row>
    <row r="455" hidden="1" spans="2:10">
      <c r="B455" s="148">
        <v>222300566</v>
      </c>
      <c r="C455" s="149">
        <v>44770</v>
      </c>
      <c r="D455" s="32" t="s">
        <v>33</v>
      </c>
      <c r="E455" s="24">
        <v>100000</v>
      </c>
      <c r="F455" s="24">
        <v>0.02</v>
      </c>
      <c r="G455" s="151">
        <v>44890</v>
      </c>
      <c r="H455" s="24">
        <f t="shared" si="7"/>
        <v>2000</v>
      </c>
      <c r="I455" s="24" t="s">
        <v>110</v>
      </c>
      <c r="J455" s="152"/>
    </row>
    <row r="456" hidden="1" spans="2:10">
      <c r="B456" s="148">
        <v>222300566</v>
      </c>
      <c r="C456" s="149">
        <v>44770</v>
      </c>
      <c r="D456" s="32" t="s">
        <v>29</v>
      </c>
      <c r="E456" s="24">
        <v>74000</v>
      </c>
      <c r="F456" s="24">
        <v>0.027</v>
      </c>
      <c r="G456" s="151">
        <v>44798</v>
      </c>
      <c r="H456" s="24">
        <f t="shared" si="7"/>
        <v>1998</v>
      </c>
      <c r="I456" s="24" t="s">
        <v>10</v>
      </c>
      <c r="J456" s="152"/>
    </row>
    <row r="457" hidden="1" spans="2:10">
      <c r="B457" s="148">
        <v>222300566</v>
      </c>
      <c r="C457" s="149">
        <v>44770</v>
      </c>
      <c r="D457" s="32" t="s">
        <v>29</v>
      </c>
      <c r="E457" s="24">
        <v>74000</v>
      </c>
      <c r="F457" s="24">
        <v>0.027</v>
      </c>
      <c r="G457" s="151">
        <v>44829</v>
      </c>
      <c r="H457" s="24">
        <f t="shared" si="7"/>
        <v>1998</v>
      </c>
      <c r="I457" s="24" t="s">
        <v>10</v>
      </c>
      <c r="J457" s="152"/>
    </row>
    <row r="458" hidden="1" spans="2:10">
      <c r="B458" s="148">
        <v>222300566</v>
      </c>
      <c r="C458" s="149">
        <v>44770</v>
      </c>
      <c r="D458" s="32" t="s">
        <v>29</v>
      </c>
      <c r="E458" s="24">
        <v>74000</v>
      </c>
      <c r="F458" s="24">
        <v>0.027</v>
      </c>
      <c r="G458" s="151">
        <v>44859</v>
      </c>
      <c r="H458" s="24">
        <f t="shared" si="7"/>
        <v>1998</v>
      </c>
      <c r="I458" s="24" t="s">
        <v>10</v>
      </c>
      <c r="J458" s="152"/>
    </row>
    <row r="459" hidden="1" spans="2:10">
      <c r="B459" s="148">
        <v>222300566</v>
      </c>
      <c r="C459" s="149">
        <v>44770</v>
      </c>
      <c r="D459" s="32" t="s">
        <v>100</v>
      </c>
      <c r="E459" s="24">
        <v>30000</v>
      </c>
      <c r="F459" s="24">
        <v>0.03</v>
      </c>
      <c r="G459" s="151">
        <v>44798</v>
      </c>
      <c r="H459" s="24">
        <f t="shared" si="7"/>
        <v>900</v>
      </c>
      <c r="I459" s="24" t="s">
        <v>10</v>
      </c>
      <c r="J459" s="152"/>
    </row>
    <row r="460" hidden="1" spans="2:10">
      <c r="B460" s="148">
        <v>222300566</v>
      </c>
      <c r="C460" s="149">
        <v>44770</v>
      </c>
      <c r="D460" s="32" t="s">
        <v>100</v>
      </c>
      <c r="E460" s="24">
        <v>30000</v>
      </c>
      <c r="F460" s="24">
        <v>0.03</v>
      </c>
      <c r="G460" s="151">
        <v>44829</v>
      </c>
      <c r="H460" s="24">
        <f t="shared" si="7"/>
        <v>900</v>
      </c>
      <c r="I460" s="24" t="s">
        <v>10</v>
      </c>
      <c r="J460" s="152"/>
    </row>
    <row r="461" hidden="1" spans="2:10">
      <c r="B461" s="148">
        <v>222300566</v>
      </c>
      <c r="C461" s="149">
        <v>44770</v>
      </c>
      <c r="D461" s="32" t="s">
        <v>100</v>
      </c>
      <c r="E461" s="24">
        <v>30000</v>
      </c>
      <c r="F461" s="24">
        <v>0.03</v>
      </c>
      <c r="G461" s="151">
        <v>44859</v>
      </c>
      <c r="H461" s="24">
        <f t="shared" si="7"/>
        <v>900</v>
      </c>
      <c r="I461" s="24" t="s">
        <v>10</v>
      </c>
      <c r="J461" s="152"/>
    </row>
    <row r="462" hidden="1" spans="2:10">
      <c r="B462" s="148">
        <v>222300567</v>
      </c>
      <c r="C462" s="149">
        <v>44770</v>
      </c>
      <c r="D462" s="32" t="s">
        <v>61</v>
      </c>
      <c r="E462" s="24">
        <v>80000</v>
      </c>
      <c r="F462" s="24">
        <v>0.022</v>
      </c>
      <c r="G462" s="151">
        <v>44798</v>
      </c>
      <c r="H462" s="24">
        <f t="shared" si="7"/>
        <v>1760</v>
      </c>
      <c r="I462" s="24" t="s">
        <v>10</v>
      </c>
      <c r="J462" s="152"/>
    </row>
    <row r="463" hidden="1" spans="2:10">
      <c r="B463" s="148">
        <v>222300567</v>
      </c>
      <c r="C463" s="149">
        <v>44770</v>
      </c>
      <c r="D463" s="32" t="s">
        <v>61</v>
      </c>
      <c r="E463" s="24">
        <v>60000</v>
      </c>
      <c r="F463" s="24">
        <v>0.022</v>
      </c>
      <c r="G463" s="151">
        <v>44829</v>
      </c>
      <c r="H463" s="24">
        <f t="shared" si="7"/>
        <v>1320</v>
      </c>
      <c r="I463" s="24" t="s">
        <v>10</v>
      </c>
      <c r="J463" s="152"/>
    </row>
    <row r="464" hidden="1" spans="2:10">
      <c r="B464" s="148">
        <v>222300567</v>
      </c>
      <c r="C464" s="149">
        <v>44770</v>
      </c>
      <c r="D464" s="32" t="s">
        <v>61</v>
      </c>
      <c r="E464" s="24">
        <v>80000</v>
      </c>
      <c r="F464" s="24">
        <v>0.022</v>
      </c>
      <c r="G464" s="151">
        <v>44890</v>
      </c>
      <c r="H464" s="24">
        <f t="shared" si="7"/>
        <v>1760</v>
      </c>
      <c r="I464" s="24" t="s">
        <v>10</v>
      </c>
      <c r="J464" s="152"/>
    </row>
    <row r="465" hidden="1" spans="2:10">
      <c r="B465" s="148">
        <v>222300567</v>
      </c>
      <c r="C465" s="149">
        <v>44770</v>
      </c>
      <c r="D465" s="32" t="s">
        <v>45</v>
      </c>
      <c r="E465" s="24">
        <v>40000</v>
      </c>
      <c r="F465" s="24">
        <v>0.028</v>
      </c>
      <c r="G465" s="151">
        <v>44798</v>
      </c>
      <c r="H465" s="24">
        <f t="shared" si="7"/>
        <v>1120</v>
      </c>
      <c r="I465" s="24" t="s">
        <v>10</v>
      </c>
      <c r="J465" s="152"/>
    </row>
    <row r="466" hidden="1" spans="2:10">
      <c r="B466" s="148">
        <v>222300568</v>
      </c>
      <c r="C466" s="149">
        <v>44770</v>
      </c>
      <c r="D466" s="32" t="s">
        <v>68</v>
      </c>
      <c r="E466" s="24">
        <v>20000</v>
      </c>
      <c r="F466" s="24">
        <v>0.03</v>
      </c>
      <c r="G466" s="151">
        <v>44829</v>
      </c>
      <c r="H466" s="24">
        <f t="shared" si="7"/>
        <v>600</v>
      </c>
      <c r="I466" s="24" t="s">
        <v>10</v>
      </c>
      <c r="J466" s="152"/>
    </row>
    <row r="467" hidden="1" spans="2:10">
      <c r="B467" s="148">
        <v>222300581</v>
      </c>
      <c r="C467" s="149">
        <v>44777</v>
      </c>
      <c r="D467" s="32" t="s">
        <v>37</v>
      </c>
      <c r="E467" s="24">
        <v>20000</v>
      </c>
      <c r="F467" s="24">
        <v>0.02</v>
      </c>
      <c r="G467" s="151">
        <v>44777</v>
      </c>
      <c r="H467" s="24">
        <f t="shared" si="7"/>
        <v>400</v>
      </c>
      <c r="I467" s="24" t="s">
        <v>10</v>
      </c>
      <c r="J467" s="152"/>
    </row>
    <row r="468" hidden="1" spans="2:10">
      <c r="B468" s="148">
        <v>222300581</v>
      </c>
      <c r="C468" s="149">
        <v>44777</v>
      </c>
      <c r="D468" s="32" t="s">
        <v>37</v>
      </c>
      <c r="E468" s="24">
        <v>20000</v>
      </c>
      <c r="F468" s="24">
        <v>0.02</v>
      </c>
      <c r="G468" s="151">
        <v>44814</v>
      </c>
      <c r="H468" s="24">
        <f t="shared" si="7"/>
        <v>400</v>
      </c>
      <c r="I468" s="24" t="s">
        <v>10</v>
      </c>
      <c r="J468" s="152"/>
    </row>
    <row r="469" hidden="1" spans="2:10">
      <c r="B469" s="148">
        <v>222300592</v>
      </c>
      <c r="C469" s="149">
        <v>44779</v>
      </c>
      <c r="D469" s="32" t="s">
        <v>25</v>
      </c>
      <c r="E469" s="24">
        <v>20000</v>
      </c>
      <c r="F469" s="24">
        <v>0.016</v>
      </c>
      <c r="G469" s="151">
        <v>44915</v>
      </c>
      <c r="H469" s="24">
        <f t="shared" si="7"/>
        <v>320</v>
      </c>
      <c r="I469" s="24" t="s">
        <v>10</v>
      </c>
      <c r="J469" s="152"/>
    </row>
    <row r="470" hidden="1" spans="2:10">
      <c r="B470" s="148">
        <v>222300592</v>
      </c>
      <c r="C470" s="149">
        <v>44779</v>
      </c>
      <c r="D470" s="32" t="s">
        <v>100</v>
      </c>
      <c r="E470" s="24">
        <v>20000</v>
      </c>
      <c r="F470" s="24">
        <v>0.03</v>
      </c>
      <c r="G470" s="151">
        <v>44803</v>
      </c>
      <c r="H470" s="24">
        <f t="shared" si="7"/>
        <v>600</v>
      </c>
      <c r="I470" s="24" t="s">
        <v>10</v>
      </c>
      <c r="J470" s="152"/>
    </row>
    <row r="471" hidden="1" spans="2:10">
      <c r="B471" s="148">
        <v>222300592</v>
      </c>
      <c r="C471" s="149">
        <v>44779</v>
      </c>
      <c r="D471" s="32" t="s">
        <v>100</v>
      </c>
      <c r="E471" s="24">
        <v>30000</v>
      </c>
      <c r="F471" s="24">
        <v>0.03</v>
      </c>
      <c r="G471" s="151">
        <v>44834</v>
      </c>
      <c r="H471" s="24">
        <f t="shared" si="7"/>
        <v>900</v>
      </c>
      <c r="I471" s="24" t="s">
        <v>10</v>
      </c>
      <c r="J471" s="152"/>
    </row>
    <row r="472" hidden="1" spans="2:10">
      <c r="B472" s="148">
        <v>222300592</v>
      </c>
      <c r="C472" s="149">
        <v>44779</v>
      </c>
      <c r="D472" s="32" t="s">
        <v>18</v>
      </c>
      <c r="E472" s="24">
        <v>200000</v>
      </c>
      <c r="F472" s="24">
        <v>0.0238</v>
      </c>
      <c r="G472" s="151">
        <v>44864</v>
      </c>
      <c r="H472" s="24">
        <f t="shared" si="7"/>
        <v>4760</v>
      </c>
      <c r="I472" s="24" t="s">
        <v>10</v>
      </c>
      <c r="J472" s="152"/>
    </row>
    <row r="473" hidden="1" spans="2:10">
      <c r="B473" s="148">
        <v>222300592</v>
      </c>
      <c r="C473" s="149">
        <v>44779</v>
      </c>
      <c r="D473" s="32" t="s">
        <v>18</v>
      </c>
      <c r="E473" s="24">
        <v>100000</v>
      </c>
      <c r="F473" s="24">
        <v>0.0238</v>
      </c>
      <c r="G473" s="151">
        <v>44895</v>
      </c>
      <c r="H473" s="24">
        <f t="shared" si="7"/>
        <v>2380</v>
      </c>
      <c r="I473" s="24" t="s">
        <v>10</v>
      </c>
      <c r="J473" s="152"/>
    </row>
    <row r="474" hidden="1" spans="2:10">
      <c r="B474" s="148">
        <v>222300592</v>
      </c>
      <c r="C474" s="149">
        <v>44779</v>
      </c>
      <c r="D474" s="32" t="s">
        <v>32</v>
      </c>
      <c r="E474" s="24">
        <v>100000</v>
      </c>
      <c r="F474" s="24">
        <v>0.02</v>
      </c>
      <c r="G474" s="151">
        <v>44834</v>
      </c>
      <c r="H474" s="24">
        <f t="shared" si="7"/>
        <v>2000</v>
      </c>
      <c r="I474" s="24" t="s">
        <v>110</v>
      </c>
      <c r="J474" s="152"/>
    </row>
    <row r="475" hidden="1" spans="2:10">
      <c r="B475" s="148">
        <v>222300592</v>
      </c>
      <c r="C475" s="149">
        <v>44779</v>
      </c>
      <c r="D475" s="32" t="s">
        <v>32</v>
      </c>
      <c r="E475" s="24">
        <v>120000</v>
      </c>
      <c r="F475" s="24">
        <v>0.02</v>
      </c>
      <c r="G475" s="151">
        <v>44864</v>
      </c>
      <c r="H475" s="24">
        <f t="shared" si="7"/>
        <v>2400</v>
      </c>
      <c r="I475" s="24" t="s">
        <v>110</v>
      </c>
      <c r="J475" s="152"/>
    </row>
    <row r="476" hidden="1" spans="2:10">
      <c r="B476" s="148">
        <v>222300592</v>
      </c>
      <c r="C476" s="149">
        <v>44779</v>
      </c>
      <c r="D476" s="32" t="s">
        <v>181</v>
      </c>
      <c r="E476" s="24">
        <v>200000</v>
      </c>
      <c r="F476" s="24">
        <v>0.03</v>
      </c>
      <c r="G476" s="151">
        <v>44834</v>
      </c>
      <c r="H476" s="24">
        <f t="shared" si="7"/>
        <v>6000</v>
      </c>
      <c r="I476" s="24" t="s">
        <v>110</v>
      </c>
      <c r="J476" s="152"/>
    </row>
    <row r="477" hidden="1" spans="2:10">
      <c r="B477" s="148">
        <v>222300592</v>
      </c>
      <c r="C477" s="149">
        <v>44779</v>
      </c>
      <c r="D477" s="32" t="s">
        <v>181</v>
      </c>
      <c r="E477" s="24">
        <v>300000</v>
      </c>
      <c r="F477" s="24">
        <v>0.03</v>
      </c>
      <c r="G477" s="151">
        <v>44864</v>
      </c>
      <c r="H477" s="24">
        <f t="shared" si="7"/>
        <v>9000</v>
      </c>
      <c r="I477" s="24" t="s">
        <v>110</v>
      </c>
      <c r="J477" s="152"/>
    </row>
    <row r="478" hidden="1" spans="2:10">
      <c r="B478" s="148">
        <v>222300611</v>
      </c>
      <c r="C478" s="149">
        <v>44789</v>
      </c>
      <c r="D478" s="32" t="s">
        <v>82</v>
      </c>
      <c r="E478" s="24">
        <v>100000</v>
      </c>
      <c r="F478" s="24">
        <v>0.022</v>
      </c>
      <c r="G478" s="151">
        <v>44803</v>
      </c>
      <c r="H478" s="24">
        <f t="shared" si="7"/>
        <v>2200</v>
      </c>
      <c r="I478" s="24" t="s">
        <v>65</v>
      </c>
      <c r="J478" s="152"/>
    </row>
    <row r="479" hidden="1" spans="2:10">
      <c r="B479" s="148">
        <v>222300611</v>
      </c>
      <c r="C479" s="149">
        <v>44789</v>
      </c>
      <c r="D479" s="32" t="s">
        <v>82</v>
      </c>
      <c r="E479" s="24">
        <v>40000</v>
      </c>
      <c r="F479" s="24">
        <v>0.022</v>
      </c>
      <c r="G479" s="151">
        <v>44834</v>
      </c>
      <c r="H479" s="24">
        <f t="shared" si="7"/>
        <v>880</v>
      </c>
      <c r="I479" s="24" t="s">
        <v>65</v>
      </c>
      <c r="J479" s="152"/>
    </row>
    <row r="480" hidden="1" spans="2:10">
      <c r="B480" s="148">
        <v>222300609</v>
      </c>
      <c r="C480" s="149">
        <v>44789</v>
      </c>
      <c r="D480" s="32" t="s">
        <v>37</v>
      </c>
      <c r="E480" s="24">
        <v>72000</v>
      </c>
      <c r="F480" s="24">
        <v>0.02</v>
      </c>
      <c r="G480" s="151">
        <v>44803</v>
      </c>
      <c r="H480" s="24">
        <f t="shared" si="7"/>
        <v>1440</v>
      </c>
      <c r="I480" s="24" t="s">
        <v>65</v>
      </c>
      <c r="J480" s="152"/>
    </row>
    <row r="481" hidden="1" spans="2:10">
      <c r="B481" s="148">
        <v>222300609</v>
      </c>
      <c r="C481" s="149">
        <v>44789</v>
      </c>
      <c r="D481" s="32" t="s">
        <v>37</v>
      </c>
      <c r="E481" s="24">
        <v>69000</v>
      </c>
      <c r="F481" s="24">
        <v>0.02</v>
      </c>
      <c r="G481" s="151">
        <v>44834</v>
      </c>
      <c r="H481" s="24">
        <f t="shared" si="7"/>
        <v>1380</v>
      </c>
      <c r="I481" s="24" t="s">
        <v>65</v>
      </c>
      <c r="J481" s="152"/>
    </row>
    <row r="482" hidden="1" spans="2:10">
      <c r="B482" s="148">
        <v>222300609</v>
      </c>
      <c r="C482" s="149">
        <v>44789</v>
      </c>
      <c r="D482" s="32" t="s">
        <v>37</v>
      </c>
      <c r="E482" s="24">
        <v>69000</v>
      </c>
      <c r="F482" s="24">
        <v>0.02</v>
      </c>
      <c r="G482" s="151">
        <v>44864</v>
      </c>
      <c r="H482" s="24">
        <f t="shared" si="7"/>
        <v>1380</v>
      </c>
      <c r="I482" s="24" t="s">
        <v>65</v>
      </c>
      <c r="J482" s="152"/>
    </row>
    <row r="483" hidden="1" spans="2:10">
      <c r="B483" s="148">
        <v>222300628</v>
      </c>
      <c r="C483" s="149">
        <v>44793</v>
      </c>
      <c r="D483" s="32" t="s">
        <v>70</v>
      </c>
      <c r="E483" s="24">
        <v>20000</v>
      </c>
      <c r="F483" s="24">
        <v>0.028</v>
      </c>
      <c r="G483" s="151">
        <v>44824</v>
      </c>
      <c r="H483" s="24">
        <f t="shared" si="7"/>
        <v>560</v>
      </c>
      <c r="I483" s="24" t="s">
        <v>65</v>
      </c>
      <c r="J483" s="152"/>
    </row>
    <row r="484" hidden="1" spans="2:10">
      <c r="B484" s="148">
        <v>222300630</v>
      </c>
      <c r="C484" s="149">
        <v>44793</v>
      </c>
      <c r="D484" s="32" t="s">
        <v>30</v>
      </c>
      <c r="E484" s="24">
        <v>200000</v>
      </c>
      <c r="F484" s="24">
        <v>0.028</v>
      </c>
      <c r="G484" s="151">
        <v>44824</v>
      </c>
      <c r="H484" s="24">
        <f t="shared" si="7"/>
        <v>5600</v>
      </c>
      <c r="I484" s="24" t="s">
        <v>110</v>
      </c>
      <c r="J484" s="152"/>
    </row>
    <row r="485" hidden="1" spans="2:10">
      <c r="B485" s="148">
        <v>222300630</v>
      </c>
      <c r="C485" s="149">
        <v>44793</v>
      </c>
      <c r="D485" s="32" t="s">
        <v>30</v>
      </c>
      <c r="E485" s="24">
        <v>200000</v>
      </c>
      <c r="F485" s="24">
        <v>0.028</v>
      </c>
      <c r="G485" s="151">
        <v>44854</v>
      </c>
      <c r="H485" s="24">
        <f t="shared" si="7"/>
        <v>5600</v>
      </c>
      <c r="I485" s="24" t="s">
        <v>110</v>
      </c>
      <c r="J485" s="152"/>
    </row>
    <row r="486" hidden="1" spans="2:10">
      <c r="B486" s="148">
        <v>222300630</v>
      </c>
      <c r="C486" s="149">
        <v>44793</v>
      </c>
      <c r="D486" s="32" t="s">
        <v>86</v>
      </c>
      <c r="E486" s="24">
        <v>96000</v>
      </c>
      <c r="F486" s="24">
        <v>0.006</v>
      </c>
      <c r="G486" s="151">
        <v>44824</v>
      </c>
      <c r="H486" s="24">
        <f t="shared" si="7"/>
        <v>576</v>
      </c>
      <c r="I486" s="24" t="s">
        <v>65</v>
      </c>
      <c r="J486" s="152"/>
    </row>
    <row r="487" hidden="1" spans="2:10">
      <c r="B487" s="148">
        <v>222300630</v>
      </c>
      <c r="C487" s="149">
        <v>44793</v>
      </c>
      <c r="D487" s="32" t="s">
        <v>86</v>
      </c>
      <c r="E487" s="24">
        <v>96000</v>
      </c>
      <c r="F487" s="24">
        <v>0.006</v>
      </c>
      <c r="G487" s="151">
        <v>44854</v>
      </c>
      <c r="H487" s="24">
        <f t="shared" si="7"/>
        <v>576</v>
      </c>
      <c r="I487" s="24" t="s">
        <v>65</v>
      </c>
      <c r="J487" s="152"/>
    </row>
    <row r="488" hidden="1" spans="2:10">
      <c r="B488" s="148">
        <v>222300630</v>
      </c>
      <c r="C488" s="149">
        <v>44793</v>
      </c>
      <c r="D488" s="32" t="s">
        <v>34</v>
      </c>
      <c r="E488" s="24">
        <v>150000</v>
      </c>
      <c r="F488" s="24">
        <v>0.051</v>
      </c>
      <c r="G488" s="151">
        <v>44854</v>
      </c>
      <c r="H488" s="24">
        <f t="shared" si="7"/>
        <v>7650</v>
      </c>
      <c r="I488" s="24" t="s">
        <v>65</v>
      </c>
      <c r="J488" s="152"/>
    </row>
    <row r="489" hidden="1" spans="2:10">
      <c r="B489" s="148">
        <v>222300634</v>
      </c>
      <c r="C489" s="149">
        <v>44795</v>
      </c>
      <c r="D489" s="32" t="s">
        <v>122</v>
      </c>
      <c r="E489" s="24">
        <v>50000</v>
      </c>
      <c r="F489" s="24">
        <v>0.065</v>
      </c>
      <c r="G489" s="151">
        <v>44803</v>
      </c>
      <c r="H489" s="24">
        <f t="shared" si="7"/>
        <v>3250</v>
      </c>
      <c r="I489" s="24" t="s">
        <v>65</v>
      </c>
      <c r="J489" s="152"/>
    </row>
    <row r="490" hidden="1" spans="2:10">
      <c r="B490" s="148">
        <v>222300634</v>
      </c>
      <c r="C490" s="149">
        <v>44795</v>
      </c>
      <c r="D490" s="32" t="s">
        <v>122</v>
      </c>
      <c r="E490" s="24">
        <v>50000</v>
      </c>
      <c r="F490" s="24">
        <v>0.065</v>
      </c>
      <c r="G490" s="151">
        <v>44834</v>
      </c>
      <c r="H490" s="24">
        <f t="shared" si="7"/>
        <v>3250</v>
      </c>
      <c r="I490" s="24" t="s">
        <v>65</v>
      </c>
      <c r="J490" s="152"/>
    </row>
    <row r="491" hidden="1" spans="2:10">
      <c r="B491" s="148">
        <v>222300634</v>
      </c>
      <c r="C491" s="149">
        <v>44795</v>
      </c>
      <c r="D491" s="32" t="s">
        <v>122</v>
      </c>
      <c r="E491" s="24">
        <v>50000</v>
      </c>
      <c r="F491" s="24">
        <v>0.065</v>
      </c>
      <c r="G491" s="151">
        <v>44854</v>
      </c>
      <c r="H491" s="24">
        <f t="shared" si="7"/>
        <v>3250</v>
      </c>
      <c r="I491" s="24" t="s">
        <v>65</v>
      </c>
      <c r="J491" s="152"/>
    </row>
    <row r="492" hidden="1" spans="2:10">
      <c r="B492" s="148">
        <v>222300634</v>
      </c>
      <c r="C492" s="149">
        <v>44795</v>
      </c>
      <c r="D492" s="32" t="s">
        <v>122</v>
      </c>
      <c r="E492" s="24">
        <v>50000</v>
      </c>
      <c r="F492" s="24">
        <v>0.065</v>
      </c>
      <c r="G492" s="151">
        <v>44885</v>
      </c>
      <c r="H492" s="24">
        <f t="shared" si="7"/>
        <v>3250</v>
      </c>
      <c r="I492" s="24" t="s">
        <v>65</v>
      </c>
      <c r="J492" s="152"/>
    </row>
    <row r="493" hidden="1" spans="2:10">
      <c r="B493" s="148">
        <v>222300638</v>
      </c>
      <c r="C493" s="149">
        <v>44795</v>
      </c>
      <c r="D493" s="32" t="s">
        <v>182</v>
      </c>
      <c r="E493" s="24">
        <v>200000</v>
      </c>
      <c r="F493" s="24">
        <v>0.025</v>
      </c>
      <c r="G493" s="151">
        <v>44809</v>
      </c>
      <c r="H493" s="24">
        <f t="shared" si="7"/>
        <v>5000</v>
      </c>
      <c r="I493" s="24" t="s">
        <v>65</v>
      </c>
      <c r="J493" s="152"/>
    </row>
    <row r="494" hidden="1" spans="2:10">
      <c r="B494" s="148">
        <v>222300638</v>
      </c>
      <c r="C494" s="149">
        <v>44795</v>
      </c>
      <c r="D494" s="32" t="s">
        <v>182</v>
      </c>
      <c r="E494" s="24">
        <v>152000</v>
      </c>
      <c r="F494" s="24">
        <v>0.025</v>
      </c>
      <c r="G494" s="151">
        <v>44844</v>
      </c>
      <c r="H494" s="24">
        <f t="shared" si="7"/>
        <v>3800</v>
      </c>
      <c r="I494" s="24" t="s">
        <v>65</v>
      </c>
      <c r="J494" s="152"/>
    </row>
    <row r="495" hidden="1" spans="2:10">
      <c r="B495" s="148">
        <v>222300638</v>
      </c>
      <c r="C495" s="149">
        <v>44795</v>
      </c>
      <c r="D495" s="32" t="s">
        <v>182</v>
      </c>
      <c r="E495" s="24">
        <v>152000</v>
      </c>
      <c r="F495" s="24">
        <v>0.025</v>
      </c>
      <c r="G495" s="151">
        <v>44875</v>
      </c>
      <c r="H495" s="24">
        <f t="shared" si="7"/>
        <v>3800</v>
      </c>
      <c r="I495" s="24" t="s">
        <v>65</v>
      </c>
      <c r="J495" s="152"/>
    </row>
    <row r="496" hidden="1" spans="2:10">
      <c r="B496" s="148">
        <v>222300638</v>
      </c>
      <c r="C496" s="149">
        <v>44795</v>
      </c>
      <c r="D496" s="32" t="s">
        <v>182</v>
      </c>
      <c r="E496" s="24">
        <v>148000</v>
      </c>
      <c r="F496" s="24">
        <v>0.025</v>
      </c>
      <c r="G496" s="151">
        <v>44936</v>
      </c>
      <c r="H496" s="24">
        <f t="shared" si="7"/>
        <v>3700</v>
      </c>
      <c r="I496" s="24" t="s">
        <v>65</v>
      </c>
      <c r="J496" s="152"/>
    </row>
    <row r="497" hidden="1" spans="2:10">
      <c r="B497" s="148">
        <v>222300659</v>
      </c>
      <c r="C497" s="149">
        <v>44801</v>
      </c>
      <c r="D497" s="32" t="s">
        <v>83</v>
      </c>
      <c r="E497" s="24">
        <v>20000</v>
      </c>
      <c r="F497" s="24">
        <v>0.023</v>
      </c>
      <c r="G497" s="151">
        <v>44802</v>
      </c>
      <c r="H497" s="24">
        <f t="shared" si="7"/>
        <v>460</v>
      </c>
      <c r="I497" s="24" t="s">
        <v>65</v>
      </c>
      <c r="J497" s="152"/>
    </row>
    <row r="498" hidden="1" spans="2:10">
      <c r="B498" s="148">
        <v>222300678</v>
      </c>
      <c r="C498" s="149">
        <v>44807</v>
      </c>
      <c r="D498" s="32" t="s">
        <v>82</v>
      </c>
      <c r="E498" s="24">
        <v>80000</v>
      </c>
      <c r="F498" s="24">
        <v>0.022</v>
      </c>
      <c r="G498" s="151">
        <v>44885</v>
      </c>
      <c r="H498" s="24">
        <f t="shared" si="7"/>
        <v>1760</v>
      </c>
      <c r="I498" s="24" t="s">
        <v>65</v>
      </c>
      <c r="J498" s="152"/>
    </row>
    <row r="499" hidden="1" spans="2:10">
      <c r="B499" s="148">
        <v>222300678</v>
      </c>
      <c r="C499" s="149">
        <v>44807</v>
      </c>
      <c r="D499" s="32" t="s">
        <v>82</v>
      </c>
      <c r="E499" s="24">
        <v>40000</v>
      </c>
      <c r="F499" s="24">
        <v>0.022</v>
      </c>
      <c r="G499" s="151">
        <v>44915</v>
      </c>
      <c r="H499" s="24">
        <f t="shared" si="7"/>
        <v>880</v>
      </c>
      <c r="I499" s="24" t="s">
        <v>65</v>
      </c>
      <c r="J499" s="152"/>
    </row>
    <row r="500" hidden="1" spans="2:10">
      <c r="B500" s="148">
        <v>222300678</v>
      </c>
      <c r="C500" s="149">
        <v>44807</v>
      </c>
      <c r="D500" s="32" t="s">
        <v>82</v>
      </c>
      <c r="E500" s="24">
        <v>40000</v>
      </c>
      <c r="F500" s="24">
        <v>0.022</v>
      </c>
      <c r="G500" s="151">
        <v>44946</v>
      </c>
      <c r="H500" s="24">
        <f t="shared" si="7"/>
        <v>880</v>
      </c>
      <c r="I500" s="24" t="s">
        <v>65</v>
      </c>
      <c r="J500" s="152"/>
    </row>
    <row r="501" hidden="1" spans="2:10">
      <c r="B501" s="148">
        <v>222300678</v>
      </c>
      <c r="C501" s="149">
        <v>44807</v>
      </c>
      <c r="D501" s="32" t="s">
        <v>82</v>
      </c>
      <c r="E501" s="24">
        <v>40000</v>
      </c>
      <c r="F501" s="24">
        <v>0.022</v>
      </c>
      <c r="G501" s="151">
        <v>44977</v>
      </c>
      <c r="H501" s="24">
        <f t="shared" si="7"/>
        <v>880</v>
      </c>
      <c r="I501" s="24" t="s">
        <v>65</v>
      </c>
      <c r="J501" s="152"/>
    </row>
    <row r="502" s="29" customFormat="1" hidden="1" spans="2:10">
      <c r="B502" s="148">
        <v>222300678</v>
      </c>
      <c r="C502" s="149">
        <v>44807</v>
      </c>
      <c r="D502" s="32" t="s">
        <v>82</v>
      </c>
      <c r="E502" s="24">
        <v>40000</v>
      </c>
      <c r="F502" s="24">
        <v>0.022</v>
      </c>
      <c r="G502" s="151">
        <v>45005</v>
      </c>
      <c r="H502" s="24">
        <f t="shared" si="7"/>
        <v>880</v>
      </c>
      <c r="I502" s="24" t="s">
        <v>65</v>
      </c>
      <c r="J502" s="22"/>
    </row>
    <row r="503" hidden="1" spans="2:10">
      <c r="B503" s="148">
        <v>222300678</v>
      </c>
      <c r="C503" s="149">
        <v>44807</v>
      </c>
      <c r="D503" s="32" t="s">
        <v>83</v>
      </c>
      <c r="E503" s="24">
        <v>20000</v>
      </c>
      <c r="F503" s="24">
        <v>0.023</v>
      </c>
      <c r="G503" s="151">
        <v>44885</v>
      </c>
      <c r="H503" s="24">
        <f t="shared" si="7"/>
        <v>460</v>
      </c>
      <c r="I503" s="24" t="s">
        <v>65</v>
      </c>
      <c r="J503" s="152"/>
    </row>
    <row r="504" hidden="1" spans="2:10">
      <c r="B504" s="148">
        <v>222300678</v>
      </c>
      <c r="C504" s="149">
        <v>44807</v>
      </c>
      <c r="D504" s="32" t="s">
        <v>83</v>
      </c>
      <c r="E504" s="24">
        <v>20000</v>
      </c>
      <c r="F504" s="24">
        <v>0.023</v>
      </c>
      <c r="G504" s="151">
        <v>44915</v>
      </c>
      <c r="H504" s="24">
        <f t="shared" si="7"/>
        <v>460</v>
      </c>
      <c r="I504" s="24" t="s">
        <v>65</v>
      </c>
      <c r="J504" s="152"/>
    </row>
    <row r="505" hidden="1" spans="2:10">
      <c r="B505" s="148">
        <v>222300678</v>
      </c>
      <c r="C505" s="149">
        <v>44807</v>
      </c>
      <c r="D505" s="32" t="s">
        <v>83</v>
      </c>
      <c r="E505" s="24">
        <v>20000</v>
      </c>
      <c r="F505" s="24">
        <v>0.023</v>
      </c>
      <c r="G505" s="151">
        <v>44946</v>
      </c>
      <c r="H505" s="24">
        <f t="shared" si="7"/>
        <v>460</v>
      </c>
      <c r="I505" s="24" t="s">
        <v>65</v>
      </c>
      <c r="J505" s="152"/>
    </row>
    <row r="506" hidden="1" spans="2:10">
      <c r="B506" s="148">
        <v>222300681</v>
      </c>
      <c r="C506" s="149">
        <v>44810</v>
      </c>
      <c r="D506" s="32" t="s">
        <v>9</v>
      </c>
      <c r="E506" s="24">
        <v>20000</v>
      </c>
      <c r="F506" s="24">
        <v>0.0245</v>
      </c>
      <c r="G506" s="151">
        <v>44859</v>
      </c>
      <c r="H506" s="24">
        <f t="shared" si="7"/>
        <v>490</v>
      </c>
      <c r="I506" s="24" t="s">
        <v>65</v>
      </c>
      <c r="J506" s="152"/>
    </row>
    <row r="507" hidden="1" spans="2:10">
      <c r="B507" s="148">
        <v>222300681</v>
      </c>
      <c r="C507" s="149">
        <v>44810</v>
      </c>
      <c r="D507" s="32" t="s">
        <v>9</v>
      </c>
      <c r="E507" s="24">
        <v>20000</v>
      </c>
      <c r="F507" s="24">
        <v>0.0245</v>
      </c>
      <c r="G507" s="151">
        <v>44859</v>
      </c>
      <c r="H507" s="24">
        <f t="shared" si="7"/>
        <v>490</v>
      </c>
      <c r="I507" s="24" t="s">
        <v>65</v>
      </c>
      <c r="J507" s="152"/>
    </row>
    <row r="508" hidden="1" spans="2:10">
      <c r="B508" s="148">
        <v>222300684</v>
      </c>
      <c r="C508" s="149">
        <v>44810</v>
      </c>
      <c r="D508" s="32" t="s">
        <v>71</v>
      </c>
      <c r="E508" s="24">
        <v>20000</v>
      </c>
      <c r="F508" s="24">
        <v>0.02</v>
      </c>
      <c r="G508" s="151">
        <v>44859</v>
      </c>
      <c r="H508" s="24">
        <f t="shared" si="7"/>
        <v>400</v>
      </c>
      <c r="I508" s="24" t="s">
        <v>65</v>
      </c>
      <c r="J508" s="152"/>
    </row>
    <row r="509" hidden="1" spans="2:10">
      <c r="B509" s="148">
        <v>222300684</v>
      </c>
      <c r="C509" s="149">
        <v>44810</v>
      </c>
      <c r="D509" s="32" t="s">
        <v>71</v>
      </c>
      <c r="E509" s="24">
        <v>20000</v>
      </c>
      <c r="F509" s="24">
        <v>0.02</v>
      </c>
      <c r="G509" s="151">
        <v>44859</v>
      </c>
      <c r="H509" s="24">
        <f t="shared" si="7"/>
        <v>400</v>
      </c>
      <c r="I509" s="24" t="s">
        <v>65</v>
      </c>
      <c r="J509" s="152"/>
    </row>
    <row r="510" hidden="1" spans="2:10">
      <c r="B510" s="148">
        <v>222300700</v>
      </c>
      <c r="C510" s="149">
        <v>44816</v>
      </c>
      <c r="D510" s="32" t="s">
        <v>30</v>
      </c>
      <c r="E510" s="24">
        <v>84000</v>
      </c>
      <c r="F510" s="24">
        <v>0.028</v>
      </c>
      <c r="G510" s="151">
        <v>44967</v>
      </c>
      <c r="H510" s="24">
        <f t="shared" si="7"/>
        <v>2352</v>
      </c>
      <c r="I510" s="24" t="s">
        <v>65</v>
      </c>
      <c r="J510" s="152"/>
    </row>
    <row r="511" hidden="1" spans="2:10">
      <c r="B511" s="148">
        <v>222300722</v>
      </c>
      <c r="C511" s="149">
        <v>44819</v>
      </c>
      <c r="D511" s="32" t="s">
        <v>18</v>
      </c>
      <c r="E511" s="24">
        <v>300000</v>
      </c>
      <c r="F511" s="24">
        <v>0.0238</v>
      </c>
      <c r="G511" s="151">
        <v>44895</v>
      </c>
      <c r="H511" s="24">
        <f t="shared" si="7"/>
        <v>7140</v>
      </c>
      <c r="I511" s="24" t="s">
        <v>65</v>
      </c>
      <c r="J511" s="152"/>
    </row>
    <row r="512" hidden="1" spans="2:10">
      <c r="B512" s="148">
        <v>222300722</v>
      </c>
      <c r="C512" s="149">
        <v>44819</v>
      </c>
      <c r="D512" s="32" t="s">
        <v>18</v>
      </c>
      <c r="E512" s="24">
        <v>300000</v>
      </c>
      <c r="F512" s="24">
        <v>0.0238</v>
      </c>
      <c r="G512" s="151">
        <v>44925</v>
      </c>
      <c r="H512" s="24">
        <f t="shared" si="7"/>
        <v>7140</v>
      </c>
      <c r="I512" s="24" t="s">
        <v>65</v>
      </c>
      <c r="J512" s="152"/>
    </row>
    <row r="513" hidden="1" spans="2:10">
      <c r="B513" s="148">
        <v>222300722</v>
      </c>
      <c r="C513" s="149">
        <v>44819</v>
      </c>
      <c r="D513" s="32" t="s">
        <v>18</v>
      </c>
      <c r="E513" s="24">
        <v>300000</v>
      </c>
      <c r="F513" s="24">
        <v>0.0238</v>
      </c>
      <c r="G513" s="151">
        <v>44956</v>
      </c>
      <c r="H513" s="24">
        <f t="shared" si="7"/>
        <v>7140</v>
      </c>
      <c r="I513" s="24" t="s">
        <v>65</v>
      </c>
      <c r="J513" s="152"/>
    </row>
    <row r="514" hidden="1" spans="2:10">
      <c r="B514" s="148">
        <v>222300722</v>
      </c>
      <c r="C514" s="149">
        <v>44819</v>
      </c>
      <c r="D514" s="32" t="s">
        <v>16</v>
      </c>
      <c r="E514" s="24">
        <v>80000</v>
      </c>
      <c r="F514" s="24">
        <v>0.0292</v>
      </c>
      <c r="G514" s="151">
        <v>44925</v>
      </c>
      <c r="H514" s="24">
        <f t="shared" ref="H514:H577" si="8">F514*E514</f>
        <v>2336</v>
      </c>
      <c r="I514" s="24" t="s">
        <v>107</v>
      </c>
      <c r="J514" s="152"/>
    </row>
    <row r="515" hidden="1" spans="2:10">
      <c r="B515" s="148">
        <v>222300722</v>
      </c>
      <c r="C515" s="149">
        <v>44819</v>
      </c>
      <c r="D515" s="32" t="s">
        <v>16</v>
      </c>
      <c r="E515" s="24">
        <v>80000</v>
      </c>
      <c r="F515" s="24">
        <v>0.0292</v>
      </c>
      <c r="G515" s="151">
        <v>44956</v>
      </c>
      <c r="H515" s="24">
        <f t="shared" si="8"/>
        <v>2336</v>
      </c>
      <c r="I515" s="24" t="s">
        <v>107</v>
      </c>
      <c r="J515" s="152"/>
    </row>
    <row r="516" hidden="1" spans="2:10">
      <c r="B516" s="148">
        <v>222300722</v>
      </c>
      <c r="C516" s="149">
        <v>44819</v>
      </c>
      <c r="D516" s="32" t="s">
        <v>17</v>
      </c>
      <c r="E516" s="24">
        <v>402000</v>
      </c>
      <c r="F516" s="24">
        <v>0.0145</v>
      </c>
      <c r="G516" s="151">
        <v>44854</v>
      </c>
      <c r="H516" s="24">
        <f t="shared" si="8"/>
        <v>5829</v>
      </c>
      <c r="I516" s="24" t="s">
        <v>65</v>
      </c>
      <c r="J516" s="152"/>
    </row>
    <row r="517" hidden="1" spans="2:10">
      <c r="B517" s="148">
        <v>222300722</v>
      </c>
      <c r="C517" s="149">
        <v>44819</v>
      </c>
      <c r="D517" s="32" t="s">
        <v>17</v>
      </c>
      <c r="E517" s="24">
        <v>300000</v>
      </c>
      <c r="F517" s="24">
        <v>0.0145</v>
      </c>
      <c r="G517" s="151">
        <v>44895</v>
      </c>
      <c r="H517" s="24">
        <f t="shared" si="8"/>
        <v>4350</v>
      </c>
      <c r="I517" s="24" t="s">
        <v>65</v>
      </c>
      <c r="J517" s="152"/>
    </row>
    <row r="518" hidden="1" spans="2:10">
      <c r="B518" s="148">
        <v>222300722</v>
      </c>
      <c r="C518" s="149">
        <v>44819</v>
      </c>
      <c r="D518" s="32" t="s">
        <v>17</v>
      </c>
      <c r="E518" s="24">
        <v>201000</v>
      </c>
      <c r="F518" s="24">
        <v>0.0145</v>
      </c>
      <c r="G518" s="151">
        <v>44925</v>
      </c>
      <c r="H518" s="24">
        <f t="shared" si="8"/>
        <v>2914.5</v>
      </c>
      <c r="I518" s="24" t="s">
        <v>65</v>
      </c>
      <c r="J518" s="152"/>
    </row>
    <row r="519" hidden="1" spans="2:10">
      <c r="B519" s="148">
        <v>222300722</v>
      </c>
      <c r="C519" s="149">
        <v>44819</v>
      </c>
      <c r="D519" s="32" t="s">
        <v>36</v>
      </c>
      <c r="E519" s="24">
        <v>501000</v>
      </c>
      <c r="F519" s="24">
        <v>0.0083</v>
      </c>
      <c r="G519" s="151">
        <v>44925</v>
      </c>
      <c r="H519" s="24">
        <f t="shared" si="8"/>
        <v>4158.3</v>
      </c>
      <c r="I519" s="24" t="s">
        <v>65</v>
      </c>
      <c r="J519" s="152"/>
    </row>
    <row r="520" hidden="1" spans="2:10">
      <c r="B520" s="148">
        <v>222300722</v>
      </c>
      <c r="C520" s="149">
        <v>44819</v>
      </c>
      <c r="D520" s="32" t="s">
        <v>67</v>
      </c>
      <c r="E520" s="24">
        <v>120000</v>
      </c>
      <c r="F520" s="24">
        <v>0.028</v>
      </c>
      <c r="G520" s="151">
        <v>44925</v>
      </c>
      <c r="H520" s="24">
        <f t="shared" si="8"/>
        <v>3360</v>
      </c>
      <c r="I520" s="24" t="s">
        <v>65</v>
      </c>
      <c r="J520" s="152"/>
    </row>
    <row r="521" hidden="1" spans="2:10">
      <c r="B521" s="148">
        <v>222300722</v>
      </c>
      <c r="C521" s="149">
        <v>44819</v>
      </c>
      <c r="D521" s="32" t="s">
        <v>67</v>
      </c>
      <c r="E521" s="24">
        <v>120000</v>
      </c>
      <c r="F521" s="24">
        <v>0.028</v>
      </c>
      <c r="G521" s="151">
        <v>44956</v>
      </c>
      <c r="H521" s="24">
        <f t="shared" si="8"/>
        <v>3360</v>
      </c>
      <c r="I521" s="24" t="s">
        <v>65</v>
      </c>
      <c r="J521" s="152"/>
    </row>
    <row r="522" hidden="1" spans="2:10">
      <c r="B522" s="148">
        <v>222300722</v>
      </c>
      <c r="C522" s="149">
        <v>44819</v>
      </c>
      <c r="D522" s="32" t="s">
        <v>104</v>
      </c>
      <c r="E522" s="24">
        <v>200000</v>
      </c>
      <c r="F522" s="24">
        <v>0.028</v>
      </c>
      <c r="G522" s="151">
        <v>44895</v>
      </c>
      <c r="H522" s="24">
        <f t="shared" si="8"/>
        <v>5600</v>
      </c>
      <c r="I522" s="24" t="s">
        <v>65</v>
      </c>
      <c r="J522" s="152"/>
    </row>
    <row r="523" hidden="1" spans="2:10">
      <c r="B523" s="148">
        <v>222300722</v>
      </c>
      <c r="C523" s="149">
        <v>44819</v>
      </c>
      <c r="D523" s="32" t="s">
        <v>104</v>
      </c>
      <c r="E523" s="24">
        <v>200000</v>
      </c>
      <c r="F523" s="24">
        <v>0.028</v>
      </c>
      <c r="G523" s="151">
        <v>44925</v>
      </c>
      <c r="H523" s="24">
        <f t="shared" si="8"/>
        <v>5600</v>
      </c>
      <c r="I523" s="24" t="s">
        <v>65</v>
      </c>
      <c r="J523" s="152"/>
    </row>
    <row r="524" hidden="1" spans="2:10">
      <c r="B524" s="148">
        <v>222300722</v>
      </c>
      <c r="C524" s="149">
        <v>44819</v>
      </c>
      <c r="D524" s="32" t="s">
        <v>102</v>
      </c>
      <c r="E524" s="24">
        <v>70000</v>
      </c>
      <c r="F524" s="24">
        <v>0.034</v>
      </c>
      <c r="G524" s="151">
        <v>44895</v>
      </c>
      <c r="H524" s="24">
        <f t="shared" si="8"/>
        <v>2380</v>
      </c>
      <c r="I524" s="24" t="s">
        <v>65</v>
      </c>
      <c r="J524" s="152"/>
    </row>
    <row r="525" hidden="1" spans="2:10">
      <c r="B525" s="148">
        <v>222300722</v>
      </c>
      <c r="C525" s="149">
        <v>44819</v>
      </c>
      <c r="D525" s="32" t="s">
        <v>102</v>
      </c>
      <c r="E525" s="24">
        <v>60000</v>
      </c>
      <c r="F525" s="24">
        <v>0.034</v>
      </c>
      <c r="G525" s="151">
        <v>44925</v>
      </c>
      <c r="H525" s="24">
        <f t="shared" si="8"/>
        <v>2040</v>
      </c>
      <c r="I525" s="24" t="s">
        <v>65</v>
      </c>
      <c r="J525" s="152"/>
    </row>
    <row r="526" hidden="1" spans="2:10">
      <c r="B526" s="148">
        <v>222300722</v>
      </c>
      <c r="C526" s="149">
        <v>44819</v>
      </c>
      <c r="D526" s="32" t="s">
        <v>103</v>
      </c>
      <c r="E526" s="24">
        <v>160000</v>
      </c>
      <c r="F526" s="24">
        <v>0.028</v>
      </c>
      <c r="G526" s="151">
        <v>44895</v>
      </c>
      <c r="H526" s="24">
        <f t="shared" si="8"/>
        <v>4480</v>
      </c>
      <c r="I526" s="24" t="s">
        <v>65</v>
      </c>
      <c r="J526" s="152"/>
    </row>
    <row r="527" hidden="1" spans="2:10">
      <c r="B527" s="148">
        <v>222300722</v>
      </c>
      <c r="C527" s="149">
        <v>44819</v>
      </c>
      <c r="D527" s="32" t="s">
        <v>103</v>
      </c>
      <c r="E527" s="24">
        <v>140000</v>
      </c>
      <c r="F527" s="24">
        <v>0.028</v>
      </c>
      <c r="G527" s="151">
        <v>44925</v>
      </c>
      <c r="H527" s="24">
        <f t="shared" si="8"/>
        <v>3920</v>
      </c>
      <c r="I527" s="24" t="s">
        <v>65</v>
      </c>
      <c r="J527" s="152"/>
    </row>
    <row r="528" ht="16" hidden="1" customHeight="1" spans="2:10">
      <c r="B528" s="148">
        <v>222300724</v>
      </c>
      <c r="C528" s="149">
        <v>44819</v>
      </c>
      <c r="D528" s="32" t="s">
        <v>25</v>
      </c>
      <c r="E528" s="24">
        <v>20000</v>
      </c>
      <c r="F528" s="24">
        <v>0.016</v>
      </c>
      <c r="G528" s="151">
        <v>44967</v>
      </c>
      <c r="H528" s="24">
        <f t="shared" si="8"/>
        <v>320</v>
      </c>
      <c r="I528" s="24" t="s">
        <v>65</v>
      </c>
      <c r="J528" s="152"/>
    </row>
    <row r="529" s="29" customFormat="1" hidden="1" spans="2:10">
      <c r="B529" s="148">
        <v>222300724</v>
      </c>
      <c r="C529" s="149">
        <v>44819</v>
      </c>
      <c r="D529" s="32" t="s">
        <v>31</v>
      </c>
      <c r="E529" s="24">
        <v>300000</v>
      </c>
      <c r="F529" s="24">
        <v>0.036</v>
      </c>
      <c r="G529" s="151">
        <v>44849</v>
      </c>
      <c r="H529" s="24">
        <f t="shared" si="8"/>
        <v>10800</v>
      </c>
      <c r="I529" s="24" t="s">
        <v>65</v>
      </c>
      <c r="J529" s="22"/>
    </row>
    <row r="530" s="29" customFormat="1" hidden="1" spans="2:10">
      <c r="B530" s="148">
        <v>222300724</v>
      </c>
      <c r="C530" s="149">
        <v>44819</v>
      </c>
      <c r="D530" s="32" t="s">
        <v>31</v>
      </c>
      <c r="E530" s="24">
        <v>300000</v>
      </c>
      <c r="F530" s="24">
        <v>0.036</v>
      </c>
      <c r="G530" s="151">
        <v>44880</v>
      </c>
      <c r="H530" s="24">
        <f t="shared" si="8"/>
        <v>10800</v>
      </c>
      <c r="I530" s="24" t="s">
        <v>65</v>
      </c>
      <c r="J530" s="22"/>
    </row>
    <row r="531" s="29" customFormat="1" hidden="1" spans="2:10">
      <c r="B531" s="148">
        <v>222300724</v>
      </c>
      <c r="C531" s="149">
        <v>44819</v>
      </c>
      <c r="D531" s="32" t="s">
        <v>31</v>
      </c>
      <c r="E531" s="24">
        <v>200000</v>
      </c>
      <c r="F531" s="24">
        <v>0.036</v>
      </c>
      <c r="G531" s="151">
        <v>44956</v>
      </c>
      <c r="H531" s="24">
        <f t="shared" si="8"/>
        <v>7200</v>
      </c>
      <c r="I531" s="24" t="s">
        <v>65</v>
      </c>
      <c r="J531" s="22"/>
    </row>
    <row r="532" s="29" customFormat="1" hidden="1" spans="2:10">
      <c r="B532" s="148">
        <v>222300724</v>
      </c>
      <c r="C532" s="149">
        <v>44819</v>
      </c>
      <c r="D532" s="32" t="s">
        <v>57</v>
      </c>
      <c r="E532" s="24">
        <v>20000</v>
      </c>
      <c r="F532" s="24">
        <v>0.15</v>
      </c>
      <c r="G532" s="151">
        <v>44910</v>
      </c>
      <c r="H532" s="24">
        <f t="shared" si="8"/>
        <v>3000</v>
      </c>
      <c r="I532" s="24" t="s">
        <v>65</v>
      </c>
      <c r="J532" s="22"/>
    </row>
    <row r="533" s="29" customFormat="1" hidden="1" spans="2:10">
      <c r="B533" s="148">
        <v>222300724</v>
      </c>
      <c r="C533" s="149">
        <v>44819</v>
      </c>
      <c r="D533" s="32" t="s">
        <v>32</v>
      </c>
      <c r="E533" s="24">
        <v>150000</v>
      </c>
      <c r="F533" s="24">
        <v>0.02</v>
      </c>
      <c r="G533" s="151">
        <v>44925</v>
      </c>
      <c r="H533" s="24">
        <f t="shared" si="8"/>
        <v>3000</v>
      </c>
      <c r="I533" s="24" t="s">
        <v>65</v>
      </c>
      <c r="J533" s="22"/>
    </row>
    <row r="534" s="29" customFormat="1" hidden="1" spans="2:10">
      <c r="B534" s="148">
        <v>222300724</v>
      </c>
      <c r="C534" s="149">
        <v>44819</v>
      </c>
      <c r="D534" s="32" t="s">
        <v>58</v>
      </c>
      <c r="E534" s="24">
        <v>80000</v>
      </c>
      <c r="F534" s="24">
        <v>0.019</v>
      </c>
      <c r="G534" s="151">
        <v>44895</v>
      </c>
      <c r="H534" s="24">
        <f t="shared" si="8"/>
        <v>1520</v>
      </c>
      <c r="I534" s="24" t="s">
        <v>65</v>
      </c>
      <c r="J534" s="22"/>
    </row>
    <row r="535" s="29" customFormat="1" hidden="1" spans="2:10">
      <c r="B535" s="148">
        <v>222300724</v>
      </c>
      <c r="C535" s="149">
        <v>44819</v>
      </c>
      <c r="D535" s="32" t="s">
        <v>58</v>
      </c>
      <c r="E535" s="24">
        <v>80000</v>
      </c>
      <c r="F535" s="24">
        <v>0.019</v>
      </c>
      <c r="G535" s="151">
        <v>44925</v>
      </c>
      <c r="H535" s="24">
        <f t="shared" si="8"/>
        <v>1520</v>
      </c>
      <c r="I535" s="24" t="s">
        <v>65</v>
      </c>
      <c r="J535" s="22"/>
    </row>
    <row r="536" s="29" customFormat="1" hidden="1" spans="2:10">
      <c r="B536" s="148">
        <v>222300724</v>
      </c>
      <c r="C536" s="149">
        <v>44819</v>
      </c>
      <c r="D536" s="32" t="s">
        <v>181</v>
      </c>
      <c r="E536" s="24">
        <v>240000</v>
      </c>
      <c r="F536" s="24">
        <v>0.03</v>
      </c>
      <c r="G536" s="151">
        <v>44925</v>
      </c>
      <c r="H536" s="24">
        <f t="shared" si="8"/>
        <v>7200</v>
      </c>
      <c r="I536" s="24" t="s">
        <v>65</v>
      </c>
      <c r="J536" s="22"/>
    </row>
    <row r="537" s="29" customFormat="1" hidden="1" spans="2:10">
      <c r="B537" s="148">
        <v>222300724</v>
      </c>
      <c r="C537" s="149">
        <v>44819</v>
      </c>
      <c r="D537" s="32" t="s">
        <v>181</v>
      </c>
      <c r="E537" s="24">
        <v>240000</v>
      </c>
      <c r="F537" s="24">
        <v>0.03</v>
      </c>
      <c r="G537" s="151">
        <v>44956</v>
      </c>
      <c r="H537" s="24">
        <f t="shared" si="8"/>
        <v>7200</v>
      </c>
      <c r="I537" s="24" t="s">
        <v>65</v>
      </c>
      <c r="J537" s="22"/>
    </row>
    <row r="538" s="29" customFormat="1" hidden="1" spans="2:10">
      <c r="B538" s="148">
        <v>222300724</v>
      </c>
      <c r="C538" s="149">
        <v>44819</v>
      </c>
      <c r="D538" s="32" t="s">
        <v>100</v>
      </c>
      <c r="E538" s="24">
        <v>20000</v>
      </c>
      <c r="F538" s="24">
        <v>0.03</v>
      </c>
      <c r="G538" s="151">
        <v>44925</v>
      </c>
      <c r="H538" s="24">
        <f t="shared" si="8"/>
        <v>600</v>
      </c>
      <c r="I538" s="24" t="s">
        <v>65</v>
      </c>
      <c r="J538" s="22"/>
    </row>
    <row r="539" s="29" customFormat="1" hidden="1" spans="2:10">
      <c r="B539" s="148">
        <v>222300724</v>
      </c>
      <c r="C539" s="149">
        <v>44819</v>
      </c>
      <c r="D539" s="32" t="s">
        <v>100</v>
      </c>
      <c r="E539" s="24">
        <v>20000</v>
      </c>
      <c r="F539" s="24">
        <v>0.03</v>
      </c>
      <c r="G539" s="151">
        <v>44895</v>
      </c>
      <c r="H539" s="24">
        <f t="shared" si="8"/>
        <v>600</v>
      </c>
      <c r="I539" s="24" t="s">
        <v>65</v>
      </c>
      <c r="J539" s="22"/>
    </row>
    <row r="540" s="29" customFormat="1" hidden="1" spans="2:10">
      <c r="B540" s="148">
        <v>222300724</v>
      </c>
      <c r="C540" s="149">
        <v>44819</v>
      </c>
      <c r="D540" s="32" t="s">
        <v>100</v>
      </c>
      <c r="E540" s="24">
        <v>20000</v>
      </c>
      <c r="F540" s="24">
        <v>0.03</v>
      </c>
      <c r="G540" s="151">
        <v>44864</v>
      </c>
      <c r="H540" s="24">
        <f t="shared" si="8"/>
        <v>600</v>
      </c>
      <c r="I540" s="24" t="s">
        <v>65</v>
      </c>
      <c r="J540" s="22"/>
    </row>
    <row r="541" s="29" customFormat="1" hidden="1" spans="2:10">
      <c r="B541" s="148">
        <v>222300724</v>
      </c>
      <c r="C541" s="149">
        <v>44819</v>
      </c>
      <c r="D541" s="32" t="s">
        <v>43</v>
      </c>
      <c r="E541" s="24">
        <v>200000</v>
      </c>
      <c r="F541" s="24">
        <v>0.05</v>
      </c>
      <c r="G541" s="151">
        <v>44895</v>
      </c>
      <c r="H541" s="24">
        <f t="shared" si="8"/>
        <v>10000</v>
      </c>
      <c r="I541" s="24" t="s">
        <v>65</v>
      </c>
      <c r="J541" s="22"/>
    </row>
    <row r="542" s="29" customFormat="1" hidden="1" spans="2:10">
      <c r="B542" s="148">
        <v>222300724</v>
      </c>
      <c r="C542" s="149">
        <v>44819</v>
      </c>
      <c r="D542" s="32" t="s">
        <v>108</v>
      </c>
      <c r="E542" s="24">
        <v>50000</v>
      </c>
      <c r="F542" s="24">
        <v>0.04</v>
      </c>
      <c r="G542" s="151">
        <v>44895</v>
      </c>
      <c r="H542" s="24">
        <f t="shared" si="8"/>
        <v>2000</v>
      </c>
      <c r="I542" s="24" t="s">
        <v>65</v>
      </c>
      <c r="J542" s="22"/>
    </row>
    <row r="543" hidden="1" spans="2:10">
      <c r="B543" s="148">
        <v>222300731</v>
      </c>
      <c r="C543" s="149">
        <v>44820</v>
      </c>
      <c r="D543" s="32" t="s">
        <v>33</v>
      </c>
      <c r="E543" s="24">
        <v>200000</v>
      </c>
      <c r="F543" s="24">
        <v>0.02</v>
      </c>
      <c r="G543" s="151">
        <v>44895</v>
      </c>
      <c r="H543" s="24">
        <f t="shared" si="8"/>
        <v>4000</v>
      </c>
      <c r="I543" s="24" t="s">
        <v>65</v>
      </c>
      <c r="J543" s="152"/>
    </row>
    <row r="544" hidden="1" spans="2:10">
      <c r="B544" s="148">
        <v>222300731</v>
      </c>
      <c r="C544" s="149">
        <v>44820</v>
      </c>
      <c r="D544" s="32" t="s">
        <v>33</v>
      </c>
      <c r="E544" s="24">
        <v>200000</v>
      </c>
      <c r="F544" s="24">
        <v>0.02</v>
      </c>
      <c r="G544" s="151">
        <v>44925</v>
      </c>
      <c r="H544" s="24">
        <f t="shared" si="8"/>
        <v>4000</v>
      </c>
      <c r="I544" s="24" t="s">
        <v>65</v>
      </c>
      <c r="J544" s="152"/>
    </row>
    <row r="545" hidden="1" spans="2:10">
      <c r="B545" s="148">
        <v>222300731</v>
      </c>
      <c r="C545" s="149">
        <v>44820</v>
      </c>
      <c r="D545" s="32" t="s">
        <v>37</v>
      </c>
      <c r="E545" s="24">
        <v>20000</v>
      </c>
      <c r="F545" s="24">
        <v>0.02</v>
      </c>
      <c r="G545" s="151">
        <v>44849</v>
      </c>
      <c r="H545" s="24">
        <f t="shared" si="8"/>
        <v>400</v>
      </c>
      <c r="I545" s="24" t="s">
        <v>65</v>
      </c>
      <c r="J545" s="152"/>
    </row>
    <row r="546" hidden="1" spans="2:10">
      <c r="B546" s="148">
        <v>222300731</v>
      </c>
      <c r="C546" s="149">
        <v>44820</v>
      </c>
      <c r="D546" s="32" t="s">
        <v>37</v>
      </c>
      <c r="E546" s="24">
        <v>20000</v>
      </c>
      <c r="F546" s="24">
        <v>0.02</v>
      </c>
      <c r="G546" s="151">
        <v>44895</v>
      </c>
      <c r="H546" s="24">
        <f t="shared" si="8"/>
        <v>400</v>
      </c>
      <c r="I546" s="24" t="s">
        <v>65</v>
      </c>
      <c r="J546" s="152"/>
    </row>
    <row r="547" hidden="1" spans="2:10">
      <c r="B547" s="148">
        <v>222300731</v>
      </c>
      <c r="C547" s="149">
        <v>44820</v>
      </c>
      <c r="D547" s="32" t="s">
        <v>34</v>
      </c>
      <c r="E547" s="24">
        <v>150000</v>
      </c>
      <c r="F547" s="24">
        <v>0.051</v>
      </c>
      <c r="G547" s="151">
        <v>44925</v>
      </c>
      <c r="H547" s="24">
        <f t="shared" si="8"/>
        <v>7650</v>
      </c>
      <c r="I547" s="24" t="s">
        <v>65</v>
      </c>
      <c r="J547" s="152"/>
    </row>
    <row r="548" hidden="1" spans="2:10">
      <c r="B548" s="148">
        <v>222300731</v>
      </c>
      <c r="C548" s="149">
        <v>44820</v>
      </c>
      <c r="D548" s="32" t="s">
        <v>181</v>
      </c>
      <c r="E548" s="24">
        <v>20000</v>
      </c>
      <c r="F548" s="24">
        <v>0.03</v>
      </c>
      <c r="G548" s="151">
        <v>44864</v>
      </c>
      <c r="H548" s="24">
        <f t="shared" si="8"/>
        <v>600</v>
      </c>
      <c r="I548" s="24" t="s">
        <v>65</v>
      </c>
      <c r="J548" s="152"/>
    </row>
    <row r="549" hidden="1" spans="2:10">
      <c r="B549" s="148">
        <v>222300731</v>
      </c>
      <c r="C549" s="149">
        <v>44820</v>
      </c>
      <c r="D549" s="32" t="s">
        <v>181</v>
      </c>
      <c r="E549" s="24">
        <v>20000</v>
      </c>
      <c r="F549" s="24">
        <v>0.03</v>
      </c>
      <c r="G549" s="151">
        <v>44895</v>
      </c>
      <c r="H549" s="24">
        <f t="shared" si="8"/>
        <v>600</v>
      </c>
      <c r="I549" s="24" t="s">
        <v>65</v>
      </c>
      <c r="J549" s="152"/>
    </row>
    <row r="550" hidden="1" spans="2:10">
      <c r="B550" s="148">
        <v>222300731</v>
      </c>
      <c r="C550" s="149">
        <v>44820</v>
      </c>
      <c r="D550" s="32" t="s">
        <v>181</v>
      </c>
      <c r="E550" s="24">
        <v>20000</v>
      </c>
      <c r="F550" s="24">
        <v>0.03</v>
      </c>
      <c r="G550" s="151">
        <v>44925</v>
      </c>
      <c r="H550" s="24">
        <f t="shared" si="8"/>
        <v>600</v>
      </c>
      <c r="I550" s="24" t="s">
        <v>65</v>
      </c>
      <c r="J550" s="152"/>
    </row>
    <row r="551" hidden="1" spans="2:10">
      <c r="B551" s="148">
        <v>222300731</v>
      </c>
      <c r="C551" s="149">
        <v>44820</v>
      </c>
      <c r="D551" s="32" t="s">
        <v>32</v>
      </c>
      <c r="E551" s="24">
        <v>300000</v>
      </c>
      <c r="F551" s="24">
        <v>0.02</v>
      </c>
      <c r="G551" s="151">
        <v>44895</v>
      </c>
      <c r="H551" s="24">
        <f t="shared" si="8"/>
        <v>6000</v>
      </c>
      <c r="I551" s="24" t="s">
        <v>65</v>
      </c>
      <c r="J551" s="152"/>
    </row>
    <row r="552" hidden="1" spans="2:10">
      <c r="B552" s="148">
        <v>222300731</v>
      </c>
      <c r="C552" s="149">
        <v>44820</v>
      </c>
      <c r="D552" s="32" t="s">
        <v>32</v>
      </c>
      <c r="E552" s="24">
        <v>300000</v>
      </c>
      <c r="F552" s="24">
        <v>0.02</v>
      </c>
      <c r="G552" s="151">
        <v>44956</v>
      </c>
      <c r="H552" s="24">
        <f t="shared" si="8"/>
        <v>6000</v>
      </c>
      <c r="I552" s="24" t="s">
        <v>65</v>
      </c>
      <c r="J552" s="152"/>
    </row>
    <row r="553" hidden="1" spans="2:10">
      <c r="B553" s="148">
        <v>222300731</v>
      </c>
      <c r="C553" s="149">
        <v>44820</v>
      </c>
      <c r="D553" s="32" t="s">
        <v>78</v>
      </c>
      <c r="E553" s="24">
        <v>100000</v>
      </c>
      <c r="F553" s="24">
        <v>0.02</v>
      </c>
      <c r="G553" s="151">
        <v>44956</v>
      </c>
      <c r="H553" s="24">
        <f t="shared" si="8"/>
        <v>2000</v>
      </c>
      <c r="I553" s="24" t="s">
        <v>65</v>
      </c>
      <c r="J553" s="152"/>
    </row>
    <row r="554" hidden="1" spans="2:10">
      <c r="B554" s="148">
        <v>222300731</v>
      </c>
      <c r="C554" s="149">
        <v>44820</v>
      </c>
      <c r="D554" s="32" t="s">
        <v>111</v>
      </c>
      <c r="E554" s="24">
        <v>20000</v>
      </c>
      <c r="F554" s="24">
        <v>0.045</v>
      </c>
      <c r="G554" s="151">
        <v>44895</v>
      </c>
      <c r="H554" s="24">
        <f t="shared" si="8"/>
        <v>900</v>
      </c>
      <c r="I554" s="24" t="s">
        <v>107</v>
      </c>
      <c r="J554" s="152"/>
    </row>
    <row r="555" hidden="1" spans="2:10">
      <c r="B555" s="148">
        <v>222300731</v>
      </c>
      <c r="C555" s="149">
        <v>44820</v>
      </c>
      <c r="D555" s="32" t="s">
        <v>111</v>
      </c>
      <c r="E555" s="24">
        <v>20000</v>
      </c>
      <c r="F555" s="24">
        <v>0.045</v>
      </c>
      <c r="G555" s="151">
        <v>44925</v>
      </c>
      <c r="H555" s="24">
        <f t="shared" si="8"/>
        <v>900</v>
      </c>
      <c r="I555" s="24" t="s">
        <v>107</v>
      </c>
      <c r="J555" s="152"/>
    </row>
    <row r="556" hidden="1" spans="2:10">
      <c r="B556" s="148">
        <v>222300730</v>
      </c>
      <c r="C556" s="149">
        <v>44820</v>
      </c>
      <c r="D556" s="32" t="s">
        <v>29</v>
      </c>
      <c r="E556" s="24">
        <v>300000</v>
      </c>
      <c r="F556" s="24">
        <v>0.027</v>
      </c>
      <c r="G556" s="151">
        <v>44956</v>
      </c>
      <c r="H556" s="24">
        <f t="shared" si="8"/>
        <v>8100</v>
      </c>
      <c r="I556" s="24" t="s">
        <v>65</v>
      </c>
      <c r="J556" s="152"/>
    </row>
    <row r="557" hidden="1" spans="2:10">
      <c r="B557" s="148">
        <v>222300730</v>
      </c>
      <c r="C557" s="149">
        <v>44820</v>
      </c>
      <c r="D557" s="32" t="s">
        <v>30</v>
      </c>
      <c r="E557" s="24">
        <v>100000</v>
      </c>
      <c r="F557" s="24">
        <v>0.028</v>
      </c>
      <c r="G557" s="151">
        <v>44895</v>
      </c>
      <c r="H557" s="24">
        <f t="shared" si="8"/>
        <v>2800</v>
      </c>
      <c r="I557" s="24" t="s">
        <v>65</v>
      </c>
      <c r="J557" s="152"/>
    </row>
    <row r="558" hidden="1" spans="2:10">
      <c r="B558" s="148">
        <v>222300730</v>
      </c>
      <c r="C558" s="149">
        <v>44820</v>
      </c>
      <c r="D558" s="32" t="s">
        <v>30</v>
      </c>
      <c r="E558" s="24">
        <v>100000</v>
      </c>
      <c r="F558" s="24">
        <v>0.028</v>
      </c>
      <c r="G558" s="151">
        <v>44925</v>
      </c>
      <c r="H558" s="24">
        <f t="shared" si="8"/>
        <v>2800</v>
      </c>
      <c r="I558" s="24" t="s">
        <v>65</v>
      </c>
      <c r="J558" s="152"/>
    </row>
    <row r="559" hidden="1" spans="2:10">
      <c r="B559" s="148">
        <v>222300730</v>
      </c>
      <c r="C559" s="149">
        <v>44820</v>
      </c>
      <c r="D559" s="32" t="s">
        <v>100</v>
      </c>
      <c r="E559" s="24">
        <v>50000</v>
      </c>
      <c r="F559" s="24">
        <v>0.03</v>
      </c>
      <c r="G559" s="151">
        <v>44895</v>
      </c>
      <c r="H559" s="24">
        <f t="shared" si="8"/>
        <v>1500</v>
      </c>
      <c r="I559" s="24" t="s">
        <v>65</v>
      </c>
      <c r="J559" s="152"/>
    </row>
    <row r="560" hidden="1" spans="2:10">
      <c r="B560" s="148">
        <v>222300730</v>
      </c>
      <c r="C560" s="149">
        <v>44820</v>
      </c>
      <c r="D560" s="32" t="s">
        <v>100</v>
      </c>
      <c r="E560" s="24">
        <v>50000</v>
      </c>
      <c r="F560" s="24">
        <v>0.03</v>
      </c>
      <c r="G560" s="151">
        <v>44925</v>
      </c>
      <c r="H560" s="24">
        <f t="shared" si="8"/>
        <v>1500</v>
      </c>
      <c r="I560" s="24" t="s">
        <v>65</v>
      </c>
      <c r="J560" s="152"/>
    </row>
    <row r="561" hidden="1" spans="2:10">
      <c r="B561" s="148">
        <v>222300730</v>
      </c>
      <c r="C561" s="149">
        <v>44820</v>
      </c>
      <c r="D561" s="32" t="s">
        <v>100</v>
      </c>
      <c r="E561" s="24">
        <v>50000</v>
      </c>
      <c r="F561" s="24">
        <v>0.03</v>
      </c>
      <c r="G561" s="151">
        <v>44956</v>
      </c>
      <c r="H561" s="24">
        <f t="shared" si="8"/>
        <v>1500</v>
      </c>
      <c r="I561" s="24" t="s">
        <v>65</v>
      </c>
      <c r="J561" s="152"/>
    </row>
    <row r="562" hidden="1" spans="2:10">
      <c r="B562" s="148">
        <v>222300730</v>
      </c>
      <c r="C562" s="149">
        <v>44820</v>
      </c>
      <c r="D562" s="32" t="s">
        <v>31</v>
      </c>
      <c r="E562" s="24">
        <v>200000</v>
      </c>
      <c r="F562" s="24">
        <v>0.036</v>
      </c>
      <c r="G562" s="151">
        <v>44895</v>
      </c>
      <c r="H562" s="24">
        <f t="shared" si="8"/>
        <v>7200</v>
      </c>
      <c r="I562" s="24" t="s">
        <v>65</v>
      </c>
      <c r="J562" s="152"/>
    </row>
    <row r="563" hidden="1" spans="2:10">
      <c r="B563" s="148">
        <v>222300730</v>
      </c>
      <c r="C563" s="149">
        <v>44820</v>
      </c>
      <c r="D563" s="32" t="s">
        <v>31</v>
      </c>
      <c r="E563" s="24">
        <v>200000</v>
      </c>
      <c r="F563" s="24">
        <v>0.036</v>
      </c>
      <c r="G563" s="151">
        <v>44925</v>
      </c>
      <c r="H563" s="24">
        <f t="shared" si="8"/>
        <v>7200</v>
      </c>
      <c r="I563" s="24" t="s">
        <v>65</v>
      </c>
      <c r="J563" s="152"/>
    </row>
    <row r="564" hidden="1" spans="2:10">
      <c r="B564" s="148">
        <v>222300730</v>
      </c>
      <c r="C564" s="149">
        <v>44820</v>
      </c>
      <c r="D564" s="32" t="s">
        <v>58</v>
      </c>
      <c r="E564" s="24">
        <v>200000</v>
      </c>
      <c r="F564" s="24">
        <v>0.019</v>
      </c>
      <c r="G564" s="151">
        <v>44925</v>
      </c>
      <c r="H564" s="24">
        <f t="shared" si="8"/>
        <v>3800</v>
      </c>
      <c r="I564" s="24" t="s">
        <v>65</v>
      </c>
      <c r="J564" s="152"/>
    </row>
    <row r="565" hidden="1" spans="2:10">
      <c r="B565" s="148">
        <v>222300730</v>
      </c>
      <c r="C565" s="149">
        <v>44820</v>
      </c>
      <c r="D565" s="32" t="s">
        <v>36</v>
      </c>
      <c r="E565" s="24">
        <v>150000</v>
      </c>
      <c r="F565" s="24">
        <v>0.0083</v>
      </c>
      <c r="G565" s="151">
        <v>44895</v>
      </c>
      <c r="H565" s="24">
        <f t="shared" si="8"/>
        <v>1245</v>
      </c>
      <c r="I565" s="24" t="s">
        <v>65</v>
      </c>
      <c r="J565" s="152"/>
    </row>
    <row r="566" hidden="1" spans="2:10">
      <c r="B566" s="148">
        <v>222300730</v>
      </c>
      <c r="C566" s="149">
        <v>44820</v>
      </c>
      <c r="D566" s="32" t="s">
        <v>36</v>
      </c>
      <c r="E566" s="24">
        <v>150000</v>
      </c>
      <c r="F566" s="24">
        <v>0.0083</v>
      </c>
      <c r="G566" s="151">
        <v>44925</v>
      </c>
      <c r="H566" s="24">
        <f t="shared" si="8"/>
        <v>1245</v>
      </c>
      <c r="I566" s="24" t="s">
        <v>65</v>
      </c>
      <c r="J566" s="152"/>
    </row>
    <row r="567" hidden="1" spans="2:10">
      <c r="B567" s="148">
        <v>222300730</v>
      </c>
      <c r="C567" s="149">
        <v>44820</v>
      </c>
      <c r="D567" s="32" t="s">
        <v>11</v>
      </c>
      <c r="E567" s="24">
        <v>100000</v>
      </c>
      <c r="F567" s="24">
        <v>0.04</v>
      </c>
      <c r="G567" s="151">
        <v>44895</v>
      </c>
      <c r="H567" s="24">
        <f t="shared" si="8"/>
        <v>4000</v>
      </c>
      <c r="I567" s="24" t="s">
        <v>65</v>
      </c>
      <c r="J567" s="152"/>
    </row>
    <row r="568" hidden="1" spans="2:10">
      <c r="B568" s="148">
        <v>222300730</v>
      </c>
      <c r="C568" s="149">
        <v>44820</v>
      </c>
      <c r="D568" s="32" t="s">
        <v>11</v>
      </c>
      <c r="E568" s="24">
        <v>100000</v>
      </c>
      <c r="F568" s="24">
        <v>0.04</v>
      </c>
      <c r="G568" s="151">
        <v>44956</v>
      </c>
      <c r="H568" s="24">
        <f t="shared" si="8"/>
        <v>4000</v>
      </c>
      <c r="I568" s="24" t="s">
        <v>65</v>
      </c>
      <c r="J568" s="152"/>
    </row>
    <row r="569" hidden="1" spans="2:10">
      <c r="B569" s="148">
        <v>222300757</v>
      </c>
      <c r="C569" s="149">
        <v>44825</v>
      </c>
      <c r="D569" s="32" t="s">
        <v>39</v>
      </c>
      <c r="E569" s="24">
        <v>500000</v>
      </c>
      <c r="F569" s="24">
        <v>0.03</v>
      </c>
      <c r="G569" s="151">
        <v>44956</v>
      </c>
      <c r="H569" s="24">
        <f t="shared" si="8"/>
        <v>15000</v>
      </c>
      <c r="I569" s="24" t="s">
        <v>107</v>
      </c>
      <c r="J569" s="152"/>
    </row>
    <row r="570" hidden="1" spans="2:10">
      <c r="B570" s="148">
        <v>222300757</v>
      </c>
      <c r="C570" s="149">
        <v>44825</v>
      </c>
      <c r="D570" s="32" t="s">
        <v>39</v>
      </c>
      <c r="E570" s="24">
        <v>500000</v>
      </c>
      <c r="F570" s="24">
        <v>0.03</v>
      </c>
      <c r="G570" s="151">
        <v>44956</v>
      </c>
      <c r="H570" s="24">
        <f t="shared" si="8"/>
        <v>15000</v>
      </c>
      <c r="I570" s="24" t="s">
        <v>107</v>
      </c>
      <c r="J570" s="152"/>
    </row>
    <row r="571" hidden="1" spans="2:10">
      <c r="B571" s="148">
        <v>222300757</v>
      </c>
      <c r="C571" s="149">
        <v>44825</v>
      </c>
      <c r="D571" s="32" t="s">
        <v>179</v>
      </c>
      <c r="E571" s="24">
        <v>100000</v>
      </c>
      <c r="F571" s="24">
        <v>0.08</v>
      </c>
      <c r="G571" s="151">
        <v>44895</v>
      </c>
      <c r="H571" s="24">
        <f t="shared" si="8"/>
        <v>8000</v>
      </c>
      <c r="I571" s="24" t="s">
        <v>10</v>
      </c>
      <c r="J571" s="152"/>
    </row>
    <row r="572" hidden="1" spans="2:10">
      <c r="B572" s="148">
        <v>222300757</v>
      </c>
      <c r="C572" s="149">
        <v>44825</v>
      </c>
      <c r="D572" s="32" t="s">
        <v>162</v>
      </c>
      <c r="E572" s="24">
        <v>50000</v>
      </c>
      <c r="F572" s="24">
        <v>0.065</v>
      </c>
      <c r="G572" s="151">
        <v>44895</v>
      </c>
      <c r="H572" s="24">
        <f t="shared" si="8"/>
        <v>3250</v>
      </c>
      <c r="I572" s="24" t="s">
        <v>10</v>
      </c>
      <c r="J572" s="152"/>
    </row>
    <row r="573" hidden="1" spans="2:10">
      <c r="B573" s="148">
        <v>222300757</v>
      </c>
      <c r="C573" s="149">
        <v>44825</v>
      </c>
      <c r="D573" s="32" t="s">
        <v>162</v>
      </c>
      <c r="E573" s="24">
        <v>50000</v>
      </c>
      <c r="F573" s="24">
        <v>0.065</v>
      </c>
      <c r="G573" s="151">
        <v>44925</v>
      </c>
      <c r="H573" s="24">
        <f t="shared" si="8"/>
        <v>3250</v>
      </c>
      <c r="I573" s="24" t="s">
        <v>10</v>
      </c>
      <c r="J573" s="152"/>
    </row>
    <row r="574" hidden="1" spans="2:10">
      <c r="B574" s="148">
        <v>222300757</v>
      </c>
      <c r="C574" s="149">
        <v>44825</v>
      </c>
      <c r="D574" s="32" t="s">
        <v>162</v>
      </c>
      <c r="E574" s="24">
        <v>50000</v>
      </c>
      <c r="F574" s="24">
        <v>0.065</v>
      </c>
      <c r="G574" s="151">
        <v>44956</v>
      </c>
      <c r="H574" s="24">
        <f t="shared" si="8"/>
        <v>3250</v>
      </c>
      <c r="I574" s="24" t="s">
        <v>10</v>
      </c>
      <c r="J574" s="152"/>
    </row>
    <row r="575" hidden="1" spans="2:10">
      <c r="B575" s="148">
        <v>222300757</v>
      </c>
      <c r="C575" s="149">
        <v>44825</v>
      </c>
      <c r="D575" s="32" t="s">
        <v>162</v>
      </c>
      <c r="E575" s="24">
        <v>50000</v>
      </c>
      <c r="F575" s="24">
        <v>0.065</v>
      </c>
      <c r="G575" s="151">
        <v>44967</v>
      </c>
      <c r="H575" s="24">
        <f t="shared" si="8"/>
        <v>3250</v>
      </c>
      <c r="I575" s="24" t="s">
        <v>10</v>
      </c>
      <c r="J575" s="152"/>
    </row>
    <row r="576" hidden="1" spans="2:10">
      <c r="B576" s="148">
        <v>222300757</v>
      </c>
      <c r="C576" s="149">
        <v>44825</v>
      </c>
      <c r="D576" s="159" t="s">
        <v>183</v>
      </c>
      <c r="E576" s="24">
        <v>8000</v>
      </c>
      <c r="F576" s="160">
        <v>0.5</v>
      </c>
      <c r="G576" s="151">
        <v>44895</v>
      </c>
      <c r="H576" s="24">
        <f t="shared" si="8"/>
        <v>4000</v>
      </c>
      <c r="I576" s="24" t="s">
        <v>10</v>
      </c>
      <c r="J576" s="152"/>
    </row>
    <row r="577" s="29" customFormat="1" hidden="1" spans="2:10">
      <c r="B577" s="148">
        <v>222300757</v>
      </c>
      <c r="C577" s="149">
        <v>44825</v>
      </c>
      <c r="D577" s="159" t="s">
        <v>105</v>
      </c>
      <c r="E577" s="24">
        <v>10000</v>
      </c>
      <c r="F577" s="24">
        <v>0.18</v>
      </c>
      <c r="G577" s="151">
        <v>44895</v>
      </c>
      <c r="H577" s="24">
        <f t="shared" si="8"/>
        <v>1800</v>
      </c>
      <c r="I577" s="24" t="s">
        <v>10</v>
      </c>
      <c r="J577" s="22"/>
    </row>
    <row r="578" hidden="1" spans="2:10">
      <c r="B578" s="148">
        <v>222300764</v>
      </c>
      <c r="C578" s="149">
        <v>44825</v>
      </c>
      <c r="D578" s="32" t="s">
        <v>11</v>
      </c>
      <c r="E578" s="24">
        <v>250000</v>
      </c>
      <c r="F578" s="24">
        <v>0.04</v>
      </c>
      <c r="G578" s="151">
        <v>44925</v>
      </c>
      <c r="H578" s="24">
        <f t="shared" ref="H578:H636" si="9">F578*E578</f>
        <v>10000</v>
      </c>
      <c r="I578" s="24" t="s">
        <v>10</v>
      </c>
      <c r="J578" s="152"/>
    </row>
    <row r="579" hidden="1" spans="2:10">
      <c r="B579" s="148">
        <v>222300764</v>
      </c>
      <c r="C579" s="149">
        <v>44825</v>
      </c>
      <c r="D579" s="32" t="s">
        <v>11</v>
      </c>
      <c r="E579" s="24">
        <v>250000</v>
      </c>
      <c r="F579" s="24">
        <v>0.04</v>
      </c>
      <c r="G579" s="151">
        <v>44956</v>
      </c>
      <c r="H579" s="24">
        <f t="shared" si="9"/>
        <v>10000</v>
      </c>
      <c r="I579" s="24" t="s">
        <v>10</v>
      </c>
      <c r="J579" s="152"/>
    </row>
    <row r="580" s="29" customFormat="1" hidden="1" spans="2:10">
      <c r="B580" s="148">
        <v>222300764</v>
      </c>
      <c r="C580" s="149">
        <v>44825</v>
      </c>
      <c r="D580" s="32" t="s">
        <v>179</v>
      </c>
      <c r="E580" s="24">
        <v>100000</v>
      </c>
      <c r="F580" s="24">
        <v>0.08</v>
      </c>
      <c r="G580" s="151">
        <v>44859</v>
      </c>
      <c r="H580" s="24">
        <f t="shared" si="9"/>
        <v>8000</v>
      </c>
      <c r="I580" s="24" t="s">
        <v>10</v>
      </c>
      <c r="J580" s="22"/>
    </row>
    <row r="581" hidden="1" spans="2:10">
      <c r="B581" s="148">
        <v>222300765</v>
      </c>
      <c r="C581" s="149">
        <v>44825</v>
      </c>
      <c r="D581" s="32" t="s">
        <v>100</v>
      </c>
      <c r="E581" s="24">
        <v>300000</v>
      </c>
      <c r="F581" s="24">
        <v>0.03</v>
      </c>
      <c r="G581" s="151">
        <v>44895</v>
      </c>
      <c r="H581" s="24">
        <f t="shared" si="9"/>
        <v>9000</v>
      </c>
      <c r="I581" s="24" t="s">
        <v>10</v>
      </c>
      <c r="J581" s="152"/>
    </row>
    <row r="582" hidden="1" spans="2:10">
      <c r="B582" s="148">
        <v>222300765</v>
      </c>
      <c r="C582" s="149">
        <v>44825</v>
      </c>
      <c r="D582" s="32" t="s">
        <v>100</v>
      </c>
      <c r="E582" s="24">
        <v>200000</v>
      </c>
      <c r="F582" s="24">
        <v>0.03</v>
      </c>
      <c r="G582" s="151">
        <v>44925</v>
      </c>
      <c r="H582" s="24">
        <f t="shared" si="9"/>
        <v>6000</v>
      </c>
      <c r="I582" s="24" t="s">
        <v>10</v>
      </c>
      <c r="J582" s="152"/>
    </row>
    <row r="583" hidden="1" spans="2:10">
      <c r="B583" s="148">
        <v>222300765</v>
      </c>
      <c r="C583" s="149">
        <v>44825</v>
      </c>
      <c r="D583" s="32" t="s">
        <v>100</v>
      </c>
      <c r="E583" s="24">
        <v>250000</v>
      </c>
      <c r="F583" s="24">
        <v>0.03</v>
      </c>
      <c r="G583" s="151">
        <v>44859</v>
      </c>
      <c r="H583" s="24">
        <f t="shared" si="9"/>
        <v>7500</v>
      </c>
      <c r="I583" s="24" t="s">
        <v>10</v>
      </c>
      <c r="J583" s="152"/>
    </row>
    <row r="584" hidden="1" spans="2:10">
      <c r="B584" s="148">
        <v>222300776</v>
      </c>
      <c r="C584" s="149">
        <v>44830</v>
      </c>
      <c r="D584" s="32" t="s">
        <v>30</v>
      </c>
      <c r="E584" s="24">
        <v>500000</v>
      </c>
      <c r="F584" s="24">
        <v>0.028</v>
      </c>
      <c r="G584" s="151">
        <v>44895</v>
      </c>
      <c r="H584" s="24">
        <f t="shared" si="9"/>
        <v>14000</v>
      </c>
      <c r="I584" s="24" t="s">
        <v>10</v>
      </c>
      <c r="J584" s="152"/>
    </row>
    <row r="585" hidden="1" spans="2:10">
      <c r="B585" s="148">
        <v>222300776</v>
      </c>
      <c r="C585" s="149">
        <v>44830</v>
      </c>
      <c r="D585" s="32" t="s">
        <v>30</v>
      </c>
      <c r="E585" s="24">
        <v>300000</v>
      </c>
      <c r="F585" s="24">
        <v>0.028</v>
      </c>
      <c r="G585" s="151">
        <v>44925</v>
      </c>
      <c r="H585" s="24">
        <f t="shared" si="9"/>
        <v>8400</v>
      </c>
      <c r="I585" s="24" t="s">
        <v>10</v>
      </c>
      <c r="J585" s="152"/>
    </row>
    <row r="586" hidden="1" spans="2:10">
      <c r="B586" s="148">
        <v>222300776</v>
      </c>
      <c r="C586" s="149">
        <v>44830</v>
      </c>
      <c r="D586" s="32" t="s">
        <v>30</v>
      </c>
      <c r="E586" s="24">
        <v>500000</v>
      </c>
      <c r="F586" s="24">
        <v>0.028</v>
      </c>
      <c r="G586" s="151">
        <v>44956</v>
      </c>
      <c r="H586" s="24">
        <f t="shared" si="9"/>
        <v>14000</v>
      </c>
      <c r="I586" s="24" t="s">
        <v>10</v>
      </c>
      <c r="J586" s="152"/>
    </row>
    <row r="587" hidden="1" spans="2:10">
      <c r="B587" s="148">
        <v>222300776</v>
      </c>
      <c r="C587" s="149">
        <v>44830</v>
      </c>
      <c r="D587" s="32" t="s">
        <v>30</v>
      </c>
      <c r="E587" s="24">
        <v>300000</v>
      </c>
      <c r="F587" s="24">
        <v>0.028</v>
      </c>
      <c r="G587" s="151">
        <v>44956</v>
      </c>
      <c r="H587" s="24">
        <f t="shared" si="9"/>
        <v>8400</v>
      </c>
      <c r="I587" s="24" t="s">
        <v>10</v>
      </c>
      <c r="J587" s="152"/>
    </row>
    <row r="588" hidden="1" spans="2:10">
      <c r="B588" s="148">
        <v>222300776</v>
      </c>
      <c r="C588" s="149">
        <v>44830</v>
      </c>
      <c r="D588" s="32" t="s">
        <v>12</v>
      </c>
      <c r="E588" s="24">
        <v>20000</v>
      </c>
      <c r="F588" s="24">
        <v>0.06</v>
      </c>
      <c r="G588" s="151">
        <v>44895</v>
      </c>
      <c r="H588" s="24">
        <f t="shared" si="9"/>
        <v>1200</v>
      </c>
      <c r="I588" s="24" t="s">
        <v>10</v>
      </c>
      <c r="J588" s="152"/>
    </row>
    <row r="589" hidden="1" spans="2:10">
      <c r="B589" s="148">
        <v>222300776</v>
      </c>
      <c r="C589" s="149">
        <v>44830</v>
      </c>
      <c r="D589" s="32" t="s">
        <v>12</v>
      </c>
      <c r="E589" s="24">
        <v>20000</v>
      </c>
      <c r="F589" s="24">
        <v>0.06</v>
      </c>
      <c r="G589" s="151">
        <v>44956</v>
      </c>
      <c r="H589" s="24">
        <f t="shared" si="9"/>
        <v>1200</v>
      </c>
      <c r="I589" s="24" t="s">
        <v>10</v>
      </c>
      <c r="J589" s="152"/>
    </row>
    <row r="590" hidden="1" spans="2:10">
      <c r="B590" s="148">
        <v>222300776</v>
      </c>
      <c r="C590" s="149">
        <v>44830</v>
      </c>
      <c r="D590" s="32" t="s">
        <v>119</v>
      </c>
      <c r="E590" s="24">
        <v>90000</v>
      </c>
      <c r="F590" s="24">
        <v>0.07</v>
      </c>
      <c r="G590" s="151">
        <v>44859</v>
      </c>
      <c r="H590" s="24">
        <f t="shared" si="9"/>
        <v>6300</v>
      </c>
      <c r="I590" s="24" t="s">
        <v>10</v>
      </c>
      <c r="J590" s="152"/>
    </row>
    <row r="591" hidden="1" spans="2:10">
      <c r="B591" s="148">
        <v>222300776</v>
      </c>
      <c r="C591" s="149">
        <v>44830</v>
      </c>
      <c r="D591" s="32" t="s">
        <v>119</v>
      </c>
      <c r="E591" s="24">
        <v>60000</v>
      </c>
      <c r="F591" s="24">
        <v>0.07</v>
      </c>
      <c r="G591" s="151">
        <v>44895</v>
      </c>
      <c r="H591" s="24">
        <f t="shared" si="9"/>
        <v>4200</v>
      </c>
      <c r="I591" s="24" t="s">
        <v>10</v>
      </c>
      <c r="J591" s="152"/>
    </row>
    <row r="592" hidden="1" spans="2:10">
      <c r="B592" s="148">
        <v>222300776</v>
      </c>
      <c r="C592" s="149">
        <v>44830</v>
      </c>
      <c r="D592" s="32" t="s">
        <v>119</v>
      </c>
      <c r="E592" s="24">
        <v>60000</v>
      </c>
      <c r="F592" s="24">
        <v>0.07</v>
      </c>
      <c r="G592" s="151">
        <v>44925</v>
      </c>
      <c r="H592" s="24">
        <f t="shared" si="9"/>
        <v>4200</v>
      </c>
      <c r="I592" s="24" t="s">
        <v>10</v>
      </c>
      <c r="J592" s="152"/>
    </row>
    <row r="593" hidden="1" spans="2:10">
      <c r="B593" s="148">
        <v>222300879</v>
      </c>
      <c r="C593" s="161">
        <v>44846</v>
      </c>
      <c r="D593" s="32" t="s">
        <v>184</v>
      </c>
      <c r="E593" s="24">
        <v>21000</v>
      </c>
      <c r="F593" s="24">
        <v>0.055</v>
      </c>
      <c r="G593" s="151">
        <v>44895</v>
      </c>
      <c r="H593" s="24">
        <f t="shared" si="9"/>
        <v>1155</v>
      </c>
      <c r="I593" s="24" t="s">
        <v>10</v>
      </c>
      <c r="J593" s="152"/>
    </row>
    <row r="594" hidden="1" spans="2:10">
      <c r="B594" s="148">
        <v>222300879</v>
      </c>
      <c r="C594" s="161">
        <v>44846</v>
      </c>
      <c r="D594" s="32" t="s">
        <v>184</v>
      </c>
      <c r="E594" s="24">
        <v>63000</v>
      </c>
      <c r="F594" s="24">
        <v>0.055</v>
      </c>
      <c r="G594" s="151">
        <v>44925</v>
      </c>
      <c r="H594" s="24">
        <f t="shared" si="9"/>
        <v>3465</v>
      </c>
      <c r="I594" s="24" t="s">
        <v>10</v>
      </c>
      <c r="J594" s="152"/>
    </row>
    <row r="595" hidden="1" spans="2:10">
      <c r="B595" s="148">
        <v>222300879</v>
      </c>
      <c r="C595" s="161">
        <v>44846</v>
      </c>
      <c r="D595" s="32" t="s">
        <v>184</v>
      </c>
      <c r="E595" s="24">
        <v>63000</v>
      </c>
      <c r="F595" s="24">
        <v>0.055</v>
      </c>
      <c r="G595" s="151">
        <v>44982</v>
      </c>
      <c r="H595" s="24">
        <f t="shared" si="9"/>
        <v>3465</v>
      </c>
      <c r="I595" s="24" t="s">
        <v>10</v>
      </c>
      <c r="J595" s="152"/>
    </row>
    <row r="596" hidden="1" spans="2:10">
      <c r="B596" s="157">
        <v>222300903</v>
      </c>
      <c r="C596" s="149">
        <v>44852</v>
      </c>
      <c r="D596" s="32" t="s">
        <v>70</v>
      </c>
      <c r="E596" s="24">
        <v>20000</v>
      </c>
      <c r="F596" s="24">
        <v>0.028</v>
      </c>
      <c r="G596" s="162">
        <v>44890</v>
      </c>
      <c r="H596" s="24">
        <f t="shared" si="9"/>
        <v>560</v>
      </c>
      <c r="I596" s="24" t="s">
        <v>10</v>
      </c>
      <c r="J596" s="152"/>
    </row>
    <row r="597" hidden="1" spans="2:10">
      <c r="B597" s="148">
        <v>222300896</v>
      </c>
      <c r="C597" s="149">
        <v>44852</v>
      </c>
      <c r="D597" s="32" t="s">
        <v>31</v>
      </c>
      <c r="E597" s="24">
        <v>30000</v>
      </c>
      <c r="F597" s="24">
        <v>0.036</v>
      </c>
      <c r="G597" s="151">
        <v>44951</v>
      </c>
      <c r="H597" s="24">
        <f t="shared" si="9"/>
        <v>1080</v>
      </c>
      <c r="I597" s="24" t="s">
        <v>10</v>
      </c>
      <c r="J597" s="152"/>
    </row>
    <row r="598" hidden="1" spans="2:10">
      <c r="B598" s="148">
        <v>222300896</v>
      </c>
      <c r="C598" s="149">
        <v>44852</v>
      </c>
      <c r="D598" s="32" t="s">
        <v>32</v>
      </c>
      <c r="E598" s="24">
        <v>50000</v>
      </c>
      <c r="F598" s="24">
        <v>0.02</v>
      </c>
      <c r="G598" s="151">
        <v>44925</v>
      </c>
      <c r="H598" s="24">
        <f t="shared" si="9"/>
        <v>1000</v>
      </c>
      <c r="I598" s="24" t="s">
        <v>10</v>
      </c>
      <c r="J598" s="152"/>
    </row>
    <row r="599" hidden="1" spans="2:10">
      <c r="B599" s="148">
        <v>222300896</v>
      </c>
      <c r="C599" s="149">
        <v>44852</v>
      </c>
      <c r="D599" s="32" t="s">
        <v>32</v>
      </c>
      <c r="E599" s="24">
        <v>50000</v>
      </c>
      <c r="F599" s="24">
        <v>0.02</v>
      </c>
      <c r="G599" s="151">
        <v>44951</v>
      </c>
      <c r="H599" s="24">
        <f t="shared" si="9"/>
        <v>1000</v>
      </c>
      <c r="I599" s="24" t="s">
        <v>10</v>
      </c>
      <c r="J599" s="152"/>
    </row>
    <row r="600" hidden="1" spans="2:10">
      <c r="B600" s="148">
        <v>222300896</v>
      </c>
      <c r="C600" s="149">
        <v>44852</v>
      </c>
      <c r="D600" s="32" t="s">
        <v>32</v>
      </c>
      <c r="E600" s="24">
        <v>50000</v>
      </c>
      <c r="F600" s="24">
        <v>0.02</v>
      </c>
      <c r="G600" s="151">
        <v>44982</v>
      </c>
      <c r="H600" s="24">
        <f t="shared" si="9"/>
        <v>1000</v>
      </c>
      <c r="I600" s="24" t="s">
        <v>10</v>
      </c>
      <c r="J600" s="152"/>
    </row>
    <row r="601" hidden="1" spans="2:10">
      <c r="B601" s="148">
        <v>222300896</v>
      </c>
      <c r="C601" s="149">
        <v>44852</v>
      </c>
      <c r="D601" s="32" t="s">
        <v>58</v>
      </c>
      <c r="E601" s="24">
        <v>26000</v>
      </c>
      <c r="F601" s="24">
        <v>0.019</v>
      </c>
      <c r="G601" s="151">
        <v>44925</v>
      </c>
      <c r="H601" s="24">
        <f t="shared" si="9"/>
        <v>494</v>
      </c>
      <c r="I601" s="24" t="s">
        <v>10</v>
      </c>
      <c r="J601" s="152"/>
    </row>
    <row r="602" hidden="1" spans="2:10">
      <c r="B602" s="148">
        <v>222300896</v>
      </c>
      <c r="C602" s="149">
        <v>44852</v>
      </c>
      <c r="D602" s="32" t="s">
        <v>58</v>
      </c>
      <c r="E602" s="24">
        <v>26000</v>
      </c>
      <c r="F602" s="24">
        <v>0.019</v>
      </c>
      <c r="G602" s="151">
        <v>44951</v>
      </c>
      <c r="H602" s="24">
        <f t="shared" si="9"/>
        <v>494</v>
      </c>
      <c r="I602" s="24" t="s">
        <v>10</v>
      </c>
      <c r="J602" s="152"/>
    </row>
    <row r="603" hidden="1" spans="2:10">
      <c r="B603" s="148">
        <v>222300896</v>
      </c>
      <c r="C603" s="149">
        <v>44852</v>
      </c>
      <c r="D603" s="32" t="s">
        <v>58</v>
      </c>
      <c r="E603" s="24">
        <v>26000</v>
      </c>
      <c r="F603" s="24">
        <v>0.019</v>
      </c>
      <c r="G603" s="151">
        <v>44982</v>
      </c>
      <c r="H603" s="24">
        <f t="shared" si="9"/>
        <v>494</v>
      </c>
      <c r="I603" s="24" t="s">
        <v>10</v>
      </c>
      <c r="J603" s="152"/>
    </row>
    <row r="604" hidden="1" spans="2:10">
      <c r="B604" s="148">
        <v>222300896</v>
      </c>
      <c r="C604" s="149">
        <v>44852</v>
      </c>
      <c r="D604" s="32" t="s">
        <v>37</v>
      </c>
      <c r="E604" s="24">
        <v>120000</v>
      </c>
      <c r="F604" s="24">
        <v>0.02</v>
      </c>
      <c r="G604" s="151">
        <v>44925</v>
      </c>
      <c r="H604" s="24">
        <f t="shared" si="9"/>
        <v>2400</v>
      </c>
      <c r="I604" s="24" t="s">
        <v>10</v>
      </c>
      <c r="J604" s="152"/>
    </row>
    <row r="605" hidden="1" spans="2:10">
      <c r="B605" s="148">
        <v>222300896</v>
      </c>
      <c r="C605" s="149">
        <v>44852</v>
      </c>
      <c r="D605" s="32" t="s">
        <v>37</v>
      </c>
      <c r="E605" s="24">
        <v>120000</v>
      </c>
      <c r="F605" s="24">
        <v>0.02</v>
      </c>
      <c r="G605" s="151">
        <v>44951</v>
      </c>
      <c r="H605" s="24">
        <f t="shared" si="9"/>
        <v>2400</v>
      </c>
      <c r="I605" s="24" t="s">
        <v>10</v>
      </c>
      <c r="J605" s="152"/>
    </row>
    <row r="606" hidden="1" spans="2:10">
      <c r="B606" s="148">
        <v>222300896</v>
      </c>
      <c r="C606" s="149">
        <v>44852</v>
      </c>
      <c r="D606" s="32" t="s">
        <v>37</v>
      </c>
      <c r="E606" s="24">
        <v>72000</v>
      </c>
      <c r="F606" s="24">
        <v>0.02</v>
      </c>
      <c r="G606" s="151">
        <v>44982</v>
      </c>
      <c r="H606" s="24">
        <f t="shared" si="9"/>
        <v>1440</v>
      </c>
      <c r="I606" s="24" t="s">
        <v>10</v>
      </c>
      <c r="J606" s="152"/>
    </row>
    <row r="607" hidden="1" spans="2:10">
      <c r="B607" s="148">
        <v>222300896</v>
      </c>
      <c r="C607" s="149">
        <v>44852</v>
      </c>
      <c r="D607" s="32" t="s">
        <v>181</v>
      </c>
      <c r="E607" s="24">
        <v>60000</v>
      </c>
      <c r="F607" s="24">
        <v>0.03</v>
      </c>
      <c r="G607" s="151">
        <v>44925</v>
      </c>
      <c r="H607" s="24">
        <f t="shared" si="9"/>
        <v>1800</v>
      </c>
      <c r="I607" s="24" t="s">
        <v>10</v>
      </c>
      <c r="J607" s="152"/>
    </row>
    <row r="608" hidden="1" spans="2:10">
      <c r="B608" s="148">
        <v>222300896</v>
      </c>
      <c r="C608" s="149">
        <v>44852</v>
      </c>
      <c r="D608" s="32" t="s">
        <v>181</v>
      </c>
      <c r="E608" s="24">
        <v>60000</v>
      </c>
      <c r="F608" s="24">
        <v>0.03</v>
      </c>
      <c r="G608" s="151">
        <v>44951</v>
      </c>
      <c r="H608" s="24">
        <f t="shared" si="9"/>
        <v>1800</v>
      </c>
      <c r="I608" s="24" t="s">
        <v>10</v>
      </c>
      <c r="J608" s="152"/>
    </row>
    <row r="609" hidden="1" spans="2:10">
      <c r="B609" s="148">
        <v>222300896</v>
      </c>
      <c r="C609" s="149">
        <v>44852</v>
      </c>
      <c r="D609" s="32" t="s">
        <v>181</v>
      </c>
      <c r="E609" s="24">
        <v>60000</v>
      </c>
      <c r="F609" s="24">
        <v>0.03</v>
      </c>
      <c r="G609" s="151">
        <v>44982</v>
      </c>
      <c r="H609" s="24">
        <f t="shared" si="9"/>
        <v>1800</v>
      </c>
      <c r="I609" s="24" t="s">
        <v>10</v>
      </c>
      <c r="J609" s="152"/>
    </row>
    <row r="610" hidden="1" spans="2:10">
      <c r="B610" s="148">
        <v>222300896</v>
      </c>
      <c r="C610" s="149">
        <v>44852</v>
      </c>
      <c r="D610" s="32" t="s">
        <v>100</v>
      </c>
      <c r="E610" s="24">
        <v>40000</v>
      </c>
      <c r="F610" s="24">
        <v>0.03</v>
      </c>
      <c r="G610" s="151">
        <v>44925</v>
      </c>
      <c r="H610" s="24">
        <f t="shared" si="9"/>
        <v>1200</v>
      </c>
      <c r="I610" s="24" t="s">
        <v>10</v>
      </c>
      <c r="J610" s="152"/>
    </row>
    <row r="611" hidden="1" spans="2:10">
      <c r="B611" s="148">
        <v>222300896</v>
      </c>
      <c r="C611" s="149">
        <v>44852</v>
      </c>
      <c r="D611" s="32" t="s">
        <v>100</v>
      </c>
      <c r="E611" s="24">
        <v>40000</v>
      </c>
      <c r="F611" s="24">
        <v>0.03</v>
      </c>
      <c r="G611" s="151">
        <v>44951</v>
      </c>
      <c r="H611" s="24">
        <f t="shared" si="9"/>
        <v>1200</v>
      </c>
      <c r="I611" s="24" t="s">
        <v>10</v>
      </c>
      <c r="J611" s="152"/>
    </row>
    <row r="612" hidden="1" spans="2:10">
      <c r="B612" s="148">
        <v>222300896</v>
      </c>
      <c r="C612" s="149">
        <v>44852</v>
      </c>
      <c r="D612" s="32" t="s">
        <v>100</v>
      </c>
      <c r="E612" s="24">
        <v>40000</v>
      </c>
      <c r="F612" s="24">
        <v>0.03</v>
      </c>
      <c r="G612" s="151">
        <v>44982</v>
      </c>
      <c r="H612" s="24">
        <f t="shared" si="9"/>
        <v>1200</v>
      </c>
      <c r="I612" s="24" t="s">
        <v>10</v>
      </c>
      <c r="J612" s="152"/>
    </row>
    <row r="613" hidden="1" spans="2:10">
      <c r="B613" s="148">
        <v>222300897</v>
      </c>
      <c r="C613" s="149">
        <v>44852</v>
      </c>
      <c r="D613" s="32" t="s">
        <v>11</v>
      </c>
      <c r="E613" s="24">
        <v>300000</v>
      </c>
      <c r="F613" s="24">
        <v>0.04</v>
      </c>
      <c r="G613" s="151">
        <v>44925</v>
      </c>
      <c r="H613" s="24">
        <f t="shared" si="9"/>
        <v>12000</v>
      </c>
      <c r="I613" s="24" t="s">
        <v>10</v>
      </c>
      <c r="J613" s="152"/>
    </row>
    <row r="614" hidden="1" spans="2:10">
      <c r="B614" s="148">
        <v>222300897</v>
      </c>
      <c r="C614" s="149">
        <v>44852</v>
      </c>
      <c r="D614" s="32" t="s">
        <v>11</v>
      </c>
      <c r="E614" s="24">
        <v>500000</v>
      </c>
      <c r="F614" s="24">
        <v>0.04</v>
      </c>
      <c r="G614" s="151">
        <v>44982</v>
      </c>
      <c r="H614" s="24">
        <f t="shared" si="9"/>
        <v>20000</v>
      </c>
      <c r="I614" s="24" t="s">
        <v>10</v>
      </c>
      <c r="J614" s="152"/>
    </row>
    <row r="615" hidden="1" spans="2:10">
      <c r="B615" s="148">
        <v>222300898</v>
      </c>
      <c r="C615" s="149">
        <v>44852</v>
      </c>
      <c r="D615" s="32" t="s">
        <v>39</v>
      </c>
      <c r="E615" s="24">
        <v>500000</v>
      </c>
      <c r="F615" s="24">
        <v>0.03</v>
      </c>
      <c r="G615" s="151">
        <v>44951</v>
      </c>
      <c r="H615" s="24">
        <f t="shared" si="9"/>
        <v>15000</v>
      </c>
      <c r="I615" s="24" t="s">
        <v>10</v>
      </c>
      <c r="J615" s="152"/>
    </row>
    <row r="616" hidden="1" spans="2:10">
      <c r="B616" s="148">
        <v>222300898</v>
      </c>
      <c r="C616" s="149">
        <v>44852</v>
      </c>
      <c r="D616" s="32" t="s">
        <v>39</v>
      </c>
      <c r="E616" s="24">
        <v>500000</v>
      </c>
      <c r="F616" s="24">
        <v>0.03</v>
      </c>
      <c r="G616" s="151">
        <v>44951</v>
      </c>
      <c r="H616" s="24">
        <f t="shared" si="9"/>
        <v>15000</v>
      </c>
      <c r="I616" s="24" t="s">
        <v>10</v>
      </c>
      <c r="J616" s="152"/>
    </row>
    <row r="617" hidden="1" spans="2:10">
      <c r="B617" s="148">
        <v>222300899</v>
      </c>
      <c r="C617" s="149">
        <v>44852</v>
      </c>
      <c r="D617" s="32" t="s">
        <v>39</v>
      </c>
      <c r="E617" s="24">
        <v>500000</v>
      </c>
      <c r="F617" s="24">
        <v>0.03</v>
      </c>
      <c r="G617" s="151">
        <v>44982</v>
      </c>
      <c r="H617" s="24">
        <f t="shared" si="9"/>
        <v>15000</v>
      </c>
      <c r="I617" s="24" t="s">
        <v>10</v>
      </c>
      <c r="J617" s="152"/>
    </row>
    <row r="618" hidden="1" spans="2:10">
      <c r="B618" s="148">
        <v>222300900</v>
      </c>
      <c r="C618" s="149">
        <v>44852</v>
      </c>
      <c r="D618" s="32" t="s">
        <v>34</v>
      </c>
      <c r="E618" s="24">
        <v>150000</v>
      </c>
      <c r="F618" s="24">
        <v>0.051</v>
      </c>
      <c r="G618" s="151">
        <v>44982</v>
      </c>
      <c r="H618" s="24">
        <f t="shared" si="9"/>
        <v>7650</v>
      </c>
      <c r="I618" s="24" t="s">
        <v>10</v>
      </c>
      <c r="J618" s="152"/>
    </row>
    <row r="619" hidden="1" spans="2:10">
      <c r="B619" s="148">
        <v>222300901</v>
      </c>
      <c r="C619" s="149">
        <v>44852</v>
      </c>
      <c r="D619" s="32" t="s">
        <v>38</v>
      </c>
      <c r="E619" s="24">
        <v>200000</v>
      </c>
      <c r="F619" s="24">
        <v>0.01</v>
      </c>
      <c r="G619" s="151">
        <v>44925</v>
      </c>
      <c r="H619" s="24">
        <f t="shared" si="9"/>
        <v>2000</v>
      </c>
      <c r="I619" s="24" t="s">
        <v>10</v>
      </c>
      <c r="J619" s="152"/>
    </row>
    <row r="620" hidden="1" spans="2:10">
      <c r="B620" s="148">
        <v>222300901</v>
      </c>
      <c r="C620" s="149">
        <v>44852</v>
      </c>
      <c r="D620" s="32" t="s">
        <v>38</v>
      </c>
      <c r="E620" s="24">
        <v>200000</v>
      </c>
      <c r="F620" s="24">
        <v>0.01</v>
      </c>
      <c r="G620" s="151">
        <v>44982</v>
      </c>
      <c r="H620" s="24">
        <f t="shared" si="9"/>
        <v>2000</v>
      </c>
      <c r="I620" s="24" t="s">
        <v>10</v>
      </c>
      <c r="J620" s="152"/>
    </row>
    <row r="621" hidden="1" spans="2:10">
      <c r="B621" s="148">
        <v>222300902</v>
      </c>
      <c r="C621" s="149">
        <v>44852</v>
      </c>
      <c r="D621" s="32" t="s">
        <v>164</v>
      </c>
      <c r="E621" s="24">
        <v>300000</v>
      </c>
      <c r="F621" s="24">
        <v>0.011</v>
      </c>
      <c r="G621" s="151">
        <v>44890</v>
      </c>
      <c r="H621" s="24">
        <f t="shared" si="9"/>
        <v>3300</v>
      </c>
      <c r="I621" s="24" t="s">
        <v>10</v>
      </c>
      <c r="J621" s="152"/>
    </row>
    <row r="622" hidden="1" spans="2:10">
      <c r="B622" s="148">
        <v>222300937</v>
      </c>
      <c r="C622" s="149">
        <v>44859</v>
      </c>
      <c r="D622" s="32" t="s">
        <v>11</v>
      </c>
      <c r="E622" s="24">
        <v>52000</v>
      </c>
      <c r="F622" s="24">
        <v>0.028</v>
      </c>
      <c r="G622" s="151">
        <v>44951</v>
      </c>
      <c r="H622" s="24">
        <f t="shared" si="9"/>
        <v>1456</v>
      </c>
      <c r="I622" s="24" t="s">
        <v>10</v>
      </c>
      <c r="J622" s="152"/>
    </row>
    <row r="623" hidden="1" spans="2:10">
      <c r="B623" s="148">
        <v>222300937</v>
      </c>
      <c r="C623" s="149">
        <v>44859</v>
      </c>
      <c r="D623" s="32" t="s">
        <v>11</v>
      </c>
      <c r="E623" s="24">
        <v>52000</v>
      </c>
      <c r="F623" s="24">
        <v>0.028</v>
      </c>
      <c r="G623" s="151">
        <v>44982</v>
      </c>
      <c r="H623" s="24">
        <f t="shared" si="9"/>
        <v>1456</v>
      </c>
      <c r="I623" s="24" t="s">
        <v>10</v>
      </c>
      <c r="J623" s="152"/>
    </row>
    <row r="624" hidden="1" spans="2:10">
      <c r="B624" s="148">
        <v>222300937</v>
      </c>
      <c r="C624" s="149">
        <v>44859</v>
      </c>
      <c r="D624" s="32" t="s">
        <v>11</v>
      </c>
      <c r="E624" s="24">
        <v>52000</v>
      </c>
      <c r="F624" s="24">
        <v>0.028</v>
      </c>
      <c r="G624" s="151">
        <v>45010</v>
      </c>
      <c r="H624" s="24">
        <f t="shared" si="9"/>
        <v>1456</v>
      </c>
      <c r="I624" s="24" t="s">
        <v>10</v>
      </c>
      <c r="J624" s="152"/>
    </row>
    <row r="625" hidden="1" spans="2:10">
      <c r="B625" s="148">
        <v>222300957</v>
      </c>
      <c r="C625" s="149">
        <v>44863</v>
      </c>
      <c r="D625" s="32" t="s">
        <v>38</v>
      </c>
      <c r="E625" s="24">
        <v>260000</v>
      </c>
      <c r="F625" s="24">
        <v>0.01</v>
      </c>
      <c r="G625" s="151">
        <v>44870</v>
      </c>
      <c r="H625" s="24">
        <f t="shared" si="9"/>
        <v>2600</v>
      </c>
      <c r="I625" s="24" t="s">
        <v>10</v>
      </c>
      <c r="J625" s="152"/>
    </row>
    <row r="626" hidden="1" spans="2:10">
      <c r="B626" s="148">
        <v>222300957</v>
      </c>
      <c r="C626" s="149">
        <v>44863</v>
      </c>
      <c r="D626" s="32" t="s">
        <v>38</v>
      </c>
      <c r="E626" s="24">
        <v>256000</v>
      </c>
      <c r="F626" s="24">
        <v>0.01</v>
      </c>
      <c r="G626" s="151">
        <v>44895</v>
      </c>
      <c r="H626" s="24">
        <f t="shared" si="9"/>
        <v>2560</v>
      </c>
      <c r="I626" s="24" t="s">
        <v>10</v>
      </c>
      <c r="J626" s="152"/>
    </row>
    <row r="627" hidden="1" spans="2:10">
      <c r="B627" s="148">
        <v>222300957</v>
      </c>
      <c r="C627" s="149">
        <v>44863</v>
      </c>
      <c r="D627" s="32" t="s">
        <v>38</v>
      </c>
      <c r="E627" s="24">
        <v>200000</v>
      </c>
      <c r="F627" s="24">
        <v>0.01</v>
      </c>
      <c r="G627" s="151">
        <v>44956</v>
      </c>
      <c r="H627" s="24">
        <f t="shared" si="9"/>
        <v>2000</v>
      </c>
      <c r="I627" s="24" t="s">
        <v>10</v>
      </c>
      <c r="J627" s="152"/>
    </row>
    <row r="628" hidden="1" spans="2:10">
      <c r="B628" s="148">
        <v>222300957</v>
      </c>
      <c r="C628" s="149">
        <v>44863</v>
      </c>
      <c r="D628" s="32" t="s">
        <v>38</v>
      </c>
      <c r="E628" s="24">
        <v>132000</v>
      </c>
      <c r="F628" s="24">
        <v>0.01</v>
      </c>
      <c r="G628" s="151">
        <v>44960</v>
      </c>
      <c r="H628" s="24">
        <f t="shared" si="9"/>
        <v>1320</v>
      </c>
      <c r="I628" s="24" t="s">
        <v>10</v>
      </c>
      <c r="J628" s="152"/>
    </row>
    <row r="629" hidden="1" spans="2:10">
      <c r="B629" s="148">
        <v>222300957</v>
      </c>
      <c r="C629" s="149">
        <v>44863</v>
      </c>
      <c r="D629" s="32" t="s">
        <v>38</v>
      </c>
      <c r="E629" s="24">
        <v>152000</v>
      </c>
      <c r="F629" s="24">
        <v>0.01</v>
      </c>
      <c r="G629" s="151">
        <v>45015</v>
      </c>
      <c r="H629" s="24">
        <f t="shared" si="9"/>
        <v>1520</v>
      </c>
      <c r="I629" s="24" t="s">
        <v>10</v>
      </c>
      <c r="J629" s="152"/>
    </row>
    <row r="630" hidden="1" spans="2:10">
      <c r="B630" s="148">
        <v>222300957</v>
      </c>
      <c r="C630" s="149">
        <v>44863</v>
      </c>
      <c r="D630" s="32" t="s">
        <v>45</v>
      </c>
      <c r="E630" s="24">
        <v>100000</v>
      </c>
      <c r="F630" s="24">
        <v>0.028</v>
      </c>
      <c r="G630" s="151">
        <v>44870</v>
      </c>
      <c r="H630" s="24">
        <f t="shared" si="9"/>
        <v>2800</v>
      </c>
      <c r="I630" s="24" t="s">
        <v>10</v>
      </c>
      <c r="J630" s="152"/>
    </row>
    <row r="631" hidden="1" spans="2:10">
      <c r="B631" s="148">
        <v>222300957</v>
      </c>
      <c r="C631" s="149">
        <v>44863</v>
      </c>
      <c r="D631" s="32" t="s">
        <v>45</v>
      </c>
      <c r="E631" s="24">
        <v>100000</v>
      </c>
      <c r="F631" s="24">
        <v>0.028</v>
      </c>
      <c r="G631" s="151">
        <v>44895</v>
      </c>
      <c r="H631" s="24">
        <f t="shared" si="9"/>
        <v>2800</v>
      </c>
      <c r="I631" s="24" t="s">
        <v>10</v>
      </c>
      <c r="J631" s="152"/>
    </row>
    <row r="632" hidden="1" spans="2:10">
      <c r="B632" s="148">
        <v>222300957</v>
      </c>
      <c r="C632" s="149">
        <v>44863</v>
      </c>
      <c r="D632" s="32" t="s">
        <v>45</v>
      </c>
      <c r="E632" s="24">
        <v>100000</v>
      </c>
      <c r="F632" s="24">
        <v>0.028</v>
      </c>
      <c r="G632" s="151">
        <v>44956</v>
      </c>
      <c r="H632" s="24">
        <f t="shared" si="9"/>
        <v>2800</v>
      </c>
      <c r="I632" s="24" t="s">
        <v>10</v>
      </c>
      <c r="J632" s="152"/>
    </row>
    <row r="633" hidden="1" spans="2:10">
      <c r="B633" s="148">
        <v>222300957</v>
      </c>
      <c r="C633" s="149">
        <v>44863</v>
      </c>
      <c r="D633" s="32" t="s">
        <v>45</v>
      </c>
      <c r="E633" s="24">
        <v>40000</v>
      </c>
      <c r="F633" s="24">
        <v>0.028</v>
      </c>
      <c r="G633" s="151">
        <v>44985</v>
      </c>
      <c r="H633" s="24">
        <f t="shared" si="9"/>
        <v>1120</v>
      </c>
      <c r="I633" s="24" t="s">
        <v>10</v>
      </c>
      <c r="J633" s="152"/>
    </row>
    <row r="634" hidden="1" spans="2:10">
      <c r="B634" s="148">
        <v>222300957</v>
      </c>
      <c r="C634" s="149">
        <v>44863</v>
      </c>
      <c r="D634" s="32" t="s">
        <v>47</v>
      </c>
      <c r="E634" s="24">
        <v>80000</v>
      </c>
      <c r="F634" s="24">
        <v>0.024</v>
      </c>
      <c r="G634" s="151">
        <v>44870</v>
      </c>
      <c r="H634" s="24">
        <f t="shared" si="9"/>
        <v>1920</v>
      </c>
      <c r="I634" s="24" t="s">
        <v>10</v>
      </c>
      <c r="J634" s="152"/>
    </row>
    <row r="635" hidden="1" spans="2:10">
      <c r="B635" s="148">
        <v>222300957</v>
      </c>
      <c r="C635" s="149">
        <v>44863</v>
      </c>
      <c r="D635" s="32" t="s">
        <v>47</v>
      </c>
      <c r="E635" s="24">
        <v>32000</v>
      </c>
      <c r="F635" s="24">
        <v>0.024</v>
      </c>
      <c r="G635" s="151">
        <v>44895</v>
      </c>
      <c r="H635" s="24">
        <f t="shared" si="9"/>
        <v>768</v>
      </c>
      <c r="I635" s="24" t="s">
        <v>10</v>
      </c>
      <c r="J635" s="152"/>
    </row>
    <row r="636" hidden="1" spans="2:10">
      <c r="B636" s="148">
        <v>222300957</v>
      </c>
      <c r="C636" s="149">
        <v>44863</v>
      </c>
      <c r="D636" s="32" t="s">
        <v>47</v>
      </c>
      <c r="E636" s="24">
        <v>28000</v>
      </c>
      <c r="F636" s="24">
        <v>0.024</v>
      </c>
      <c r="G636" s="151">
        <v>44956</v>
      </c>
      <c r="H636" s="24">
        <f t="shared" si="9"/>
        <v>672</v>
      </c>
      <c r="I636" s="24" t="s">
        <v>10</v>
      </c>
      <c r="J636" s="152"/>
    </row>
    <row r="637" hidden="1" spans="2:10">
      <c r="B637" s="148">
        <v>222300976</v>
      </c>
      <c r="C637" s="149">
        <v>44863</v>
      </c>
      <c r="D637" s="32" t="s">
        <v>185</v>
      </c>
      <c r="E637" s="163" t="s">
        <v>186</v>
      </c>
      <c r="F637" s="24">
        <v>0.04</v>
      </c>
      <c r="G637" s="151">
        <v>44925</v>
      </c>
      <c r="H637" s="24">
        <v>4000</v>
      </c>
      <c r="I637" s="24" t="s">
        <v>10</v>
      </c>
      <c r="J637" s="152"/>
    </row>
    <row r="638" hidden="1" spans="2:10">
      <c r="B638" s="148">
        <v>222300976</v>
      </c>
      <c r="C638" s="149">
        <v>44863</v>
      </c>
      <c r="D638" s="32" t="s">
        <v>185</v>
      </c>
      <c r="E638" s="24">
        <v>100000</v>
      </c>
      <c r="F638" s="24">
        <v>0.04</v>
      </c>
      <c r="G638" s="151">
        <v>44956</v>
      </c>
      <c r="H638" s="24">
        <f t="shared" ref="H638:H669" si="10">F638*E638</f>
        <v>4000</v>
      </c>
      <c r="I638" s="24" t="s">
        <v>10</v>
      </c>
      <c r="J638" s="152"/>
    </row>
    <row r="639" hidden="1" spans="2:10">
      <c r="B639" s="148">
        <v>222300977</v>
      </c>
      <c r="C639" s="149">
        <v>44863</v>
      </c>
      <c r="D639" s="32" t="s">
        <v>163</v>
      </c>
      <c r="E639" s="24">
        <v>208000</v>
      </c>
      <c r="F639" s="24">
        <v>0.0025</v>
      </c>
      <c r="G639" s="151">
        <v>44920</v>
      </c>
      <c r="H639" s="24">
        <f t="shared" si="10"/>
        <v>520</v>
      </c>
      <c r="I639" s="24" t="s">
        <v>10</v>
      </c>
      <c r="J639" s="152"/>
    </row>
    <row r="640" hidden="1" spans="2:10">
      <c r="B640" s="148">
        <v>222300977</v>
      </c>
      <c r="C640" s="149">
        <v>44863</v>
      </c>
      <c r="D640" s="32" t="s">
        <v>45</v>
      </c>
      <c r="E640" s="24">
        <v>100000</v>
      </c>
      <c r="F640" s="24">
        <v>0.028</v>
      </c>
      <c r="G640" s="151">
        <v>44885</v>
      </c>
      <c r="H640" s="24">
        <f t="shared" si="10"/>
        <v>2800</v>
      </c>
      <c r="I640" s="24" t="s">
        <v>10</v>
      </c>
      <c r="J640" s="152"/>
    </row>
    <row r="641" hidden="1" spans="2:10">
      <c r="B641" s="148">
        <v>222300977</v>
      </c>
      <c r="C641" s="149">
        <v>44863</v>
      </c>
      <c r="D641" s="32" t="s">
        <v>45</v>
      </c>
      <c r="E641" s="24">
        <v>100000</v>
      </c>
      <c r="F641" s="24">
        <v>0.028</v>
      </c>
      <c r="G641" s="151">
        <v>44951</v>
      </c>
      <c r="H641" s="24">
        <f t="shared" si="10"/>
        <v>2800</v>
      </c>
      <c r="I641" s="24" t="s">
        <v>10</v>
      </c>
      <c r="J641" s="152"/>
    </row>
    <row r="642" hidden="1" spans="2:10">
      <c r="B642" s="148">
        <v>222300977</v>
      </c>
      <c r="C642" s="149">
        <v>44863</v>
      </c>
      <c r="D642" s="32" t="s">
        <v>47</v>
      </c>
      <c r="E642" s="24">
        <v>200000</v>
      </c>
      <c r="F642" s="24">
        <v>0.024</v>
      </c>
      <c r="G642" s="151">
        <v>44885</v>
      </c>
      <c r="H642" s="24">
        <f t="shared" si="10"/>
        <v>4800</v>
      </c>
      <c r="I642" s="24" t="s">
        <v>10</v>
      </c>
      <c r="J642" s="152"/>
    </row>
    <row r="643" hidden="1" spans="2:10">
      <c r="B643" s="148">
        <v>222300977</v>
      </c>
      <c r="C643" s="149">
        <v>44863</v>
      </c>
      <c r="D643" s="32" t="s">
        <v>47</v>
      </c>
      <c r="E643" s="24">
        <v>100000</v>
      </c>
      <c r="F643" s="24">
        <v>0.024</v>
      </c>
      <c r="G643" s="151">
        <v>44941</v>
      </c>
      <c r="H643" s="24">
        <f t="shared" si="10"/>
        <v>2400</v>
      </c>
      <c r="I643" s="24" t="s">
        <v>10</v>
      </c>
      <c r="J643" s="152"/>
    </row>
    <row r="644" hidden="1" spans="2:10">
      <c r="B644" s="148">
        <v>222300977</v>
      </c>
      <c r="C644" s="149">
        <v>44863</v>
      </c>
      <c r="D644" s="32" t="s">
        <v>38</v>
      </c>
      <c r="E644" s="24">
        <v>200000</v>
      </c>
      <c r="F644" s="24">
        <v>0.01</v>
      </c>
      <c r="G644" s="151">
        <v>44885</v>
      </c>
      <c r="H644" s="24">
        <f t="shared" si="10"/>
        <v>2000</v>
      </c>
      <c r="I644" s="24" t="s">
        <v>10</v>
      </c>
      <c r="J644" s="152"/>
    </row>
    <row r="645" hidden="1" spans="2:10">
      <c r="B645" s="148">
        <v>222300977</v>
      </c>
      <c r="C645" s="149">
        <v>44863</v>
      </c>
      <c r="D645" s="32" t="s">
        <v>38</v>
      </c>
      <c r="E645" s="24">
        <v>100000</v>
      </c>
      <c r="F645" s="24">
        <v>0.01</v>
      </c>
      <c r="G645" s="151">
        <v>44941</v>
      </c>
      <c r="H645" s="24">
        <f t="shared" si="10"/>
        <v>1000</v>
      </c>
      <c r="I645" s="24" t="s">
        <v>10</v>
      </c>
      <c r="J645" s="152"/>
    </row>
    <row r="646" hidden="1" spans="2:10">
      <c r="B646" s="148">
        <v>222300977</v>
      </c>
      <c r="C646" s="149">
        <v>44863</v>
      </c>
      <c r="D646" s="32" t="s">
        <v>62</v>
      </c>
      <c r="E646" s="24">
        <v>96000</v>
      </c>
      <c r="F646" s="24">
        <v>0.006</v>
      </c>
      <c r="G646" s="151">
        <v>44875</v>
      </c>
      <c r="H646" s="24">
        <f t="shared" si="10"/>
        <v>576</v>
      </c>
      <c r="I646" s="24" t="s">
        <v>10</v>
      </c>
      <c r="J646" s="152"/>
    </row>
    <row r="647" hidden="1" spans="2:10">
      <c r="B647" s="148">
        <v>222300978</v>
      </c>
      <c r="C647" s="149">
        <v>44863</v>
      </c>
      <c r="D647" s="32" t="s">
        <v>181</v>
      </c>
      <c r="E647" s="24">
        <v>60000</v>
      </c>
      <c r="F647" s="24">
        <v>0.03</v>
      </c>
      <c r="G647" s="151">
        <v>44920</v>
      </c>
      <c r="H647" s="24">
        <f t="shared" si="10"/>
        <v>1800</v>
      </c>
      <c r="I647" s="24" t="s">
        <v>10</v>
      </c>
      <c r="J647" s="152"/>
    </row>
    <row r="648" hidden="1" spans="2:10">
      <c r="B648" s="148">
        <v>222300978</v>
      </c>
      <c r="C648" s="149">
        <v>44863</v>
      </c>
      <c r="D648" s="32" t="s">
        <v>58</v>
      </c>
      <c r="E648" s="24">
        <v>150000</v>
      </c>
      <c r="F648" s="24">
        <v>0.019</v>
      </c>
      <c r="G648" s="151">
        <v>44859</v>
      </c>
      <c r="H648" s="24">
        <f t="shared" si="10"/>
        <v>2850</v>
      </c>
      <c r="I648" s="24" t="s">
        <v>10</v>
      </c>
      <c r="J648" s="152"/>
    </row>
    <row r="649" hidden="1" spans="2:10">
      <c r="B649" s="148">
        <v>222300978</v>
      </c>
      <c r="C649" s="149">
        <v>44863</v>
      </c>
      <c r="D649" s="32" t="s">
        <v>58</v>
      </c>
      <c r="E649" s="24">
        <v>150000</v>
      </c>
      <c r="F649" s="24">
        <v>0.019</v>
      </c>
      <c r="G649" s="151">
        <v>44920</v>
      </c>
      <c r="H649" s="24">
        <f t="shared" si="10"/>
        <v>2850</v>
      </c>
      <c r="I649" s="24" t="s">
        <v>10</v>
      </c>
      <c r="J649" s="152"/>
    </row>
    <row r="650" hidden="1" spans="2:10">
      <c r="B650" s="148">
        <v>222300979</v>
      </c>
      <c r="C650" s="149">
        <v>44863</v>
      </c>
      <c r="D650" s="32" t="s">
        <v>40</v>
      </c>
      <c r="E650" s="24">
        <v>100000</v>
      </c>
      <c r="F650" s="24">
        <v>0.05</v>
      </c>
      <c r="G650" s="151">
        <v>44845</v>
      </c>
      <c r="H650" s="24">
        <f t="shared" si="10"/>
        <v>5000</v>
      </c>
      <c r="I650" s="24" t="s">
        <v>10</v>
      </c>
      <c r="J650" s="152"/>
    </row>
    <row r="651" hidden="1" spans="2:10">
      <c r="B651" s="164">
        <v>222300980</v>
      </c>
      <c r="C651" s="110">
        <v>44863</v>
      </c>
      <c r="D651" s="87" t="s">
        <v>187</v>
      </c>
      <c r="E651" s="12">
        <v>40000</v>
      </c>
      <c r="F651" s="12">
        <v>0.028</v>
      </c>
      <c r="G651" s="89">
        <v>44915</v>
      </c>
      <c r="H651" s="12">
        <f t="shared" si="10"/>
        <v>1120</v>
      </c>
      <c r="I651" s="12" t="s">
        <v>10</v>
      </c>
      <c r="J651" s="152"/>
    </row>
    <row r="652" hidden="1" spans="2:10">
      <c r="B652" s="148">
        <v>222300981</v>
      </c>
      <c r="C652" s="149">
        <v>44863</v>
      </c>
      <c r="D652" s="32" t="s">
        <v>45</v>
      </c>
      <c r="E652" s="24">
        <v>100000</v>
      </c>
      <c r="F652" s="24">
        <v>0.028</v>
      </c>
      <c r="G652" s="151">
        <v>44885</v>
      </c>
      <c r="H652" s="24">
        <f t="shared" si="10"/>
        <v>2800</v>
      </c>
      <c r="I652" s="24" t="s">
        <v>10</v>
      </c>
      <c r="J652" s="152"/>
    </row>
    <row r="653" hidden="1" spans="2:10">
      <c r="B653" s="148">
        <v>222300981</v>
      </c>
      <c r="C653" s="149">
        <v>44863</v>
      </c>
      <c r="D653" s="32" t="s">
        <v>45</v>
      </c>
      <c r="E653" s="24">
        <v>100000</v>
      </c>
      <c r="F653" s="24">
        <v>0.028</v>
      </c>
      <c r="G653" s="151">
        <v>44951</v>
      </c>
      <c r="H653" s="24">
        <f t="shared" si="10"/>
        <v>2800</v>
      </c>
      <c r="I653" s="24" t="s">
        <v>10</v>
      </c>
      <c r="J653" s="152"/>
    </row>
    <row r="654" hidden="1" spans="2:10">
      <c r="B654" s="148">
        <v>222300981</v>
      </c>
      <c r="C654" s="149">
        <v>44863</v>
      </c>
      <c r="D654" s="32" t="s">
        <v>188</v>
      </c>
      <c r="E654" s="24">
        <v>100000</v>
      </c>
      <c r="F654" s="24">
        <v>0.05</v>
      </c>
      <c r="G654" s="151">
        <v>44920</v>
      </c>
      <c r="H654" s="24">
        <f t="shared" si="10"/>
        <v>5000</v>
      </c>
      <c r="I654" s="24" t="s">
        <v>10</v>
      </c>
      <c r="J654" s="152"/>
    </row>
    <row r="655" hidden="1" spans="2:10">
      <c r="B655" s="148">
        <v>222300982</v>
      </c>
      <c r="C655" s="149">
        <v>44863</v>
      </c>
      <c r="D655" s="32" t="s">
        <v>33</v>
      </c>
      <c r="E655" s="24">
        <v>200000</v>
      </c>
      <c r="F655" s="24">
        <v>0.02</v>
      </c>
      <c r="G655" s="151">
        <v>44920</v>
      </c>
      <c r="H655" s="24">
        <f t="shared" si="10"/>
        <v>4000</v>
      </c>
      <c r="I655" s="24" t="s">
        <v>10</v>
      </c>
      <c r="J655" s="152"/>
    </row>
    <row r="656" s="29" customFormat="1" hidden="1" spans="2:10">
      <c r="B656" s="148">
        <v>222300984</v>
      </c>
      <c r="C656" s="149">
        <v>44863</v>
      </c>
      <c r="D656" s="32" t="s">
        <v>77</v>
      </c>
      <c r="E656" s="24">
        <v>20000</v>
      </c>
      <c r="F656" s="24">
        <v>0.041</v>
      </c>
      <c r="G656" s="151">
        <v>44957</v>
      </c>
      <c r="H656" s="24">
        <f t="shared" si="10"/>
        <v>820</v>
      </c>
      <c r="I656" s="24" t="s">
        <v>14</v>
      </c>
      <c r="J656" s="22"/>
    </row>
    <row r="657" hidden="1" spans="2:14">
      <c r="B657" s="148">
        <v>222300983</v>
      </c>
      <c r="C657" s="149">
        <v>44863</v>
      </c>
      <c r="D657" s="32" t="s">
        <v>189</v>
      </c>
      <c r="E657" s="24">
        <v>100000</v>
      </c>
      <c r="F657" s="24">
        <v>0.028</v>
      </c>
      <c r="G657" s="151">
        <v>44926</v>
      </c>
      <c r="H657" s="24">
        <f t="shared" si="10"/>
        <v>2800</v>
      </c>
      <c r="I657" s="24" t="s">
        <v>10</v>
      </c>
      <c r="J657" s="152"/>
    </row>
    <row r="658" hidden="1" spans="2:14">
      <c r="B658" s="148">
        <v>222300919</v>
      </c>
      <c r="C658" s="149">
        <v>44854</v>
      </c>
      <c r="D658" s="32" t="s">
        <v>189</v>
      </c>
      <c r="E658" s="24">
        <v>260000</v>
      </c>
      <c r="F658" s="24">
        <v>0.028</v>
      </c>
      <c r="G658" s="151">
        <v>44864</v>
      </c>
      <c r="H658" s="24">
        <f t="shared" si="10"/>
        <v>7280</v>
      </c>
      <c r="I658" s="24" t="s">
        <v>10</v>
      </c>
      <c r="J658" s="152"/>
    </row>
    <row r="659" hidden="1" spans="2:14">
      <c r="B659" s="148">
        <v>222300919</v>
      </c>
      <c r="C659" s="149">
        <v>44854</v>
      </c>
      <c r="D659" s="32" t="s">
        <v>189</v>
      </c>
      <c r="E659" s="24">
        <v>152000</v>
      </c>
      <c r="F659" s="24">
        <v>0.028</v>
      </c>
      <c r="G659" s="151">
        <v>44895</v>
      </c>
      <c r="H659" s="24">
        <f t="shared" si="10"/>
        <v>4256</v>
      </c>
      <c r="I659" s="24" t="s">
        <v>10</v>
      </c>
      <c r="J659" s="152"/>
    </row>
    <row r="660" hidden="1" spans="2:14">
      <c r="B660" s="148">
        <v>222300919</v>
      </c>
      <c r="C660" s="149">
        <v>44854</v>
      </c>
      <c r="D660" s="32" t="s">
        <v>189</v>
      </c>
      <c r="E660" s="24">
        <v>260000</v>
      </c>
      <c r="F660" s="24">
        <v>0.028</v>
      </c>
      <c r="G660" s="151">
        <v>44925</v>
      </c>
      <c r="H660" s="24">
        <f t="shared" si="10"/>
        <v>7280</v>
      </c>
      <c r="I660" s="24" t="s">
        <v>10</v>
      </c>
      <c r="J660" s="152"/>
    </row>
    <row r="661" s="29" customFormat="1" hidden="1" spans="2:14">
      <c r="B661" s="148">
        <v>222301007</v>
      </c>
      <c r="C661" s="149">
        <v>44868</v>
      </c>
      <c r="D661" s="32" t="s">
        <v>9</v>
      </c>
      <c r="E661" s="24">
        <v>40000</v>
      </c>
      <c r="F661" s="24">
        <v>0.0245</v>
      </c>
      <c r="G661" s="151">
        <v>44925</v>
      </c>
      <c r="H661" s="24">
        <f t="shared" si="10"/>
        <v>980</v>
      </c>
      <c r="I661" s="24" t="s">
        <v>10</v>
      </c>
      <c r="J661" s="22"/>
    </row>
    <row r="662" s="29" customFormat="1" hidden="1" spans="2:14">
      <c r="B662" s="148">
        <v>222301029</v>
      </c>
      <c r="C662" s="149">
        <v>44873</v>
      </c>
      <c r="D662" s="32" t="s">
        <v>58</v>
      </c>
      <c r="E662" s="24">
        <v>250000</v>
      </c>
      <c r="F662" s="24">
        <v>0.019</v>
      </c>
      <c r="G662" s="151">
        <v>44873</v>
      </c>
      <c r="H662" s="24">
        <f t="shared" si="10"/>
        <v>4750</v>
      </c>
      <c r="I662" s="24" t="s">
        <v>10</v>
      </c>
      <c r="J662" s="22"/>
    </row>
    <row r="663" s="29" customFormat="1" hidden="1" spans="2:14">
      <c r="B663" s="148">
        <v>222301028</v>
      </c>
      <c r="C663" s="149">
        <v>44873</v>
      </c>
      <c r="D663" s="32" t="s">
        <v>58</v>
      </c>
      <c r="E663" s="24">
        <v>250000</v>
      </c>
      <c r="F663" s="24">
        <v>0.019</v>
      </c>
      <c r="G663" s="151">
        <v>44873</v>
      </c>
      <c r="H663" s="24">
        <f t="shared" si="10"/>
        <v>4750</v>
      </c>
      <c r="I663" s="24" t="s">
        <v>10</v>
      </c>
      <c r="J663" s="22"/>
    </row>
    <row r="664" hidden="1" spans="2:14">
      <c r="B664" s="165">
        <v>222301039</v>
      </c>
      <c r="C664" s="166">
        <v>44877</v>
      </c>
      <c r="D664" s="167" t="s">
        <v>164</v>
      </c>
      <c r="E664" s="168">
        <v>186000</v>
      </c>
      <c r="F664" s="24">
        <v>0.011</v>
      </c>
      <c r="G664" s="169">
        <v>44920</v>
      </c>
      <c r="H664" s="24">
        <f t="shared" si="10"/>
        <v>2046</v>
      </c>
      <c r="I664" s="24" t="s">
        <v>10</v>
      </c>
      <c r="J664" s="152"/>
    </row>
    <row r="665" hidden="1" spans="2:14">
      <c r="B665" s="165">
        <v>222301039</v>
      </c>
      <c r="C665" s="166">
        <v>44877</v>
      </c>
      <c r="D665" s="167" t="s">
        <v>165</v>
      </c>
      <c r="E665" s="168">
        <v>42000</v>
      </c>
      <c r="F665" s="156">
        <v>0.0245</v>
      </c>
      <c r="G665" s="169">
        <v>44885</v>
      </c>
      <c r="H665" s="24">
        <f t="shared" si="10"/>
        <v>1029</v>
      </c>
      <c r="I665" s="24" t="s">
        <v>10</v>
      </c>
      <c r="J665" s="152"/>
    </row>
    <row r="666" hidden="1" spans="2:14">
      <c r="B666" s="165">
        <v>222301039</v>
      </c>
      <c r="C666" s="166">
        <v>44877</v>
      </c>
      <c r="D666" s="167" t="s">
        <v>124</v>
      </c>
      <c r="E666" s="168">
        <v>20000</v>
      </c>
      <c r="F666" s="24">
        <v>0.018</v>
      </c>
      <c r="G666" s="169">
        <v>44885</v>
      </c>
      <c r="H666" s="24">
        <f t="shared" si="10"/>
        <v>360</v>
      </c>
      <c r="I666" s="24" t="s">
        <v>10</v>
      </c>
      <c r="J666" s="152"/>
    </row>
    <row r="667" hidden="1" spans="2:14">
      <c r="B667" s="170">
        <v>222301040</v>
      </c>
      <c r="C667" s="171">
        <v>44877</v>
      </c>
      <c r="D667" s="172" t="s">
        <v>190</v>
      </c>
      <c r="E667" s="173">
        <v>800000</v>
      </c>
      <c r="F667" s="12">
        <v>0.03</v>
      </c>
      <c r="G667" s="174">
        <v>44915</v>
      </c>
      <c r="H667" s="12">
        <f t="shared" si="10"/>
        <v>24000</v>
      </c>
      <c r="I667" s="12" t="s">
        <v>10</v>
      </c>
      <c r="J667" s="152"/>
    </row>
    <row r="668" hidden="1" spans="2:14">
      <c r="B668" s="170">
        <v>222301040</v>
      </c>
      <c r="C668" s="171">
        <v>44877</v>
      </c>
      <c r="D668" s="172" t="s">
        <v>190</v>
      </c>
      <c r="E668" s="173">
        <v>1000000</v>
      </c>
      <c r="F668" s="12">
        <v>0.03</v>
      </c>
      <c r="G668" s="174">
        <v>44946</v>
      </c>
      <c r="H668" s="12">
        <f t="shared" si="10"/>
        <v>30000</v>
      </c>
      <c r="I668" s="12" t="s">
        <v>10</v>
      </c>
      <c r="J668" s="152"/>
      <c r="N668" s="19">
        <f>0.1913*5%</f>
        <v>0.009565</v>
      </c>
    </row>
    <row r="669" hidden="1" spans="2:14">
      <c r="B669" s="170">
        <v>222301040</v>
      </c>
      <c r="C669" s="171">
        <v>44877</v>
      </c>
      <c r="D669" s="172" t="s">
        <v>190</v>
      </c>
      <c r="E669" s="173">
        <v>800000</v>
      </c>
      <c r="F669" s="12">
        <v>0.03</v>
      </c>
      <c r="G669" s="174">
        <v>44977</v>
      </c>
      <c r="H669" s="12">
        <f t="shared" si="10"/>
        <v>24000</v>
      </c>
      <c r="I669" s="12" t="s">
        <v>10</v>
      </c>
      <c r="J669" s="152"/>
    </row>
    <row r="670" hidden="1" spans="2:14">
      <c r="B670" s="165">
        <v>222301041</v>
      </c>
      <c r="C670" s="166">
        <v>44877</v>
      </c>
      <c r="D670" s="167" t="s">
        <v>190</v>
      </c>
      <c r="E670" s="168">
        <v>1000000</v>
      </c>
      <c r="F670" s="24">
        <v>0.03</v>
      </c>
      <c r="G670" s="169">
        <v>44915</v>
      </c>
      <c r="H670" s="24">
        <f t="shared" ref="H670:H701" si="11">F670*E670</f>
        <v>30000</v>
      </c>
      <c r="I670" s="24" t="s">
        <v>10</v>
      </c>
      <c r="J670" s="22" t="s">
        <v>191</v>
      </c>
    </row>
    <row r="671" hidden="1" spans="2:14">
      <c r="B671" s="165">
        <v>222301041</v>
      </c>
      <c r="C671" s="166">
        <v>44877</v>
      </c>
      <c r="D671" s="167" t="s">
        <v>190</v>
      </c>
      <c r="E671" s="168">
        <v>700000</v>
      </c>
      <c r="F671" s="24">
        <v>0.03</v>
      </c>
      <c r="G671" s="169">
        <v>44915</v>
      </c>
      <c r="H671" s="24">
        <f t="shared" si="11"/>
        <v>21000</v>
      </c>
      <c r="I671" s="24" t="s">
        <v>10</v>
      </c>
      <c r="J671" s="22" t="s">
        <v>191</v>
      </c>
    </row>
    <row r="672" hidden="1" spans="2:14">
      <c r="B672" s="165">
        <v>222301041</v>
      </c>
      <c r="C672" s="166">
        <v>44877</v>
      </c>
      <c r="D672" s="167" t="s">
        <v>190</v>
      </c>
      <c r="E672" s="168">
        <v>1000000</v>
      </c>
      <c r="F672" s="24">
        <v>0.03</v>
      </c>
      <c r="G672" s="169">
        <v>44946</v>
      </c>
      <c r="H672" s="24">
        <f t="shared" si="11"/>
        <v>30000</v>
      </c>
      <c r="I672" s="24" t="s">
        <v>10</v>
      </c>
      <c r="J672" s="22" t="s">
        <v>191</v>
      </c>
    </row>
    <row r="673" hidden="1" spans="2:10">
      <c r="B673" s="165">
        <v>222301041</v>
      </c>
      <c r="C673" s="166">
        <v>44877</v>
      </c>
      <c r="D673" s="167" t="s">
        <v>190</v>
      </c>
      <c r="E673" s="168">
        <v>700000</v>
      </c>
      <c r="F673" s="24">
        <v>0.03</v>
      </c>
      <c r="G673" s="169">
        <v>44946</v>
      </c>
      <c r="H673" s="24">
        <f t="shared" si="11"/>
        <v>21000</v>
      </c>
      <c r="I673" s="24" t="s">
        <v>10</v>
      </c>
      <c r="J673" s="22" t="s">
        <v>192</v>
      </c>
    </row>
    <row r="674" hidden="1" spans="2:10">
      <c r="B674" s="165">
        <v>222301041</v>
      </c>
      <c r="C674" s="166">
        <v>44877</v>
      </c>
      <c r="D674" s="167" t="s">
        <v>190</v>
      </c>
      <c r="E674" s="168">
        <v>1000000</v>
      </c>
      <c r="F674" s="24">
        <v>0.03</v>
      </c>
      <c r="G674" s="169">
        <v>44977</v>
      </c>
      <c r="H674" s="24">
        <f t="shared" si="11"/>
        <v>30000</v>
      </c>
      <c r="I674" s="24" t="s">
        <v>10</v>
      </c>
      <c r="J674" s="22" t="s">
        <v>192</v>
      </c>
    </row>
    <row r="675" hidden="1" spans="2:10">
      <c r="B675" s="165">
        <v>222301041</v>
      </c>
      <c r="C675" s="166">
        <v>44877</v>
      </c>
      <c r="D675" s="167" t="s">
        <v>190</v>
      </c>
      <c r="E675" s="168">
        <v>700000</v>
      </c>
      <c r="F675" s="24">
        <v>0.03</v>
      </c>
      <c r="G675" s="169">
        <v>44977</v>
      </c>
      <c r="H675" s="24">
        <f t="shared" si="11"/>
        <v>21000</v>
      </c>
      <c r="I675" s="24" t="s">
        <v>10</v>
      </c>
      <c r="J675" s="22" t="s">
        <v>192</v>
      </c>
    </row>
    <row r="676" hidden="1" spans="2:10">
      <c r="B676" s="170">
        <v>222301041</v>
      </c>
      <c r="C676" s="171">
        <v>44877</v>
      </c>
      <c r="D676" s="172" t="s">
        <v>193</v>
      </c>
      <c r="E676" s="173">
        <v>300000</v>
      </c>
      <c r="F676" s="12">
        <v>0.0405</v>
      </c>
      <c r="G676" s="174">
        <v>44880</v>
      </c>
      <c r="H676" s="12">
        <f t="shared" si="11"/>
        <v>12150</v>
      </c>
      <c r="I676" s="12" t="s">
        <v>10</v>
      </c>
      <c r="J676" s="152" t="s">
        <v>191</v>
      </c>
    </row>
    <row r="677" hidden="1" spans="2:10">
      <c r="B677" s="170">
        <v>222301041</v>
      </c>
      <c r="C677" s="171">
        <v>44877</v>
      </c>
      <c r="D677" s="172" t="s">
        <v>193</v>
      </c>
      <c r="E677" s="173">
        <v>150000</v>
      </c>
      <c r="F677" s="12">
        <v>0.0405</v>
      </c>
      <c r="G677" s="174">
        <v>44915</v>
      </c>
      <c r="H677" s="12">
        <f t="shared" si="11"/>
        <v>6075</v>
      </c>
      <c r="I677" s="12" t="s">
        <v>10</v>
      </c>
      <c r="J677" s="152" t="s">
        <v>191</v>
      </c>
    </row>
    <row r="678" hidden="1" spans="2:10">
      <c r="B678" s="170">
        <v>222301041</v>
      </c>
      <c r="C678" s="171">
        <v>44877</v>
      </c>
      <c r="D678" s="172" t="s">
        <v>193</v>
      </c>
      <c r="E678" s="173">
        <v>150000</v>
      </c>
      <c r="F678" s="12">
        <v>0.0405</v>
      </c>
      <c r="G678" s="174">
        <v>44972</v>
      </c>
      <c r="H678" s="12">
        <f t="shared" si="11"/>
        <v>6075</v>
      </c>
      <c r="I678" s="12" t="s">
        <v>10</v>
      </c>
      <c r="J678" s="152" t="s">
        <v>191</v>
      </c>
    </row>
    <row r="679" hidden="1" spans="2:10">
      <c r="B679" s="165">
        <v>222301041</v>
      </c>
      <c r="C679" s="166">
        <v>44877</v>
      </c>
      <c r="D679" s="167" t="s">
        <v>179</v>
      </c>
      <c r="E679" s="168">
        <v>150000</v>
      </c>
      <c r="F679" s="24">
        <v>0.08</v>
      </c>
      <c r="G679" s="169">
        <v>44905</v>
      </c>
      <c r="H679" s="24">
        <f t="shared" si="11"/>
        <v>12000</v>
      </c>
      <c r="I679" s="24" t="s">
        <v>10</v>
      </c>
      <c r="J679" s="152" t="s">
        <v>191</v>
      </c>
    </row>
    <row r="680" hidden="1" spans="2:10">
      <c r="B680" s="165">
        <v>222301041</v>
      </c>
      <c r="C680" s="166">
        <v>44877</v>
      </c>
      <c r="D680" s="167" t="s">
        <v>179</v>
      </c>
      <c r="E680" s="168">
        <v>100000</v>
      </c>
      <c r="F680" s="24">
        <v>0.08</v>
      </c>
      <c r="G680" s="169">
        <v>44951</v>
      </c>
      <c r="H680" s="24">
        <f t="shared" si="11"/>
        <v>8000</v>
      </c>
      <c r="I680" s="24" t="s">
        <v>10</v>
      </c>
      <c r="J680" s="152" t="s">
        <v>191</v>
      </c>
    </row>
    <row r="681" hidden="1" spans="2:10">
      <c r="B681" s="165">
        <v>222301041</v>
      </c>
      <c r="C681" s="166">
        <v>44877</v>
      </c>
      <c r="D681" s="175" t="s">
        <v>194</v>
      </c>
      <c r="E681" s="168">
        <v>400000</v>
      </c>
      <c r="F681" s="24">
        <v>0.0115</v>
      </c>
      <c r="G681" s="169">
        <v>44890</v>
      </c>
      <c r="H681" s="24">
        <f t="shared" si="11"/>
        <v>4600</v>
      </c>
      <c r="I681" s="24" t="s">
        <v>10</v>
      </c>
      <c r="J681" s="152" t="s">
        <v>191</v>
      </c>
    </row>
    <row r="682" hidden="1" spans="2:10">
      <c r="B682" s="165">
        <v>222301041</v>
      </c>
      <c r="C682" s="166">
        <v>44877</v>
      </c>
      <c r="D682" s="175" t="s">
        <v>194</v>
      </c>
      <c r="E682" s="168">
        <v>350000</v>
      </c>
      <c r="F682" s="24">
        <v>0.0115</v>
      </c>
      <c r="G682" s="169">
        <v>44936</v>
      </c>
      <c r="H682" s="24">
        <f t="shared" si="11"/>
        <v>4025</v>
      </c>
      <c r="I682" s="24" t="s">
        <v>10</v>
      </c>
      <c r="J682" s="152" t="s">
        <v>191</v>
      </c>
    </row>
    <row r="683" hidden="1" spans="2:10">
      <c r="B683" s="165">
        <v>222301041</v>
      </c>
      <c r="C683" s="166">
        <v>44877</v>
      </c>
      <c r="D683" s="167" t="s">
        <v>40</v>
      </c>
      <c r="E683" s="168">
        <v>100000</v>
      </c>
      <c r="F683" s="24">
        <v>0.05</v>
      </c>
      <c r="G683" s="169">
        <v>44967</v>
      </c>
      <c r="H683" s="24">
        <f t="shared" si="11"/>
        <v>5000</v>
      </c>
      <c r="I683" s="24" t="s">
        <v>10</v>
      </c>
      <c r="J683" s="22" t="s">
        <v>191</v>
      </c>
    </row>
    <row r="684" hidden="1" spans="2:10">
      <c r="B684" s="148">
        <v>222301047</v>
      </c>
      <c r="C684" s="166">
        <v>44877</v>
      </c>
      <c r="D684" s="32" t="s">
        <v>31</v>
      </c>
      <c r="E684" s="24">
        <v>50000</v>
      </c>
      <c r="F684" s="24">
        <v>0.036</v>
      </c>
      <c r="G684" s="151">
        <v>44951</v>
      </c>
      <c r="H684" s="24">
        <f t="shared" si="11"/>
        <v>1800</v>
      </c>
      <c r="I684" s="24" t="s">
        <v>10</v>
      </c>
      <c r="J684" s="152"/>
    </row>
    <row r="685" hidden="1" spans="2:10">
      <c r="B685" s="148">
        <v>222301047</v>
      </c>
      <c r="C685" s="166">
        <v>44877</v>
      </c>
      <c r="D685" s="32" t="s">
        <v>31</v>
      </c>
      <c r="E685" s="24">
        <v>50000</v>
      </c>
      <c r="F685" s="24">
        <v>0.036</v>
      </c>
      <c r="G685" s="151">
        <v>44982</v>
      </c>
      <c r="H685" s="24">
        <f t="shared" si="11"/>
        <v>1800</v>
      </c>
      <c r="I685" s="24" t="s">
        <v>10</v>
      </c>
      <c r="J685" s="152"/>
    </row>
    <row r="686" hidden="1" spans="2:10">
      <c r="B686" s="148">
        <v>222301047</v>
      </c>
      <c r="C686" s="166">
        <v>44877</v>
      </c>
      <c r="D686" s="32" t="s">
        <v>33</v>
      </c>
      <c r="E686" s="24">
        <v>60000</v>
      </c>
      <c r="F686" s="24">
        <v>0.02</v>
      </c>
      <c r="G686" s="151">
        <v>45010</v>
      </c>
      <c r="H686" s="24">
        <f t="shared" si="11"/>
        <v>1200</v>
      </c>
      <c r="I686" s="24" t="s">
        <v>10</v>
      </c>
      <c r="J686" s="152"/>
    </row>
    <row r="687" hidden="1" spans="2:10">
      <c r="B687" s="148">
        <v>222301047</v>
      </c>
      <c r="C687" s="166">
        <v>44877</v>
      </c>
      <c r="D687" s="32" t="s">
        <v>181</v>
      </c>
      <c r="E687" s="24">
        <v>60000</v>
      </c>
      <c r="F687" s="24">
        <v>0.03</v>
      </c>
      <c r="G687" s="151">
        <v>44982</v>
      </c>
      <c r="H687" s="24">
        <f t="shared" si="11"/>
        <v>1800</v>
      </c>
      <c r="I687" s="24" t="s">
        <v>10</v>
      </c>
      <c r="J687" s="152"/>
    </row>
    <row r="688" s="29" customFormat="1" hidden="1" spans="2:10">
      <c r="B688" s="148">
        <v>222301047</v>
      </c>
      <c r="C688" s="166">
        <v>44877</v>
      </c>
      <c r="D688" s="32" t="s">
        <v>37</v>
      </c>
      <c r="E688" s="24">
        <v>51000</v>
      </c>
      <c r="F688" s="24">
        <v>0.02</v>
      </c>
      <c r="G688" s="151">
        <v>45010</v>
      </c>
      <c r="H688" s="24">
        <f t="shared" si="11"/>
        <v>1020</v>
      </c>
      <c r="I688" s="24" t="s">
        <v>10</v>
      </c>
      <c r="J688" s="22"/>
    </row>
    <row r="689" hidden="1" spans="2:10">
      <c r="B689" s="148">
        <v>222301047</v>
      </c>
      <c r="C689" s="166">
        <v>44877</v>
      </c>
      <c r="D689" s="32" t="s">
        <v>37</v>
      </c>
      <c r="E689" s="24">
        <v>120000</v>
      </c>
      <c r="F689" s="24">
        <v>0.02</v>
      </c>
      <c r="G689" s="151">
        <v>44982</v>
      </c>
      <c r="H689" s="24">
        <f t="shared" si="11"/>
        <v>2400</v>
      </c>
      <c r="I689" s="24" t="s">
        <v>10</v>
      </c>
      <c r="J689" s="152"/>
    </row>
    <row r="690" hidden="1" spans="2:10">
      <c r="B690" s="148">
        <v>222301047</v>
      </c>
      <c r="C690" s="166">
        <v>44877</v>
      </c>
      <c r="D690" s="32" t="s">
        <v>32</v>
      </c>
      <c r="E690" s="24">
        <v>50000</v>
      </c>
      <c r="F690" s="24">
        <v>0.02</v>
      </c>
      <c r="G690" s="151">
        <v>45010</v>
      </c>
      <c r="H690" s="24">
        <f t="shared" si="11"/>
        <v>1000</v>
      </c>
      <c r="I690" s="24" t="s">
        <v>10</v>
      </c>
      <c r="J690" s="152"/>
    </row>
    <row r="691" hidden="1" spans="2:10">
      <c r="B691" s="148">
        <v>222301047</v>
      </c>
      <c r="C691" s="166">
        <v>44877</v>
      </c>
      <c r="D691" s="32" t="s">
        <v>32</v>
      </c>
      <c r="E691" s="24">
        <v>50000</v>
      </c>
      <c r="F691" s="24">
        <v>0.02</v>
      </c>
      <c r="G691" s="151">
        <v>45010</v>
      </c>
      <c r="H691" s="24">
        <f t="shared" si="11"/>
        <v>1000</v>
      </c>
      <c r="I691" s="24" t="s">
        <v>10</v>
      </c>
      <c r="J691" s="152"/>
    </row>
    <row r="692" s="29" customFormat="1" hidden="1" spans="2:10">
      <c r="B692" s="148">
        <v>222301047</v>
      </c>
      <c r="C692" s="166">
        <v>44877</v>
      </c>
      <c r="D692" s="32" t="s">
        <v>58</v>
      </c>
      <c r="E692" s="24">
        <v>26000</v>
      </c>
      <c r="F692" s="24">
        <v>0.019</v>
      </c>
      <c r="G692" s="151">
        <v>45010</v>
      </c>
      <c r="H692" s="24">
        <f t="shared" si="11"/>
        <v>494</v>
      </c>
      <c r="I692" s="24" t="s">
        <v>10</v>
      </c>
      <c r="J692" s="22"/>
    </row>
    <row r="693" s="29" customFormat="1" hidden="1" spans="2:10">
      <c r="B693" s="148">
        <v>222301043</v>
      </c>
      <c r="C693" s="166">
        <v>44877</v>
      </c>
      <c r="D693" s="32" t="s">
        <v>195</v>
      </c>
      <c r="E693" s="24">
        <v>42000</v>
      </c>
      <c r="F693" s="24">
        <v>0.06</v>
      </c>
      <c r="G693" s="151">
        <v>44875</v>
      </c>
      <c r="H693" s="24">
        <f t="shared" si="11"/>
        <v>2520</v>
      </c>
      <c r="I693" s="24" t="s">
        <v>10</v>
      </c>
      <c r="J693" s="22"/>
    </row>
    <row r="694" s="29" customFormat="1" hidden="1" spans="2:10">
      <c r="B694" s="148">
        <v>222301043</v>
      </c>
      <c r="C694" s="166">
        <v>44877</v>
      </c>
      <c r="D694" s="32" t="s">
        <v>195</v>
      </c>
      <c r="E694" s="24">
        <v>42000</v>
      </c>
      <c r="F694" s="24">
        <v>0.06</v>
      </c>
      <c r="G694" s="151">
        <v>44905</v>
      </c>
      <c r="H694" s="24">
        <f t="shared" si="11"/>
        <v>2520</v>
      </c>
      <c r="I694" s="24" t="s">
        <v>10</v>
      </c>
      <c r="J694" s="22"/>
    </row>
    <row r="695" hidden="1" spans="2:10">
      <c r="B695" s="148">
        <v>222301043</v>
      </c>
      <c r="C695" s="166">
        <v>44877</v>
      </c>
      <c r="D695" s="32" t="s">
        <v>196</v>
      </c>
      <c r="E695" s="24">
        <v>66000</v>
      </c>
      <c r="F695" s="24">
        <v>0.06</v>
      </c>
      <c r="G695" s="151">
        <v>44875</v>
      </c>
      <c r="H695" s="24">
        <f t="shared" si="11"/>
        <v>3960</v>
      </c>
      <c r="I695" s="24" t="s">
        <v>10</v>
      </c>
      <c r="J695" s="152"/>
    </row>
    <row r="696" hidden="1" spans="2:10">
      <c r="B696" s="148">
        <v>222301043</v>
      </c>
      <c r="C696" s="166">
        <v>44877</v>
      </c>
      <c r="D696" s="32" t="s">
        <v>196</v>
      </c>
      <c r="E696" s="24">
        <v>66000</v>
      </c>
      <c r="F696" s="24">
        <v>0.06</v>
      </c>
      <c r="G696" s="151">
        <v>44905</v>
      </c>
      <c r="H696" s="24">
        <f t="shared" si="11"/>
        <v>3960</v>
      </c>
      <c r="I696" s="24" t="s">
        <v>10</v>
      </c>
      <c r="J696" s="152"/>
    </row>
    <row r="697" s="29" customFormat="1" hidden="1" spans="2:10">
      <c r="B697" s="148">
        <v>222301043</v>
      </c>
      <c r="C697" s="166">
        <v>44877</v>
      </c>
      <c r="D697" s="32" t="s">
        <v>190</v>
      </c>
      <c r="E697" s="24">
        <v>24000</v>
      </c>
      <c r="F697" s="24">
        <v>0.03</v>
      </c>
      <c r="G697" s="151">
        <v>44875</v>
      </c>
      <c r="H697" s="24">
        <f t="shared" si="11"/>
        <v>720</v>
      </c>
      <c r="I697" s="24" t="s">
        <v>10</v>
      </c>
      <c r="J697" s="22"/>
    </row>
    <row r="698" s="29" customFormat="1" hidden="1" spans="2:10">
      <c r="B698" s="148">
        <v>222301043</v>
      </c>
      <c r="C698" s="166">
        <v>44877</v>
      </c>
      <c r="D698" s="32" t="s">
        <v>197</v>
      </c>
      <c r="E698" s="24">
        <v>30000</v>
      </c>
      <c r="F698" s="24">
        <v>0.23</v>
      </c>
      <c r="G698" s="151">
        <v>44875</v>
      </c>
      <c r="H698" s="24">
        <f t="shared" si="11"/>
        <v>6900</v>
      </c>
      <c r="I698" s="24" t="s">
        <v>10</v>
      </c>
      <c r="J698" s="22"/>
    </row>
    <row r="699" s="29" customFormat="1" hidden="1" spans="2:10">
      <c r="B699" s="148">
        <v>222301043</v>
      </c>
      <c r="C699" s="166">
        <v>44877</v>
      </c>
      <c r="D699" s="32" t="s">
        <v>179</v>
      </c>
      <c r="E699" s="24">
        <v>24000</v>
      </c>
      <c r="F699" s="24">
        <v>0.08</v>
      </c>
      <c r="G699" s="151">
        <v>44875</v>
      </c>
      <c r="H699" s="24">
        <f t="shared" si="11"/>
        <v>1920</v>
      </c>
      <c r="I699" s="24" t="s">
        <v>10</v>
      </c>
      <c r="J699" s="22"/>
    </row>
    <row r="700" s="29" customFormat="1" hidden="1" spans="2:10">
      <c r="B700" s="148">
        <v>222301043</v>
      </c>
      <c r="C700" s="166">
        <v>44877</v>
      </c>
      <c r="D700" s="32" t="s">
        <v>179</v>
      </c>
      <c r="E700" s="24">
        <v>24000</v>
      </c>
      <c r="F700" s="24">
        <v>0.08</v>
      </c>
      <c r="G700" s="151">
        <v>44905</v>
      </c>
      <c r="H700" s="24">
        <f t="shared" si="11"/>
        <v>1920</v>
      </c>
      <c r="I700" s="24" t="s">
        <v>10</v>
      </c>
      <c r="J700" s="22"/>
    </row>
    <row r="701" s="107" customFormat="1" hidden="1" spans="2:10">
      <c r="B701" s="164">
        <v>222301045</v>
      </c>
      <c r="C701" s="110">
        <v>44879</v>
      </c>
      <c r="D701" s="87" t="s">
        <v>187</v>
      </c>
      <c r="E701" s="12">
        <v>46000</v>
      </c>
      <c r="F701" s="12">
        <v>0.028</v>
      </c>
      <c r="G701" s="89">
        <v>44905</v>
      </c>
      <c r="H701" s="12">
        <f t="shared" si="11"/>
        <v>1288</v>
      </c>
      <c r="I701" s="12" t="s">
        <v>10</v>
      </c>
      <c r="J701" s="56"/>
    </row>
    <row r="702" hidden="1" spans="2:10">
      <c r="B702" s="148">
        <v>222301070</v>
      </c>
      <c r="C702" s="149">
        <v>44882</v>
      </c>
      <c r="D702" s="32" t="s">
        <v>163</v>
      </c>
      <c r="E702" s="24">
        <v>208000</v>
      </c>
      <c r="F702" s="24">
        <v>0.0025</v>
      </c>
      <c r="G702" s="151">
        <v>44936</v>
      </c>
      <c r="H702" s="24">
        <f t="shared" ref="H702:H723" si="12">F702*E702</f>
        <v>520</v>
      </c>
      <c r="I702" s="24" t="s">
        <v>10</v>
      </c>
      <c r="J702" s="152"/>
    </row>
    <row r="703" hidden="1" spans="2:10">
      <c r="B703" s="148">
        <v>222301070</v>
      </c>
      <c r="C703" s="149">
        <v>44882</v>
      </c>
      <c r="D703" s="32" t="s">
        <v>163</v>
      </c>
      <c r="E703" s="24">
        <v>208000</v>
      </c>
      <c r="F703" s="24">
        <v>0.0025</v>
      </c>
      <c r="G703" s="151">
        <v>44967</v>
      </c>
      <c r="H703" s="24">
        <f t="shared" si="12"/>
        <v>520</v>
      </c>
      <c r="I703" s="24" t="s">
        <v>10</v>
      </c>
      <c r="J703" s="152"/>
    </row>
    <row r="704" hidden="1" spans="2:10">
      <c r="B704" s="148">
        <v>222301070</v>
      </c>
      <c r="C704" s="149">
        <v>44882</v>
      </c>
      <c r="D704" s="32" t="s">
        <v>163</v>
      </c>
      <c r="E704" s="24">
        <v>208000</v>
      </c>
      <c r="F704" s="24">
        <v>0.0025</v>
      </c>
      <c r="G704" s="151">
        <v>44995</v>
      </c>
      <c r="H704" s="24">
        <f t="shared" si="12"/>
        <v>520</v>
      </c>
      <c r="I704" s="24" t="s">
        <v>10</v>
      </c>
      <c r="J704" s="152"/>
    </row>
    <row r="705" hidden="1" spans="2:10">
      <c r="B705" s="148">
        <v>222301070</v>
      </c>
      <c r="C705" s="149">
        <v>44882</v>
      </c>
      <c r="D705" s="32" t="s">
        <v>38</v>
      </c>
      <c r="E705" s="24">
        <v>300000</v>
      </c>
      <c r="F705" s="24">
        <v>0.01</v>
      </c>
      <c r="G705" s="151">
        <v>44936</v>
      </c>
      <c r="H705" s="24">
        <f t="shared" si="12"/>
        <v>3000</v>
      </c>
      <c r="I705" s="24" t="s">
        <v>10</v>
      </c>
      <c r="J705" s="152"/>
    </row>
    <row r="706" hidden="1" spans="2:10">
      <c r="B706" s="148">
        <v>222301070</v>
      </c>
      <c r="C706" s="149">
        <v>44882</v>
      </c>
      <c r="D706" s="32" t="s">
        <v>38</v>
      </c>
      <c r="E706" s="24">
        <v>300000</v>
      </c>
      <c r="F706" s="24">
        <v>0.01</v>
      </c>
      <c r="G706" s="151">
        <v>44967</v>
      </c>
      <c r="H706" s="24">
        <f t="shared" si="12"/>
        <v>3000</v>
      </c>
      <c r="I706" s="24" t="s">
        <v>10</v>
      </c>
      <c r="J706" s="152"/>
    </row>
    <row r="707" hidden="1" spans="2:10">
      <c r="B707" s="148">
        <v>222301070</v>
      </c>
      <c r="C707" s="149">
        <v>44882</v>
      </c>
      <c r="D707" s="32" t="s">
        <v>38</v>
      </c>
      <c r="E707" s="24">
        <v>300000</v>
      </c>
      <c r="F707" s="24">
        <v>0.01</v>
      </c>
      <c r="G707" s="151">
        <v>44995</v>
      </c>
      <c r="H707" s="24">
        <f t="shared" si="12"/>
        <v>3000</v>
      </c>
      <c r="I707" s="24" t="s">
        <v>10</v>
      </c>
      <c r="J707" s="152"/>
    </row>
    <row r="708" hidden="1" spans="2:10">
      <c r="B708" s="148">
        <v>222301071</v>
      </c>
      <c r="C708" s="149">
        <v>44882</v>
      </c>
      <c r="D708" s="32" t="s">
        <v>163</v>
      </c>
      <c r="E708" s="24">
        <v>304000</v>
      </c>
      <c r="F708" s="24">
        <v>0.0025</v>
      </c>
      <c r="G708" s="151">
        <v>44936</v>
      </c>
      <c r="H708" s="24">
        <f t="shared" si="12"/>
        <v>760</v>
      </c>
      <c r="I708" s="24" t="s">
        <v>10</v>
      </c>
      <c r="J708" s="152"/>
    </row>
    <row r="709" hidden="1" spans="2:10">
      <c r="B709" s="148">
        <v>222301071</v>
      </c>
      <c r="C709" s="149">
        <v>44882</v>
      </c>
      <c r="D709" s="32" t="s">
        <v>163</v>
      </c>
      <c r="E709" s="24">
        <v>208000</v>
      </c>
      <c r="F709" s="24">
        <v>0.0025</v>
      </c>
      <c r="G709" s="151">
        <v>44967</v>
      </c>
      <c r="H709" s="24">
        <f t="shared" si="12"/>
        <v>520</v>
      </c>
      <c r="I709" s="24" t="s">
        <v>10</v>
      </c>
      <c r="J709" s="152"/>
    </row>
    <row r="710" s="29" customFormat="1" hidden="1" spans="2:10">
      <c r="B710" s="148">
        <v>222301075</v>
      </c>
      <c r="C710" s="149">
        <v>44883</v>
      </c>
      <c r="D710" s="32" t="s">
        <v>58</v>
      </c>
      <c r="E710" s="24">
        <v>300000</v>
      </c>
      <c r="F710" s="24">
        <v>0.019</v>
      </c>
      <c r="G710" s="151">
        <v>45270</v>
      </c>
      <c r="H710" s="24">
        <f t="shared" si="12"/>
        <v>5700</v>
      </c>
      <c r="I710" s="24" t="s">
        <v>10</v>
      </c>
      <c r="J710" s="22"/>
    </row>
    <row r="711" s="29" customFormat="1" hidden="1" spans="2:10">
      <c r="B711" s="148">
        <v>222301063</v>
      </c>
      <c r="C711" s="149">
        <v>44880</v>
      </c>
      <c r="D711" s="32" t="s">
        <v>33</v>
      </c>
      <c r="E711" s="24">
        <v>200000</v>
      </c>
      <c r="F711" s="24">
        <v>0.02</v>
      </c>
      <c r="G711" s="151">
        <v>44936</v>
      </c>
      <c r="H711" s="24">
        <f t="shared" si="12"/>
        <v>4000</v>
      </c>
      <c r="I711" s="24" t="s">
        <v>10</v>
      </c>
      <c r="J711" s="22"/>
    </row>
    <row r="712" hidden="1" spans="2:10">
      <c r="B712" s="148">
        <v>222301083</v>
      </c>
      <c r="C712" s="149">
        <v>44884</v>
      </c>
      <c r="D712" s="32" t="s">
        <v>66</v>
      </c>
      <c r="E712" s="24">
        <v>30000</v>
      </c>
      <c r="F712" s="24">
        <v>0.0238</v>
      </c>
      <c r="G712" s="151">
        <v>44890</v>
      </c>
      <c r="H712" s="24">
        <f t="shared" si="12"/>
        <v>714</v>
      </c>
      <c r="I712" s="24" t="s">
        <v>10</v>
      </c>
      <c r="J712" s="152"/>
    </row>
    <row r="713" s="29" customFormat="1" hidden="1" spans="2:10">
      <c r="B713" s="148">
        <v>222301084</v>
      </c>
      <c r="C713" s="149">
        <v>44884</v>
      </c>
      <c r="D713" s="32" t="s">
        <v>198</v>
      </c>
      <c r="E713" s="24">
        <v>208000</v>
      </c>
      <c r="F713" s="24">
        <v>0.022</v>
      </c>
      <c r="G713" s="151">
        <v>44890</v>
      </c>
      <c r="H713" s="24">
        <f t="shared" si="12"/>
        <v>4576</v>
      </c>
      <c r="I713" s="24" t="s">
        <v>10</v>
      </c>
      <c r="J713" s="22"/>
    </row>
    <row r="714" hidden="1" spans="2:10">
      <c r="B714" s="164">
        <v>222301093</v>
      </c>
      <c r="C714" s="110">
        <v>44888</v>
      </c>
      <c r="D714" s="87" t="s">
        <v>31</v>
      </c>
      <c r="E714" s="12">
        <v>200000</v>
      </c>
      <c r="F714" s="12">
        <v>0.036</v>
      </c>
      <c r="G714" s="89">
        <v>44967</v>
      </c>
      <c r="H714" s="12">
        <f t="shared" si="12"/>
        <v>7200</v>
      </c>
      <c r="I714" s="12" t="s">
        <v>10</v>
      </c>
      <c r="J714" s="152"/>
    </row>
    <row r="715" hidden="1" spans="2:10">
      <c r="B715" s="164">
        <v>222301093</v>
      </c>
      <c r="C715" s="110">
        <v>44888</v>
      </c>
      <c r="D715" s="87" t="s">
        <v>58</v>
      </c>
      <c r="E715" s="12">
        <v>200000</v>
      </c>
      <c r="F715" s="12">
        <v>0.019</v>
      </c>
      <c r="G715" s="89">
        <v>44875</v>
      </c>
      <c r="H715" s="12">
        <f t="shared" si="12"/>
        <v>3800</v>
      </c>
      <c r="I715" s="12" t="s">
        <v>10</v>
      </c>
      <c r="J715" s="152"/>
    </row>
    <row r="716" hidden="1" spans="2:10">
      <c r="B716" s="164">
        <v>222301093</v>
      </c>
      <c r="C716" s="110">
        <v>44888</v>
      </c>
      <c r="D716" s="87" t="s">
        <v>58</v>
      </c>
      <c r="E716" s="12">
        <v>200000</v>
      </c>
      <c r="F716" s="12">
        <v>0.019</v>
      </c>
      <c r="G716" s="89">
        <v>44905</v>
      </c>
      <c r="H716" s="12">
        <f t="shared" si="12"/>
        <v>3800</v>
      </c>
      <c r="I716" s="12" t="s">
        <v>10</v>
      </c>
      <c r="J716" s="152"/>
    </row>
    <row r="717" s="107" customFormat="1" hidden="1" spans="2:10">
      <c r="B717" s="164">
        <v>222301094</v>
      </c>
      <c r="C717" s="110">
        <v>44888</v>
      </c>
      <c r="D717" s="87" t="s">
        <v>33</v>
      </c>
      <c r="E717" s="12">
        <v>200000</v>
      </c>
      <c r="F717" s="12">
        <v>0.02</v>
      </c>
      <c r="G717" s="89">
        <v>44936</v>
      </c>
      <c r="H717" s="12">
        <f t="shared" si="12"/>
        <v>4000</v>
      </c>
      <c r="I717" s="12" t="s">
        <v>10</v>
      </c>
      <c r="J717" s="56"/>
    </row>
    <row r="718" hidden="1" spans="2:10">
      <c r="B718" s="164">
        <v>222301097</v>
      </c>
      <c r="C718" s="110">
        <v>44888</v>
      </c>
      <c r="D718" s="87" t="s">
        <v>45</v>
      </c>
      <c r="E718" s="12">
        <v>50000</v>
      </c>
      <c r="F718" s="12">
        <v>0.028</v>
      </c>
      <c r="G718" s="89">
        <v>44905</v>
      </c>
      <c r="H718" s="12">
        <f t="shared" si="12"/>
        <v>1400</v>
      </c>
      <c r="I718" s="12" t="s">
        <v>10</v>
      </c>
      <c r="J718" s="152"/>
    </row>
    <row r="719" hidden="1" spans="2:10">
      <c r="B719" s="164">
        <v>222301097</v>
      </c>
      <c r="C719" s="110">
        <v>44888</v>
      </c>
      <c r="D719" s="87" t="s">
        <v>45</v>
      </c>
      <c r="E719" s="12">
        <v>220000</v>
      </c>
      <c r="F719" s="12">
        <v>0.028</v>
      </c>
      <c r="G719" s="89">
        <v>44920</v>
      </c>
      <c r="H719" s="12">
        <f t="shared" si="12"/>
        <v>6160</v>
      </c>
      <c r="I719" s="12" t="s">
        <v>10</v>
      </c>
      <c r="J719" s="152"/>
    </row>
    <row r="720" hidden="1" spans="2:10">
      <c r="B720" s="164">
        <v>222301097</v>
      </c>
      <c r="C720" s="110">
        <v>44888</v>
      </c>
      <c r="D720" s="87" t="s">
        <v>45</v>
      </c>
      <c r="E720" s="12">
        <v>50000</v>
      </c>
      <c r="F720" s="12">
        <v>0.028</v>
      </c>
      <c r="G720" s="89">
        <v>44951</v>
      </c>
      <c r="H720" s="12">
        <f t="shared" si="12"/>
        <v>1400</v>
      </c>
      <c r="I720" s="12" t="s">
        <v>10</v>
      </c>
      <c r="J720" s="152"/>
    </row>
    <row r="721" hidden="1" spans="2:10">
      <c r="B721" s="164">
        <v>222301097</v>
      </c>
      <c r="C721" s="110">
        <v>44888</v>
      </c>
      <c r="D721" s="87" t="s">
        <v>163</v>
      </c>
      <c r="E721" s="12">
        <v>304000</v>
      </c>
      <c r="F721" s="12">
        <v>0.0025</v>
      </c>
      <c r="G721" s="89">
        <v>44905</v>
      </c>
      <c r="H721" s="12">
        <f t="shared" si="12"/>
        <v>760</v>
      </c>
      <c r="I721" s="12" t="s">
        <v>10</v>
      </c>
      <c r="J721" s="152"/>
    </row>
    <row r="722" hidden="1" spans="2:10">
      <c r="B722" s="164">
        <v>222301097</v>
      </c>
      <c r="C722" s="110">
        <v>44888</v>
      </c>
      <c r="D722" s="87" t="s">
        <v>163</v>
      </c>
      <c r="E722" s="12">
        <v>208000</v>
      </c>
      <c r="F722" s="12">
        <v>0.0025</v>
      </c>
      <c r="G722" s="89">
        <v>44920</v>
      </c>
      <c r="H722" s="12">
        <f t="shared" si="12"/>
        <v>520</v>
      </c>
      <c r="I722" s="12" t="s">
        <v>10</v>
      </c>
      <c r="J722" s="152"/>
    </row>
    <row r="723" s="107" customFormat="1" hidden="1" spans="2:10">
      <c r="B723" s="164">
        <v>222301102</v>
      </c>
      <c r="C723" s="110">
        <v>44890</v>
      </c>
      <c r="D723" s="87" t="s">
        <v>199</v>
      </c>
      <c r="E723" s="12">
        <v>20000</v>
      </c>
      <c r="F723" s="12">
        <v>0.025</v>
      </c>
      <c r="G723" s="89">
        <v>44951</v>
      </c>
      <c r="H723" s="12">
        <f t="shared" si="12"/>
        <v>500</v>
      </c>
      <c r="I723" s="12" t="s">
        <v>10</v>
      </c>
      <c r="J723" s="56"/>
    </row>
    <row r="724" hidden="1" spans="2:10">
      <c r="B724" s="176">
        <v>222301114</v>
      </c>
      <c r="C724" s="177">
        <v>44895</v>
      </c>
      <c r="D724" s="178" t="s">
        <v>200</v>
      </c>
      <c r="E724" s="179">
        <v>200000</v>
      </c>
      <c r="F724" s="179">
        <v>0.05</v>
      </c>
      <c r="G724" s="180">
        <v>44915</v>
      </c>
      <c r="H724" s="179">
        <v>10000</v>
      </c>
      <c r="I724" s="179" t="s">
        <v>10</v>
      </c>
      <c r="J724" s="152"/>
    </row>
    <row r="725" hidden="1" spans="2:10">
      <c r="B725" s="176">
        <v>222301114</v>
      </c>
      <c r="C725" s="177">
        <v>44895</v>
      </c>
      <c r="D725" s="178" t="s">
        <v>200</v>
      </c>
      <c r="E725" s="179">
        <v>100000</v>
      </c>
      <c r="F725" s="179">
        <v>0.05</v>
      </c>
      <c r="G725" s="180">
        <v>44946</v>
      </c>
      <c r="H725" s="179">
        <v>5000</v>
      </c>
      <c r="I725" s="179" t="s">
        <v>10</v>
      </c>
      <c r="J725" s="152"/>
    </row>
    <row r="726" hidden="1" spans="2:10">
      <c r="B726" s="176">
        <v>222301114</v>
      </c>
      <c r="C726" s="177">
        <v>44895</v>
      </c>
      <c r="D726" s="178" t="s">
        <v>200</v>
      </c>
      <c r="E726" s="179">
        <v>100000</v>
      </c>
      <c r="F726" s="179">
        <v>0.05</v>
      </c>
      <c r="G726" s="180">
        <v>44977</v>
      </c>
      <c r="H726" s="179">
        <v>5000</v>
      </c>
      <c r="I726" s="179" t="s">
        <v>10</v>
      </c>
      <c r="J726" s="152"/>
    </row>
    <row r="727" hidden="1" spans="2:10">
      <c r="B727" s="181">
        <v>222301148</v>
      </c>
      <c r="C727" s="182">
        <v>44902</v>
      </c>
      <c r="D727" s="183" t="s">
        <v>201</v>
      </c>
      <c r="E727" s="184">
        <v>20000</v>
      </c>
      <c r="F727" s="184">
        <v>0.028</v>
      </c>
      <c r="G727" s="185">
        <v>44951</v>
      </c>
      <c r="H727" s="184">
        <v>560</v>
      </c>
      <c r="I727" s="184" t="s">
        <v>10</v>
      </c>
      <c r="J727" s="152"/>
    </row>
    <row r="728" hidden="1" spans="2:10">
      <c r="B728" s="181">
        <v>222301148</v>
      </c>
      <c r="C728" s="182">
        <v>44902</v>
      </c>
      <c r="D728" s="183" t="s">
        <v>201</v>
      </c>
      <c r="E728" s="184">
        <v>20000</v>
      </c>
      <c r="F728" s="184">
        <v>0.028</v>
      </c>
      <c r="G728" s="185">
        <v>44982</v>
      </c>
      <c r="H728" s="184">
        <v>560</v>
      </c>
      <c r="I728" s="184" t="s">
        <v>10</v>
      </c>
      <c r="J728" s="152"/>
    </row>
    <row r="729" hidden="1" spans="2:10">
      <c r="B729" s="181">
        <v>222301148</v>
      </c>
      <c r="C729" s="182">
        <v>44902</v>
      </c>
      <c r="D729" s="183" t="s">
        <v>202</v>
      </c>
      <c r="E729" s="184">
        <v>100000</v>
      </c>
      <c r="F729" s="184">
        <v>0.04</v>
      </c>
      <c r="G729" s="185">
        <v>44982</v>
      </c>
      <c r="H729" s="184">
        <v>4000</v>
      </c>
      <c r="I729" s="184" t="s">
        <v>10</v>
      </c>
      <c r="J729" s="152"/>
    </row>
    <row r="730" hidden="1" spans="2:10">
      <c r="B730" s="181">
        <v>222301147</v>
      </c>
      <c r="C730" s="182">
        <v>44902</v>
      </c>
      <c r="D730" s="183" t="s">
        <v>202</v>
      </c>
      <c r="E730" s="184">
        <v>100000</v>
      </c>
      <c r="F730" s="184">
        <v>0.04</v>
      </c>
      <c r="G730" s="185">
        <v>44977</v>
      </c>
      <c r="H730" s="184">
        <v>4000</v>
      </c>
      <c r="I730" s="184" t="s">
        <v>10</v>
      </c>
      <c r="J730" s="152"/>
    </row>
    <row r="731" hidden="1" spans="2:10">
      <c r="B731" s="181">
        <v>222301147</v>
      </c>
      <c r="C731" s="182">
        <v>44902</v>
      </c>
      <c r="D731" s="183" t="s">
        <v>33</v>
      </c>
      <c r="E731" s="184">
        <v>200000</v>
      </c>
      <c r="F731" s="184">
        <v>0.02</v>
      </c>
      <c r="G731" s="185">
        <v>44946</v>
      </c>
      <c r="H731" s="184">
        <v>4000</v>
      </c>
      <c r="I731" s="184" t="s">
        <v>10</v>
      </c>
      <c r="J731" s="152"/>
    </row>
    <row r="732" hidden="1" spans="2:10">
      <c r="B732" s="181">
        <v>222301146</v>
      </c>
      <c r="C732" s="182">
        <v>44902</v>
      </c>
      <c r="D732" s="183" t="s">
        <v>203</v>
      </c>
      <c r="E732" s="184">
        <v>400000</v>
      </c>
      <c r="F732" s="184">
        <v>0.027</v>
      </c>
      <c r="G732" s="185">
        <v>44645</v>
      </c>
      <c r="H732" s="184">
        <v>10800</v>
      </c>
      <c r="I732" s="184" t="s">
        <v>10</v>
      </c>
      <c r="J732" s="152"/>
    </row>
    <row r="733" hidden="1" spans="2:10">
      <c r="B733" s="181">
        <v>222301146</v>
      </c>
      <c r="C733" s="182">
        <v>44902</v>
      </c>
      <c r="D733" s="183" t="s">
        <v>204</v>
      </c>
      <c r="E733" s="184">
        <v>300000</v>
      </c>
      <c r="F733" s="184">
        <v>0.036</v>
      </c>
      <c r="G733" s="185">
        <v>45010</v>
      </c>
      <c r="H733" s="184">
        <v>10800</v>
      </c>
      <c r="I733" s="184" t="s">
        <v>10</v>
      </c>
      <c r="J733" s="152"/>
    </row>
    <row r="734" hidden="1" spans="2:10">
      <c r="B734" s="181">
        <v>222301146</v>
      </c>
      <c r="C734" s="182">
        <v>44902</v>
      </c>
      <c r="D734" s="183" t="s">
        <v>204</v>
      </c>
      <c r="E734" s="184">
        <v>300000</v>
      </c>
      <c r="F734" s="184">
        <v>0.036</v>
      </c>
      <c r="G734" s="185">
        <v>45041</v>
      </c>
      <c r="H734" s="184">
        <v>10800</v>
      </c>
      <c r="I734" s="184" t="s">
        <v>10</v>
      </c>
      <c r="J734" s="152"/>
    </row>
    <row r="735" hidden="1" spans="2:10">
      <c r="B735" s="181">
        <v>222301146</v>
      </c>
      <c r="C735" s="182">
        <v>44902</v>
      </c>
      <c r="D735" s="183" t="s">
        <v>32</v>
      </c>
      <c r="E735" s="184">
        <v>300000</v>
      </c>
      <c r="F735" s="184">
        <v>0.02</v>
      </c>
      <c r="G735" s="185">
        <v>44982</v>
      </c>
      <c r="H735" s="184">
        <v>6000</v>
      </c>
      <c r="I735" s="184" t="s">
        <v>10</v>
      </c>
      <c r="J735" s="152"/>
    </row>
    <row r="736" hidden="1" spans="2:10">
      <c r="B736" s="181">
        <v>222301146</v>
      </c>
      <c r="C736" s="182">
        <v>44902</v>
      </c>
      <c r="D736" s="183" t="s">
        <v>78</v>
      </c>
      <c r="E736" s="184">
        <v>300000</v>
      </c>
      <c r="F736" s="184">
        <v>0.02</v>
      </c>
      <c r="G736" s="185">
        <v>44982</v>
      </c>
      <c r="H736" s="184">
        <v>6000</v>
      </c>
      <c r="I736" s="184" t="s">
        <v>10</v>
      </c>
      <c r="J736" s="152"/>
    </row>
    <row r="737" hidden="1" spans="2:13">
      <c r="B737" s="181">
        <v>222301145</v>
      </c>
      <c r="C737" s="182">
        <v>44902</v>
      </c>
      <c r="D737" s="183" t="s">
        <v>205</v>
      </c>
      <c r="E737" s="184">
        <v>70000</v>
      </c>
      <c r="F737" s="184">
        <v>0.08</v>
      </c>
      <c r="G737" s="185">
        <v>44951</v>
      </c>
      <c r="H737" s="184">
        <v>5600</v>
      </c>
      <c r="I737" s="184" t="s">
        <v>10</v>
      </c>
      <c r="J737" s="152"/>
    </row>
    <row r="738" hidden="1" spans="2:13">
      <c r="B738" s="181">
        <v>222301145</v>
      </c>
      <c r="C738" s="182">
        <v>44902</v>
      </c>
      <c r="D738" s="183" t="s">
        <v>206</v>
      </c>
      <c r="E738" s="184">
        <v>100000</v>
      </c>
      <c r="F738" s="184">
        <v>0.065</v>
      </c>
      <c r="G738" s="185">
        <v>44982</v>
      </c>
      <c r="H738" s="184">
        <v>6500</v>
      </c>
      <c r="I738" s="184" t="s">
        <v>10</v>
      </c>
      <c r="J738" s="152"/>
    </row>
    <row r="739" hidden="1" spans="2:13">
      <c r="B739" s="181">
        <v>222301149</v>
      </c>
      <c r="C739" s="182">
        <v>44902</v>
      </c>
      <c r="D739" s="183" t="s">
        <v>203</v>
      </c>
      <c r="E739" s="184">
        <v>200000</v>
      </c>
      <c r="F739" s="184">
        <v>0.027</v>
      </c>
      <c r="G739" s="185">
        <v>45010</v>
      </c>
      <c r="H739" s="184">
        <v>5400</v>
      </c>
      <c r="I739" s="184" t="s">
        <v>10</v>
      </c>
      <c r="J739" s="152"/>
    </row>
    <row r="740" hidden="1" spans="2:13">
      <c r="B740" s="181">
        <v>222301149</v>
      </c>
      <c r="C740" s="182">
        <v>44902</v>
      </c>
      <c r="D740" s="183" t="s">
        <v>203</v>
      </c>
      <c r="E740" s="184">
        <v>200000</v>
      </c>
      <c r="F740" s="184">
        <v>0.027</v>
      </c>
      <c r="G740" s="185">
        <v>45071</v>
      </c>
      <c r="H740" s="184">
        <v>5400</v>
      </c>
      <c r="I740" s="184" t="s">
        <v>10</v>
      </c>
      <c r="J740" s="152"/>
    </row>
    <row r="741" hidden="1" spans="2:13">
      <c r="B741" s="181">
        <v>222301149</v>
      </c>
      <c r="C741" s="182">
        <v>44902</v>
      </c>
      <c r="D741" s="183" t="s">
        <v>204</v>
      </c>
      <c r="E741" s="184">
        <v>200000</v>
      </c>
      <c r="F741" s="184">
        <v>0.036</v>
      </c>
      <c r="G741" s="185">
        <v>45041</v>
      </c>
      <c r="H741" s="184">
        <v>7200</v>
      </c>
      <c r="I741" s="184" t="s">
        <v>10</v>
      </c>
      <c r="J741" s="152"/>
    </row>
    <row r="742" hidden="1" spans="2:13">
      <c r="B742" s="181">
        <v>222301149</v>
      </c>
      <c r="C742" s="182">
        <v>44902</v>
      </c>
      <c r="D742" s="183" t="s">
        <v>207</v>
      </c>
      <c r="E742" s="184">
        <v>20000</v>
      </c>
      <c r="F742" s="184">
        <v>0.03</v>
      </c>
      <c r="G742" s="185">
        <v>44946</v>
      </c>
      <c r="H742" s="184">
        <v>600</v>
      </c>
      <c r="I742" s="184" t="s">
        <v>10</v>
      </c>
      <c r="J742" s="152"/>
    </row>
    <row r="743" hidden="1" spans="2:13">
      <c r="B743" s="181">
        <v>222301164</v>
      </c>
      <c r="C743" s="182">
        <v>44904</v>
      </c>
      <c r="D743" s="183" t="s">
        <v>135</v>
      </c>
      <c r="E743" s="184">
        <v>150000</v>
      </c>
      <c r="F743" s="184">
        <v>0.035</v>
      </c>
      <c r="G743" s="185">
        <v>44946</v>
      </c>
      <c r="H743" s="184">
        <v>5250</v>
      </c>
      <c r="I743" s="184" t="s">
        <v>10</v>
      </c>
      <c r="J743" s="152"/>
    </row>
    <row r="744" hidden="1" spans="2:13">
      <c r="B744" s="181">
        <v>222301164</v>
      </c>
      <c r="C744" s="182">
        <v>44904</v>
      </c>
      <c r="D744" s="183" t="s">
        <v>135</v>
      </c>
      <c r="E744" s="184">
        <v>150000</v>
      </c>
      <c r="F744" s="184">
        <v>0.035</v>
      </c>
      <c r="G744" s="185">
        <v>45005</v>
      </c>
      <c r="H744" s="184">
        <v>5250</v>
      </c>
      <c r="I744" s="184" t="s">
        <v>10</v>
      </c>
      <c r="J744" s="152"/>
    </row>
    <row r="745" hidden="1" spans="2:13">
      <c r="B745" s="181">
        <v>222301164</v>
      </c>
      <c r="C745" s="182">
        <v>44904</v>
      </c>
      <c r="D745" s="183" t="s">
        <v>136</v>
      </c>
      <c r="E745" s="184">
        <v>100000</v>
      </c>
      <c r="F745" s="184">
        <v>0.035</v>
      </c>
      <c r="G745" s="185">
        <v>44946</v>
      </c>
      <c r="H745" s="184">
        <v>3500</v>
      </c>
      <c r="I745" s="184" t="s">
        <v>10</v>
      </c>
      <c r="J745" s="152"/>
    </row>
    <row r="746" hidden="1" spans="2:13">
      <c r="B746" s="181">
        <v>222301164</v>
      </c>
      <c r="C746" s="182">
        <v>44904</v>
      </c>
      <c r="D746" s="183" t="s">
        <v>136</v>
      </c>
      <c r="E746" s="184">
        <v>60000</v>
      </c>
      <c r="F746" s="184">
        <v>0.035</v>
      </c>
      <c r="G746" s="185">
        <v>45005</v>
      </c>
      <c r="H746" s="184">
        <v>2100</v>
      </c>
      <c r="I746" s="184" t="s">
        <v>10</v>
      </c>
      <c r="J746" s="152"/>
    </row>
    <row r="747" hidden="1" spans="2:13">
      <c r="B747" s="181">
        <v>222301181</v>
      </c>
      <c r="C747" s="182">
        <v>44908</v>
      </c>
      <c r="D747" s="183" t="s">
        <v>208</v>
      </c>
      <c r="E747" s="184">
        <v>600000</v>
      </c>
      <c r="F747" s="184">
        <v>0.03</v>
      </c>
      <c r="G747" s="185">
        <v>44908</v>
      </c>
      <c r="H747" s="184">
        <v>18000</v>
      </c>
      <c r="I747" s="184" t="s">
        <v>10</v>
      </c>
      <c r="J747" s="152"/>
    </row>
    <row r="748" hidden="1" spans="2:13">
      <c r="B748" s="181">
        <v>222301181</v>
      </c>
      <c r="C748" s="182">
        <v>44908</v>
      </c>
      <c r="D748" s="183" t="s">
        <v>209</v>
      </c>
      <c r="E748" s="184">
        <v>300000</v>
      </c>
      <c r="F748" s="184">
        <v>0.03</v>
      </c>
      <c r="G748" s="185">
        <v>44967</v>
      </c>
      <c r="H748" s="184">
        <v>9000</v>
      </c>
      <c r="I748" s="184" t="s">
        <v>10</v>
      </c>
      <c r="J748" s="152"/>
    </row>
    <row r="749" hidden="1" spans="2:13">
      <c r="B749" s="164">
        <v>222301204</v>
      </c>
      <c r="C749" s="110">
        <v>44915</v>
      </c>
      <c r="D749" s="87" t="s">
        <v>210</v>
      </c>
      <c r="E749" s="12">
        <v>100000</v>
      </c>
      <c r="F749" s="12">
        <v>0.028</v>
      </c>
      <c r="G749" s="89">
        <v>45041</v>
      </c>
      <c r="H749" s="12">
        <f t="shared" ref="H749:H781" si="13">E749*F749</f>
        <v>2800</v>
      </c>
      <c r="I749" s="12" t="s">
        <v>10</v>
      </c>
      <c r="J749" s="152"/>
    </row>
    <row r="750" hidden="1" spans="2:13">
      <c r="B750" s="164">
        <v>222301204</v>
      </c>
      <c r="C750" s="110">
        <v>44915</v>
      </c>
      <c r="D750" s="87" t="s">
        <v>211</v>
      </c>
      <c r="E750" s="12">
        <v>208000</v>
      </c>
      <c r="F750" s="12">
        <v>0.022</v>
      </c>
      <c r="G750" s="89">
        <v>44951</v>
      </c>
      <c r="H750" s="12">
        <f t="shared" si="13"/>
        <v>4576</v>
      </c>
      <c r="I750" s="12" t="s">
        <v>10</v>
      </c>
      <c r="J750" s="152"/>
      <c r="M750" s="19">
        <f>0.1913-5%</f>
        <v>0.1413</v>
      </c>
    </row>
    <row r="751" hidden="1" spans="2:13">
      <c r="B751" s="164">
        <v>222301211</v>
      </c>
      <c r="C751" s="110">
        <v>44915</v>
      </c>
      <c r="D751" s="87" t="s">
        <v>150</v>
      </c>
      <c r="E751" s="12">
        <v>120000</v>
      </c>
      <c r="F751" s="12">
        <v>0.022</v>
      </c>
      <c r="G751" s="89">
        <v>44946</v>
      </c>
      <c r="H751" s="12">
        <f t="shared" si="13"/>
        <v>2640</v>
      </c>
      <c r="I751" s="12" t="s">
        <v>10</v>
      </c>
      <c r="J751" s="152"/>
    </row>
    <row r="752" hidden="1" spans="2:13">
      <c r="B752" s="164">
        <v>222301211</v>
      </c>
      <c r="C752" s="110">
        <v>44915</v>
      </c>
      <c r="D752" s="87" t="s">
        <v>82</v>
      </c>
      <c r="E752" s="12">
        <v>80000</v>
      </c>
      <c r="F752" s="12">
        <v>0.022</v>
      </c>
      <c r="G752" s="89">
        <v>44982</v>
      </c>
      <c r="H752" s="12">
        <f t="shared" si="13"/>
        <v>1760</v>
      </c>
      <c r="I752" s="12" t="s">
        <v>10</v>
      </c>
      <c r="J752" s="152"/>
    </row>
    <row r="753" hidden="1" spans="2:10">
      <c r="B753" s="164">
        <v>222301211</v>
      </c>
      <c r="C753" s="110">
        <v>44915</v>
      </c>
      <c r="D753" s="87" t="s">
        <v>212</v>
      </c>
      <c r="E753" s="12">
        <v>30000</v>
      </c>
      <c r="F753" s="12">
        <v>0.023</v>
      </c>
      <c r="G753" s="89">
        <v>44951</v>
      </c>
      <c r="H753" s="12">
        <f t="shared" si="13"/>
        <v>690</v>
      </c>
      <c r="I753" s="12" t="s">
        <v>10</v>
      </c>
      <c r="J753" s="152"/>
    </row>
    <row r="754" hidden="1" spans="2:10">
      <c r="B754" s="164">
        <v>222301211</v>
      </c>
      <c r="C754" s="110">
        <v>44915</v>
      </c>
      <c r="D754" s="87" t="s">
        <v>212</v>
      </c>
      <c r="E754" s="12">
        <v>20000</v>
      </c>
      <c r="F754" s="12">
        <v>0.023</v>
      </c>
      <c r="G754" s="89">
        <v>44982</v>
      </c>
      <c r="H754" s="12">
        <f t="shared" si="13"/>
        <v>460</v>
      </c>
      <c r="I754" s="12" t="s">
        <v>10</v>
      </c>
      <c r="J754" s="152"/>
    </row>
    <row r="755" hidden="1" spans="2:10">
      <c r="B755" s="164">
        <v>222301212</v>
      </c>
      <c r="C755" s="110">
        <v>44915</v>
      </c>
      <c r="D755" s="87" t="s">
        <v>182</v>
      </c>
      <c r="E755" s="12">
        <v>100000</v>
      </c>
      <c r="F755" s="12">
        <v>0.025</v>
      </c>
      <c r="G755" s="89">
        <v>45041</v>
      </c>
      <c r="H755" s="12">
        <f t="shared" si="13"/>
        <v>2500</v>
      </c>
      <c r="I755" s="12" t="s">
        <v>10</v>
      </c>
      <c r="J755" s="152"/>
    </row>
    <row r="756" hidden="1" spans="2:10">
      <c r="B756" s="164">
        <v>222301212</v>
      </c>
      <c r="C756" s="110">
        <v>44915</v>
      </c>
      <c r="D756" s="87" t="s">
        <v>182</v>
      </c>
      <c r="E756" s="12">
        <v>100000</v>
      </c>
      <c r="F756" s="12">
        <v>0.025</v>
      </c>
      <c r="G756" s="89">
        <v>45071</v>
      </c>
      <c r="H756" s="12">
        <f t="shared" si="13"/>
        <v>2500</v>
      </c>
      <c r="I756" s="12" t="s">
        <v>10</v>
      </c>
      <c r="J756" s="152"/>
    </row>
    <row r="757" hidden="1" spans="2:10">
      <c r="B757" s="164">
        <v>222301213</v>
      </c>
      <c r="C757" s="110">
        <v>44915</v>
      </c>
      <c r="D757" s="87" t="s">
        <v>204</v>
      </c>
      <c r="E757" s="12">
        <v>250000</v>
      </c>
      <c r="F757" s="12">
        <v>0.036</v>
      </c>
      <c r="G757" s="89">
        <v>45010</v>
      </c>
      <c r="H757" s="12">
        <f t="shared" si="13"/>
        <v>9000</v>
      </c>
      <c r="I757" s="12" t="s">
        <v>10</v>
      </c>
      <c r="J757" s="152"/>
    </row>
    <row r="758" hidden="1" spans="2:10">
      <c r="B758" s="164">
        <v>222301213</v>
      </c>
      <c r="C758" s="110">
        <v>44915</v>
      </c>
      <c r="D758" s="87" t="s">
        <v>213</v>
      </c>
      <c r="E758" s="12">
        <v>200000</v>
      </c>
      <c r="F758" s="12">
        <v>0.05</v>
      </c>
      <c r="G758" s="89">
        <v>44982</v>
      </c>
      <c r="H758" s="12">
        <f t="shared" si="13"/>
        <v>10000</v>
      </c>
      <c r="I758" s="12" t="s">
        <v>10</v>
      </c>
      <c r="J758" s="152"/>
    </row>
    <row r="759" hidden="1" spans="2:10">
      <c r="B759" s="164">
        <v>222301213</v>
      </c>
      <c r="C759" s="110">
        <v>44915</v>
      </c>
      <c r="D759" s="87" t="s">
        <v>214</v>
      </c>
      <c r="E759" s="12">
        <v>150000</v>
      </c>
      <c r="F759" s="12">
        <v>0.035</v>
      </c>
      <c r="G759" s="89">
        <v>45010</v>
      </c>
      <c r="H759" s="12">
        <f t="shared" si="13"/>
        <v>5250</v>
      </c>
      <c r="I759" s="12" t="s">
        <v>10</v>
      </c>
      <c r="J759" s="152"/>
    </row>
    <row r="760" hidden="1" spans="2:10">
      <c r="B760" s="164">
        <v>222301214</v>
      </c>
      <c r="C760" s="110">
        <v>44915</v>
      </c>
      <c r="D760" s="87" t="s">
        <v>215</v>
      </c>
      <c r="E760" s="12">
        <v>250000</v>
      </c>
      <c r="F760" s="12">
        <v>0.028</v>
      </c>
      <c r="G760" s="89">
        <v>44982</v>
      </c>
      <c r="H760" s="12">
        <f t="shared" si="13"/>
        <v>7000</v>
      </c>
      <c r="I760" s="12" t="s">
        <v>10</v>
      </c>
      <c r="J760" s="152"/>
    </row>
    <row r="761" hidden="1" spans="2:10">
      <c r="B761" s="164">
        <v>222301214</v>
      </c>
      <c r="C761" s="110">
        <v>44915</v>
      </c>
      <c r="D761" s="87" t="s">
        <v>215</v>
      </c>
      <c r="E761" s="12">
        <v>250000</v>
      </c>
      <c r="F761" s="12">
        <v>0.028</v>
      </c>
      <c r="G761" s="89">
        <v>45010</v>
      </c>
      <c r="H761" s="12">
        <f t="shared" si="13"/>
        <v>7000</v>
      </c>
      <c r="I761" s="12" t="s">
        <v>10</v>
      </c>
      <c r="J761" s="152"/>
    </row>
    <row r="762" hidden="1" spans="2:10">
      <c r="B762" s="164">
        <v>222301215</v>
      </c>
      <c r="C762" s="110">
        <v>44915</v>
      </c>
      <c r="D762" s="87" t="s">
        <v>164</v>
      </c>
      <c r="E762" s="12">
        <v>102000</v>
      </c>
      <c r="F762" s="12">
        <v>0.011</v>
      </c>
      <c r="G762" s="89">
        <v>44982</v>
      </c>
      <c r="H762" s="12">
        <f t="shared" si="13"/>
        <v>1122</v>
      </c>
      <c r="I762" s="12" t="s">
        <v>10</v>
      </c>
      <c r="J762" s="152"/>
    </row>
    <row r="763" hidden="1" spans="2:10">
      <c r="B763" s="164">
        <v>222301216</v>
      </c>
      <c r="C763" s="110">
        <v>44915</v>
      </c>
      <c r="D763" s="87" t="s">
        <v>202</v>
      </c>
      <c r="E763" s="12">
        <v>500000</v>
      </c>
      <c r="F763" s="12">
        <v>0.04</v>
      </c>
      <c r="G763" s="89">
        <v>44977</v>
      </c>
      <c r="H763" s="12">
        <f t="shared" si="13"/>
        <v>20000</v>
      </c>
      <c r="I763" s="12" t="s">
        <v>10</v>
      </c>
      <c r="J763" s="152"/>
    </row>
    <row r="764" hidden="1" spans="2:10">
      <c r="B764" s="164">
        <v>222301216</v>
      </c>
      <c r="C764" s="110">
        <v>44915</v>
      </c>
      <c r="D764" s="87" t="s">
        <v>215</v>
      </c>
      <c r="E764" s="12">
        <v>600000</v>
      </c>
      <c r="F764" s="12">
        <v>0.028</v>
      </c>
      <c r="G764" s="89">
        <v>44982</v>
      </c>
      <c r="H764" s="12">
        <f t="shared" si="13"/>
        <v>16800</v>
      </c>
      <c r="I764" s="12" t="s">
        <v>10</v>
      </c>
      <c r="J764" s="152"/>
    </row>
    <row r="765" hidden="1" spans="2:10">
      <c r="B765" s="164">
        <v>222301216</v>
      </c>
      <c r="C765" s="110">
        <v>44915</v>
      </c>
      <c r="D765" s="87" t="s">
        <v>215</v>
      </c>
      <c r="E765" s="12">
        <v>600000</v>
      </c>
      <c r="F765" s="12">
        <v>0.028</v>
      </c>
      <c r="G765" s="89">
        <v>44982</v>
      </c>
      <c r="H765" s="12">
        <f t="shared" si="13"/>
        <v>16800</v>
      </c>
      <c r="I765" s="12" t="s">
        <v>10</v>
      </c>
      <c r="J765" s="152"/>
    </row>
    <row r="766" hidden="1" spans="2:10">
      <c r="B766" s="164">
        <v>222301216</v>
      </c>
      <c r="C766" s="110">
        <v>44915</v>
      </c>
      <c r="D766" s="87" t="s">
        <v>100</v>
      </c>
      <c r="E766" s="12">
        <v>230000</v>
      </c>
      <c r="F766" s="12">
        <v>0.03</v>
      </c>
      <c r="G766" s="89">
        <v>44946</v>
      </c>
      <c r="H766" s="12">
        <f t="shared" si="13"/>
        <v>6900</v>
      </c>
      <c r="I766" s="12" t="s">
        <v>10</v>
      </c>
      <c r="J766" s="152"/>
    </row>
    <row r="767" hidden="1" spans="2:10">
      <c r="B767" s="164">
        <v>222301216</v>
      </c>
      <c r="C767" s="110">
        <v>44915</v>
      </c>
      <c r="D767" s="87" t="s">
        <v>100</v>
      </c>
      <c r="E767" s="12">
        <v>230000</v>
      </c>
      <c r="F767" s="12">
        <v>0.03</v>
      </c>
      <c r="G767" s="89">
        <v>44645</v>
      </c>
      <c r="H767" s="12">
        <f t="shared" si="13"/>
        <v>6900</v>
      </c>
      <c r="I767" s="12" t="s">
        <v>10</v>
      </c>
      <c r="J767" s="152"/>
    </row>
    <row r="768" hidden="1" spans="2:10">
      <c r="B768" s="164">
        <v>222301217</v>
      </c>
      <c r="C768" s="110">
        <v>44915</v>
      </c>
      <c r="D768" s="87" t="s">
        <v>215</v>
      </c>
      <c r="E768" s="12">
        <v>100000</v>
      </c>
      <c r="F768" s="12">
        <v>0.028</v>
      </c>
      <c r="G768" s="89">
        <v>44982</v>
      </c>
      <c r="H768" s="12">
        <f t="shared" si="13"/>
        <v>2800</v>
      </c>
      <c r="I768" s="12" t="s">
        <v>10</v>
      </c>
      <c r="J768" s="152"/>
    </row>
    <row r="769" hidden="1" spans="2:10">
      <c r="B769" s="164">
        <v>222301217</v>
      </c>
      <c r="C769" s="110">
        <v>44915</v>
      </c>
      <c r="D769" s="87" t="s">
        <v>215</v>
      </c>
      <c r="E769" s="12">
        <v>100000</v>
      </c>
      <c r="F769" s="12">
        <v>0.028</v>
      </c>
      <c r="G769" s="89">
        <v>45010</v>
      </c>
      <c r="H769" s="12">
        <f t="shared" si="13"/>
        <v>2800</v>
      </c>
      <c r="I769" s="12" t="s">
        <v>10</v>
      </c>
      <c r="J769" s="152"/>
    </row>
    <row r="770" hidden="1" spans="2:10">
      <c r="B770" s="164">
        <v>222301218</v>
      </c>
      <c r="C770" s="110">
        <v>44915</v>
      </c>
      <c r="D770" s="87" t="s">
        <v>215</v>
      </c>
      <c r="E770" s="12">
        <v>50000</v>
      </c>
      <c r="F770" s="12">
        <v>0.028</v>
      </c>
      <c r="G770" s="89">
        <v>44982</v>
      </c>
      <c r="H770" s="12">
        <f t="shared" si="13"/>
        <v>1400</v>
      </c>
      <c r="I770" s="12" t="s">
        <v>10</v>
      </c>
      <c r="J770" s="152"/>
    </row>
    <row r="771" hidden="1" spans="2:10">
      <c r="B771" s="164">
        <v>222301218</v>
      </c>
      <c r="C771" s="110">
        <v>44915</v>
      </c>
      <c r="D771" s="87" t="s">
        <v>215</v>
      </c>
      <c r="E771" s="12">
        <v>50000</v>
      </c>
      <c r="F771" s="12">
        <v>0.028</v>
      </c>
      <c r="G771" s="89">
        <v>45010</v>
      </c>
      <c r="H771" s="12">
        <f t="shared" si="13"/>
        <v>1400</v>
      </c>
      <c r="I771" s="12" t="s">
        <v>10</v>
      </c>
      <c r="J771" s="152"/>
    </row>
    <row r="772" hidden="1" spans="2:10">
      <c r="B772" s="164">
        <v>222301219</v>
      </c>
      <c r="C772" s="110">
        <v>44915</v>
      </c>
      <c r="D772" s="87" t="s">
        <v>100</v>
      </c>
      <c r="E772" s="12">
        <v>20000</v>
      </c>
      <c r="F772" s="12">
        <v>0.03</v>
      </c>
      <c r="G772" s="89">
        <v>44946</v>
      </c>
      <c r="H772" s="12">
        <f t="shared" si="13"/>
        <v>600</v>
      </c>
      <c r="I772" s="12" t="s">
        <v>10</v>
      </c>
      <c r="J772" s="152"/>
    </row>
    <row r="773" hidden="1" spans="2:10">
      <c r="B773" s="164">
        <v>222301219</v>
      </c>
      <c r="C773" s="110">
        <v>44915</v>
      </c>
      <c r="D773" s="87" t="s">
        <v>100</v>
      </c>
      <c r="E773" s="12">
        <v>20000</v>
      </c>
      <c r="F773" s="12">
        <v>0.03</v>
      </c>
      <c r="G773" s="89">
        <v>45010</v>
      </c>
      <c r="H773" s="12">
        <f t="shared" si="13"/>
        <v>600</v>
      </c>
      <c r="I773" s="12" t="s">
        <v>10</v>
      </c>
      <c r="J773" s="152"/>
    </row>
    <row r="774" hidden="1" spans="2:10">
      <c r="B774" s="164">
        <v>222301228</v>
      </c>
      <c r="C774" s="110">
        <v>44919</v>
      </c>
      <c r="D774" s="87" t="s">
        <v>210</v>
      </c>
      <c r="E774" s="12">
        <v>200000</v>
      </c>
      <c r="F774" s="12">
        <v>0.028</v>
      </c>
      <c r="G774" s="89">
        <v>44977</v>
      </c>
      <c r="H774" s="12">
        <f t="shared" si="13"/>
        <v>5600</v>
      </c>
      <c r="I774" s="12" t="s">
        <v>10</v>
      </c>
      <c r="J774" s="56"/>
    </row>
    <row r="775" hidden="1" spans="2:10">
      <c r="B775" s="164">
        <v>222301228</v>
      </c>
      <c r="C775" s="110">
        <v>44919</v>
      </c>
      <c r="D775" s="87" t="s">
        <v>210</v>
      </c>
      <c r="E775" s="12">
        <v>100000</v>
      </c>
      <c r="F775" s="12">
        <v>0.028</v>
      </c>
      <c r="G775" s="89">
        <v>45005</v>
      </c>
      <c r="H775" s="12">
        <f t="shared" si="13"/>
        <v>2800</v>
      </c>
      <c r="I775" s="12" t="s">
        <v>10</v>
      </c>
      <c r="J775" s="56"/>
    </row>
    <row r="776" hidden="1" spans="2:10">
      <c r="B776" s="164">
        <v>222301228</v>
      </c>
      <c r="C776" s="110">
        <v>44919</v>
      </c>
      <c r="D776" s="88" t="s">
        <v>61</v>
      </c>
      <c r="E776" s="12">
        <v>96000</v>
      </c>
      <c r="F776" s="12">
        <v>0.022</v>
      </c>
      <c r="G776" s="89">
        <v>44946</v>
      </c>
      <c r="H776" s="12">
        <f t="shared" si="13"/>
        <v>2112</v>
      </c>
      <c r="I776" s="12" t="s">
        <v>10</v>
      </c>
      <c r="J776" s="56"/>
    </row>
    <row r="777" hidden="1" spans="2:10">
      <c r="B777" s="164">
        <v>222301232</v>
      </c>
      <c r="C777" s="110">
        <v>44921</v>
      </c>
      <c r="D777" s="87" t="s">
        <v>216</v>
      </c>
      <c r="E777" s="12">
        <v>30000</v>
      </c>
      <c r="F777" s="12">
        <v>0.045</v>
      </c>
      <c r="G777" s="89">
        <v>44967</v>
      </c>
      <c r="H777" s="12">
        <f t="shared" si="13"/>
        <v>1350</v>
      </c>
      <c r="I777" s="12" t="s">
        <v>10</v>
      </c>
      <c r="J777" s="10"/>
    </row>
    <row r="778" hidden="1" spans="2:10">
      <c r="B778" s="164">
        <v>222301232</v>
      </c>
      <c r="C778" s="110">
        <v>44921</v>
      </c>
      <c r="D778" s="87" t="s">
        <v>216</v>
      </c>
      <c r="E778" s="12">
        <v>30000</v>
      </c>
      <c r="F778" s="12">
        <v>0.045</v>
      </c>
      <c r="G778" s="89">
        <v>44995</v>
      </c>
      <c r="H778" s="12">
        <f t="shared" si="13"/>
        <v>1350</v>
      </c>
      <c r="I778" s="12" t="s">
        <v>10</v>
      </c>
      <c r="J778" s="10"/>
    </row>
    <row r="779" hidden="1" spans="2:10">
      <c r="B779" s="164">
        <v>222301234</v>
      </c>
      <c r="C779" s="110">
        <v>44921</v>
      </c>
      <c r="D779" s="87" t="s">
        <v>210</v>
      </c>
      <c r="E779" s="12">
        <v>32000</v>
      </c>
      <c r="F779" s="12">
        <v>0.028</v>
      </c>
      <c r="G779" s="89">
        <v>45010</v>
      </c>
      <c r="H779" s="12">
        <f t="shared" si="13"/>
        <v>896</v>
      </c>
      <c r="I779" s="12" t="s">
        <v>10</v>
      </c>
      <c r="J779" s="10"/>
    </row>
    <row r="780" hidden="1" spans="2:10">
      <c r="B780" s="164">
        <v>222301238</v>
      </c>
      <c r="C780" s="110">
        <v>44921</v>
      </c>
      <c r="D780" s="87" t="s">
        <v>163</v>
      </c>
      <c r="E780" s="12">
        <v>208000</v>
      </c>
      <c r="F780" s="12">
        <v>0.0025</v>
      </c>
      <c r="G780" s="89">
        <v>44936</v>
      </c>
      <c r="H780" s="12">
        <f t="shared" si="13"/>
        <v>520</v>
      </c>
      <c r="I780" s="12" t="s">
        <v>10</v>
      </c>
      <c r="J780" s="152"/>
    </row>
    <row r="781" hidden="1" spans="2:10">
      <c r="B781" s="164">
        <v>222301238</v>
      </c>
      <c r="C781" s="110">
        <v>44921</v>
      </c>
      <c r="D781" s="87" t="s">
        <v>210</v>
      </c>
      <c r="E781" s="12">
        <v>100000</v>
      </c>
      <c r="F781" s="12">
        <v>0.028</v>
      </c>
      <c r="G781" s="89">
        <v>45041</v>
      </c>
      <c r="H781" s="12">
        <f t="shared" si="13"/>
        <v>2800</v>
      </c>
      <c r="I781" s="12" t="s">
        <v>10</v>
      </c>
      <c r="J781" s="152"/>
    </row>
    <row r="782" hidden="1" spans="2:10">
      <c r="B782" s="186"/>
      <c r="C782" s="187"/>
      <c r="D782" s="93"/>
      <c r="E782" s="58"/>
      <c r="F782" s="58">
        <f>F646*1000</f>
        <v>6</v>
      </c>
      <c r="G782" s="155"/>
      <c r="H782" s="58"/>
      <c r="I782" s="58"/>
      <c r="J782" s="56"/>
    </row>
    <row r="783" spans="2:10">
      <c r="B783" s="186"/>
      <c r="C783" s="187"/>
      <c r="D783" s="93"/>
      <c r="E783" s="58"/>
      <c r="F783" s="58"/>
      <c r="G783" s="155"/>
      <c r="H783" s="58"/>
      <c r="I783" s="58"/>
      <c r="J783" s="56"/>
    </row>
    <row r="784" spans="2:10">
      <c r="B784" s="186"/>
      <c r="C784" s="187"/>
      <c r="D784" s="93"/>
      <c r="E784" s="58"/>
      <c r="F784" s="58"/>
      <c r="G784" s="155"/>
      <c r="H784" s="58"/>
      <c r="I784" s="58"/>
      <c r="J784" s="56"/>
    </row>
    <row r="785" spans="2:10">
      <c r="B785" s="186"/>
      <c r="C785" s="187"/>
      <c r="D785" s="93"/>
      <c r="E785" s="58"/>
      <c r="F785" s="58"/>
      <c r="G785" s="155"/>
      <c r="H785" s="58"/>
      <c r="I785" s="58"/>
      <c r="J785" s="56"/>
    </row>
    <row r="786" spans="2:10">
      <c r="B786" s="186"/>
      <c r="C786" s="187"/>
      <c r="D786" s="93"/>
      <c r="E786" s="58"/>
      <c r="F786" s="58"/>
      <c r="G786" s="155"/>
      <c r="H786" s="58"/>
      <c r="I786" s="58"/>
      <c r="J786" s="56"/>
    </row>
    <row r="787" spans="2:10">
      <c r="B787" s="186"/>
      <c r="C787" s="187"/>
      <c r="D787" s="93"/>
      <c r="E787" s="58"/>
      <c r="F787" s="58"/>
      <c r="G787" s="155"/>
      <c r="H787" s="58"/>
      <c r="I787" s="58"/>
      <c r="J787" s="56"/>
    </row>
    <row r="788" spans="2:10">
      <c r="B788" s="186"/>
      <c r="C788" s="187"/>
      <c r="D788" s="93"/>
      <c r="E788" s="58"/>
      <c r="F788" s="58"/>
      <c r="G788" s="155"/>
      <c r="H788" s="58"/>
      <c r="I788" s="58"/>
      <c r="J788" s="56"/>
    </row>
    <row r="789" spans="2:10">
      <c r="B789" s="186"/>
      <c r="C789" s="187"/>
      <c r="D789" s="93"/>
      <c r="E789" s="58"/>
      <c r="F789" s="58"/>
      <c r="G789" s="155"/>
      <c r="H789" s="58"/>
      <c r="I789" s="58"/>
      <c r="J789" s="56"/>
    </row>
    <row r="790" spans="2:10">
      <c r="B790" s="186"/>
      <c r="C790" s="187"/>
      <c r="D790" s="93"/>
      <c r="E790" s="58"/>
      <c r="F790" s="58"/>
      <c r="G790" s="155"/>
      <c r="H790" s="58"/>
      <c r="I790" s="58"/>
      <c r="J790" s="56"/>
    </row>
    <row r="791" spans="2:10">
      <c r="B791" s="188"/>
      <c r="C791" s="188"/>
      <c r="D791" s="189"/>
      <c r="E791" s="190"/>
      <c r="F791" s="190"/>
      <c r="G791" s="190"/>
      <c r="H791" s="17">
        <f t="shared" ref="H791:H798" si="14">E791*F791</f>
        <v>0</v>
      </c>
      <c r="I791" s="190"/>
      <c r="J791" s="152"/>
    </row>
    <row r="792" spans="2:10">
      <c r="B792" s="188"/>
      <c r="C792" s="188"/>
      <c r="D792" s="189"/>
      <c r="E792" s="190"/>
      <c r="F792" s="190"/>
      <c r="G792" s="190"/>
      <c r="H792" s="17">
        <f t="shared" si="14"/>
        <v>0</v>
      </c>
      <c r="I792" s="190"/>
      <c r="J792" s="152"/>
    </row>
    <row r="793" spans="2:10">
      <c r="B793" s="188"/>
      <c r="C793" s="188"/>
      <c r="D793" s="189"/>
      <c r="E793" s="190"/>
      <c r="F793" s="190"/>
      <c r="G793" s="190"/>
      <c r="H793" s="17">
        <f t="shared" si="14"/>
        <v>0</v>
      </c>
      <c r="I793" s="190"/>
      <c r="J793" s="152"/>
    </row>
    <row r="794" spans="2:10">
      <c r="B794" s="188"/>
      <c r="C794" s="188"/>
      <c r="D794" s="189"/>
      <c r="E794" s="190"/>
      <c r="F794" s="190"/>
      <c r="G794" s="190"/>
      <c r="H794" s="17">
        <f t="shared" si="14"/>
        <v>0</v>
      </c>
      <c r="I794" s="190"/>
      <c r="J794" s="152"/>
    </row>
    <row r="795" spans="2:10">
      <c r="B795" s="188"/>
      <c r="C795" s="188"/>
      <c r="D795" s="189"/>
      <c r="E795" s="190"/>
      <c r="F795" s="190"/>
      <c r="G795" s="190"/>
      <c r="H795" s="17">
        <f t="shared" si="14"/>
        <v>0</v>
      </c>
      <c r="I795" s="190"/>
      <c r="J795" s="152"/>
    </row>
    <row r="796" spans="2:10">
      <c r="B796" s="188"/>
      <c r="C796" s="188"/>
      <c r="D796" s="189"/>
      <c r="E796" s="190"/>
      <c r="F796" s="190"/>
      <c r="G796" s="190"/>
      <c r="H796" s="17">
        <f t="shared" si="14"/>
        <v>0</v>
      </c>
      <c r="I796" s="190"/>
      <c r="J796" s="152"/>
    </row>
    <row r="797" spans="2:10">
      <c r="B797" s="188"/>
      <c r="C797" s="188"/>
      <c r="D797" s="189"/>
      <c r="E797" s="190"/>
      <c r="F797" s="190"/>
      <c r="G797" s="190"/>
      <c r="H797" s="17">
        <f t="shared" si="14"/>
        <v>0</v>
      </c>
      <c r="I797" s="190"/>
      <c r="J797" s="152"/>
    </row>
    <row r="798" spans="2:10">
      <c r="B798" s="188"/>
      <c r="C798" s="188"/>
      <c r="D798" s="189"/>
      <c r="E798" s="190"/>
      <c r="F798" s="190"/>
      <c r="G798" s="190"/>
      <c r="H798" s="17">
        <f t="shared" si="14"/>
        <v>0</v>
      </c>
      <c r="I798" s="190"/>
      <c r="J798" s="152"/>
    </row>
  </sheetData>
  <autoFilter xmlns:etc="http://www.wps.cn/officeDocument/2017/etCustomData" ref="A1:N782" etc:filterBottomFollowUsedRange="0">
    <filterColumn colId="3">
      <customFilters>
        <customFilter operator="equal" val="CH2319-C07001H-53A64DK1K42737-2T-AM"/>
      </customFilters>
    </filterColumn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I5"/>
  <sheetViews>
    <sheetView workbookViewId="0">
      <selection activeCell="D9" sqref="D9"/>
    </sheetView>
  </sheetViews>
  <sheetFormatPr defaultColWidth="43.3636363636364" defaultRowHeight="14.5" outlineLevelRow="4"/>
  <cols>
    <col min="1" max="1" width="14.3636363636364" customWidth="1"/>
    <col min="2" max="2" width="16.1818181818182" customWidth="1"/>
    <col min="3" max="3" width="10.1818181818182" customWidth="1"/>
    <col min="5" max="5" width="7.81818181818182" customWidth="1"/>
    <col min="6" max="6" width="9.27272727272727" customWidth="1"/>
    <col min="7" max="7" width="22.4545454545455" customWidth="1"/>
    <col min="8" max="8" width="9.63636363636364" customWidth="1"/>
    <col min="9" max="9" width="6.90909090909091" customWidth="1"/>
  </cols>
  <sheetData>
    <row r="1" spans="2:9">
      <c r="B1" s="136" t="s">
        <v>217</v>
      </c>
      <c r="C1" s="136" t="s">
        <v>1</v>
      </c>
      <c r="D1" s="136" t="s">
        <v>2</v>
      </c>
      <c r="E1" s="136" t="s">
        <v>3</v>
      </c>
      <c r="F1" s="137" t="s">
        <v>4</v>
      </c>
      <c r="G1" s="138" t="s">
        <v>218</v>
      </c>
      <c r="H1" s="139" t="s">
        <v>6</v>
      </c>
      <c r="I1" s="136" t="s">
        <v>219</v>
      </c>
    </row>
    <row r="2" spans="2:9">
      <c r="B2" s="140">
        <v>228925</v>
      </c>
      <c r="C2" s="21">
        <v>44202</v>
      </c>
      <c r="D2" s="140" t="s">
        <v>220</v>
      </c>
      <c r="E2" s="140">
        <v>500000</v>
      </c>
      <c r="F2" s="140">
        <v>0.0115</v>
      </c>
      <c r="G2" s="140"/>
      <c r="H2" s="141">
        <f>F2*E2</f>
        <v>5750</v>
      </c>
      <c r="I2" s="142" t="s">
        <v>10</v>
      </c>
    </row>
    <row r="3" spans="2:9">
      <c r="B3" s="140">
        <v>228926</v>
      </c>
      <c r="C3" s="21">
        <v>44202</v>
      </c>
      <c r="D3" s="140" t="s">
        <v>220</v>
      </c>
      <c r="E3" s="140">
        <v>500000</v>
      </c>
      <c r="F3" s="140">
        <v>0.0115</v>
      </c>
      <c r="G3" s="140"/>
      <c r="H3" s="141">
        <f>F3*E3</f>
        <v>5750</v>
      </c>
      <c r="I3" s="143" t="s">
        <v>10</v>
      </c>
    </row>
    <row r="4" spans="2:9">
      <c r="B4" s="140">
        <v>228929</v>
      </c>
      <c r="C4" s="21">
        <v>44223</v>
      </c>
      <c r="D4" s="140" t="s">
        <v>220</v>
      </c>
      <c r="E4" s="140">
        <v>200000</v>
      </c>
      <c r="F4" s="140">
        <v>0.0115</v>
      </c>
      <c r="G4" s="140"/>
      <c r="H4" s="141">
        <f>F4*E4</f>
        <v>2300</v>
      </c>
      <c r="I4" s="142" t="s">
        <v>10</v>
      </c>
    </row>
    <row r="5" spans="2:9">
      <c r="B5" s="140">
        <v>228932</v>
      </c>
      <c r="C5" s="21">
        <v>44261</v>
      </c>
      <c r="D5" s="140" t="s">
        <v>220</v>
      </c>
      <c r="E5" s="22">
        <v>1200000</v>
      </c>
      <c r="F5" s="140">
        <v>0.0115</v>
      </c>
      <c r="G5" s="22"/>
      <c r="H5" s="141">
        <f>F5*E5</f>
        <v>13800</v>
      </c>
      <c r="I5" s="22" t="s">
        <v>10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XFD1048566"/>
  <sheetViews>
    <sheetView workbookViewId="0">
      <pane ySplit="1" topLeftCell="A2" activePane="bottomLeft" state="frozen"/>
      <selection/>
      <selection pane="bottomLeft" activeCell="J1452" sqref="J1452"/>
    </sheetView>
  </sheetViews>
  <sheetFormatPr defaultColWidth="8.90909090909091" defaultRowHeight="14.5"/>
  <cols>
    <col min="1" max="1" width="12.9090909090909"/>
    <col min="2" max="2" width="12.1818181818182" style="108" customWidth="1"/>
    <col min="3" max="3" width="11.0909090909091" customWidth="1"/>
    <col min="4" max="4" width="43.5454545454545" customWidth="1"/>
    <col min="6" max="6" width="8.90909090909091" customWidth="1"/>
    <col min="7" max="7" width="11.0909090909091" customWidth="1"/>
    <col min="9" max="9" width="11.4545454545455" customWidth="1"/>
    <col min="10" max="10" width="38.0909090909091" customWidth="1"/>
    <col min="11" max="11" width="15.4545454545455"/>
    <col min="12" max="12" width="25.3636363636364" customWidth="1"/>
    <col min="13" max="13" width="11.8181818181818" customWidth="1"/>
  </cols>
  <sheetData>
    <row r="1" s="1" customFormat="1" ht="58" spans="1:12">
      <c r="A1" s="4">
        <v>30.51530802</v>
      </c>
      <c r="B1" s="85" t="s">
        <v>0</v>
      </c>
      <c r="C1" s="85" t="s">
        <v>1</v>
      </c>
      <c r="D1" s="85" t="s">
        <v>2</v>
      </c>
      <c r="E1" s="85" t="s">
        <v>3</v>
      </c>
      <c r="F1" s="85" t="s">
        <v>4</v>
      </c>
      <c r="G1" s="85" t="s">
        <v>5</v>
      </c>
      <c r="H1" s="85" t="s">
        <v>6</v>
      </c>
      <c r="I1" s="85" t="s">
        <v>7</v>
      </c>
      <c r="J1" s="7" t="s">
        <v>221</v>
      </c>
      <c r="K1">
        <f>130000+44000+167000+22500+560+4000+8400+12664+560+5000+50880</f>
        <v>445564</v>
      </c>
      <c r="L1" s="109">
        <f>98611.2*A1</f>
        <v>3009151.14222182</v>
      </c>
    </row>
    <row r="2" hidden="1" spans="1:12">
      <c r="B2" s="86">
        <v>222301255</v>
      </c>
      <c r="C2" s="110">
        <v>44929</v>
      </c>
      <c r="D2" s="87" t="s">
        <v>222</v>
      </c>
      <c r="E2" s="12">
        <v>24000</v>
      </c>
      <c r="F2" s="12">
        <v>0.285</v>
      </c>
      <c r="G2" s="89">
        <v>44982</v>
      </c>
      <c r="H2" s="12">
        <f t="shared" ref="H2:H65" si="0">E2*F2</f>
        <v>6840</v>
      </c>
      <c r="I2" s="12" t="s">
        <v>10</v>
      </c>
      <c r="J2" s="56"/>
    </row>
    <row r="3" hidden="1" spans="1:12">
      <c r="B3" s="86">
        <v>222301255</v>
      </c>
      <c r="C3" s="110">
        <v>44929</v>
      </c>
      <c r="D3" s="87" t="s">
        <v>223</v>
      </c>
      <c r="E3" s="12">
        <v>150000</v>
      </c>
      <c r="F3" s="12">
        <v>0.08</v>
      </c>
      <c r="G3" s="89">
        <v>44952</v>
      </c>
      <c r="H3" s="12">
        <f t="shared" si="0"/>
        <v>12000</v>
      </c>
      <c r="I3" s="12" t="s">
        <v>10</v>
      </c>
      <c r="J3" s="56"/>
    </row>
    <row r="4" hidden="1" spans="1:12">
      <c r="B4" s="86">
        <v>222301255</v>
      </c>
      <c r="C4" s="110">
        <v>44929</v>
      </c>
      <c r="D4" s="87" t="s">
        <v>223</v>
      </c>
      <c r="E4" s="12">
        <v>150000</v>
      </c>
      <c r="F4" s="12">
        <v>0.08</v>
      </c>
      <c r="G4" s="89">
        <v>44982</v>
      </c>
      <c r="H4" s="12">
        <f t="shared" si="0"/>
        <v>12000</v>
      </c>
      <c r="I4" s="12" t="s">
        <v>10</v>
      </c>
      <c r="J4" s="56"/>
    </row>
    <row r="5" hidden="1" spans="1:12">
      <c r="B5" s="86">
        <v>222301255</v>
      </c>
      <c r="C5" s="110">
        <v>44929</v>
      </c>
      <c r="D5" s="87" t="s">
        <v>224</v>
      </c>
      <c r="E5" s="12">
        <v>20000</v>
      </c>
      <c r="F5" s="12">
        <v>0.07</v>
      </c>
      <c r="G5" s="89">
        <v>44982</v>
      </c>
      <c r="H5" s="12">
        <f t="shared" si="0"/>
        <v>1400</v>
      </c>
      <c r="I5" s="12" t="s">
        <v>10</v>
      </c>
      <c r="J5" s="56"/>
    </row>
    <row r="6" hidden="1" spans="1:12">
      <c r="B6" s="86">
        <v>222301256</v>
      </c>
      <c r="C6" s="110">
        <v>44929</v>
      </c>
      <c r="D6" s="87" t="s">
        <v>223</v>
      </c>
      <c r="E6" s="12">
        <v>50000</v>
      </c>
      <c r="F6" s="12">
        <v>0.08</v>
      </c>
      <c r="G6" s="89">
        <v>44952</v>
      </c>
      <c r="H6" s="12">
        <f t="shared" si="0"/>
        <v>4000</v>
      </c>
      <c r="I6" s="12" t="s">
        <v>10</v>
      </c>
      <c r="J6" s="52"/>
    </row>
    <row r="7" hidden="1" spans="1:12">
      <c r="B7" s="86">
        <v>222301256</v>
      </c>
      <c r="C7" s="110">
        <v>44929</v>
      </c>
      <c r="D7" s="87" t="s">
        <v>223</v>
      </c>
      <c r="E7" s="12">
        <v>50000</v>
      </c>
      <c r="F7" s="12">
        <v>0.08</v>
      </c>
      <c r="G7" s="89">
        <v>45010</v>
      </c>
      <c r="H7" s="12">
        <f t="shared" si="0"/>
        <v>4000</v>
      </c>
      <c r="I7" s="12" t="s">
        <v>10</v>
      </c>
      <c r="J7" s="56"/>
    </row>
    <row r="8" hidden="1" spans="1:12">
      <c r="B8" s="86">
        <v>222301256</v>
      </c>
      <c r="C8" s="110">
        <v>44929</v>
      </c>
      <c r="D8" s="87" t="s">
        <v>216</v>
      </c>
      <c r="E8" s="12">
        <v>48000</v>
      </c>
      <c r="F8" s="12">
        <v>0.045</v>
      </c>
      <c r="G8" s="89">
        <v>45041</v>
      </c>
      <c r="H8" s="12">
        <f t="shared" si="0"/>
        <v>2160</v>
      </c>
      <c r="I8" s="12" t="s">
        <v>10</v>
      </c>
      <c r="J8" s="56"/>
      <c r="K8">
        <f>130000+44000+167000+22500+560+4000+8400+12664+560+5000+50880</f>
        <v>445564</v>
      </c>
    </row>
    <row r="9" hidden="1" spans="1:12">
      <c r="B9" s="86">
        <v>222301256</v>
      </c>
      <c r="C9" s="110">
        <v>44929</v>
      </c>
      <c r="D9" s="87" t="s">
        <v>206</v>
      </c>
      <c r="E9" s="12">
        <v>150000</v>
      </c>
      <c r="F9" s="12">
        <v>0.065</v>
      </c>
      <c r="G9" s="89">
        <v>45010</v>
      </c>
      <c r="H9" s="12">
        <f t="shared" si="0"/>
        <v>9750</v>
      </c>
      <c r="I9" s="12" t="s">
        <v>10</v>
      </c>
      <c r="J9" s="56"/>
    </row>
    <row r="10" hidden="1" spans="1:12">
      <c r="B10" s="86">
        <v>222301256</v>
      </c>
      <c r="C10" s="110">
        <v>44929</v>
      </c>
      <c r="D10" s="87" t="s">
        <v>225</v>
      </c>
      <c r="E10" s="12">
        <v>20000</v>
      </c>
      <c r="F10" s="12">
        <v>0.041</v>
      </c>
      <c r="G10" s="89">
        <v>44982</v>
      </c>
      <c r="H10" s="12">
        <f t="shared" si="0"/>
        <v>820</v>
      </c>
      <c r="I10" s="12" t="s">
        <v>10</v>
      </c>
      <c r="J10" s="56"/>
    </row>
    <row r="11" hidden="1" spans="1:12">
      <c r="B11" s="86">
        <v>222301261</v>
      </c>
      <c r="C11" s="110">
        <v>44930</v>
      </c>
      <c r="D11" s="87" t="s">
        <v>226</v>
      </c>
      <c r="E11" s="12">
        <v>70000</v>
      </c>
      <c r="F11" s="12">
        <v>0.08</v>
      </c>
      <c r="G11" s="89">
        <v>45010</v>
      </c>
      <c r="H11" s="12">
        <f t="shared" si="0"/>
        <v>5600</v>
      </c>
      <c r="I11" s="12" t="s">
        <v>10</v>
      </c>
      <c r="J11" s="56"/>
    </row>
    <row r="12" hidden="1" spans="1:12">
      <c r="B12" s="86">
        <v>222301264</v>
      </c>
      <c r="C12" s="110">
        <v>44932</v>
      </c>
      <c r="D12" s="87" t="s">
        <v>227</v>
      </c>
      <c r="E12" s="12">
        <v>10000</v>
      </c>
      <c r="F12" s="12">
        <v>0.5</v>
      </c>
      <c r="G12" s="89">
        <v>44983</v>
      </c>
      <c r="H12" s="12">
        <f t="shared" si="0"/>
        <v>5000</v>
      </c>
      <c r="I12" s="12" t="s">
        <v>10</v>
      </c>
      <c r="J12" s="56"/>
    </row>
    <row r="13" hidden="1" spans="1:12">
      <c r="B13" s="86">
        <v>222301264</v>
      </c>
      <c r="C13" s="110">
        <v>44932</v>
      </c>
      <c r="D13" s="87" t="s">
        <v>228</v>
      </c>
      <c r="E13" s="12">
        <v>10000</v>
      </c>
      <c r="F13" s="12">
        <v>0.22</v>
      </c>
      <c r="G13" s="89">
        <v>44983</v>
      </c>
      <c r="H13" s="12">
        <f t="shared" si="0"/>
        <v>2200</v>
      </c>
      <c r="I13" s="12" t="s">
        <v>10</v>
      </c>
      <c r="J13" s="56"/>
    </row>
    <row r="14" hidden="1" spans="1:12">
      <c r="B14" s="86">
        <v>222301282</v>
      </c>
      <c r="C14" s="9">
        <v>44938</v>
      </c>
      <c r="D14" s="10" t="s">
        <v>229</v>
      </c>
      <c r="E14" s="10">
        <v>25000</v>
      </c>
      <c r="F14" s="10">
        <v>0.0285</v>
      </c>
      <c r="G14" s="9">
        <v>44938</v>
      </c>
      <c r="H14" s="12">
        <f t="shared" si="0"/>
        <v>712.5</v>
      </c>
      <c r="I14" s="12" t="s">
        <v>10</v>
      </c>
      <c r="J14" s="10"/>
    </row>
    <row r="15" hidden="1" spans="1:12">
      <c r="B15" s="86">
        <v>222301282</v>
      </c>
      <c r="C15" s="9">
        <v>44938</v>
      </c>
      <c r="D15" s="10" t="s">
        <v>230</v>
      </c>
      <c r="E15" s="10">
        <v>25000</v>
      </c>
      <c r="F15" s="10">
        <v>0.0285</v>
      </c>
      <c r="G15" s="9">
        <v>44938</v>
      </c>
      <c r="H15" s="12">
        <f t="shared" si="0"/>
        <v>712.5</v>
      </c>
      <c r="I15" s="12" t="s">
        <v>10</v>
      </c>
      <c r="J15" s="10"/>
    </row>
    <row r="16" hidden="1" spans="1:12">
      <c r="B16" s="86">
        <v>222301293</v>
      </c>
      <c r="C16" s="9">
        <v>44943</v>
      </c>
      <c r="D16" s="87" t="s">
        <v>211</v>
      </c>
      <c r="E16" s="10">
        <v>208000</v>
      </c>
      <c r="F16" s="10">
        <v>0.022</v>
      </c>
      <c r="G16" s="9">
        <v>45036</v>
      </c>
      <c r="H16" s="12">
        <f t="shared" si="0"/>
        <v>4576</v>
      </c>
      <c r="I16" s="12" t="s">
        <v>10</v>
      </c>
      <c r="J16" s="10"/>
    </row>
    <row r="17" hidden="1" spans="2:14">
      <c r="B17" s="86">
        <v>222301294</v>
      </c>
      <c r="C17" s="9">
        <v>44943</v>
      </c>
      <c r="D17" s="87" t="s">
        <v>204</v>
      </c>
      <c r="E17" s="10">
        <v>200000</v>
      </c>
      <c r="F17" s="10">
        <v>0.036</v>
      </c>
      <c r="G17" s="9">
        <v>45036</v>
      </c>
      <c r="H17" s="12">
        <f t="shared" si="0"/>
        <v>7200</v>
      </c>
      <c r="I17" s="12" t="s">
        <v>10</v>
      </c>
      <c r="J17" s="10"/>
    </row>
    <row r="18" hidden="1" spans="2:14">
      <c r="B18" s="86">
        <v>222301294</v>
      </c>
      <c r="C18" s="9">
        <v>44943</v>
      </c>
      <c r="D18" s="10" t="s">
        <v>32</v>
      </c>
      <c r="E18" s="10">
        <v>200000</v>
      </c>
      <c r="F18" s="10">
        <v>0.02</v>
      </c>
      <c r="G18" s="9">
        <v>45005</v>
      </c>
      <c r="H18" s="12">
        <f t="shared" si="0"/>
        <v>4000</v>
      </c>
      <c r="I18" s="12" t="s">
        <v>10</v>
      </c>
      <c r="J18" s="10"/>
    </row>
    <row r="19" hidden="1" spans="2:14">
      <c r="B19" s="86">
        <v>222301295</v>
      </c>
      <c r="C19" s="9">
        <v>44943</v>
      </c>
      <c r="D19" s="87" t="s">
        <v>231</v>
      </c>
      <c r="E19" s="10">
        <v>198000</v>
      </c>
      <c r="F19" s="10">
        <v>0.0083</v>
      </c>
      <c r="G19" s="9">
        <v>44977</v>
      </c>
      <c r="H19" s="12">
        <f t="shared" si="0"/>
        <v>1643.4</v>
      </c>
      <c r="I19" s="12" t="s">
        <v>10</v>
      </c>
      <c r="J19" s="10"/>
    </row>
    <row r="20" hidden="1" spans="2:14">
      <c r="B20" s="86">
        <v>222301295</v>
      </c>
      <c r="C20" s="9">
        <v>44943</v>
      </c>
      <c r="D20" s="87" t="s">
        <v>231</v>
      </c>
      <c r="E20" s="10">
        <v>201000</v>
      </c>
      <c r="F20" s="10">
        <v>0.0083</v>
      </c>
      <c r="G20" s="9">
        <v>45005</v>
      </c>
      <c r="H20" s="12">
        <f t="shared" si="0"/>
        <v>1668.3</v>
      </c>
      <c r="I20" s="12" t="s">
        <v>10</v>
      </c>
      <c r="J20" s="10"/>
    </row>
    <row r="21" hidden="1" spans="2:14">
      <c r="B21" s="86">
        <v>222301295</v>
      </c>
      <c r="C21" s="9">
        <v>44943</v>
      </c>
      <c r="D21" s="87" t="s">
        <v>203</v>
      </c>
      <c r="E21" s="10">
        <v>200000</v>
      </c>
      <c r="F21" s="10">
        <v>0.027</v>
      </c>
      <c r="G21" s="9">
        <v>45005</v>
      </c>
      <c r="H21" s="12">
        <f t="shared" si="0"/>
        <v>5400</v>
      </c>
      <c r="I21" s="12" t="s">
        <v>10</v>
      </c>
      <c r="J21" s="10"/>
    </row>
    <row r="22" hidden="1" spans="2:14">
      <c r="B22" s="86">
        <v>222301295</v>
      </c>
      <c r="C22" s="9">
        <v>44943</v>
      </c>
      <c r="D22" s="87" t="s">
        <v>203</v>
      </c>
      <c r="E22" s="10">
        <v>200000</v>
      </c>
      <c r="F22" s="10">
        <v>0.027</v>
      </c>
      <c r="G22" s="9">
        <v>45036</v>
      </c>
      <c r="H22" s="12">
        <f t="shared" si="0"/>
        <v>5400</v>
      </c>
      <c r="I22" s="12" t="s">
        <v>10</v>
      </c>
      <c r="J22" s="10"/>
    </row>
    <row r="23" hidden="1" spans="2:14">
      <c r="B23" s="86">
        <v>222301295</v>
      </c>
      <c r="C23" s="9">
        <v>44943</v>
      </c>
      <c r="D23" s="10" t="s">
        <v>32</v>
      </c>
      <c r="E23" s="10">
        <v>200000</v>
      </c>
      <c r="F23" s="10">
        <v>0.02</v>
      </c>
      <c r="G23" s="9">
        <v>45036</v>
      </c>
      <c r="H23" s="12">
        <f t="shared" si="0"/>
        <v>4000</v>
      </c>
      <c r="I23" s="12" t="s">
        <v>10</v>
      </c>
      <c r="J23" s="10"/>
    </row>
    <row r="24" hidden="1" spans="2:14">
      <c r="B24" s="86">
        <v>222301295</v>
      </c>
      <c r="C24" s="9">
        <v>44943</v>
      </c>
      <c r="D24" s="10" t="s">
        <v>33</v>
      </c>
      <c r="E24" s="10">
        <v>200000</v>
      </c>
      <c r="F24" s="10">
        <v>0.02</v>
      </c>
      <c r="G24" s="9">
        <v>45036</v>
      </c>
      <c r="H24" s="12">
        <f t="shared" si="0"/>
        <v>4000</v>
      </c>
      <c r="I24" s="12" t="s">
        <v>10</v>
      </c>
      <c r="J24" s="10"/>
    </row>
    <row r="25" hidden="1" spans="2:14">
      <c r="B25" s="86">
        <v>222301295</v>
      </c>
      <c r="C25" s="9">
        <v>44943</v>
      </c>
      <c r="D25" s="10" t="s">
        <v>34</v>
      </c>
      <c r="E25" s="10">
        <v>50000</v>
      </c>
      <c r="F25" s="10">
        <v>0.051</v>
      </c>
      <c r="G25" s="9">
        <v>45036</v>
      </c>
      <c r="H25" s="12">
        <f t="shared" si="0"/>
        <v>2550</v>
      </c>
      <c r="I25" s="12" t="s">
        <v>10</v>
      </c>
      <c r="J25" s="10"/>
    </row>
    <row r="26" hidden="1" spans="2:14">
      <c r="B26" s="86">
        <v>222301295</v>
      </c>
      <c r="C26" s="9">
        <v>44943</v>
      </c>
      <c r="D26" s="10" t="s">
        <v>34</v>
      </c>
      <c r="E26" s="10">
        <v>50000</v>
      </c>
      <c r="F26" s="10">
        <v>0.051</v>
      </c>
      <c r="G26" s="9">
        <v>45066</v>
      </c>
      <c r="H26" s="12">
        <f t="shared" si="0"/>
        <v>2550</v>
      </c>
      <c r="I26" s="12" t="s">
        <v>10</v>
      </c>
      <c r="J26" s="10"/>
    </row>
    <row r="27" hidden="1" spans="2:14">
      <c r="B27" s="86">
        <v>222301306</v>
      </c>
      <c r="C27" s="9">
        <v>44945</v>
      </c>
      <c r="D27" s="10" t="s">
        <v>232</v>
      </c>
      <c r="E27" s="10">
        <v>24000</v>
      </c>
      <c r="F27" s="10">
        <v>0.08</v>
      </c>
      <c r="G27" s="9">
        <v>44945</v>
      </c>
      <c r="H27" s="12">
        <f t="shared" si="0"/>
        <v>1920</v>
      </c>
      <c r="I27" s="12" t="s">
        <v>10</v>
      </c>
      <c r="J27" s="10"/>
    </row>
    <row r="28" s="26" customFormat="1" hidden="1" spans="2:14">
      <c r="B28" s="86">
        <v>222301317</v>
      </c>
      <c r="C28" s="9">
        <v>44953</v>
      </c>
      <c r="D28" s="10" t="s">
        <v>204</v>
      </c>
      <c r="E28" s="10">
        <v>150000</v>
      </c>
      <c r="F28" s="10">
        <v>0.036</v>
      </c>
      <c r="G28" s="9">
        <v>45041</v>
      </c>
      <c r="H28" s="12">
        <f t="shared" si="0"/>
        <v>5400</v>
      </c>
      <c r="I28" s="12" t="s">
        <v>10</v>
      </c>
      <c r="J28" s="10"/>
      <c r="L28" s="26" t="s">
        <v>233</v>
      </c>
      <c r="M28" s="26" t="s">
        <v>234</v>
      </c>
      <c r="N28" s="26">
        <v>1995</v>
      </c>
    </row>
    <row r="29" s="26" customFormat="1" hidden="1" spans="2:14">
      <c r="B29" s="86">
        <v>222301317</v>
      </c>
      <c r="C29" s="9">
        <v>44953</v>
      </c>
      <c r="D29" s="10" t="s">
        <v>32</v>
      </c>
      <c r="E29" s="10">
        <v>100000</v>
      </c>
      <c r="F29" s="10">
        <v>0.02</v>
      </c>
      <c r="G29" s="9">
        <v>45010</v>
      </c>
      <c r="H29" s="12">
        <f t="shared" si="0"/>
        <v>2000</v>
      </c>
      <c r="I29" s="12" t="s">
        <v>10</v>
      </c>
      <c r="J29" s="10"/>
    </row>
    <row r="30" s="26" customFormat="1" hidden="1" spans="2:14">
      <c r="B30" s="86">
        <v>222301317</v>
      </c>
      <c r="C30" s="9">
        <v>44953</v>
      </c>
      <c r="D30" s="10" t="s">
        <v>56</v>
      </c>
      <c r="E30" s="10">
        <v>100000</v>
      </c>
      <c r="F30" s="10">
        <v>0.035</v>
      </c>
      <c r="G30" s="9">
        <v>44953</v>
      </c>
      <c r="H30" s="12">
        <f t="shared" si="0"/>
        <v>3500</v>
      </c>
      <c r="I30" s="12" t="s">
        <v>10</v>
      </c>
      <c r="J30" s="10"/>
    </row>
    <row r="31" s="26" customFormat="1" hidden="1" spans="2:14">
      <c r="B31" s="86">
        <v>222301317</v>
      </c>
      <c r="C31" s="9">
        <v>44953</v>
      </c>
      <c r="D31" s="10" t="s">
        <v>56</v>
      </c>
      <c r="E31" s="10">
        <v>100000</v>
      </c>
      <c r="F31" s="10">
        <v>0.035</v>
      </c>
      <c r="G31" s="9">
        <v>44982</v>
      </c>
      <c r="H31" s="12">
        <f t="shared" si="0"/>
        <v>3500</v>
      </c>
      <c r="I31" s="12" t="s">
        <v>10</v>
      </c>
      <c r="J31" s="10"/>
    </row>
    <row r="32" s="26" customFormat="1" hidden="1" spans="2:14">
      <c r="B32" s="86">
        <v>222301317</v>
      </c>
      <c r="C32" s="9">
        <v>44953</v>
      </c>
      <c r="D32" s="10" t="s">
        <v>56</v>
      </c>
      <c r="E32" s="10">
        <v>100000</v>
      </c>
      <c r="F32" s="10">
        <v>0.035</v>
      </c>
      <c r="G32" s="9">
        <v>45041</v>
      </c>
      <c r="H32" s="12">
        <f t="shared" si="0"/>
        <v>3500</v>
      </c>
      <c r="I32" s="12" t="s">
        <v>10</v>
      </c>
      <c r="J32" s="10"/>
    </row>
    <row r="33" s="26" customFormat="1" hidden="1" spans="2:10">
      <c r="B33" s="86">
        <v>222301317</v>
      </c>
      <c r="C33" s="9">
        <v>44953</v>
      </c>
      <c r="D33" s="10" t="s">
        <v>235</v>
      </c>
      <c r="E33" s="10">
        <v>100000</v>
      </c>
      <c r="F33" s="10">
        <v>0.04</v>
      </c>
      <c r="G33" s="9">
        <v>44953</v>
      </c>
      <c r="H33" s="12">
        <f t="shared" si="0"/>
        <v>4000</v>
      </c>
      <c r="I33" s="12" t="s">
        <v>10</v>
      </c>
      <c r="J33" s="10"/>
    </row>
    <row r="34" s="26" customFormat="1" hidden="1" spans="2:10">
      <c r="B34" s="86">
        <v>222301317</v>
      </c>
      <c r="C34" s="9">
        <v>44953</v>
      </c>
      <c r="D34" s="10" t="s">
        <v>235</v>
      </c>
      <c r="E34" s="10">
        <v>100000</v>
      </c>
      <c r="F34" s="10">
        <v>0.04</v>
      </c>
      <c r="G34" s="9">
        <v>44982</v>
      </c>
      <c r="H34" s="12">
        <f t="shared" si="0"/>
        <v>4000</v>
      </c>
      <c r="I34" s="12" t="s">
        <v>10</v>
      </c>
      <c r="J34" s="10"/>
    </row>
    <row r="35" s="26" customFormat="1" hidden="1" spans="2:10">
      <c r="B35" s="86">
        <v>222301317</v>
      </c>
      <c r="C35" s="9">
        <v>44953</v>
      </c>
      <c r="D35" s="87" t="s">
        <v>235</v>
      </c>
      <c r="E35" s="10">
        <v>52000</v>
      </c>
      <c r="F35" s="10">
        <v>0.04</v>
      </c>
      <c r="G35" s="9">
        <v>45010</v>
      </c>
      <c r="H35" s="12">
        <f t="shared" si="0"/>
        <v>2080</v>
      </c>
      <c r="I35" s="12" t="s">
        <v>10</v>
      </c>
      <c r="J35" s="10"/>
    </row>
    <row r="36" s="26" customFormat="1" hidden="1" spans="2:10">
      <c r="B36" s="86">
        <v>222301317</v>
      </c>
      <c r="C36" s="9">
        <v>44953</v>
      </c>
      <c r="D36" s="10" t="s">
        <v>214</v>
      </c>
      <c r="E36" s="10">
        <v>100000</v>
      </c>
      <c r="F36" s="10">
        <v>0.035</v>
      </c>
      <c r="G36" s="9">
        <v>45041</v>
      </c>
      <c r="H36" s="12">
        <f t="shared" si="0"/>
        <v>3500</v>
      </c>
      <c r="I36" s="12" t="s">
        <v>10</v>
      </c>
      <c r="J36" s="10"/>
    </row>
    <row r="37" s="26" customFormat="1" hidden="1" spans="2:10">
      <c r="B37" s="86">
        <v>222301318</v>
      </c>
      <c r="C37" s="9">
        <v>44953</v>
      </c>
      <c r="D37" s="10" t="s">
        <v>210</v>
      </c>
      <c r="E37" s="10">
        <v>100000</v>
      </c>
      <c r="F37" s="10">
        <v>0.028</v>
      </c>
      <c r="G37" s="9">
        <v>45005</v>
      </c>
      <c r="H37" s="12">
        <f t="shared" si="0"/>
        <v>2800</v>
      </c>
      <c r="I37" s="12" t="s">
        <v>10</v>
      </c>
      <c r="J37" s="10"/>
    </row>
    <row r="38" s="26" customFormat="1" hidden="1" spans="2:10">
      <c r="B38" s="86">
        <v>222301318</v>
      </c>
      <c r="C38" s="9">
        <v>44953</v>
      </c>
      <c r="D38" s="10" t="s">
        <v>236</v>
      </c>
      <c r="E38" s="10">
        <v>96000</v>
      </c>
      <c r="F38" s="10">
        <v>0.006</v>
      </c>
      <c r="G38" s="9">
        <v>45005</v>
      </c>
      <c r="H38" s="12">
        <f t="shared" si="0"/>
        <v>576</v>
      </c>
      <c r="I38" s="12" t="s">
        <v>10</v>
      </c>
      <c r="J38" s="10"/>
    </row>
    <row r="39" s="26" customFormat="1" hidden="1" spans="2:10">
      <c r="B39" s="86">
        <v>222301319</v>
      </c>
      <c r="C39" s="9">
        <v>44953</v>
      </c>
      <c r="D39" s="10" t="s">
        <v>202</v>
      </c>
      <c r="E39" s="10">
        <v>100000</v>
      </c>
      <c r="F39" s="10">
        <v>0.04</v>
      </c>
      <c r="G39" s="9">
        <v>45005</v>
      </c>
      <c r="H39" s="12">
        <f t="shared" si="0"/>
        <v>4000</v>
      </c>
      <c r="I39" s="12" t="s">
        <v>10</v>
      </c>
      <c r="J39" s="10"/>
    </row>
    <row r="40" s="26" customFormat="1" hidden="1" spans="2:10">
      <c r="B40" s="86">
        <v>222301319</v>
      </c>
      <c r="C40" s="9">
        <v>44953</v>
      </c>
      <c r="D40" s="10" t="s">
        <v>203</v>
      </c>
      <c r="E40" s="10">
        <v>300000</v>
      </c>
      <c r="F40" s="10">
        <v>0.027</v>
      </c>
      <c r="G40" s="9">
        <v>45005</v>
      </c>
      <c r="H40" s="12">
        <f t="shared" si="0"/>
        <v>8100</v>
      </c>
      <c r="I40" s="12" t="s">
        <v>10</v>
      </c>
      <c r="J40" s="10"/>
    </row>
    <row r="41" s="26" customFormat="1" hidden="1" spans="2:10">
      <c r="B41" s="86">
        <v>222301319</v>
      </c>
      <c r="C41" s="9">
        <v>44953</v>
      </c>
      <c r="D41" s="10" t="s">
        <v>203</v>
      </c>
      <c r="E41" s="10">
        <v>300000</v>
      </c>
      <c r="F41" s="10">
        <v>0.027</v>
      </c>
      <c r="G41" s="9">
        <v>45036</v>
      </c>
      <c r="H41" s="12">
        <f t="shared" si="0"/>
        <v>8100</v>
      </c>
      <c r="I41" s="12" t="s">
        <v>10</v>
      </c>
      <c r="J41" s="10"/>
    </row>
    <row r="42" s="26" customFormat="1" hidden="1" spans="2:10">
      <c r="B42" s="86">
        <v>222301319</v>
      </c>
      <c r="C42" s="9">
        <v>44953</v>
      </c>
      <c r="D42" s="10" t="s">
        <v>32</v>
      </c>
      <c r="E42" s="10">
        <v>400000</v>
      </c>
      <c r="F42" s="10">
        <v>0.02</v>
      </c>
      <c r="G42" s="9">
        <v>45046</v>
      </c>
      <c r="H42" s="12">
        <f t="shared" si="0"/>
        <v>8000</v>
      </c>
      <c r="I42" s="12" t="s">
        <v>10</v>
      </c>
      <c r="J42" s="10"/>
    </row>
    <row r="43" s="26" customFormat="1" hidden="1" spans="2:10">
      <c r="B43" s="86">
        <v>222301319</v>
      </c>
      <c r="C43" s="9">
        <v>44953</v>
      </c>
      <c r="D43" s="10" t="s">
        <v>58</v>
      </c>
      <c r="E43" s="10">
        <v>400000</v>
      </c>
      <c r="F43" s="10">
        <v>0.019</v>
      </c>
      <c r="G43" s="9">
        <v>45066</v>
      </c>
      <c r="H43" s="12">
        <f t="shared" si="0"/>
        <v>7600</v>
      </c>
      <c r="I43" s="12" t="s">
        <v>10</v>
      </c>
      <c r="J43" s="10"/>
    </row>
    <row r="44" s="26" customFormat="1" hidden="1" spans="2:10">
      <c r="B44" s="86">
        <v>222301320</v>
      </c>
      <c r="C44" s="9">
        <v>44953</v>
      </c>
      <c r="D44" s="87" t="s">
        <v>203</v>
      </c>
      <c r="E44" s="10">
        <v>200000</v>
      </c>
      <c r="F44" s="10">
        <v>0.027</v>
      </c>
      <c r="G44" s="9">
        <v>45066</v>
      </c>
      <c r="H44" s="12">
        <f t="shared" si="0"/>
        <v>5400</v>
      </c>
      <c r="I44" s="12" t="s">
        <v>10</v>
      </c>
      <c r="J44" s="10"/>
    </row>
    <row r="45" s="26" customFormat="1" hidden="1" spans="2:10">
      <c r="B45" s="86">
        <v>222301320</v>
      </c>
      <c r="C45" s="9">
        <v>44953</v>
      </c>
      <c r="D45" s="87" t="s">
        <v>204</v>
      </c>
      <c r="E45" s="10">
        <v>100000</v>
      </c>
      <c r="F45" s="10">
        <v>0.036</v>
      </c>
      <c r="G45" s="9">
        <v>45056</v>
      </c>
      <c r="H45" s="12">
        <f t="shared" si="0"/>
        <v>3600</v>
      </c>
      <c r="I45" s="12" t="s">
        <v>10</v>
      </c>
      <c r="J45" s="10"/>
    </row>
    <row r="46" s="26" customFormat="1" hidden="1" spans="2:10">
      <c r="B46" s="86">
        <v>222301320</v>
      </c>
      <c r="C46" s="9">
        <v>44953</v>
      </c>
      <c r="D46" s="10" t="s">
        <v>32</v>
      </c>
      <c r="E46" s="10">
        <v>200000</v>
      </c>
      <c r="F46" s="10">
        <v>0.02</v>
      </c>
      <c r="G46" s="9">
        <v>45015</v>
      </c>
      <c r="H46" s="12">
        <f t="shared" si="0"/>
        <v>4000</v>
      </c>
      <c r="I46" s="12" t="s">
        <v>10</v>
      </c>
      <c r="J46" s="10"/>
    </row>
    <row r="47" s="26" customFormat="1" hidden="1" spans="2:10">
      <c r="B47" s="86">
        <v>222301321</v>
      </c>
      <c r="C47" s="9">
        <v>44953</v>
      </c>
      <c r="D47" s="87" t="s">
        <v>201</v>
      </c>
      <c r="E47" s="10">
        <v>40000</v>
      </c>
      <c r="F47" s="10">
        <v>0.028</v>
      </c>
      <c r="G47" s="9">
        <v>44977</v>
      </c>
      <c r="H47" s="12">
        <f t="shared" si="0"/>
        <v>1120</v>
      </c>
      <c r="I47" s="12" t="s">
        <v>10</v>
      </c>
      <c r="J47" s="10"/>
    </row>
    <row r="48" s="26" customFormat="1" hidden="1" spans="2:10">
      <c r="B48" s="86">
        <v>222301321</v>
      </c>
      <c r="C48" s="9">
        <v>44953</v>
      </c>
      <c r="D48" s="87" t="s">
        <v>201</v>
      </c>
      <c r="E48" s="10">
        <v>40000</v>
      </c>
      <c r="F48" s="10">
        <v>0.028</v>
      </c>
      <c r="G48" s="9">
        <v>45005</v>
      </c>
      <c r="H48" s="12">
        <f t="shared" si="0"/>
        <v>1120</v>
      </c>
      <c r="I48" s="12" t="s">
        <v>10</v>
      </c>
      <c r="J48" s="10"/>
    </row>
    <row r="49" s="26" customFormat="1" hidden="1" spans="2:10">
      <c r="B49" s="86">
        <v>222301321</v>
      </c>
      <c r="C49" s="9">
        <v>44953</v>
      </c>
      <c r="D49" s="87" t="s">
        <v>231</v>
      </c>
      <c r="E49" s="10">
        <v>201000</v>
      </c>
      <c r="F49" s="10">
        <v>0.0083</v>
      </c>
      <c r="G49" s="9">
        <v>45036</v>
      </c>
      <c r="H49" s="12">
        <f t="shared" si="0"/>
        <v>1668.3</v>
      </c>
      <c r="I49" s="12" t="s">
        <v>10</v>
      </c>
      <c r="J49" s="10"/>
    </row>
    <row r="50" s="26" customFormat="1" hidden="1" spans="2:10">
      <c r="B50" s="86">
        <v>222301321</v>
      </c>
      <c r="C50" s="9">
        <v>44953</v>
      </c>
      <c r="D50" s="10" t="s">
        <v>100</v>
      </c>
      <c r="E50" s="10">
        <v>50000</v>
      </c>
      <c r="F50" s="10">
        <v>0.03</v>
      </c>
      <c r="G50" s="9">
        <v>45000</v>
      </c>
      <c r="H50" s="12">
        <f t="shared" si="0"/>
        <v>1500</v>
      </c>
      <c r="I50" s="12" t="s">
        <v>10</v>
      </c>
      <c r="J50" s="10"/>
    </row>
    <row r="51" s="26" customFormat="1" hidden="1" spans="2:10">
      <c r="B51" s="86">
        <v>222301321</v>
      </c>
      <c r="C51" s="9">
        <v>44953</v>
      </c>
      <c r="D51" s="10" t="s">
        <v>32</v>
      </c>
      <c r="E51" s="10">
        <v>200000</v>
      </c>
      <c r="F51" s="10">
        <v>0.02</v>
      </c>
      <c r="G51" s="9">
        <v>45056</v>
      </c>
      <c r="H51" s="12">
        <f t="shared" si="0"/>
        <v>4000</v>
      </c>
      <c r="I51" s="12" t="s">
        <v>10</v>
      </c>
      <c r="J51" s="10"/>
    </row>
    <row r="52" s="26" customFormat="1" hidden="1" spans="2:10">
      <c r="B52" s="86">
        <v>222301321</v>
      </c>
      <c r="C52" s="9">
        <v>44953</v>
      </c>
      <c r="D52" s="87" t="s">
        <v>207</v>
      </c>
      <c r="E52" s="10">
        <v>50000</v>
      </c>
      <c r="F52" s="10">
        <v>0.03</v>
      </c>
      <c r="G52" s="9">
        <v>44977</v>
      </c>
      <c r="H52" s="12">
        <f t="shared" si="0"/>
        <v>1500</v>
      </c>
      <c r="I52" s="12" t="s">
        <v>10</v>
      </c>
      <c r="J52" s="10"/>
    </row>
    <row r="53" s="26" customFormat="1" hidden="1" spans="2:10">
      <c r="B53" s="86">
        <v>222301321</v>
      </c>
      <c r="C53" s="9">
        <v>44953</v>
      </c>
      <c r="D53" s="87" t="s">
        <v>207</v>
      </c>
      <c r="E53" s="10">
        <v>50000</v>
      </c>
      <c r="F53" s="10">
        <v>0.03</v>
      </c>
      <c r="G53" s="9">
        <v>45005</v>
      </c>
      <c r="H53" s="12">
        <f t="shared" si="0"/>
        <v>1500</v>
      </c>
      <c r="I53" s="12" t="s">
        <v>10</v>
      </c>
      <c r="J53" s="10"/>
    </row>
    <row r="54" s="26" customFormat="1" hidden="1" spans="2:10">
      <c r="B54" s="86">
        <v>222301321</v>
      </c>
      <c r="C54" s="9">
        <v>44953</v>
      </c>
      <c r="D54" s="10" t="s">
        <v>58</v>
      </c>
      <c r="E54" s="10">
        <v>200000</v>
      </c>
      <c r="F54" s="10">
        <v>0.019</v>
      </c>
      <c r="G54" s="9">
        <v>45036</v>
      </c>
      <c r="H54" s="12">
        <f t="shared" si="0"/>
        <v>3800</v>
      </c>
      <c r="I54" s="12" t="s">
        <v>10</v>
      </c>
      <c r="J54" s="10"/>
    </row>
    <row r="55" s="26" customFormat="1" hidden="1" spans="2:10">
      <c r="B55" s="86">
        <v>222301321</v>
      </c>
      <c r="C55" s="9">
        <v>44953</v>
      </c>
      <c r="D55" s="10" t="s">
        <v>34</v>
      </c>
      <c r="E55" s="10">
        <v>50000</v>
      </c>
      <c r="F55" s="10">
        <v>0.051</v>
      </c>
      <c r="G55" s="9">
        <v>45005</v>
      </c>
      <c r="H55" s="12">
        <f t="shared" si="0"/>
        <v>2550</v>
      </c>
      <c r="I55" s="12" t="s">
        <v>10</v>
      </c>
      <c r="J55" s="10"/>
    </row>
    <row r="56" s="26" customFormat="1" hidden="1" spans="2:10">
      <c r="B56" s="86">
        <v>222301322</v>
      </c>
      <c r="C56" s="9">
        <v>44953</v>
      </c>
      <c r="D56" s="87" t="s">
        <v>210</v>
      </c>
      <c r="E56" s="10">
        <v>100000</v>
      </c>
      <c r="F56" s="10">
        <v>0.028</v>
      </c>
      <c r="G56" s="9">
        <v>45041</v>
      </c>
      <c r="H56" s="12">
        <f t="shared" si="0"/>
        <v>2800</v>
      </c>
      <c r="I56" s="12" t="s">
        <v>10</v>
      </c>
      <c r="J56" s="10"/>
    </row>
    <row r="57" s="26" customFormat="1" hidden="1" spans="2:10">
      <c r="B57" s="86">
        <v>222301323</v>
      </c>
      <c r="C57" s="9">
        <v>44953</v>
      </c>
      <c r="D57" s="87" t="s">
        <v>225</v>
      </c>
      <c r="E57" s="10">
        <v>20000</v>
      </c>
      <c r="F57" s="10">
        <v>0.041</v>
      </c>
      <c r="G57" s="9">
        <v>45010</v>
      </c>
      <c r="H57" s="12">
        <f t="shared" si="0"/>
        <v>820</v>
      </c>
      <c r="I57" s="12" t="s">
        <v>10</v>
      </c>
      <c r="J57" s="10"/>
    </row>
    <row r="58" s="26" customFormat="1" hidden="1" spans="2:10">
      <c r="B58" s="86">
        <v>222301323</v>
      </c>
      <c r="C58" s="9">
        <v>44953</v>
      </c>
      <c r="D58" s="87" t="s">
        <v>237</v>
      </c>
      <c r="E58" s="10">
        <v>20000</v>
      </c>
      <c r="F58" s="10">
        <v>0.18</v>
      </c>
      <c r="G58" s="9">
        <v>44977</v>
      </c>
      <c r="H58" s="12">
        <f t="shared" si="0"/>
        <v>3600</v>
      </c>
      <c r="I58" s="12" t="s">
        <v>10</v>
      </c>
      <c r="J58" s="10"/>
    </row>
    <row r="59" s="26" customFormat="1" hidden="1" spans="2:10">
      <c r="B59" s="86">
        <v>222301323</v>
      </c>
      <c r="C59" s="9">
        <v>44953</v>
      </c>
      <c r="D59" s="10" t="s">
        <v>226</v>
      </c>
      <c r="E59" s="10">
        <v>50000</v>
      </c>
      <c r="F59" s="10">
        <v>0.08</v>
      </c>
      <c r="G59" s="9">
        <v>45036</v>
      </c>
      <c r="H59" s="12">
        <f t="shared" si="0"/>
        <v>4000</v>
      </c>
      <c r="I59" s="12" t="s">
        <v>10</v>
      </c>
      <c r="J59" s="10"/>
    </row>
    <row r="60" s="26" customFormat="1" hidden="1" spans="2:10">
      <c r="B60" s="86">
        <v>222301420</v>
      </c>
      <c r="C60" s="9">
        <v>44958</v>
      </c>
      <c r="D60" s="87" t="s">
        <v>235</v>
      </c>
      <c r="E60" s="10">
        <v>20000</v>
      </c>
      <c r="F60" s="10">
        <v>0.04</v>
      </c>
      <c r="G60" s="9">
        <v>44967</v>
      </c>
      <c r="H60" s="12">
        <f t="shared" si="0"/>
        <v>800</v>
      </c>
      <c r="I60" s="12" t="s">
        <v>10</v>
      </c>
      <c r="J60" s="10"/>
    </row>
    <row r="61" s="26" customFormat="1" hidden="1" spans="2:10">
      <c r="B61" s="86">
        <v>222301423</v>
      </c>
      <c r="C61" s="9">
        <v>44958</v>
      </c>
      <c r="D61" s="87" t="s">
        <v>202</v>
      </c>
      <c r="E61" s="10">
        <v>100000</v>
      </c>
      <c r="F61" s="10">
        <v>0.04</v>
      </c>
      <c r="G61" s="9">
        <v>45036</v>
      </c>
      <c r="H61" s="12">
        <f t="shared" si="0"/>
        <v>4000</v>
      </c>
      <c r="I61" s="12" t="s">
        <v>10</v>
      </c>
      <c r="J61" s="56"/>
    </row>
    <row r="62" s="26" customFormat="1" hidden="1" spans="2:10">
      <c r="B62" s="86">
        <v>222301423</v>
      </c>
      <c r="C62" s="9">
        <v>44958</v>
      </c>
      <c r="D62" s="87" t="s">
        <v>203</v>
      </c>
      <c r="E62" s="10">
        <v>400000</v>
      </c>
      <c r="F62" s="10">
        <v>0.027</v>
      </c>
      <c r="G62" s="9">
        <v>45046</v>
      </c>
      <c r="H62" s="12">
        <f t="shared" si="0"/>
        <v>10800</v>
      </c>
      <c r="I62" s="12" t="s">
        <v>10</v>
      </c>
      <c r="J62" s="56"/>
    </row>
    <row r="63" s="26" customFormat="1" hidden="1" spans="2:10">
      <c r="B63" s="86">
        <v>222301423</v>
      </c>
      <c r="C63" s="9">
        <v>44958</v>
      </c>
      <c r="D63" s="87" t="s">
        <v>203</v>
      </c>
      <c r="E63" s="10">
        <v>400000</v>
      </c>
      <c r="F63" s="10">
        <v>0.027</v>
      </c>
      <c r="G63" s="9">
        <v>45076</v>
      </c>
      <c r="H63" s="12">
        <f t="shared" si="0"/>
        <v>10800</v>
      </c>
      <c r="I63" s="12" t="s">
        <v>10</v>
      </c>
      <c r="J63" s="56"/>
    </row>
    <row r="64" s="26" customFormat="1" hidden="1" spans="2:10">
      <c r="B64" s="86">
        <v>222301423</v>
      </c>
      <c r="C64" s="9">
        <v>44958</v>
      </c>
      <c r="D64" s="87" t="s">
        <v>203</v>
      </c>
      <c r="E64" s="10">
        <v>400000</v>
      </c>
      <c r="F64" s="10">
        <v>0.027</v>
      </c>
      <c r="G64" s="9">
        <v>45107</v>
      </c>
      <c r="H64" s="12">
        <f t="shared" si="0"/>
        <v>10800</v>
      </c>
      <c r="I64" s="12" t="s">
        <v>10</v>
      </c>
      <c r="J64" s="56"/>
    </row>
    <row r="65" s="26" customFormat="1" hidden="1" spans="2:10">
      <c r="B65" s="86">
        <v>222301423</v>
      </c>
      <c r="C65" s="9">
        <v>44958</v>
      </c>
      <c r="D65" s="87" t="s">
        <v>204</v>
      </c>
      <c r="E65" s="10">
        <v>500000</v>
      </c>
      <c r="F65" s="10">
        <v>0.036</v>
      </c>
      <c r="G65" s="9">
        <v>45076</v>
      </c>
      <c r="H65" s="12">
        <f t="shared" si="0"/>
        <v>18000</v>
      </c>
      <c r="I65" s="12" t="s">
        <v>10</v>
      </c>
      <c r="J65" s="56"/>
    </row>
    <row r="66" s="26" customFormat="1" hidden="1" spans="2:10">
      <c r="B66" s="86">
        <v>222301423</v>
      </c>
      <c r="C66" s="9">
        <v>44958</v>
      </c>
      <c r="D66" s="10" t="s">
        <v>32</v>
      </c>
      <c r="E66" s="10">
        <v>500000</v>
      </c>
      <c r="F66" s="10">
        <v>0.02</v>
      </c>
      <c r="G66" s="9">
        <v>45071</v>
      </c>
      <c r="H66" s="12">
        <f t="shared" ref="H66:H129" si="1">E66*F66</f>
        <v>10000</v>
      </c>
      <c r="I66" s="12" t="s">
        <v>10</v>
      </c>
      <c r="J66" s="56"/>
    </row>
    <row r="67" s="26" customFormat="1" hidden="1" spans="2:10">
      <c r="B67" s="86">
        <v>222301424</v>
      </c>
      <c r="C67" s="9">
        <v>44958</v>
      </c>
      <c r="D67" s="87" t="s">
        <v>211</v>
      </c>
      <c r="E67" s="10">
        <v>208000</v>
      </c>
      <c r="F67" s="10">
        <v>0.022</v>
      </c>
      <c r="G67" s="9">
        <v>45036</v>
      </c>
      <c r="H67" s="12">
        <f t="shared" si="1"/>
        <v>4576</v>
      </c>
      <c r="I67" s="12" t="s">
        <v>10</v>
      </c>
      <c r="J67" s="56"/>
    </row>
    <row r="68" s="26" customFormat="1" hidden="1" spans="2:10">
      <c r="B68" s="86">
        <v>222301425</v>
      </c>
      <c r="C68" s="9">
        <v>44958</v>
      </c>
      <c r="D68" s="87" t="s">
        <v>204</v>
      </c>
      <c r="E68" s="10">
        <v>500000</v>
      </c>
      <c r="F68" s="10">
        <v>0.036</v>
      </c>
      <c r="G68" s="9">
        <v>45046</v>
      </c>
      <c r="H68" s="12">
        <f t="shared" si="1"/>
        <v>18000</v>
      </c>
      <c r="I68" s="12" t="s">
        <v>10</v>
      </c>
      <c r="J68" s="56"/>
    </row>
    <row r="69" s="26" customFormat="1" hidden="1" spans="2:10">
      <c r="B69" s="86">
        <v>222301425</v>
      </c>
      <c r="C69" s="9">
        <v>44958</v>
      </c>
      <c r="D69" s="87" t="s">
        <v>207</v>
      </c>
      <c r="E69" s="10">
        <v>72000</v>
      </c>
      <c r="F69" s="10">
        <v>0.03</v>
      </c>
      <c r="G69" s="9">
        <v>45046</v>
      </c>
      <c r="H69" s="12">
        <f t="shared" si="1"/>
        <v>2160</v>
      </c>
      <c r="I69" s="12" t="s">
        <v>10</v>
      </c>
      <c r="J69" s="56"/>
    </row>
    <row r="70" s="26" customFormat="1" hidden="1" spans="2:10">
      <c r="B70" s="86">
        <v>222301425</v>
      </c>
      <c r="C70" s="9">
        <v>44958</v>
      </c>
      <c r="D70" s="87" t="s">
        <v>207</v>
      </c>
      <c r="E70" s="10">
        <v>72000</v>
      </c>
      <c r="F70" s="10">
        <v>0.03</v>
      </c>
      <c r="G70" s="9">
        <v>45076</v>
      </c>
      <c r="H70" s="12">
        <f t="shared" si="1"/>
        <v>2160</v>
      </c>
      <c r="I70" s="12" t="s">
        <v>10</v>
      </c>
      <c r="J70" s="56"/>
    </row>
    <row r="71" s="26" customFormat="1" hidden="1" spans="2:10">
      <c r="B71" s="86">
        <v>222301433</v>
      </c>
      <c r="C71" s="9">
        <v>44958</v>
      </c>
      <c r="D71" s="87" t="s">
        <v>210</v>
      </c>
      <c r="E71" s="10">
        <v>100000</v>
      </c>
      <c r="F71" s="10">
        <v>0.028</v>
      </c>
      <c r="G71" s="9">
        <v>45046</v>
      </c>
      <c r="H71" s="12">
        <f t="shared" si="1"/>
        <v>2800</v>
      </c>
      <c r="I71" s="12" t="s">
        <v>10</v>
      </c>
      <c r="J71" s="56"/>
    </row>
    <row r="72" s="26" customFormat="1" hidden="1" spans="2:10">
      <c r="B72" s="86">
        <v>222301433</v>
      </c>
      <c r="C72" s="9">
        <v>44958</v>
      </c>
      <c r="D72" s="87" t="s">
        <v>210</v>
      </c>
      <c r="E72" s="10">
        <v>100000</v>
      </c>
      <c r="F72" s="10">
        <v>0.028</v>
      </c>
      <c r="G72" s="9">
        <v>45076</v>
      </c>
      <c r="H72" s="12">
        <f t="shared" si="1"/>
        <v>2800</v>
      </c>
      <c r="I72" s="12" t="s">
        <v>10</v>
      </c>
      <c r="J72" s="56"/>
    </row>
    <row r="73" s="26" customFormat="1" hidden="1" spans="2:10">
      <c r="B73" s="86">
        <v>222301434</v>
      </c>
      <c r="C73" s="9">
        <v>44958</v>
      </c>
      <c r="D73" s="87" t="s">
        <v>207</v>
      </c>
      <c r="E73" s="10">
        <v>60000</v>
      </c>
      <c r="F73" s="10">
        <v>0.03</v>
      </c>
      <c r="G73" s="9">
        <v>44977</v>
      </c>
      <c r="H73" s="12">
        <f t="shared" si="1"/>
        <v>1800</v>
      </c>
      <c r="I73" s="12" t="s">
        <v>10</v>
      </c>
      <c r="J73" s="56"/>
    </row>
    <row r="74" s="26" customFormat="1" hidden="1" spans="2:10">
      <c r="B74" s="86">
        <v>222301434</v>
      </c>
      <c r="C74" s="9">
        <v>44958</v>
      </c>
      <c r="D74" s="87" t="s">
        <v>207</v>
      </c>
      <c r="E74" s="88">
        <v>30000</v>
      </c>
      <c r="F74" s="10">
        <v>0.03</v>
      </c>
      <c r="G74" s="9">
        <v>45005</v>
      </c>
      <c r="H74" s="12">
        <f t="shared" si="1"/>
        <v>900</v>
      </c>
      <c r="I74" s="12" t="s">
        <v>10</v>
      </c>
      <c r="J74" s="56"/>
    </row>
    <row r="75" s="26" customFormat="1" hidden="1" spans="2:10">
      <c r="B75" s="86">
        <v>222301438</v>
      </c>
      <c r="C75" s="9">
        <v>44960</v>
      </c>
      <c r="D75" s="87" t="s">
        <v>163</v>
      </c>
      <c r="E75" s="88">
        <v>240000</v>
      </c>
      <c r="F75" s="10">
        <v>0.0025</v>
      </c>
      <c r="G75" s="9">
        <v>45005</v>
      </c>
      <c r="H75" s="12">
        <f t="shared" si="1"/>
        <v>600</v>
      </c>
      <c r="I75" s="12" t="s">
        <v>10</v>
      </c>
      <c r="J75" s="56"/>
    </row>
    <row r="76" s="106" customFormat="1" hidden="1" spans="2:10">
      <c r="B76" s="86">
        <v>222301461</v>
      </c>
      <c r="C76" s="9">
        <v>44966</v>
      </c>
      <c r="D76" s="87" t="s">
        <v>12</v>
      </c>
      <c r="E76" s="88">
        <v>30000</v>
      </c>
      <c r="F76" s="10">
        <v>0.06</v>
      </c>
      <c r="G76" s="9">
        <v>45010</v>
      </c>
      <c r="H76" s="12">
        <f t="shared" si="1"/>
        <v>1800</v>
      </c>
      <c r="I76" s="12" t="s">
        <v>10</v>
      </c>
      <c r="J76" s="10"/>
    </row>
    <row r="77" s="106" customFormat="1" hidden="1" spans="2:10">
      <c r="B77" s="86">
        <v>222301461</v>
      </c>
      <c r="C77" s="9">
        <v>44966</v>
      </c>
      <c r="D77" s="87" t="s">
        <v>215</v>
      </c>
      <c r="E77" s="10">
        <v>300000</v>
      </c>
      <c r="F77" s="10">
        <v>0.028</v>
      </c>
      <c r="G77" s="9">
        <v>45010</v>
      </c>
      <c r="H77" s="12">
        <f t="shared" si="1"/>
        <v>8400</v>
      </c>
      <c r="I77" s="12" t="s">
        <v>10</v>
      </c>
      <c r="J77" s="10"/>
    </row>
    <row r="78" s="107" customFormat="1" hidden="1" spans="2:10">
      <c r="B78" s="86">
        <v>222301461</v>
      </c>
      <c r="C78" s="9">
        <v>44966</v>
      </c>
      <c r="D78" s="87" t="s">
        <v>215</v>
      </c>
      <c r="E78" s="10">
        <v>300000</v>
      </c>
      <c r="F78" s="10">
        <v>0.028</v>
      </c>
      <c r="G78" s="9">
        <v>45010</v>
      </c>
      <c r="H78" s="12">
        <f t="shared" si="1"/>
        <v>8400</v>
      </c>
      <c r="I78" s="12" t="s">
        <v>10</v>
      </c>
      <c r="J78" s="56"/>
    </row>
    <row r="79" s="107" customFormat="1" hidden="1" spans="2:10">
      <c r="B79" s="86">
        <v>222301461</v>
      </c>
      <c r="C79" s="9">
        <v>44966</v>
      </c>
      <c r="D79" s="87" t="s">
        <v>215</v>
      </c>
      <c r="E79" s="10">
        <v>300000</v>
      </c>
      <c r="F79" s="10">
        <v>0.028</v>
      </c>
      <c r="G79" s="9">
        <v>45041</v>
      </c>
      <c r="H79" s="12">
        <f t="shared" si="1"/>
        <v>8400</v>
      </c>
      <c r="I79" s="12" t="s">
        <v>10</v>
      </c>
      <c r="J79" s="56"/>
    </row>
    <row r="80" s="107" customFormat="1" hidden="1" spans="2:10">
      <c r="B80" s="86">
        <v>222301461</v>
      </c>
      <c r="C80" s="9">
        <v>44966</v>
      </c>
      <c r="D80" s="87" t="s">
        <v>215</v>
      </c>
      <c r="E80" s="10">
        <v>300000</v>
      </c>
      <c r="F80" s="10">
        <v>0.028</v>
      </c>
      <c r="G80" s="9">
        <v>45041</v>
      </c>
      <c r="H80" s="12">
        <f t="shared" si="1"/>
        <v>8400</v>
      </c>
      <c r="I80" s="12" t="s">
        <v>10</v>
      </c>
      <c r="J80" s="56"/>
    </row>
    <row r="81" s="106" customFormat="1" hidden="1" spans="2:10">
      <c r="B81" s="86">
        <v>222301461</v>
      </c>
      <c r="C81" s="9">
        <v>44966</v>
      </c>
      <c r="D81" s="87" t="s">
        <v>202</v>
      </c>
      <c r="E81" s="10">
        <v>600000</v>
      </c>
      <c r="F81" s="10">
        <v>0.04</v>
      </c>
      <c r="G81" s="9">
        <v>44982</v>
      </c>
      <c r="H81" s="12">
        <f t="shared" si="1"/>
        <v>24000</v>
      </c>
      <c r="I81" s="12" t="s">
        <v>10</v>
      </c>
      <c r="J81" s="10"/>
    </row>
    <row r="82" s="106" customFormat="1" hidden="1" spans="2:10">
      <c r="B82" s="86">
        <v>222301461</v>
      </c>
      <c r="C82" s="9">
        <v>44966</v>
      </c>
      <c r="D82" s="87" t="s">
        <v>202</v>
      </c>
      <c r="E82" s="10">
        <v>600000</v>
      </c>
      <c r="F82" s="10">
        <v>0.04</v>
      </c>
      <c r="G82" s="9">
        <v>45010</v>
      </c>
      <c r="H82" s="12">
        <f t="shared" si="1"/>
        <v>24000</v>
      </c>
      <c r="I82" s="12" t="s">
        <v>10</v>
      </c>
      <c r="J82" s="10"/>
    </row>
    <row r="83" s="107" customFormat="1" hidden="1" spans="2:10">
      <c r="B83" s="86">
        <v>222301461</v>
      </c>
      <c r="C83" s="9">
        <v>44966</v>
      </c>
      <c r="D83" s="87" t="s">
        <v>202</v>
      </c>
      <c r="E83" s="10">
        <v>600000</v>
      </c>
      <c r="F83" s="10">
        <v>0.04</v>
      </c>
      <c r="G83" s="9">
        <v>45041</v>
      </c>
      <c r="H83" s="12">
        <f t="shared" si="1"/>
        <v>24000</v>
      </c>
      <c r="I83" s="12" t="s">
        <v>10</v>
      </c>
      <c r="J83" s="56"/>
    </row>
    <row r="84" s="107" customFormat="1" hidden="1" spans="2:10">
      <c r="B84" s="86">
        <v>222301462</v>
      </c>
      <c r="C84" s="9">
        <v>44966</v>
      </c>
      <c r="D84" s="87" t="s">
        <v>204</v>
      </c>
      <c r="E84" s="10">
        <v>250000</v>
      </c>
      <c r="F84" s="10">
        <v>0.036</v>
      </c>
      <c r="G84" s="9">
        <v>45041</v>
      </c>
      <c r="H84" s="12">
        <f t="shared" si="1"/>
        <v>9000</v>
      </c>
      <c r="I84" s="12" t="s">
        <v>10</v>
      </c>
      <c r="J84" s="56"/>
    </row>
    <row r="85" s="106" customFormat="1" hidden="1" spans="2:10">
      <c r="B85" s="86">
        <v>222301462</v>
      </c>
      <c r="C85" s="9">
        <v>44966</v>
      </c>
      <c r="D85" s="10" t="s">
        <v>32</v>
      </c>
      <c r="E85" s="10">
        <v>100000</v>
      </c>
      <c r="F85" s="10">
        <v>0.02</v>
      </c>
      <c r="G85" s="9">
        <v>45010</v>
      </c>
      <c r="H85" s="12">
        <f t="shared" si="1"/>
        <v>2000</v>
      </c>
      <c r="I85" s="12" t="s">
        <v>10</v>
      </c>
      <c r="J85" s="10"/>
    </row>
    <row r="86" s="107" customFormat="1" hidden="1" spans="2:10">
      <c r="B86" s="86">
        <v>222301462</v>
      </c>
      <c r="C86" s="9">
        <v>44966</v>
      </c>
      <c r="D86" s="10" t="s">
        <v>32</v>
      </c>
      <c r="E86" s="10">
        <v>80000</v>
      </c>
      <c r="F86" s="10">
        <v>0.02</v>
      </c>
      <c r="G86" s="9">
        <v>45041</v>
      </c>
      <c r="H86" s="12">
        <f t="shared" si="1"/>
        <v>1600</v>
      </c>
      <c r="I86" s="12" t="s">
        <v>10</v>
      </c>
      <c r="J86" s="56"/>
    </row>
    <row r="87" s="106" customFormat="1" hidden="1" spans="2:10">
      <c r="B87" s="86">
        <v>222301462</v>
      </c>
      <c r="C87" s="9">
        <v>44966</v>
      </c>
      <c r="D87" s="10" t="s">
        <v>207</v>
      </c>
      <c r="E87" s="10">
        <v>200000</v>
      </c>
      <c r="F87" s="10">
        <v>0.03</v>
      </c>
      <c r="G87" s="9">
        <v>45041</v>
      </c>
      <c r="H87" s="12">
        <f t="shared" si="1"/>
        <v>6000</v>
      </c>
      <c r="I87" s="12" t="s">
        <v>10</v>
      </c>
      <c r="J87" s="10"/>
    </row>
    <row r="88" s="106" customFormat="1" hidden="1" spans="2:10">
      <c r="B88" s="86">
        <v>222301462</v>
      </c>
      <c r="C88" s="9">
        <v>44966</v>
      </c>
      <c r="D88" s="10" t="s">
        <v>207</v>
      </c>
      <c r="E88" s="10">
        <v>200000</v>
      </c>
      <c r="F88" s="10">
        <v>0.03</v>
      </c>
      <c r="G88" s="9">
        <v>45041</v>
      </c>
      <c r="H88" s="12">
        <f t="shared" si="1"/>
        <v>6000</v>
      </c>
      <c r="I88" s="12" t="s">
        <v>10</v>
      </c>
      <c r="J88" s="10"/>
    </row>
    <row r="89" s="106" customFormat="1" hidden="1" spans="2:10">
      <c r="B89" s="86">
        <v>222301462</v>
      </c>
      <c r="C89" s="9">
        <v>44966</v>
      </c>
      <c r="D89" s="10" t="s">
        <v>213</v>
      </c>
      <c r="E89" s="10">
        <v>200000</v>
      </c>
      <c r="F89" s="10">
        <v>0.05</v>
      </c>
      <c r="G89" s="9">
        <v>45041</v>
      </c>
      <c r="H89" s="12">
        <f t="shared" si="1"/>
        <v>10000</v>
      </c>
      <c r="I89" s="12" t="s">
        <v>10</v>
      </c>
      <c r="J89" s="10"/>
    </row>
    <row r="90" s="106" customFormat="1" hidden="1" spans="2:10">
      <c r="B90" s="86">
        <v>222301462</v>
      </c>
      <c r="C90" s="9">
        <v>44966</v>
      </c>
      <c r="D90" s="87" t="s">
        <v>238</v>
      </c>
      <c r="E90" s="10">
        <v>400000</v>
      </c>
      <c r="F90" s="10">
        <v>0.035</v>
      </c>
      <c r="G90" s="9">
        <v>44977</v>
      </c>
      <c r="H90" s="12">
        <f t="shared" si="1"/>
        <v>14000</v>
      </c>
      <c r="I90" s="12" t="s">
        <v>10</v>
      </c>
      <c r="J90" s="10"/>
    </row>
    <row r="91" s="106" customFormat="1" hidden="1" spans="2:10">
      <c r="B91" s="86">
        <v>222301462</v>
      </c>
      <c r="C91" s="9">
        <v>44966</v>
      </c>
      <c r="D91" s="87" t="s">
        <v>238</v>
      </c>
      <c r="E91" s="10">
        <v>200000</v>
      </c>
      <c r="F91" s="10">
        <v>0.035</v>
      </c>
      <c r="G91" s="9">
        <v>45010</v>
      </c>
      <c r="H91" s="12">
        <f t="shared" si="1"/>
        <v>7000</v>
      </c>
      <c r="I91" s="12" t="s">
        <v>10</v>
      </c>
      <c r="J91" s="10"/>
    </row>
    <row r="92" s="107" customFormat="1" hidden="1" spans="2:10">
      <c r="B92" s="86">
        <v>222301462</v>
      </c>
      <c r="C92" s="9">
        <v>44966</v>
      </c>
      <c r="D92" s="87" t="s">
        <v>238</v>
      </c>
      <c r="E92" s="10">
        <v>200000</v>
      </c>
      <c r="F92" s="10">
        <v>0.035</v>
      </c>
      <c r="G92" s="9">
        <v>45071</v>
      </c>
      <c r="H92" s="12">
        <f t="shared" si="1"/>
        <v>7000</v>
      </c>
      <c r="I92" s="12" t="s">
        <v>10</v>
      </c>
      <c r="J92" s="56"/>
    </row>
    <row r="93" s="106" customFormat="1" hidden="1" spans="2:10">
      <c r="B93" s="86">
        <v>222301462</v>
      </c>
      <c r="C93" s="9">
        <v>44966</v>
      </c>
      <c r="D93" s="87" t="s">
        <v>239</v>
      </c>
      <c r="E93" s="10">
        <v>200000</v>
      </c>
      <c r="F93" s="10">
        <v>0.03</v>
      </c>
      <c r="G93" s="9">
        <v>44977</v>
      </c>
      <c r="H93" s="12">
        <f t="shared" si="1"/>
        <v>6000</v>
      </c>
      <c r="I93" s="12" t="s">
        <v>10</v>
      </c>
      <c r="J93" s="10"/>
    </row>
    <row r="94" s="106" customFormat="1" hidden="1" spans="2:10">
      <c r="B94" s="86">
        <v>222301462</v>
      </c>
      <c r="C94" s="9">
        <v>44966</v>
      </c>
      <c r="D94" s="87" t="s">
        <v>239</v>
      </c>
      <c r="E94" s="10">
        <v>100000</v>
      </c>
      <c r="F94" s="10">
        <v>0.03</v>
      </c>
      <c r="G94" s="9">
        <v>45010</v>
      </c>
      <c r="H94" s="12">
        <f t="shared" si="1"/>
        <v>3000</v>
      </c>
      <c r="I94" s="12" t="s">
        <v>10</v>
      </c>
      <c r="J94" s="10"/>
    </row>
    <row r="95" s="107" customFormat="1" hidden="1" spans="2:10">
      <c r="B95" s="86">
        <v>222301462</v>
      </c>
      <c r="C95" s="9">
        <v>44966</v>
      </c>
      <c r="D95" s="87" t="s">
        <v>239</v>
      </c>
      <c r="E95" s="10">
        <v>100000</v>
      </c>
      <c r="F95" s="10">
        <v>0.03</v>
      </c>
      <c r="G95" s="9">
        <v>45071</v>
      </c>
      <c r="H95" s="12">
        <f t="shared" si="1"/>
        <v>3000</v>
      </c>
      <c r="I95" s="12" t="s">
        <v>10</v>
      </c>
      <c r="J95" s="56"/>
    </row>
    <row r="96" s="106" customFormat="1" hidden="1" spans="2:10">
      <c r="B96" s="86">
        <v>222301462</v>
      </c>
      <c r="C96" s="9">
        <v>44966</v>
      </c>
      <c r="D96" s="87" t="s">
        <v>240</v>
      </c>
      <c r="E96" s="10">
        <v>200000</v>
      </c>
      <c r="F96" s="10">
        <v>0.03</v>
      </c>
      <c r="G96" s="9">
        <v>44977</v>
      </c>
      <c r="H96" s="12">
        <f t="shared" si="1"/>
        <v>6000</v>
      </c>
      <c r="I96" s="12" t="s">
        <v>10</v>
      </c>
      <c r="J96" s="10"/>
    </row>
    <row r="97" s="106" customFormat="1" hidden="1" spans="2:11">
      <c r="B97" s="86">
        <v>222301462</v>
      </c>
      <c r="C97" s="9">
        <v>44966</v>
      </c>
      <c r="D97" s="87" t="s">
        <v>240</v>
      </c>
      <c r="E97" s="10">
        <v>100000</v>
      </c>
      <c r="F97" s="10">
        <v>0.03</v>
      </c>
      <c r="G97" s="9">
        <v>45010</v>
      </c>
      <c r="H97" s="12">
        <f t="shared" si="1"/>
        <v>3000</v>
      </c>
      <c r="I97" s="12" t="s">
        <v>10</v>
      </c>
      <c r="J97" s="10"/>
    </row>
    <row r="98" s="107" customFormat="1" hidden="1" spans="2:11">
      <c r="B98" s="86">
        <v>222301462</v>
      </c>
      <c r="C98" s="9">
        <v>44966</v>
      </c>
      <c r="D98" s="87" t="s">
        <v>240</v>
      </c>
      <c r="E98" s="10">
        <v>100000</v>
      </c>
      <c r="F98" s="10">
        <v>0.03</v>
      </c>
      <c r="G98" s="9">
        <v>45071</v>
      </c>
      <c r="H98" s="12">
        <f t="shared" si="1"/>
        <v>3000</v>
      </c>
      <c r="I98" s="12" t="s">
        <v>10</v>
      </c>
      <c r="J98" s="56"/>
    </row>
    <row r="99" s="107" customFormat="1" hidden="1" spans="2:11">
      <c r="B99" s="86">
        <v>222301470</v>
      </c>
      <c r="C99" s="9">
        <v>44967</v>
      </c>
      <c r="D99" s="10" t="s">
        <v>241</v>
      </c>
      <c r="E99" s="10">
        <v>1064</v>
      </c>
      <c r="F99" s="10">
        <v>0.12</v>
      </c>
      <c r="G99" s="9">
        <v>44967</v>
      </c>
      <c r="H99" s="12">
        <f t="shared" si="1"/>
        <v>127.68</v>
      </c>
      <c r="I99" s="12" t="s">
        <v>10</v>
      </c>
      <c r="J99" s="56"/>
    </row>
    <row r="100" s="107" customFormat="1" hidden="1" spans="2:11">
      <c r="B100" s="86">
        <v>222301473</v>
      </c>
      <c r="C100" s="9">
        <v>44970</v>
      </c>
      <c r="D100" s="10" t="s">
        <v>46</v>
      </c>
      <c r="E100" s="10">
        <v>144000</v>
      </c>
      <c r="F100" s="10">
        <v>0.022</v>
      </c>
      <c r="G100" s="9">
        <v>44985</v>
      </c>
      <c r="H100" s="12">
        <f t="shared" si="1"/>
        <v>3168</v>
      </c>
      <c r="I100" s="12" t="s">
        <v>10</v>
      </c>
      <c r="J100" s="56"/>
    </row>
    <row r="101" s="106" customFormat="1" hidden="1" spans="2:11">
      <c r="B101" s="111">
        <v>222301477</v>
      </c>
      <c r="C101" s="112">
        <v>44970</v>
      </c>
      <c r="D101" s="113" t="s">
        <v>242</v>
      </c>
      <c r="E101" s="113">
        <v>20000</v>
      </c>
      <c r="F101" s="113">
        <v>0.043</v>
      </c>
      <c r="G101" s="112">
        <v>45005</v>
      </c>
      <c r="H101" s="114">
        <f t="shared" si="1"/>
        <v>860</v>
      </c>
      <c r="I101" s="12" t="s">
        <v>10</v>
      </c>
      <c r="J101" s="113"/>
    </row>
    <row r="102" s="107" customFormat="1" hidden="1" spans="2:11">
      <c r="B102" s="90">
        <v>222301481</v>
      </c>
      <c r="C102" s="11">
        <v>44971</v>
      </c>
      <c r="D102" s="8" t="s">
        <v>200</v>
      </c>
      <c r="E102" s="8">
        <v>200000</v>
      </c>
      <c r="F102" s="8">
        <v>0.05</v>
      </c>
      <c r="G102" s="11">
        <v>45002</v>
      </c>
      <c r="H102" s="68">
        <f t="shared" si="1"/>
        <v>10000</v>
      </c>
      <c r="I102" s="12" t="s">
        <v>10</v>
      </c>
      <c r="J102" s="93"/>
    </row>
    <row r="103" s="106" customFormat="1" hidden="1" spans="2:11">
      <c r="B103" s="90">
        <v>222301481</v>
      </c>
      <c r="C103" s="11">
        <v>44971</v>
      </c>
      <c r="D103" s="8" t="s">
        <v>200</v>
      </c>
      <c r="E103" s="8">
        <v>200000</v>
      </c>
      <c r="F103" s="8">
        <v>0.05</v>
      </c>
      <c r="G103" s="11">
        <v>45033</v>
      </c>
      <c r="H103" s="68">
        <f t="shared" si="1"/>
        <v>10000</v>
      </c>
      <c r="I103" s="12" t="s">
        <v>10</v>
      </c>
      <c r="J103" s="87"/>
    </row>
    <row r="104" s="107" customFormat="1" hidden="1" spans="2:11">
      <c r="B104" s="90">
        <v>222301481</v>
      </c>
      <c r="C104" s="11">
        <v>44971</v>
      </c>
      <c r="D104" s="8" t="s">
        <v>200</v>
      </c>
      <c r="E104" s="8">
        <v>200000</v>
      </c>
      <c r="F104" s="8">
        <v>0.05</v>
      </c>
      <c r="G104" s="11">
        <v>45094</v>
      </c>
      <c r="H104" s="68">
        <f t="shared" si="1"/>
        <v>10000</v>
      </c>
      <c r="I104" s="12" t="s">
        <v>10</v>
      </c>
      <c r="J104" s="93"/>
    </row>
    <row r="105" s="106" customFormat="1" hidden="1" spans="2:11">
      <c r="B105" s="86">
        <v>222301481</v>
      </c>
      <c r="C105" s="97">
        <v>44971</v>
      </c>
      <c r="D105" s="87" t="s">
        <v>210</v>
      </c>
      <c r="E105" s="87">
        <v>200000</v>
      </c>
      <c r="F105" s="87">
        <v>0.028</v>
      </c>
      <c r="G105" s="97">
        <v>45063</v>
      </c>
      <c r="H105" s="12">
        <f t="shared" si="1"/>
        <v>5600</v>
      </c>
      <c r="I105" s="12" t="s">
        <v>10</v>
      </c>
      <c r="J105" s="87"/>
    </row>
    <row r="106" s="106" customFormat="1" hidden="1" spans="2:11">
      <c r="B106" s="86">
        <v>222301481</v>
      </c>
      <c r="C106" s="97">
        <v>44971</v>
      </c>
      <c r="D106" s="87" t="s">
        <v>243</v>
      </c>
      <c r="E106" s="87">
        <v>96000</v>
      </c>
      <c r="F106" s="87">
        <v>0.022</v>
      </c>
      <c r="G106" s="97">
        <v>45002</v>
      </c>
      <c r="H106" s="12">
        <f t="shared" si="1"/>
        <v>2112</v>
      </c>
      <c r="I106" s="12" t="s">
        <v>10</v>
      </c>
      <c r="J106" s="87"/>
    </row>
    <row r="107" s="106" customFormat="1" hidden="1" spans="2:11">
      <c r="B107" s="86">
        <v>222301481</v>
      </c>
      <c r="C107" s="97">
        <v>44971</v>
      </c>
      <c r="D107" s="87" t="s">
        <v>243</v>
      </c>
      <c r="E107" s="87">
        <v>96000</v>
      </c>
      <c r="F107" s="87">
        <v>0.022</v>
      </c>
      <c r="G107" s="97">
        <v>45033</v>
      </c>
      <c r="H107" s="12">
        <f t="shared" si="1"/>
        <v>2112</v>
      </c>
      <c r="I107" s="12" t="s">
        <v>10</v>
      </c>
      <c r="J107" s="87"/>
    </row>
    <row r="108" s="107" customFormat="1" hidden="1" spans="2:11">
      <c r="B108" s="86">
        <v>222301481</v>
      </c>
      <c r="C108" s="97">
        <v>44971</v>
      </c>
      <c r="D108" s="87" t="s">
        <v>236</v>
      </c>
      <c r="E108" s="87">
        <v>96000</v>
      </c>
      <c r="F108" s="87">
        <v>0.006</v>
      </c>
      <c r="G108" s="97">
        <v>45002</v>
      </c>
      <c r="H108" s="12">
        <f t="shared" si="1"/>
        <v>576</v>
      </c>
      <c r="I108" s="12" t="s">
        <v>10</v>
      </c>
      <c r="J108" s="93"/>
    </row>
    <row r="109" s="106" customFormat="1" hidden="1" spans="2:11">
      <c r="B109" s="115">
        <v>222301483</v>
      </c>
      <c r="C109" s="116">
        <v>44971</v>
      </c>
      <c r="D109" s="117" t="s">
        <v>202</v>
      </c>
      <c r="E109" s="118">
        <v>200000</v>
      </c>
      <c r="F109" s="118">
        <v>0.04</v>
      </c>
      <c r="G109" s="116">
        <v>45026</v>
      </c>
      <c r="H109" s="119">
        <f t="shared" si="1"/>
        <v>8000</v>
      </c>
      <c r="I109" s="12" t="s">
        <v>10</v>
      </c>
      <c r="J109" s="118"/>
    </row>
    <row r="110" s="106" customFormat="1" hidden="1" spans="2:11">
      <c r="B110" s="86">
        <v>222301485</v>
      </c>
      <c r="C110" s="9">
        <v>44972</v>
      </c>
      <c r="D110" s="10" t="s">
        <v>9</v>
      </c>
      <c r="E110" s="10">
        <v>20000</v>
      </c>
      <c r="F110" s="10">
        <v>0.0254</v>
      </c>
      <c r="G110" s="9">
        <v>45005</v>
      </c>
      <c r="H110" s="12">
        <f t="shared" si="1"/>
        <v>508</v>
      </c>
      <c r="I110" s="12" t="s">
        <v>10</v>
      </c>
      <c r="J110" s="10"/>
    </row>
    <row r="111" s="106" customFormat="1" hidden="1" spans="2:11">
      <c r="B111" s="86">
        <v>222301485</v>
      </c>
      <c r="C111" s="9">
        <v>44972</v>
      </c>
      <c r="D111" s="10" t="s">
        <v>9</v>
      </c>
      <c r="E111" s="10">
        <v>20000</v>
      </c>
      <c r="F111" s="10">
        <v>0.0254</v>
      </c>
      <c r="G111" s="9">
        <v>45036</v>
      </c>
      <c r="H111" s="12">
        <f t="shared" si="1"/>
        <v>508</v>
      </c>
      <c r="I111" s="12" t="s">
        <v>10</v>
      </c>
      <c r="J111" s="10"/>
    </row>
    <row r="112" s="107" customFormat="1" hidden="1" spans="2:11">
      <c r="B112" s="86">
        <v>222301486</v>
      </c>
      <c r="C112" s="9">
        <v>44972</v>
      </c>
      <c r="D112" s="87" t="s">
        <v>210</v>
      </c>
      <c r="E112" s="10">
        <v>200000</v>
      </c>
      <c r="F112" s="10">
        <v>0.028</v>
      </c>
      <c r="G112" s="9">
        <v>45026</v>
      </c>
      <c r="H112" s="12">
        <f t="shared" si="1"/>
        <v>5600</v>
      </c>
      <c r="I112" s="12" t="s">
        <v>10</v>
      </c>
      <c r="J112" s="10"/>
      <c r="K112" s="106"/>
    </row>
    <row r="113" s="107" customFormat="1" hidden="1" spans="2:10">
      <c r="B113" s="86">
        <v>222301487</v>
      </c>
      <c r="C113" s="9">
        <v>44971</v>
      </c>
      <c r="D113" s="10" t="s">
        <v>244</v>
      </c>
      <c r="E113" s="10">
        <v>96000</v>
      </c>
      <c r="F113" s="10">
        <v>0.006</v>
      </c>
      <c r="G113" s="9">
        <v>45026</v>
      </c>
      <c r="H113" s="12">
        <f t="shared" si="1"/>
        <v>576</v>
      </c>
      <c r="I113" s="12" t="s">
        <v>10</v>
      </c>
      <c r="J113" s="56"/>
    </row>
    <row r="114" s="107" customFormat="1" hidden="1" spans="2:10">
      <c r="B114" s="86">
        <v>222301487</v>
      </c>
      <c r="C114" s="9">
        <v>44971</v>
      </c>
      <c r="D114" s="10" t="s">
        <v>245</v>
      </c>
      <c r="E114" s="10">
        <v>96000</v>
      </c>
      <c r="F114" s="10">
        <v>0.006</v>
      </c>
      <c r="G114" s="9">
        <v>45056</v>
      </c>
      <c r="H114" s="12">
        <f t="shared" si="1"/>
        <v>576</v>
      </c>
      <c r="I114" s="12" t="s">
        <v>10</v>
      </c>
      <c r="J114" s="56"/>
    </row>
    <row r="115" s="107" customFormat="1" hidden="1" spans="2:10">
      <c r="B115" s="86">
        <v>222301487</v>
      </c>
      <c r="C115" s="9">
        <v>44971</v>
      </c>
      <c r="D115" s="10" t="s">
        <v>163</v>
      </c>
      <c r="E115" s="10">
        <v>208000</v>
      </c>
      <c r="F115" s="10">
        <v>0.0025</v>
      </c>
      <c r="G115" s="9">
        <v>45026</v>
      </c>
      <c r="H115" s="12">
        <f t="shared" si="1"/>
        <v>520</v>
      </c>
      <c r="I115" s="12" t="s">
        <v>10</v>
      </c>
      <c r="J115" s="56"/>
    </row>
    <row r="116" s="107" customFormat="1" hidden="1" spans="2:10">
      <c r="B116" s="120">
        <v>222301487</v>
      </c>
      <c r="C116" s="121">
        <v>44971</v>
      </c>
      <c r="D116" s="122" t="s">
        <v>200</v>
      </c>
      <c r="E116" s="123">
        <v>100000</v>
      </c>
      <c r="F116" s="123">
        <v>0.05</v>
      </c>
      <c r="G116" s="121">
        <v>45026</v>
      </c>
      <c r="H116" s="124">
        <f t="shared" si="1"/>
        <v>5000</v>
      </c>
      <c r="I116" s="12" t="s">
        <v>10</v>
      </c>
      <c r="J116" s="125"/>
    </row>
    <row r="117" s="107" customFormat="1" hidden="1" spans="2:10">
      <c r="B117" s="86">
        <v>222301488</v>
      </c>
      <c r="C117" s="97">
        <v>44972</v>
      </c>
      <c r="D117" s="87" t="s">
        <v>246</v>
      </c>
      <c r="E117" s="87">
        <v>30000</v>
      </c>
      <c r="F117" s="87">
        <v>0.07</v>
      </c>
      <c r="G117" s="97">
        <v>45010</v>
      </c>
      <c r="H117" s="12">
        <f t="shared" si="1"/>
        <v>2100</v>
      </c>
      <c r="I117" s="12" t="s">
        <v>10</v>
      </c>
      <c r="J117" s="87"/>
    </row>
    <row r="118" s="107" customFormat="1" hidden="1" spans="2:10">
      <c r="B118" s="86">
        <v>222301488</v>
      </c>
      <c r="C118" s="97">
        <v>44972</v>
      </c>
      <c r="D118" s="87" t="s">
        <v>246</v>
      </c>
      <c r="E118" s="87">
        <v>20000</v>
      </c>
      <c r="F118" s="87">
        <v>0.07</v>
      </c>
      <c r="G118" s="97">
        <v>45041</v>
      </c>
      <c r="H118" s="12">
        <f t="shared" si="1"/>
        <v>1400</v>
      </c>
      <c r="I118" s="12" t="s">
        <v>10</v>
      </c>
      <c r="J118" s="87"/>
    </row>
    <row r="119" s="107" customFormat="1" hidden="1" spans="2:10">
      <c r="B119" s="86">
        <v>222301488</v>
      </c>
      <c r="C119" s="97">
        <v>44972</v>
      </c>
      <c r="D119" s="87" t="s">
        <v>246</v>
      </c>
      <c r="E119" s="87">
        <v>20000</v>
      </c>
      <c r="F119" s="87">
        <v>0.07</v>
      </c>
      <c r="G119" s="97">
        <v>45102</v>
      </c>
      <c r="H119" s="12">
        <f t="shared" si="1"/>
        <v>1400</v>
      </c>
      <c r="I119" s="12" t="s">
        <v>10</v>
      </c>
      <c r="J119" s="93"/>
    </row>
    <row r="120" s="106" customFormat="1" hidden="1" spans="2:10">
      <c r="B120" s="86">
        <v>222301488</v>
      </c>
      <c r="C120" s="97">
        <v>44972</v>
      </c>
      <c r="D120" s="87" t="s">
        <v>247</v>
      </c>
      <c r="E120" s="87">
        <v>400000</v>
      </c>
      <c r="F120" s="87">
        <v>0.0405</v>
      </c>
      <c r="G120" s="97">
        <v>45010</v>
      </c>
      <c r="H120" s="12">
        <f t="shared" si="1"/>
        <v>16200</v>
      </c>
      <c r="I120" s="12" t="s">
        <v>10</v>
      </c>
      <c r="J120" s="87"/>
    </row>
    <row r="121" s="106" customFormat="1" hidden="1" spans="2:10">
      <c r="B121" s="86">
        <v>222301488</v>
      </c>
      <c r="C121" s="97">
        <v>44972</v>
      </c>
      <c r="D121" s="87" t="s">
        <v>247</v>
      </c>
      <c r="E121" s="87">
        <v>200000</v>
      </c>
      <c r="F121" s="87">
        <v>0.0405</v>
      </c>
      <c r="G121" s="97">
        <v>45041</v>
      </c>
      <c r="H121" s="12">
        <f t="shared" si="1"/>
        <v>8100</v>
      </c>
      <c r="I121" s="12" t="s">
        <v>10</v>
      </c>
      <c r="J121" s="87"/>
    </row>
    <row r="122" s="106" customFormat="1" hidden="1" spans="2:10">
      <c r="B122" s="86">
        <v>222301488</v>
      </c>
      <c r="C122" s="97">
        <v>44972</v>
      </c>
      <c r="D122" s="87" t="s">
        <v>247</v>
      </c>
      <c r="E122" s="87">
        <v>300000</v>
      </c>
      <c r="F122" s="87">
        <v>0.0405</v>
      </c>
      <c r="G122" s="97">
        <v>45071</v>
      </c>
      <c r="H122" s="12">
        <f t="shared" si="1"/>
        <v>12150</v>
      </c>
      <c r="I122" s="12" t="s">
        <v>10</v>
      </c>
      <c r="J122" s="87"/>
    </row>
    <row r="123" s="106" customFormat="1" hidden="1" spans="2:10">
      <c r="B123" s="86">
        <v>222301488</v>
      </c>
      <c r="C123" s="97">
        <v>44972</v>
      </c>
      <c r="D123" s="87" t="s">
        <v>223</v>
      </c>
      <c r="E123" s="87">
        <v>200000</v>
      </c>
      <c r="F123" s="87">
        <v>0.08</v>
      </c>
      <c r="G123" s="97">
        <v>45041</v>
      </c>
      <c r="H123" s="12">
        <f t="shared" si="1"/>
        <v>16000</v>
      </c>
      <c r="I123" s="12" t="s">
        <v>10</v>
      </c>
      <c r="J123" s="87"/>
    </row>
    <row r="124" s="106" customFormat="1" hidden="1" spans="2:10">
      <c r="B124" s="86">
        <v>222301488</v>
      </c>
      <c r="C124" s="97">
        <v>44972</v>
      </c>
      <c r="D124" s="87" t="s">
        <v>223</v>
      </c>
      <c r="E124" s="87">
        <v>200000</v>
      </c>
      <c r="F124" s="87">
        <v>0.08</v>
      </c>
      <c r="G124" s="97">
        <v>45071</v>
      </c>
      <c r="H124" s="12">
        <f t="shared" si="1"/>
        <v>16000</v>
      </c>
      <c r="I124" s="12" t="s">
        <v>10</v>
      </c>
      <c r="J124" s="87"/>
    </row>
    <row r="125" s="107" customFormat="1" hidden="1" spans="2:10">
      <c r="B125" s="115">
        <v>222301489</v>
      </c>
      <c r="C125" s="116">
        <v>44972</v>
      </c>
      <c r="D125" s="118" t="s">
        <v>100</v>
      </c>
      <c r="E125" s="118">
        <v>100000</v>
      </c>
      <c r="F125" s="118">
        <v>0.03</v>
      </c>
      <c r="G125" s="116">
        <v>45026</v>
      </c>
      <c r="H125" s="119">
        <f t="shared" si="1"/>
        <v>3000</v>
      </c>
      <c r="I125" s="12" t="s">
        <v>10</v>
      </c>
      <c r="J125" s="126"/>
    </row>
    <row r="126" s="107" customFormat="1" hidden="1" spans="2:10">
      <c r="B126" s="86">
        <v>222301489</v>
      </c>
      <c r="C126" s="9">
        <v>44972</v>
      </c>
      <c r="D126" s="87" t="s">
        <v>207</v>
      </c>
      <c r="E126" s="10">
        <v>50000</v>
      </c>
      <c r="F126" s="10">
        <v>0.03</v>
      </c>
      <c r="G126" s="9">
        <v>45026</v>
      </c>
      <c r="H126" s="12">
        <f t="shared" si="1"/>
        <v>1500</v>
      </c>
      <c r="I126" s="12" t="s">
        <v>10</v>
      </c>
      <c r="J126" s="56"/>
    </row>
    <row r="127" s="106" customFormat="1" hidden="1" spans="2:10">
      <c r="B127" s="86">
        <v>222301492</v>
      </c>
      <c r="C127" s="9">
        <v>44973</v>
      </c>
      <c r="D127" s="87" t="s">
        <v>232</v>
      </c>
      <c r="E127" s="10">
        <v>48000</v>
      </c>
      <c r="F127" s="10">
        <v>0.08</v>
      </c>
      <c r="G127" s="9">
        <v>44995</v>
      </c>
      <c r="H127" s="12">
        <f t="shared" si="1"/>
        <v>3840</v>
      </c>
      <c r="I127" s="12" t="s">
        <v>10</v>
      </c>
      <c r="J127" s="10"/>
    </row>
    <row r="128" s="106" customFormat="1" hidden="1" spans="2:10">
      <c r="B128" s="86">
        <v>222301492</v>
      </c>
      <c r="C128" s="9">
        <v>44973</v>
      </c>
      <c r="D128" s="87" t="s">
        <v>232</v>
      </c>
      <c r="E128" s="10">
        <v>48000</v>
      </c>
      <c r="F128" s="10">
        <v>0.08</v>
      </c>
      <c r="G128" s="9">
        <v>45010</v>
      </c>
      <c r="H128" s="12">
        <f t="shared" si="1"/>
        <v>3840</v>
      </c>
      <c r="I128" s="12" t="s">
        <v>10</v>
      </c>
      <c r="J128" s="10"/>
    </row>
    <row r="129" s="106" customFormat="1" hidden="1" spans="2:10">
      <c r="B129" s="86">
        <v>222301493</v>
      </c>
      <c r="C129" s="9">
        <v>44973</v>
      </c>
      <c r="D129" s="87" t="s">
        <v>202</v>
      </c>
      <c r="E129" s="88">
        <v>100000</v>
      </c>
      <c r="F129" s="10">
        <v>0.04</v>
      </c>
      <c r="G129" s="9">
        <v>45056</v>
      </c>
      <c r="H129" s="12">
        <f t="shared" si="1"/>
        <v>4000</v>
      </c>
      <c r="I129" s="12" t="s">
        <v>10</v>
      </c>
      <c r="J129" s="10"/>
    </row>
    <row r="130" s="106" customFormat="1" hidden="1" spans="2:10">
      <c r="B130" s="86">
        <v>222301497</v>
      </c>
      <c r="C130" s="9">
        <v>44974</v>
      </c>
      <c r="D130" s="10" t="s">
        <v>100</v>
      </c>
      <c r="E130" s="10">
        <v>100000</v>
      </c>
      <c r="F130" s="10">
        <v>0.03</v>
      </c>
      <c r="G130" s="9">
        <v>45056</v>
      </c>
      <c r="H130" s="12">
        <f t="shared" ref="H130:H193" si="2">E130*F130</f>
        <v>3000</v>
      </c>
      <c r="I130" s="12" t="s">
        <v>10</v>
      </c>
      <c r="J130" s="10"/>
    </row>
    <row r="131" s="106" customFormat="1" hidden="1" spans="2:10">
      <c r="B131" s="86">
        <v>222301497</v>
      </c>
      <c r="C131" s="9">
        <v>44974</v>
      </c>
      <c r="D131" s="87" t="s">
        <v>207</v>
      </c>
      <c r="E131" s="10">
        <v>50000</v>
      </c>
      <c r="F131" s="10">
        <v>0.03</v>
      </c>
      <c r="G131" s="9">
        <v>45056</v>
      </c>
      <c r="H131" s="12">
        <f t="shared" si="2"/>
        <v>1500</v>
      </c>
      <c r="I131" s="12" t="s">
        <v>10</v>
      </c>
      <c r="J131" s="10"/>
    </row>
    <row r="132" s="106" customFormat="1" hidden="1" spans="2:10">
      <c r="B132" s="86">
        <v>222301498</v>
      </c>
      <c r="C132" s="9">
        <v>44974</v>
      </c>
      <c r="D132" s="87" t="s">
        <v>248</v>
      </c>
      <c r="E132" s="10">
        <v>120000</v>
      </c>
      <c r="F132" s="10">
        <v>0.065</v>
      </c>
      <c r="G132" s="9">
        <v>45000</v>
      </c>
      <c r="H132" s="12">
        <f t="shared" si="2"/>
        <v>7800</v>
      </c>
      <c r="I132" s="12" t="s">
        <v>10</v>
      </c>
      <c r="J132" s="10"/>
    </row>
    <row r="133" s="106" customFormat="1" hidden="1" spans="2:10">
      <c r="B133" s="86">
        <v>222301498</v>
      </c>
      <c r="C133" s="9">
        <v>44974</v>
      </c>
      <c r="D133" s="87" t="s">
        <v>248</v>
      </c>
      <c r="E133" s="10">
        <v>100000</v>
      </c>
      <c r="F133" s="10">
        <v>0.065</v>
      </c>
      <c r="G133" s="9">
        <v>45041</v>
      </c>
      <c r="H133" s="12">
        <f t="shared" si="2"/>
        <v>6500</v>
      </c>
      <c r="I133" s="12" t="s">
        <v>10</v>
      </c>
      <c r="J133" s="10"/>
    </row>
    <row r="134" s="106" customFormat="1" hidden="1" spans="2:10">
      <c r="B134" s="86">
        <v>222301498</v>
      </c>
      <c r="C134" s="9">
        <v>44974</v>
      </c>
      <c r="D134" s="87" t="s">
        <v>248</v>
      </c>
      <c r="E134" s="10">
        <v>100000</v>
      </c>
      <c r="F134" s="10">
        <v>0.065</v>
      </c>
      <c r="G134" s="9">
        <v>45071</v>
      </c>
      <c r="H134" s="12">
        <f t="shared" si="2"/>
        <v>6500</v>
      </c>
      <c r="I134" s="12" t="s">
        <v>10</v>
      </c>
      <c r="J134" s="10"/>
    </row>
    <row r="135" s="106" customFormat="1" hidden="1" spans="2:10">
      <c r="B135" s="86">
        <v>222301499</v>
      </c>
      <c r="C135" s="9">
        <v>44974</v>
      </c>
      <c r="D135" s="87" t="s">
        <v>204</v>
      </c>
      <c r="E135" s="10">
        <v>300000</v>
      </c>
      <c r="F135" s="10">
        <v>0.036</v>
      </c>
      <c r="G135" s="9">
        <v>45041</v>
      </c>
      <c r="H135" s="12">
        <f t="shared" si="2"/>
        <v>10800</v>
      </c>
      <c r="I135" s="12" t="s">
        <v>10</v>
      </c>
      <c r="J135" s="10"/>
    </row>
    <row r="136" s="106" customFormat="1" hidden="1" spans="2:10">
      <c r="B136" s="86">
        <v>222301499</v>
      </c>
      <c r="C136" s="9">
        <v>44974</v>
      </c>
      <c r="D136" s="10" t="s">
        <v>32</v>
      </c>
      <c r="E136" s="10">
        <v>400000</v>
      </c>
      <c r="F136" s="10">
        <v>0.02</v>
      </c>
      <c r="G136" s="9">
        <v>45071</v>
      </c>
      <c r="H136" s="12">
        <f t="shared" si="2"/>
        <v>8000</v>
      </c>
      <c r="I136" s="12" t="s">
        <v>10</v>
      </c>
      <c r="J136" s="10"/>
    </row>
    <row r="137" s="107" customFormat="1" hidden="1" spans="2:10">
      <c r="B137" s="86">
        <v>222301499</v>
      </c>
      <c r="C137" s="9">
        <v>44974</v>
      </c>
      <c r="D137" s="10" t="s">
        <v>32</v>
      </c>
      <c r="E137" s="10">
        <v>300000</v>
      </c>
      <c r="F137" s="10">
        <v>0.02</v>
      </c>
      <c r="G137" s="9">
        <v>45102</v>
      </c>
      <c r="H137" s="12">
        <f t="shared" si="2"/>
        <v>6000</v>
      </c>
      <c r="I137" s="12" t="s">
        <v>10</v>
      </c>
      <c r="J137" s="56"/>
    </row>
    <row r="138" s="107" customFormat="1" hidden="1" spans="2:10">
      <c r="B138" s="86">
        <v>222301499</v>
      </c>
      <c r="C138" s="9">
        <v>44974</v>
      </c>
      <c r="D138" s="10" t="s">
        <v>32</v>
      </c>
      <c r="E138" s="10">
        <v>300000</v>
      </c>
      <c r="F138" s="10">
        <v>0.02</v>
      </c>
      <c r="G138" s="9">
        <v>45102</v>
      </c>
      <c r="H138" s="12">
        <f t="shared" si="2"/>
        <v>6000</v>
      </c>
      <c r="I138" s="12" t="s">
        <v>10</v>
      </c>
      <c r="J138" s="56"/>
    </row>
    <row r="139" s="106" customFormat="1" hidden="1" spans="2:10">
      <c r="B139" s="86">
        <v>222301499</v>
      </c>
      <c r="C139" s="9">
        <v>44974</v>
      </c>
      <c r="D139" s="10" t="s">
        <v>58</v>
      </c>
      <c r="E139" s="10">
        <v>400000</v>
      </c>
      <c r="F139" s="10">
        <v>0.019</v>
      </c>
      <c r="G139" s="9">
        <v>45031</v>
      </c>
      <c r="H139" s="12">
        <f t="shared" si="2"/>
        <v>7600</v>
      </c>
      <c r="I139" s="12" t="s">
        <v>10</v>
      </c>
      <c r="J139" s="10"/>
    </row>
    <row r="140" s="106" customFormat="1" hidden="1" spans="2:10">
      <c r="B140" s="86">
        <v>222301499</v>
      </c>
      <c r="C140" s="9">
        <v>44974</v>
      </c>
      <c r="D140" s="10" t="s">
        <v>58</v>
      </c>
      <c r="E140" s="10">
        <v>400000</v>
      </c>
      <c r="F140" s="10">
        <v>0.019</v>
      </c>
      <c r="G140" s="9">
        <v>45071</v>
      </c>
      <c r="H140" s="12">
        <f t="shared" si="2"/>
        <v>7600</v>
      </c>
      <c r="I140" s="12" t="s">
        <v>10</v>
      </c>
      <c r="J140" s="10"/>
    </row>
    <row r="141" s="107" customFormat="1" hidden="1" spans="2:10">
      <c r="B141" s="86">
        <v>222301499</v>
      </c>
      <c r="C141" s="9">
        <v>44974</v>
      </c>
      <c r="D141" s="10" t="s">
        <v>58</v>
      </c>
      <c r="E141" s="10">
        <v>400000</v>
      </c>
      <c r="F141" s="10">
        <v>0.019</v>
      </c>
      <c r="G141" s="9">
        <v>45102</v>
      </c>
      <c r="H141" s="12">
        <f t="shared" si="2"/>
        <v>7600</v>
      </c>
      <c r="I141" s="12" t="s">
        <v>10</v>
      </c>
      <c r="J141" s="56"/>
    </row>
    <row r="142" s="106" customFormat="1" hidden="1" spans="2:10">
      <c r="B142" s="86">
        <v>222301500</v>
      </c>
      <c r="C142" s="9">
        <v>44974</v>
      </c>
      <c r="D142" s="10" t="s">
        <v>37</v>
      </c>
      <c r="E142" s="10">
        <v>120000</v>
      </c>
      <c r="F142" s="10">
        <v>0.02</v>
      </c>
      <c r="G142" s="9">
        <v>45041</v>
      </c>
      <c r="H142" s="12">
        <f t="shared" si="2"/>
        <v>2400</v>
      </c>
      <c r="I142" s="12" t="s">
        <v>10</v>
      </c>
      <c r="J142" s="10"/>
    </row>
    <row r="143" s="106" customFormat="1" hidden="1" spans="2:10">
      <c r="B143" s="86">
        <v>222301500</v>
      </c>
      <c r="C143" s="9">
        <v>44974</v>
      </c>
      <c r="D143" s="10" t="s">
        <v>37</v>
      </c>
      <c r="E143" s="10">
        <v>120000</v>
      </c>
      <c r="F143" s="10">
        <v>0.02</v>
      </c>
      <c r="G143" s="9">
        <v>45071</v>
      </c>
      <c r="H143" s="12">
        <f t="shared" si="2"/>
        <v>2400</v>
      </c>
      <c r="I143" s="12" t="s">
        <v>10</v>
      </c>
      <c r="J143" s="10"/>
    </row>
    <row r="144" s="106" customFormat="1" hidden="1" spans="2:10">
      <c r="B144" s="86">
        <v>222301500</v>
      </c>
      <c r="C144" s="9">
        <v>44974</v>
      </c>
      <c r="D144" s="87" t="s">
        <v>202</v>
      </c>
      <c r="E144" s="10">
        <v>200000</v>
      </c>
      <c r="F144" s="10">
        <v>0.04</v>
      </c>
      <c r="G144" s="9">
        <v>45071</v>
      </c>
      <c r="H144" s="12">
        <f t="shared" si="2"/>
        <v>8000</v>
      </c>
      <c r="I144" s="12" t="s">
        <v>10</v>
      </c>
      <c r="J144" s="10"/>
    </row>
    <row r="145" s="106" customFormat="1" hidden="1" spans="2:10">
      <c r="B145" s="86">
        <v>222301500</v>
      </c>
      <c r="C145" s="9">
        <v>44974</v>
      </c>
      <c r="D145" s="87" t="s">
        <v>203</v>
      </c>
      <c r="E145" s="10">
        <v>600000</v>
      </c>
      <c r="F145" s="10">
        <v>0.027</v>
      </c>
      <c r="G145" s="9">
        <v>45041</v>
      </c>
      <c r="H145" s="12">
        <f t="shared" si="2"/>
        <v>16200</v>
      </c>
      <c r="I145" s="12" t="s">
        <v>10</v>
      </c>
      <c r="J145" s="10"/>
    </row>
    <row r="146" s="106" customFormat="1" hidden="1" spans="2:10">
      <c r="B146" s="86">
        <v>222301500</v>
      </c>
      <c r="C146" s="9">
        <v>44974</v>
      </c>
      <c r="D146" s="87" t="s">
        <v>203</v>
      </c>
      <c r="E146" s="10">
        <v>300000</v>
      </c>
      <c r="F146" s="10">
        <v>0.027</v>
      </c>
      <c r="G146" s="9">
        <v>45041</v>
      </c>
      <c r="H146" s="12">
        <f t="shared" si="2"/>
        <v>8100</v>
      </c>
      <c r="I146" s="12" t="s">
        <v>10</v>
      </c>
      <c r="J146" s="10"/>
    </row>
    <row r="147" s="106" customFormat="1" hidden="1" spans="2:10">
      <c r="B147" s="86">
        <v>222301500</v>
      </c>
      <c r="C147" s="9">
        <v>44974</v>
      </c>
      <c r="D147" s="87" t="s">
        <v>203</v>
      </c>
      <c r="E147" s="10">
        <v>300000</v>
      </c>
      <c r="F147" s="10">
        <v>0.027</v>
      </c>
      <c r="G147" s="9">
        <v>45071</v>
      </c>
      <c r="H147" s="12">
        <f t="shared" si="2"/>
        <v>8100</v>
      </c>
      <c r="I147" s="12" t="s">
        <v>10</v>
      </c>
      <c r="J147" s="10"/>
    </row>
    <row r="148" s="106" customFormat="1" hidden="1" spans="2:10">
      <c r="B148" s="86">
        <v>222301500</v>
      </c>
      <c r="C148" s="9">
        <v>44974</v>
      </c>
      <c r="D148" s="87" t="s">
        <v>203</v>
      </c>
      <c r="E148" s="10">
        <v>600000</v>
      </c>
      <c r="F148" s="10">
        <v>0.027</v>
      </c>
      <c r="G148" s="9">
        <v>45071</v>
      </c>
      <c r="H148" s="12">
        <f t="shared" si="2"/>
        <v>16200</v>
      </c>
      <c r="I148" s="12" t="s">
        <v>10</v>
      </c>
      <c r="J148" s="10"/>
    </row>
    <row r="149" s="107" customFormat="1" hidden="1" spans="2:10">
      <c r="B149" s="86">
        <v>222301500</v>
      </c>
      <c r="C149" s="9">
        <v>44974</v>
      </c>
      <c r="D149" s="87" t="s">
        <v>203</v>
      </c>
      <c r="E149" s="10">
        <v>600000</v>
      </c>
      <c r="F149" s="10">
        <v>0.027</v>
      </c>
      <c r="G149" s="9">
        <v>45102</v>
      </c>
      <c r="H149" s="12">
        <f t="shared" si="2"/>
        <v>16200</v>
      </c>
      <c r="I149" s="12" t="s">
        <v>10</v>
      </c>
      <c r="J149" s="56" t="s">
        <v>249</v>
      </c>
    </row>
    <row r="150" s="107" customFormat="1" hidden="1" spans="2:10">
      <c r="B150" s="86">
        <v>222301501</v>
      </c>
      <c r="C150" s="9">
        <v>44974</v>
      </c>
      <c r="D150" s="87" t="s">
        <v>231</v>
      </c>
      <c r="E150" s="10">
        <v>150000</v>
      </c>
      <c r="F150" s="10">
        <v>0.0083</v>
      </c>
      <c r="G150" s="9">
        <v>45041</v>
      </c>
      <c r="H150" s="12">
        <f t="shared" si="2"/>
        <v>1245</v>
      </c>
      <c r="I150" s="12" t="s">
        <v>10</v>
      </c>
      <c r="J150" s="56"/>
    </row>
    <row r="151" s="107" customFormat="1" hidden="1" spans="2:10">
      <c r="B151" s="86">
        <v>222301501</v>
      </c>
      <c r="C151" s="9">
        <v>44974</v>
      </c>
      <c r="D151" s="87" t="s">
        <v>231</v>
      </c>
      <c r="E151" s="10">
        <v>150000</v>
      </c>
      <c r="F151" s="10">
        <v>0.0083</v>
      </c>
      <c r="G151" s="9">
        <v>45041</v>
      </c>
      <c r="H151" s="12">
        <f t="shared" si="2"/>
        <v>1245</v>
      </c>
      <c r="I151" s="12" t="s">
        <v>10</v>
      </c>
      <c r="J151" s="56"/>
    </row>
    <row r="152" s="107" customFormat="1" hidden="1" spans="2:10">
      <c r="B152" s="86">
        <v>222301501</v>
      </c>
      <c r="C152" s="9">
        <v>44974</v>
      </c>
      <c r="D152" s="87" t="s">
        <v>231</v>
      </c>
      <c r="E152" s="10">
        <v>150000</v>
      </c>
      <c r="F152" s="10">
        <v>0.0083</v>
      </c>
      <c r="G152" s="9">
        <v>45071</v>
      </c>
      <c r="H152" s="12">
        <f t="shared" si="2"/>
        <v>1245</v>
      </c>
      <c r="I152" s="12" t="s">
        <v>10</v>
      </c>
      <c r="J152" s="56"/>
    </row>
    <row r="153" s="106" customFormat="1" hidden="1" spans="2:10">
      <c r="B153" s="86">
        <v>222301502</v>
      </c>
      <c r="C153" s="9">
        <v>44974</v>
      </c>
      <c r="D153" s="87" t="s">
        <v>250</v>
      </c>
      <c r="E153" s="10">
        <v>20000</v>
      </c>
      <c r="F153" s="10">
        <v>0.04</v>
      </c>
      <c r="G153" s="9">
        <v>44982</v>
      </c>
      <c r="H153" s="12">
        <f t="shared" si="2"/>
        <v>800</v>
      </c>
      <c r="I153" s="12" t="s">
        <v>10</v>
      </c>
      <c r="J153" s="10"/>
    </row>
    <row r="154" s="106" customFormat="1" hidden="1" spans="2:10">
      <c r="B154" s="86">
        <v>222301502</v>
      </c>
      <c r="C154" s="9">
        <v>44974</v>
      </c>
      <c r="D154" s="87" t="s">
        <v>251</v>
      </c>
      <c r="E154" s="10">
        <v>20000</v>
      </c>
      <c r="F154" s="10">
        <v>0.03</v>
      </c>
      <c r="G154" s="9">
        <v>44982</v>
      </c>
      <c r="H154" s="12">
        <f t="shared" si="2"/>
        <v>600</v>
      </c>
      <c r="I154" s="12" t="s">
        <v>10</v>
      </c>
      <c r="J154" s="10"/>
    </row>
    <row r="155" s="106" customFormat="1" hidden="1" spans="2:10">
      <c r="B155" s="86">
        <v>222301502</v>
      </c>
      <c r="C155" s="9">
        <v>44974</v>
      </c>
      <c r="D155" s="87" t="s">
        <v>252</v>
      </c>
      <c r="E155" s="10">
        <v>20000</v>
      </c>
      <c r="F155" s="10">
        <v>0.032</v>
      </c>
      <c r="G155" s="9">
        <v>45041</v>
      </c>
      <c r="H155" s="12">
        <f t="shared" si="2"/>
        <v>640</v>
      </c>
      <c r="I155" s="12" t="s">
        <v>10</v>
      </c>
      <c r="J155" s="10"/>
    </row>
    <row r="156" s="26" customFormat="1" hidden="1" spans="2:10">
      <c r="B156" s="127">
        <v>222301507</v>
      </c>
      <c r="C156" s="54">
        <v>44979</v>
      </c>
      <c r="D156" s="93" t="s">
        <v>248</v>
      </c>
      <c r="E156" s="56">
        <v>3000</v>
      </c>
      <c r="F156" s="56">
        <v>0.065</v>
      </c>
      <c r="G156" s="54">
        <v>44995</v>
      </c>
      <c r="H156" s="58">
        <f t="shared" si="2"/>
        <v>195</v>
      </c>
      <c r="I156" s="12" t="s">
        <v>10</v>
      </c>
      <c r="J156" s="15"/>
    </row>
    <row r="157" s="26" customFormat="1" hidden="1" spans="2:10">
      <c r="B157" s="127">
        <v>222301507</v>
      </c>
      <c r="C157" s="54">
        <v>44979</v>
      </c>
      <c r="D157" s="56" t="s">
        <v>233</v>
      </c>
      <c r="E157" s="56">
        <v>6000</v>
      </c>
      <c r="F157" s="56">
        <v>0.17</v>
      </c>
      <c r="G157" s="54">
        <v>45010</v>
      </c>
      <c r="H157" s="58">
        <f t="shared" si="2"/>
        <v>1020</v>
      </c>
      <c r="I157" s="12" t="s">
        <v>10</v>
      </c>
      <c r="J157" s="15"/>
    </row>
    <row r="158" s="106" customFormat="1" hidden="1" spans="2:10">
      <c r="B158" s="86">
        <v>222301509</v>
      </c>
      <c r="C158" s="9">
        <v>44980</v>
      </c>
      <c r="D158" s="87" t="s">
        <v>243</v>
      </c>
      <c r="E158" s="10">
        <v>96000</v>
      </c>
      <c r="F158" s="10">
        <v>0.022</v>
      </c>
      <c r="G158" s="9">
        <v>45026</v>
      </c>
      <c r="H158" s="12">
        <f t="shared" si="2"/>
        <v>2112</v>
      </c>
      <c r="I158" s="12" t="s">
        <v>10</v>
      </c>
      <c r="J158" s="10"/>
    </row>
    <row r="159" s="106" customFormat="1" hidden="1" spans="2:10">
      <c r="B159" s="86">
        <v>222301509</v>
      </c>
      <c r="C159" s="9">
        <v>44980</v>
      </c>
      <c r="D159" s="87" t="s">
        <v>210</v>
      </c>
      <c r="E159" s="10">
        <v>100000</v>
      </c>
      <c r="F159" s="10">
        <v>0.028</v>
      </c>
      <c r="G159" s="9">
        <v>45087</v>
      </c>
      <c r="H159" s="12">
        <f t="shared" si="2"/>
        <v>2800</v>
      </c>
      <c r="I159" s="12" t="s">
        <v>10</v>
      </c>
      <c r="J159" s="10"/>
    </row>
    <row r="160" s="106" customFormat="1" hidden="1" spans="2:10">
      <c r="B160" s="86">
        <v>222301509</v>
      </c>
      <c r="C160" s="9">
        <v>44980</v>
      </c>
      <c r="D160" s="87" t="s">
        <v>206</v>
      </c>
      <c r="E160" s="10">
        <v>50000</v>
      </c>
      <c r="F160" s="10">
        <v>0.065</v>
      </c>
      <c r="G160" s="9">
        <v>45026</v>
      </c>
      <c r="H160" s="12">
        <f t="shared" si="2"/>
        <v>3250</v>
      </c>
      <c r="I160" s="12" t="s">
        <v>10</v>
      </c>
      <c r="J160" s="10"/>
    </row>
    <row r="161" s="106" customFormat="1" hidden="1" spans="2:10">
      <c r="B161" s="86">
        <v>222301509</v>
      </c>
      <c r="C161" s="9">
        <v>44980</v>
      </c>
      <c r="D161" s="87" t="s">
        <v>216</v>
      </c>
      <c r="E161" s="10">
        <v>40000</v>
      </c>
      <c r="F161" s="10">
        <v>0.045</v>
      </c>
      <c r="G161" s="9">
        <v>45026</v>
      </c>
      <c r="H161" s="12">
        <f t="shared" si="2"/>
        <v>1800</v>
      </c>
      <c r="I161" s="12" t="s">
        <v>10</v>
      </c>
      <c r="J161" s="10"/>
    </row>
    <row r="162" s="107" customFormat="1" hidden="1" spans="2:10">
      <c r="B162" s="86">
        <v>222301515</v>
      </c>
      <c r="C162" s="9">
        <v>44984</v>
      </c>
      <c r="D162" s="87" t="s">
        <v>253</v>
      </c>
      <c r="E162" s="10">
        <v>48000</v>
      </c>
      <c r="F162" s="10">
        <v>0.08</v>
      </c>
      <c r="G162" s="9">
        <v>45026</v>
      </c>
      <c r="H162" s="12">
        <f t="shared" si="2"/>
        <v>3840</v>
      </c>
      <c r="I162" s="12" t="s">
        <v>10</v>
      </c>
      <c r="J162" s="56"/>
    </row>
    <row r="163" s="107" customFormat="1" hidden="1" spans="2:10">
      <c r="B163" s="86">
        <v>222301515</v>
      </c>
      <c r="C163" s="9">
        <v>44984</v>
      </c>
      <c r="D163" s="87" t="s">
        <v>253</v>
      </c>
      <c r="E163" s="10">
        <v>48000</v>
      </c>
      <c r="F163" s="10">
        <v>0.08</v>
      </c>
      <c r="G163" s="9">
        <v>45026</v>
      </c>
      <c r="H163" s="12">
        <f t="shared" si="2"/>
        <v>3840</v>
      </c>
      <c r="I163" s="12" t="s">
        <v>10</v>
      </c>
      <c r="J163" s="56"/>
    </row>
    <row r="164" s="107" customFormat="1" hidden="1" spans="2:10">
      <c r="B164" s="86">
        <v>222301515</v>
      </c>
      <c r="C164" s="9">
        <v>44984</v>
      </c>
      <c r="D164" s="87" t="s">
        <v>253</v>
      </c>
      <c r="E164" s="10">
        <v>24000</v>
      </c>
      <c r="F164" s="10">
        <v>0.08</v>
      </c>
      <c r="G164" s="9">
        <v>45036</v>
      </c>
      <c r="H164" s="12">
        <f t="shared" si="2"/>
        <v>1920</v>
      </c>
      <c r="I164" s="12" t="s">
        <v>10</v>
      </c>
      <c r="J164" s="56"/>
    </row>
    <row r="165" s="107" customFormat="1" hidden="1" spans="2:10">
      <c r="B165" s="86">
        <v>222301516</v>
      </c>
      <c r="C165" s="9">
        <v>44984</v>
      </c>
      <c r="D165" s="87" t="s">
        <v>254</v>
      </c>
      <c r="E165" s="10">
        <v>1500000</v>
      </c>
      <c r="F165" s="10">
        <v>0.03</v>
      </c>
      <c r="G165" s="9">
        <v>45041</v>
      </c>
      <c r="H165" s="12">
        <f t="shared" si="2"/>
        <v>45000</v>
      </c>
      <c r="I165" s="12" t="s">
        <v>10</v>
      </c>
      <c r="J165" s="56"/>
    </row>
    <row r="166" s="107" customFormat="1" hidden="1" spans="2:10">
      <c r="B166" s="86">
        <v>222301516</v>
      </c>
      <c r="C166" s="9">
        <v>44984</v>
      </c>
      <c r="D166" s="87" t="s">
        <v>254</v>
      </c>
      <c r="E166" s="10">
        <v>1800000</v>
      </c>
      <c r="F166" s="10">
        <v>0.03</v>
      </c>
      <c r="G166" s="9">
        <v>45071</v>
      </c>
      <c r="H166" s="12">
        <f t="shared" si="2"/>
        <v>54000</v>
      </c>
      <c r="I166" s="12" t="s">
        <v>10</v>
      </c>
      <c r="J166" s="56"/>
    </row>
    <row r="167" s="107" customFormat="1" hidden="1" spans="2:10">
      <c r="B167" s="86">
        <v>222301517</v>
      </c>
      <c r="C167" s="9">
        <v>44984</v>
      </c>
      <c r="D167" s="87" t="s">
        <v>254</v>
      </c>
      <c r="E167" s="10">
        <v>300000</v>
      </c>
      <c r="F167" s="10">
        <v>0.03</v>
      </c>
      <c r="G167" s="9">
        <v>45041</v>
      </c>
      <c r="H167" s="12">
        <f t="shared" si="2"/>
        <v>9000</v>
      </c>
      <c r="I167" s="12" t="s">
        <v>10</v>
      </c>
      <c r="J167" s="56"/>
    </row>
    <row r="168" s="107" customFormat="1" hidden="1" spans="2:10">
      <c r="B168" s="86">
        <v>222301517</v>
      </c>
      <c r="C168" s="9">
        <v>44984</v>
      </c>
      <c r="D168" s="87" t="s">
        <v>254</v>
      </c>
      <c r="E168" s="10">
        <v>600000</v>
      </c>
      <c r="F168" s="10">
        <v>0.03</v>
      </c>
      <c r="G168" s="9">
        <v>45071</v>
      </c>
      <c r="H168" s="12">
        <f t="shared" si="2"/>
        <v>18000</v>
      </c>
      <c r="I168" s="12" t="s">
        <v>10</v>
      </c>
      <c r="J168" s="56"/>
    </row>
    <row r="169" s="107" customFormat="1" hidden="1" spans="2:10">
      <c r="B169" s="86">
        <v>222301517</v>
      </c>
      <c r="C169" s="9">
        <v>44984</v>
      </c>
      <c r="D169" s="87" t="s">
        <v>254</v>
      </c>
      <c r="E169" s="10">
        <v>600000</v>
      </c>
      <c r="F169" s="10">
        <v>0.03</v>
      </c>
      <c r="G169" s="9">
        <v>45102</v>
      </c>
      <c r="H169" s="12">
        <f t="shared" si="2"/>
        <v>18000</v>
      </c>
      <c r="I169" s="12" t="s">
        <v>10</v>
      </c>
      <c r="J169" s="56"/>
    </row>
    <row r="170" s="106" customFormat="1" hidden="1" spans="2:10">
      <c r="B170" s="90">
        <v>222301524</v>
      </c>
      <c r="C170" s="66">
        <v>44987</v>
      </c>
      <c r="D170" s="8" t="s">
        <v>200</v>
      </c>
      <c r="E170" s="67">
        <v>100000</v>
      </c>
      <c r="F170" s="67">
        <v>0.05</v>
      </c>
      <c r="G170" s="66">
        <v>45000</v>
      </c>
      <c r="H170" s="68">
        <f t="shared" si="2"/>
        <v>5000</v>
      </c>
      <c r="I170" s="12" t="s">
        <v>10</v>
      </c>
      <c r="J170" s="10"/>
    </row>
    <row r="171" s="26" customFormat="1" hidden="1" spans="2:10">
      <c r="B171" s="90">
        <v>222301524</v>
      </c>
      <c r="C171" s="66">
        <v>44987</v>
      </c>
      <c r="D171" s="8" t="s">
        <v>200</v>
      </c>
      <c r="E171" s="67">
        <v>100000</v>
      </c>
      <c r="F171" s="67">
        <v>0.05</v>
      </c>
      <c r="G171" s="66">
        <v>45061</v>
      </c>
      <c r="H171" s="68">
        <f t="shared" si="2"/>
        <v>5000</v>
      </c>
      <c r="I171" s="12" t="s">
        <v>10</v>
      </c>
      <c r="J171" s="15"/>
    </row>
    <row r="172" s="26" customFormat="1" hidden="1" spans="2:10">
      <c r="B172" s="86">
        <v>222301524</v>
      </c>
      <c r="C172" s="9">
        <v>44987</v>
      </c>
      <c r="D172" s="10" t="s">
        <v>226</v>
      </c>
      <c r="E172" s="10">
        <v>100000</v>
      </c>
      <c r="F172" s="10">
        <v>0.08</v>
      </c>
      <c r="G172" s="9">
        <v>45071</v>
      </c>
      <c r="H172" s="12">
        <f t="shared" si="2"/>
        <v>8000</v>
      </c>
      <c r="I172" s="12" t="s">
        <v>10</v>
      </c>
      <c r="J172" s="15"/>
    </row>
    <row r="173" s="107" customFormat="1" hidden="1" spans="2:10">
      <c r="B173" s="86">
        <v>222301530</v>
      </c>
      <c r="C173" s="9">
        <v>44988</v>
      </c>
      <c r="D173" s="87" t="s">
        <v>222</v>
      </c>
      <c r="E173" s="10">
        <v>40000</v>
      </c>
      <c r="F173" s="10">
        <v>0.285</v>
      </c>
      <c r="G173" s="9">
        <v>45010</v>
      </c>
      <c r="H173" s="12">
        <f t="shared" si="2"/>
        <v>11400</v>
      </c>
      <c r="I173" s="12" t="s">
        <v>10</v>
      </c>
      <c r="J173" s="56"/>
    </row>
    <row r="174" s="107" customFormat="1" hidden="1" spans="2:10">
      <c r="B174" s="86">
        <v>222301530</v>
      </c>
      <c r="C174" s="9">
        <v>44988</v>
      </c>
      <c r="D174" s="87" t="s">
        <v>222</v>
      </c>
      <c r="E174" s="10">
        <v>40000</v>
      </c>
      <c r="F174" s="10">
        <v>0.285</v>
      </c>
      <c r="G174" s="9">
        <v>45041</v>
      </c>
      <c r="H174" s="12">
        <f t="shared" si="2"/>
        <v>11400</v>
      </c>
      <c r="I174" s="12" t="s">
        <v>10</v>
      </c>
      <c r="J174" s="56"/>
    </row>
    <row r="175" s="107" customFormat="1" hidden="1" spans="2:10">
      <c r="B175" s="86">
        <v>222301530</v>
      </c>
      <c r="C175" s="9">
        <v>44988</v>
      </c>
      <c r="D175" s="87" t="s">
        <v>222</v>
      </c>
      <c r="E175" s="10">
        <v>20000</v>
      </c>
      <c r="F175" s="10">
        <v>0.285</v>
      </c>
      <c r="G175" s="9">
        <v>45102</v>
      </c>
      <c r="H175" s="12">
        <f t="shared" si="2"/>
        <v>5700</v>
      </c>
      <c r="I175" s="12" t="s">
        <v>10</v>
      </c>
      <c r="J175" s="56"/>
    </row>
    <row r="176" s="107" customFormat="1" hidden="1" spans="2:10">
      <c r="B176" s="86">
        <v>222301530</v>
      </c>
      <c r="C176" s="9">
        <v>44988</v>
      </c>
      <c r="D176" s="87" t="s">
        <v>222</v>
      </c>
      <c r="E176" s="10">
        <v>20000</v>
      </c>
      <c r="F176" s="10">
        <v>0.285</v>
      </c>
      <c r="G176" s="9">
        <v>45132</v>
      </c>
      <c r="H176" s="12">
        <f t="shared" si="2"/>
        <v>5700</v>
      </c>
      <c r="I176" s="12" t="s">
        <v>10</v>
      </c>
      <c r="J176" s="56"/>
    </row>
    <row r="177" s="107" customFormat="1" hidden="1" spans="2:10">
      <c r="B177" s="86">
        <v>222301531</v>
      </c>
      <c r="C177" s="9">
        <v>44988</v>
      </c>
      <c r="D177" s="87" t="s">
        <v>216</v>
      </c>
      <c r="E177" s="10">
        <v>70000</v>
      </c>
      <c r="F177" s="10">
        <v>0.045</v>
      </c>
      <c r="G177" s="9">
        <v>44995</v>
      </c>
      <c r="H177" s="12">
        <f t="shared" si="2"/>
        <v>3150</v>
      </c>
      <c r="I177" s="12" t="s">
        <v>10</v>
      </c>
      <c r="J177" s="56"/>
    </row>
    <row r="178" s="107" customFormat="1" hidden="1" spans="2:10">
      <c r="B178" s="86">
        <v>222301531</v>
      </c>
      <c r="C178" s="9">
        <v>44988</v>
      </c>
      <c r="D178" s="87" t="s">
        <v>216</v>
      </c>
      <c r="E178" s="10">
        <v>70000</v>
      </c>
      <c r="F178" s="10">
        <v>0.045</v>
      </c>
      <c r="G178" s="9">
        <v>45026</v>
      </c>
      <c r="H178" s="12">
        <f t="shared" si="2"/>
        <v>3150</v>
      </c>
      <c r="I178" s="12" t="s">
        <v>10</v>
      </c>
      <c r="J178" s="56"/>
    </row>
    <row r="179" s="107" customFormat="1" hidden="1" spans="2:10">
      <c r="B179" s="86">
        <v>222301531</v>
      </c>
      <c r="C179" s="9">
        <v>44988</v>
      </c>
      <c r="D179" s="87" t="s">
        <v>206</v>
      </c>
      <c r="E179" s="10">
        <v>120000</v>
      </c>
      <c r="F179" s="10">
        <v>0.065</v>
      </c>
      <c r="G179" s="9">
        <v>45026</v>
      </c>
      <c r="H179" s="12">
        <f t="shared" si="2"/>
        <v>7800</v>
      </c>
      <c r="I179" s="12" t="s">
        <v>10</v>
      </c>
      <c r="J179" s="56"/>
    </row>
    <row r="180" s="107" customFormat="1" hidden="1" spans="2:10">
      <c r="B180" s="86">
        <v>222301531</v>
      </c>
      <c r="C180" s="9">
        <v>44988</v>
      </c>
      <c r="D180" s="10" t="s">
        <v>226</v>
      </c>
      <c r="E180" s="10">
        <v>70000</v>
      </c>
      <c r="F180" s="10">
        <v>0.08</v>
      </c>
      <c r="G180" s="9">
        <v>45026</v>
      </c>
      <c r="H180" s="12">
        <f t="shared" si="2"/>
        <v>5600</v>
      </c>
      <c r="I180" s="12" t="s">
        <v>10</v>
      </c>
      <c r="J180" s="56"/>
    </row>
    <row r="181" s="107" customFormat="1" hidden="1" spans="2:10">
      <c r="B181" s="86">
        <v>222301531</v>
      </c>
      <c r="C181" s="9">
        <v>44988</v>
      </c>
      <c r="D181" s="10" t="s">
        <v>226</v>
      </c>
      <c r="E181" s="10">
        <v>70000</v>
      </c>
      <c r="F181" s="10">
        <v>0.08</v>
      </c>
      <c r="G181" s="9">
        <v>45056</v>
      </c>
      <c r="H181" s="12">
        <f t="shared" si="2"/>
        <v>5600</v>
      </c>
      <c r="I181" s="12" t="s">
        <v>10</v>
      </c>
      <c r="J181" s="56"/>
    </row>
    <row r="182" s="107" customFormat="1" hidden="1" spans="2:10">
      <c r="B182" s="86">
        <v>222301531</v>
      </c>
      <c r="C182" s="9">
        <v>44988</v>
      </c>
      <c r="D182" s="87" t="s">
        <v>223</v>
      </c>
      <c r="E182" s="10">
        <v>50000</v>
      </c>
      <c r="F182" s="10">
        <v>0.08</v>
      </c>
      <c r="G182" s="9">
        <v>45036</v>
      </c>
      <c r="H182" s="12">
        <f t="shared" si="2"/>
        <v>4000</v>
      </c>
      <c r="I182" s="12" t="s">
        <v>10</v>
      </c>
      <c r="J182" s="56"/>
    </row>
    <row r="183" s="107" customFormat="1" hidden="1" spans="2:10">
      <c r="B183" s="86">
        <v>222301531</v>
      </c>
      <c r="C183" s="9">
        <v>44988</v>
      </c>
      <c r="D183" s="87" t="s">
        <v>225</v>
      </c>
      <c r="E183" s="10">
        <v>20000</v>
      </c>
      <c r="F183" s="10">
        <v>0.041</v>
      </c>
      <c r="G183" s="9">
        <v>45036</v>
      </c>
      <c r="H183" s="12">
        <f t="shared" si="2"/>
        <v>820</v>
      </c>
      <c r="I183" s="12" t="s">
        <v>10</v>
      </c>
      <c r="J183" s="56"/>
    </row>
    <row r="184" s="26" customFormat="1" hidden="1" spans="2:10">
      <c r="B184" s="86">
        <v>222301539</v>
      </c>
      <c r="C184" s="9">
        <v>44991</v>
      </c>
      <c r="D184" s="87" t="s">
        <v>255</v>
      </c>
      <c r="E184" s="10">
        <v>160000</v>
      </c>
      <c r="F184" s="10">
        <v>0.0238</v>
      </c>
      <c r="G184" s="9">
        <v>45102</v>
      </c>
      <c r="H184" s="12">
        <f t="shared" si="2"/>
        <v>3808</v>
      </c>
      <c r="I184" s="12" t="s">
        <v>10</v>
      </c>
      <c r="J184" s="15"/>
    </row>
    <row r="185" s="26" customFormat="1" hidden="1" spans="2:10">
      <c r="B185" s="86">
        <v>222301539</v>
      </c>
      <c r="C185" s="9">
        <v>44991</v>
      </c>
      <c r="D185" s="87" t="s">
        <v>255</v>
      </c>
      <c r="E185" s="10">
        <v>140000</v>
      </c>
      <c r="F185" s="10">
        <v>0.0238</v>
      </c>
      <c r="G185" s="9">
        <v>45102</v>
      </c>
      <c r="H185" s="12">
        <f t="shared" si="2"/>
        <v>3332</v>
      </c>
      <c r="I185" s="12" t="s">
        <v>10</v>
      </c>
      <c r="J185" s="15"/>
    </row>
    <row r="186" s="26" customFormat="1" hidden="1" spans="2:10">
      <c r="B186" s="86">
        <v>222301539</v>
      </c>
      <c r="C186" s="9">
        <v>44991</v>
      </c>
      <c r="D186" s="87" t="s">
        <v>256</v>
      </c>
      <c r="E186" s="10">
        <v>100000</v>
      </c>
      <c r="F186" s="10">
        <v>0.0292</v>
      </c>
      <c r="G186" s="9">
        <v>45005</v>
      </c>
      <c r="H186" s="12">
        <f t="shared" si="2"/>
        <v>2920</v>
      </c>
      <c r="I186" s="12" t="s">
        <v>10</v>
      </c>
      <c r="J186" s="15"/>
    </row>
    <row r="187" s="26" customFormat="1" hidden="1" spans="2:10">
      <c r="B187" s="86">
        <v>222301539</v>
      </c>
      <c r="C187" s="9">
        <v>44991</v>
      </c>
      <c r="D187" s="87" t="s">
        <v>256</v>
      </c>
      <c r="E187" s="10">
        <v>100000</v>
      </c>
      <c r="F187" s="10">
        <v>0.0292</v>
      </c>
      <c r="G187" s="9">
        <v>45041</v>
      </c>
      <c r="H187" s="12">
        <f t="shared" si="2"/>
        <v>2920</v>
      </c>
      <c r="I187" s="12" t="s">
        <v>10</v>
      </c>
      <c r="J187" s="15"/>
    </row>
    <row r="188" s="26" customFormat="1" hidden="1" spans="2:10">
      <c r="B188" s="86">
        <v>222301539</v>
      </c>
      <c r="C188" s="9">
        <v>44991</v>
      </c>
      <c r="D188" s="87" t="s">
        <v>256</v>
      </c>
      <c r="E188" s="10">
        <v>80000</v>
      </c>
      <c r="F188" s="10">
        <v>0.0292</v>
      </c>
      <c r="G188" s="9">
        <v>45102</v>
      </c>
      <c r="H188" s="12">
        <f t="shared" si="2"/>
        <v>2336</v>
      </c>
      <c r="I188" s="12" t="s">
        <v>10</v>
      </c>
      <c r="J188" s="15"/>
    </row>
    <row r="189" s="107" customFormat="1" hidden="1" spans="2:10">
      <c r="B189" s="86">
        <v>222301542</v>
      </c>
      <c r="C189" s="9">
        <v>44991</v>
      </c>
      <c r="D189" s="87" t="s">
        <v>202</v>
      </c>
      <c r="E189" s="10">
        <v>700000</v>
      </c>
      <c r="F189" s="10">
        <v>0.04</v>
      </c>
      <c r="G189" s="9">
        <v>45071</v>
      </c>
      <c r="H189" s="12">
        <f t="shared" si="2"/>
        <v>28000</v>
      </c>
      <c r="I189" s="12" t="s">
        <v>10</v>
      </c>
      <c r="J189" s="56"/>
    </row>
    <row r="190" s="26" customFormat="1" hidden="1" spans="2:10">
      <c r="B190" s="86">
        <v>222301546</v>
      </c>
      <c r="C190" s="9">
        <v>44993</v>
      </c>
      <c r="D190" s="10" t="s">
        <v>33</v>
      </c>
      <c r="E190" s="10">
        <v>400000</v>
      </c>
      <c r="F190" s="10">
        <v>0.02</v>
      </c>
      <c r="G190" s="9">
        <v>45010</v>
      </c>
      <c r="H190" s="12">
        <f t="shared" si="2"/>
        <v>8000</v>
      </c>
      <c r="I190" s="12" t="s">
        <v>10</v>
      </c>
      <c r="J190" s="15"/>
    </row>
    <row r="191" s="26" customFormat="1" hidden="1" spans="2:10">
      <c r="B191" s="86">
        <v>222301546</v>
      </c>
      <c r="C191" s="9">
        <v>44993</v>
      </c>
      <c r="D191" s="10" t="s">
        <v>33</v>
      </c>
      <c r="E191" s="10">
        <v>400000</v>
      </c>
      <c r="F191" s="10">
        <v>0.02</v>
      </c>
      <c r="G191" s="9">
        <v>45010</v>
      </c>
      <c r="H191" s="12">
        <f t="shared" si="2"/>
        <v>8000</v>
      </c>
      <c r="I191" s="12" t="s">
        <v>10</v>
      </c>
      <c r="J191" s="15"/>
    </row>
    <row r="192" s="26" customFormat="1" hidden="1" spans="2:10">
      <c r="B192" s="86">
        <v>222301546</v>
      </c>
      <c r="C192" s="9">
        <v>44993</v>
      </c>
      <c r="D192" s="87" t="s">
        <v>202</v>
      </c>
      <c r="E192" s="10">
        <v>300000</v>
      </c>
      <c r="F192" s="10">
        <v>0.04</v>
      </c>
      <c r="G192" s="9">
        <v>45010</v>
      </c>
      <c r="H192" s="12">
        <f t="shared" si="2"/>
        <v>12000</v>
      </c>
      <c r="I192" s="12" t="s">
        <v>10</v>
      </c>
      <c r="J192" s="15"/>
    </row>
    <row r="193" s="26" customFormat="1" hidden="1" spans="2:10">
      <c r="B193" s="86">
        <v>222301547</v>
      </c>
      <c r="C193" s="9">
        <v>44993</v>
      </c>
      <c r="D193" s="10" t="s">
        <v>78</v>
      </c>
      <c r="E193" s="10">
        <v>300000</v>
      </c>
      <c r="F193" s="10">
        <v>0.02</v>
      </c>
      <c r="G193" s="9">
        <v>45041</v>
      </c>
      <c r="H193" s="12">
        <f t="shared" si="2"/>
        <v>6000</v>
      </c>
      <c r="I193" s="12" t="s">
        <v>10</v>
      </c>
      <c r="J193" s="15"/>
    </row>
    <row r="194" s="26" customFormat="1" hidden="1" spans="2:10">
      <c r="B194" s="86">
        <v>222301547</v>
      </c>
      <c r="C194" s="9">
        <v>44993</v>
      </c>
      <c r="D194" s="10" t="s">
        <v>33</v>
      </c>
      <c r="E194" s="10">
        <v>400000</v>
      </c>
      <c r="F194" s="10">
        <v>0.02</v>
      </c>
      <c r="G194" s="9">
        <v>45041</v>
      </c>
      <c r="H194" s="12">
        <f t="shared" ref="H194:H257" si="3">E194*F194</f>
        <v>8000</v>
      </c>
      <c r="I194" s="12" t="s">
        <v>10</v>
      </c>
      <c r="J194" s="15"/>
    </row>
    <row r="195" s="26" customFormat="1" hidden="1" spans="2:10">
      <c r="B195" s="86">
        <v>222301547</v>
      </c>
      <c r="C195" s="9">
        <v>44993</v>
      </c>
      <c r="D195" s="87" t="s">
        <v>202</v>
      </c>
      <c r="E195" s="10">
        <v>400000</v>
      </c>
      <c r="F195" s="10">
        <v>0.04</v>
      </c>
      <c r="G195" s="9">
        <v>45041</v>
      </c>
      <c r="H195" s="12">
        <f t="shared" si="3"/>
        <v>16000</v>
      </c>
      <c r="I195" s="12" t="s">
        <v>10</v>
      </c>
      <c r="J195" s="15"/>
    </row>
    <row r="196" s="26" customFormat="1" hidden="1" spans="2:10">
      <c r="B196" s="86">
        <v>222301547</v>
      </c>
      <c r="C196" s="9">
        <v>44993</v>
      </c>
      <c r="D196" s="87" t="s">
        <v>202</v>
      </c>
      <c r="E196" s="10">
        <v>300000</v>
      </c>
      <c r="F196" s="10">
        <v>0.04</v>
      </c>
      <c r="G196" s="9">
        <v>45041</v>
      </c>
      <c r="H196" s="12">
        <f t="shared" si="3"/>
        <v>12000</v>
      </c>
      <c r="I196" s="12" t="s">
        <v>10</v>
      </c>
      <c r="J196" s="15"/>
    </row>
    <row r="197" s="26" customFormat="1" hidden="1" spans="2:10">
      <c r="B197" s="86">
        <v>222301547</v>
      </c>
      <c r="C197" s="9">
        <v>44993</v>
      </c>
      <c r="D197" s="87" t="s">
        <v>204</v>
      </c>
      <c r="E197" s="10">
        <v>400000</v>
      </c>
      <c r="F197" s="10">
        <v>0.036</v>
      </c>
      <c r="G197" s="9">
        <v>45041</v>
      </c>
      <c r="H197" s="12">
        <f t="shared" si="3"/>
        <v>14400</v>
      </c>
      <c r="I197" s="12" t="s">
        <v>10</v>
      </c>
      <c r="J197" s="15"/>
    </row>
    <row r="198" s="26" customFormat="1" hidden="1" spans="2:10">
      <c r="B198" s="86">
        <v>222301547</v>
      </c>
      <c r="C198" s="9">
        <v>44993</v>
      </c>
      <c r="D198" s="87" t="s">
        <v>204</v>
      </c>
      <c r="E198" s="10">
        <v>400000</v>
      </c>
      <c r="F198" s="10">
        <v>0.036</v>
      </c>
      <c r="G198" s="9">
        <v>45041</v>
      </c>
      <c r="H198" s="12">
        <f t="shared" si="3"/>
        <v>14400</v>
      </c>
      <c r="I198" s="12" t="s">
        <v>10</v>
      </c>
      <c r="J198" s="15"/>
    </row>
    <row r="199" s="26" customFormat="1" hidden="1" spans="2:10">
      <c r="B199" s="86">
        <v>222301547</v>
      </c>
      <c r="C199" s="9">
        <v>44993</v>
      </c>
      <c r="D199" s="10" t="s">
        <v>32</v>
      </c>
      <c r="E199" s="10">
        <v>400000</v>
      </c>
      <c r="F199" s="10">
        <v>0.02</v>
      </c>
      <c r="G199" s="9">
        <v>45041</v>
      </c>
      <c r="H199" s="12">
        <f t="shared" si="3"/>
        <v>8000</v>
      </c>
      <c r="I199" s="12" t="s">
        <v>10</v>
      </c>
      <c r="J199" s="15"/>
    </row>
    <row r="200" s="26" customFormat="1" hidden="1" spans="2:10">
      <c r="B200" s="86">
        <v>222301548</v>
      </c>
      <c r="C200" s="9">
        <v>44993</v>
      </c>
      <c r="D200" s="10" t="s">
        <v>78</v>
      </c>
      <c r="E200" s="10">
        <v>300000</v>
      </c>
      <c r="F200" s="10">
        <v>0.02</v>
      </c>
      <c r="G200" s="9">
        <v>45132</v>
      </c>
      <c r="H200" s="12">
        <f t="shared" si="3"/>
        <v>6000</v>
      </c>
      <c r="I200" s="12" t="s">
        <v>10</v>
      </c>
      <c r="J200" s="15"/>
    </row>
    <row r="201" s="26" customFormat="1" hidden="1" spans="2:10">
      <c r="B201" s="86">
        <v>222301548</v>
      </c>
      <c r="C201" s="9">
        <v>44993</v>
      </c>
      <c r="D201" s="10" t="s">
        <v>33</v>
      </c>
      <c r="E201" s="10">
        <v>300000</v>
      </c>
      <c r="F201" s="10">
        <v>0.02</v>
      </c>
      <c r="G201" s="9">
        <v>45102</v>
      </c>
      <c r="H201" s="12">
        <f t="shared" si="3"/>
        <v>6000</v>
      </c>
      <c r="I201" s="12" t="s">
        <v>10</v>
      </c>
      <c r="J201" s="15"/>
    </row>
    <row r="202" s="26" customFormat="1" hidden="1" spans="2:10">
      <c r="B202" s="86">
        <v>222301548</v>
      </c>
      <c r="C202" s="9">
        <v>44993</v>
      </c>
      <c r="D202" s="10" t="s">
        <v>33</v>
      </c>
      <c r="E202" s="10">
        <v>300000</v>
      </c>
      <c r="F202" s="10">
        <v>0.02</v>
      </c>
      <c r="G202" s="9">
        <v>45132</v>
      </c>
      <c r="H202" s="12">
        <f t="shared" si="3"/>
        <v>6000</v>
      </c>
      <c r="I202" s="12" t="s">
        <v>10</v>
      </c>
      <c r="J202" s="15"/>
    </row>
    <row r="203" s="26" customFormat="1" hidden="1" spans="2:10">
      <c r="B203" s="86">
        <v>222301548</v>
      </c>
      <c r="C203" s="9">
        <v>44993</v>
      </c>
      <c r="D203" s="87" t="s">
        <v>202</v>
      </c>
      <c r="E203" s="10">
        <v>400000</v>
      </c>
      <c r="F203" s="10">
        <v>0.04</v>
      </c>
      <c r="G203" s="9">
        <v>45163</v>
      </c>
      <c r="H203" s="12">
        <f t="shared" si="3"/>
        <v>16000</v>
      </c>
      <c r="I203" s="12" t="s">
        <v>10</v>
      </c>
      <c r="J203" s="15"/>
    </row>
    <row r="204" s="26" customFormat="1" hidden="1" spans="2:10">
      <c r="B204" s="86">
        <v>222301548</v>
      </c>
      <c r="C204" s="9">
        <v>44993</v>
      </c>
      <c r="D204" s="87" t="s">
        <v>204</v>
      </c>
      <c r="E204" s="10">
        <v>400000</v>
      </c>
      <c r="F204" s="10">
        <v>0.036</v>
      </c>
      <c r="G204" s="9">
        <v>45102</v>
      </c>
      <c r="H204" s="12">
        <f t="shared" si="3"/>
        <v>14400</v>
      </c>
      <c r="I204" s="12" t="s">
        <v>10</v>
      </c>
      <c r="J204" s="15"/>
    </row>
    <row r="205" s="26" customFormat="1" hidden="1" spans="2:10">
      <c r="B205" s="86">
        <v>222301548</v>
      </c>
      <c r="C205" s="9">
        <v>44993</v>
      </c>
      <c r="D205" s="87" t="s">
        <v>204</v>
      </c>
      <c r="E205" s="10">
        <v>400000</v>
      </c>
      <c r="F205" s="10">
        <v>0.036</v>
      </c>
      <c r="G205" s="9">
        <v>45132</v>
      </c>
      <c r="H205" s="12">
        <f t="shared" si="3"/>
        <v>14400</v>
      </c>
      <c r="I205" s="12" t="s">
        <v>10</v>
      </c>
      <c r="J205" s="15"/>
    </row>
    <row r="206" s="26" customFormat="1" hidden="1" spans="2:10">
      <c r="B206" s="86">
        <v>222301548</v>
      </c>
      <c r="C206" s="9">
        <v>44993</v>
      </c>
      <c r="D206" s="10" t="s">
        <v>32</v>
      </c>
      <c r="E206" s="10">
        <v>500000</v>
      </c>
      <c r="F206" s="10">
        <v>0.02</v>
      </c>
      <c r="G206" s="9">
        <v>45102</v>
      </c>
      <c r="H206" s="12">
        <f t="shared" si="3"/>
        <v>10000</v>
      </c>
      <c r="I206" s="12" t="s">
        <v>10</v>
      </c>
      <c r="J206" s="15"/>
    </row>
    <row r="207" s="26" customFormat="1" hidden="1" spans="2:10">
      <c r="B207" s="86">
        <v>222301548</v>
      </c>
      <c r="C207" s="9">
        <v>44993</v>
      </c>
      <c r="D207" s="87" t="s">
        <v>203</v>
      </c>
      <c r="E207" s="10">
        <v>800000</v>
      </c>
      <c r="F207" s="10">
        <v>0.027</v>
      </c>
      <c r="G207" s="9">
        <v>45102</v>
      </c>
      <c r="H207" s="12">
        <f t="shared" si="3"/>
        <v>21600</v>
      </c>
      <c r="I207" s="12" t="s">
        <v>10</v>
      </c>
      <c r="J207" s="15"/>
    </row>
    <row r="208" s="26" customFormat="1" hidden="1" spans="2:10">
      <c r="B208" s="86">
        <v>222301548</v>
      </c>
      <c r="C208" s="9">
        <v>44993</v>
      </c>
      <c r="D208" s="87" t="s">
        <v>203</v>
      </c>
      <c r="E208" s="10">
        <v>800000</v>
      </c>
      <c r="F208" s="10">
        <v>0.027</v>
      </c>
      <c r="G208" s="9">
        <v>45102</v>
      </c>
      <c r="H208" s="12">
        <f t="shared" si="3"/>
        <v>21600</v>
      </c>
      <c r="I208" s="12" t="s">
        <v>10</v>
      </c>
      <c r="J208" s="15"/>
    </row>
    <row r="209" s="26" customFormat="1" hidden="1" spans="2:10">
      <c r="B209" s="86">
        <v>222301548</v>
      </c>
      <c r="C209" s="9">
        <v>44993</v>
      </c>
      <c r="D209" s="87" t="s">
        <v>203</v>
      </c>
      <c r="E209" s="10">
        <v>800000</v>
      </c>
      <c r="F209" s="10">
        <v>0.027</v>
      </c>
      <c r="G209" s="9">
        <v>45132</v>
      </c>
      <c r="H209" s="12">
        <f t="shared" si="3"/>
        <v>21600</v>
      </c>
      <c r="I209" s="12" t="s">
        <v>10</v>
      </c>
      <c r="J209" s="15"/>
    </row>
    <row r="210" s="26" customFormat="1" hidden="1" spans="2:10">
      <c r="B210" s="86">
        <v>222301549</v>
      </c>
      <c r="C210" s="9">
        <v>44993</v>
      </c>
      <c r="D210" s="87" t="s">
        <v>202</v>
      </c>
      <c r="E210" s="10">
        <v>300000</v>
      </c>
      <c r="F210" s="10">
        <v>0.04</v>
      </c>
      <c r="G210" s="9">
        <v>45163</v>
      </c>
      <c r="H210" s="12">
        <f t="shared" si="3"/>
        <v>12000</v>
      </c>
      <c r="I210" s="12" t="s">
        <v>10</v>
      </c>
      <c r="J210" s="15"/>
    </row>
    <row r="211" s="26" customFormat="1" hidden="1" spans="2:10">
      <c r="B211" s="86">
        <v>222301549</v>
      </c>
      <c r="C211" s="9">
        <v>44993</v>
      </c>
      <c r="D211" s="10" t="s">
        <v>32</v>
      </c>
      <c r="E211" s="10">
        <v>400000</v>
      </c>
      <c r="F211" s="10">
        <v>0.02</v>
      </c>
      <c r="G211" s="9">
        <v>45102</v>
      </c>
      <c r="H211" s="12">
        <f t="shared" si="3"/>
        <v>8000</v>
      </c>
      <c r="I211" s="12" t="s">
        <v>10</v>
      </c>
      <c r="J211" s="15"/>
    </row>
    <row r="212" s="26" customFormat="1" hidden="1" spans="2:10">
      <c r="B212" s="86">
        <v>222301549</v>
      </c>
      <c r="C212" s="9">
        <v>44993</v>
      </c>
      <c r="D212" s="10" t="s">
        <v>32</v>
      </c>
      <c r="E212" s="10">
        <v>400000</v>
      </c>
      <c r="F212" s="10">
        <v>0.02</v>
      </c>
      <c r="G212" s="9">
        <v>45132</v>
      </c>
      <c r="H212" s="12">
        <f t="shared" si="3"/>
        <v>8000</v>
      </c>
      <c r="I212" s="12" t="s">
        <v>10</v>
      </c>
      <c r="J212" s="15"/>
    </row>
    <row r="213" s="26" customFormat="1" hidden="1" spans="2:10">
      <c r="B213" s="86">
        <v>222301549</v>
      </c>
      <c r="C213" s="9">
        <v>44993</v>
      </c>
      <c r="D213" s="87" t="s">
        <v>203</v>
      </c>
      <c r="E213" s="10">
        <v>800000</v>
      </c>
      <c r="F213" s="10">
        <v>0.027</v>
      </c>
      <c r="G213" s="9">
        <v>45132</v>
      </c>
      <c r="H213" s="12">
        <f t="shared" si="3"/>
        <v>21600</v>
      </c>
      <c r="I213" s="12" t="s">
        <v>10</v>
      </c>
      <c r="J213" s="15"/>
    </row>
    <row r="214" s="26" customFormat="1" hidden="1" spans="2:10">
      <c r="B214" s="86">
        <v>222301549</v>
      </c>
      <c r="C214" s="9">
        <v>44993</v>
      </c>
      <c r="D214" s="87" t="s">
        <v>203</v>
      </c>
      <c r="E214" s="10">
        <v>800000</v>
      </c>
      <c r="F214" s="10">
        <v>0.027</v>
      </c>
      <c r="G214" s="9">
        <v>45163</v>
      </c>
      <c r="H214" s="12">
        <f t="shared" si="3"/>
        <v>21600</v>
      </c>
      <c r="I214" s="12" t="s">
        <v>10</v>
      </c>
      <c r="J214" s="15"/>
    </row>
    <row r="215" s="26" customFormat="1" hidden="1" spans="2:10">
      <c r="B215" s="86">
        <v>222301550</v>
      </c>
      <c r="C215" s="9">
        <v>44993</v>
      </c>
      <c r="D215" s="87" t="s">
        <v>204</v>
      </c>
      <c r="E215" s="10">
        <v>400000</v>
      </c>
      <c r="F215" s="10">
        <v>0.036</v>
      </c>
      <c r="G215" s="9">
        <v>45163</v>
      </c>
      <c r="H215" s="12">
        <f t="shared" si="3"/>
        <v>14400</v>
      </c>
      <c r="I215" s="12" t="s">
        <v>10</v>
      </c>
      <c r="J215" s="15"/>
    </row>
    <row r="216" s="26" customFormat="1" hidden="1" spans="2:10">
      <c r="B216" s="86">
        <v>222301550</v>
      </c>
      <c r="C216" s="9">
        <v>44993</v>
      </c>
      <c r="D216" s="10" t="s">
        <v>32</v>
      </c>
      <c r="E216" s="10">
        <v>400000</v>
      </c>
      <c r="F216" s="10">
        <v>0.02</v>
      </c>
      <c r="G216" s="9">
        <v>45163</v>
      </c>
      <c r="H216" s="12">
        <f t="shared" si="3"/>
        <v>8000</v>
      </c>
      <c r="I216" s="12" t="s">
        <v>10</v>
      </c>
      <c r="J216" s="15"/>
    </row>
    <row r="217" s="26" customFormat="1" hidden="1" spans="2:10">
      <c r="B217" s="86">
        <v>222301550</v>
      </c>
      <c r="C217" s="9">
        <v>44993</v>
      </c>
      <c r="D217" s="87" t="s">
        <v>203</v>
      </c>
      <c r="E217" s="10">
        <v>400000</v>
      </c>
      <c r="F217" s="10">
        <v>0.027</v>
      </c>
      <c r="G217" s="9">
        <v>45163</v>
      </c>
      <c r="H217" s="12">
        <f t="shared" si="3"/>
        <v>10800</v>
      </c>
      <c r="I217" s="12" t="s">
        <v>10</v>
      </c>
      <c r="J217" s="15"/>
    </row>
    <row r="218" s="26" customFormat="1" hidden="1" spans="2:10">
      <c r="B218" s="86">
        <v>222301565</v>
      </c>
      <c r="C218" s="9">
        <v>44995</v>
      </c>
      <c r="D218" s="10" t="s">
        <v>26</v>
      </c>
      <c r="E218" s="10">
        <v>21000</v>
      </c>
      <c r="F218" s="10">
        <v>0.014</v>
      </c>
      <c r="G218" s="9">
        <v>45010</v>
      </c>
      <c r="H218" s="12">
        <f t="shared" si="3"/>
        <v>294</v>
      </c>
      <c r="I218" s="12" t="s">
        <v>10</v>
      </c>
      <c r="J218" s="15"/>
    </row>
    <row r="219" s="26" customFormat="1" hidden="1" spans="2:10">
      <c r="B219" s="86">
        <v>222301615</v>
      </c>
      <c r="C219" s="9">
        <v>45008</v>
      </c>
      <c r="D219" s="87" t="s">
        <v>243</v>
      </c>
      <c r="E219" s="10">
        <v>64000</v>
      </c>
      <c r="F219" s="10">
        <v>0.022</v>
      </c>
      <c r="G219" s="9">
        <v>45036</v>
      </c>
      <c r="H219" s="12">
        <f t="shared" si="3"/>
        <v>1408</v>
      </c>
      <c r="I219" s="12" t="s">
        <v>10</v>
      </c>
      <c r="J219" s="15"/>
    </row>
    <row r="220" s="26" customFormat="1" hidden="1" spans="2:10">
      <c r="B220" s="86">
        <v>222301615</v>
      </c>
      <c r="C220" s="9">
        <v>45008</v>
      </c>
      <c r="D220" s="87" t="s">
        <v>243</v>
      </c>
      <c r="E220" s="10">
        <v>64000</v>
      </c>
      <c r="F220" s="10">
        <v>0.022</v>
      </c>
      <c r="G220" s="9">
        <v>45066</v>
      </c>
      <c r="H220" s="12">
        <f t="shared" si="3"/>
        <v>1408</v>
      </c>
      <c r="I220" s="12" t="s">
        <v>10</v>
      </c>
      <c r="J220" s="15"/>
    </row>
    <row r="221" s="26" customFormat="1" hidden="1" spans="2:10">
      <c r="B221" s="86">
        <v>222301615</v>
      </c>
      <c r="C221" s="9">
        <v>45008</v>
      </c>
      <c r="D221" s="87" t="s">
        <v>257</v>
      </c>
      <c r="E221" s="10">
        <v>208000</v>
      </c>
      <c r="F221" s="10">
        <v>0.01</v>
      </c>
      <c r="G221" s="9">
        <v>45066</v>
      </c>
      <c r="H221" s="12">
        <f t="shared" si="3"/>
        <v>2080</v>
      </c>
      <c r="I221" s="12" t="s">
        <v>10</v>
      </c>
      <c r="J221" s="15"/>
    </row>
    <row r="222" s="26" customFormat="1" hidden="1" spans="2:10">
      <c r="B222" s="86">
        <v>222301619</v>
      </c>
      <c r="C222" s="9">
        <v>45008</v>
      </c>
      <c r="D222" s="87" t="s">
        <v>258</v>
      </c>
      <c r="E222" s="10">
        <v>20000</v>
      </c>
      <c r="F222" s="10">
        <v>0.065</v>
      </c>
      <c r="G222" s="9">
        <v>45010</v>
      </c>
      <c r="H222" s="12">
        <f t="shared" si="3"/>
        <v>1300</v>
      </c>
      <c r="I222" s="12" t="s">
        <v>10</v>
      </c>
      <c r="J222" s="15"/>
    </row>
    <row r="223" s="26" customFormat="1" hidden="1" spans="2:10">
      <c r="B223" s="86">
        <v>222301621</v>
      </c>
      <c r="C223" s="9">
        <v>45008</v>
      </c>
      <c r="D223" s="87" t="s">
        <v>235</v>
      </c>
      <c r="E223" s="10">
        <v>100000</v>
      </c>
      <c r="F223" s="10">
        <v>0.04</v>
      </c>
      <c r="G223" s="9">
        <v>45041</v>
      </c>
      <c r="H223" s="12">
        <f t="shared" si="3"/>
        <v>4000</v>
      </c>
      <c r="I223" s="12" t="s">
        <v>10</v>
      </c>
      <c r="J223" s="15"/>
    </row>
    <row r="224" s="26" customFormat="1" hidden="1" spans="2:10">
      <c r="B224" s="86">
        <v>222301621</v>
      </c>
      <c r="C224" s="9">
        <v>45008</v>
      </c>
      <c r="D224" s="87" t="s">
        <v>235</v>
      </c>
      <c r="E224" s="10">
        <v>100000</v>
      </c>
      <c r="F224" s="10">
        <v>0.04</v>
      </c>
      <c r="G224" s="9">
        <v>45071</v>
      </c>
      <c r="H224" s="12">
        <f t="shared" si="3"/>
        <v>4000</v>
      </c>
      <c r="I224" s="12" t="s">
        <v>10</v>
      </c>
      <c r="J224" s="15"/>
    </row>
    <row r="225" s="26" customFormat="1" hidden="1" spans="2:13">
      <c r="B225" s="111">
        <v>222301621</v>
      </c>
      <c r="C225" s="112">
        <v>45008</v>
      </c>
      <c r="D225" s="128" t="s">
        <v>255</v>
      </c>
      <c r="E225" s="113">
        <v>150000</v>
      </c>
      <c r="F225" s="113">
        <v>0.0238</v>
      </c>
      <c r="G225" s="112">
        <v>45102</v>
      </c>
      <c r="H225" s="114">
        <f t="shared" si="3"/>
        <v>3570</v>
      </c>
      <c r="I225" s="12" t="s">
        <v>10</v>
      </c>
      <c r="J225" s="129"/>
      <c r="M225" s="26">
        <v>4720</v>
      </c>
    </row>
    <row r="226" s="84" customFormat="1" hidden="1" spans="2:13">
      <c r="B226" s="86">
        <v>222301621</v>
      </c>
      <c r="C226" s="9">
        <v>45008</v>
      </c>
      <c r="D226" s="87" t="s">
        <v>207</v>
      </c>
      <c r="E226" s="10">
        <v>200000</v>
      </c>
      <c r="F226" s="10">
        <v>0.03</v>
      </c>
      <c r="G226" s="9">
        <v>45041</v>
      </c>
      <c r="H226" s="12">
        <f t="shared" si="3"/>
        <v>6000</v>
      </c>
      <c r="I226" s="12" t="s">
        <v>10</v>
      </c>
      <c r="J226" s="15"/>
      <c r="M226" s="84">
        <v>650</v>
      </c>
    </row>
    <row r="227" hidden="1" spans="2:13">
      <c r="B227" s="115">
        <v>222301621</v>
      </c>
      <c r="C227" s="116">
        <v>45008</v>
      </c>
      <c r="D227" s="117" t="s">
        <v>207</v>
      </c>
      <c r="E227" s="118">
        <v>200000</v>
      </c>
      <c r="F227" s="118">
        <v>0.03</v>
      </c>
      <c r="G227" s="116">
        <v>45071</v>
      </c>
      <c r="H227" s="119">
        <f t="shared" si="3"/>
        <v>6000</v>
      </c>
      <c r="I227" s="12" t="s">
        <v>10</v>
      </c>
      <c r="J227" s="130"/>
      <c r="M227">
        <v>29570</v>
      </c>
    </row>
    <row r="228" hidden="1" spans="2:13">
      <c r="B228" s="86">
        <v>222301621</v>
      </c>
      <c r="C228" s="9">
        <v>45008</v>
      </c>
      <c r="D228" s="87" t="s">
        <v>207</v>
      </c>
      <c r="E228" s="10">
        <v>200000</v>
      </c>
      <c r="F228" s="10">
        <v>0.03</v>
      </c>
      <c r="G228" s="9">
        <v>45071</v>
      </c>
      <c r="H228" s="12">
        <f t="shared" si="3"/>
        <v>6000</v>
      </c>
      <c r="I228" s="12" t="s">
        <v>10</v>
      </c>
      <c r="J228" s="15"/>
      <c r="M228">
        <v>12000</v>
      </c>
    </row>
    <row r="229" hidden="1" spans="2:13">
      <c r="B229" s="86">
        <v>222301622</v>
      </c>
      <c r="C229" s="9">
        <v>45008</v>
      </c>
      <c r="D229" s="10" t="s">
        <v>100</v>
      </c>
      <c r="E229" s="10">
        <v>200000</v>
      </c>
      <c r="F229" s="10">
        <v>0.03</v>
      </c>
      <c r="G229" s="9">
        <v>45041</v>
      </c>
      <c r="H229" s="12">
        <f t="shared" si="3"/>
        <v>6000</v>
      </c>
      <c r="I229" s="12" t="s">
        <v>10</v>
      </c>
      <c r="J229" s="15"/>
      <c r="M229">
        <v>12296</v>
      </c>
    </row>
    <row r="230" hidden="1" spans="2:13">
      <c r="B230" s="86">
        <v>222301622</v>
      </c>
      <c r="C230" s="9">
        <v>45008</v>
      </c>
      <c r="D230" s="10" t="s">
        <v>100</v>
      </c>
      <c r="E230" s="10">
        <v>200000</v>
      </c>
      <c r="F230" s="10">
        <v>0.03</v>
      </c>
      <c r="G230" s="9">
        <v>45071</v>
      </c>
      <c r="H230" s="12">
        <f t="shared" si="3"/>
        <v>6000</v>
      </c>
      <c r="I230" s="12" t="s">
        <v>10</v>
      </c>
      <c r="J230" s="15"/>
      <c r="M230">
        <v>5000</v>
      </c>
    </row>
    <row r="231" hidden="1" spans="2:13">
      <c r="B231" s="86">
        <v>222301623</v>
      </c>
      <c r="C231" s="9">
        <v>45008</v>
      </c>
      <c r="D231" s="87" t="s">
        <v>259</v>
      </c>
      <c r="E231" s="10">
        <v>100000</v>
      </c>
      <c r="F231" s="10">
        <v>0.028</v>
      </c>
      <c r="G231" s="9">
        <v>45041</v>
      </c>
      <c r="H231" s="12">
        <f t="shared" si="3"/>
        <v>2800</v>
      </c>
      <c r="I231" s="12" t="s">
        <v>10</v>
      </c>
      <c r="J231" s="15"/>
      <c r="M231">
        <v>27112</v>
      </c>
    </row>
    <row r="232" hidden="1" spans="2:13">
      <c r="B232" s="86">
        <v>222301623</v>
      </c>
      <c r="C232" s="9">
        <v>45008</v>
      </c>
      <c r="D232" s="87" t="s">
        <v>259</v>
      </c>
      <c r="E232" s="10">
        <v>50000</v>
      </c>
      <c r="F232" s="10">
        <v>0.028</v>
      </c>
      <c r="G232" s="9">
        <v>45071</v>
      </c>
      <c r="H232" s="12">
        <f t="shared" si="3"/>
        <v>1400</v>
      </c>
      <c r="I232" s="12" t="s">
        <v>10</v>
      </c>
      <c r="J232" s="15"/>
      <c r="M232">
        <v>2464</v>
      </c>
    </row>
    <row r="233" hidden="1" spans="2:13">
      <c r="B233" s="86">
        <v>222301623</v>
      </c>
      <c r="C233" s="9">
        <v>45008</v>
      </c>
      <c r="D233" s="87" t="s">
        <v>231</v>
      </c>
      <c r="E233" s="10">
        <v>201000</v>
      </c>
      <c r="F233" s="10">
        <v>0.0083</v>
      </c>
      <c r="G233" s="9">
        <v>45041</v>
      </c>
      <c r="H233" s="12">
        <f t="shared" si="3"/>
        <v>1668.3</v>
      </c>
      <c r="I233" s="12" t="s">
        <v>10</v>
      </c>
      <c r="J233" s="15"/>
    </row>
    <row r="234" hidden="1" spans="2:13">
      <c r="B234" s="86">
        <v>222301623</v>
      </c>
      <c r="C234" s="9">
        <v>45008</v>
      </c>
      <c r="D234" s="87" t="s">
        <v>231</v>
      </c>
      <c r="E234" s="10">
        <v>201000</v>
      </c>
      <c r="F234" s="10">
        <v>0.0083</v>
      </c>
      <c r="G234" s="9">
        <v>45102</v>
      </c>
      <c r="H234" s="12">
        <f t="shared" si="3"/>
        <v>1668.3</v>
      </c>
      <c r="I234" s="12" t="s">
        <v>10</v>
      </c>
      <c r="J234" s="15"/>
    </row>
    <row r="235" hidden="1" spans="2:13">
      <c r="B235" s="86">
        <v>222301623</v>
      </c>
      <c r="C235" s="9">
        <v>45008</v>
      </c>
      <c r="D235" s="87" t="s">
        <v>255</v>
      </c>
      <c r="E235" s="10">
        <v>200000</v>
      </c>
      <c r="F235" s="10">
        <v>0.0238</v>
      </c>
      <c r="G235" s="9">
        <v>45071</v>
      </c>
      <c r="H235" s="12">
        <f t="shared" si="3"/>
        <v>4760</v>
      </c>
      <c r="I235" s="12" t="s">
        <v>10</v>
      </c>
      <c r="J235" s="15"/>
    </row>
    <row r="236" hidden="1" spans="2:13">
      <c r="B236" s="90">
        <v>222301624</v>
      </c>
      <c r="C236" s="66">
        <v>45008</v>
      </c>
      <c r="D236" s="8" t="s">
        <v>200</v>
      </c>
      <c r="E236" s="67">
        <v>100000</v>
      </c>
      <c r="F236" s="67">
        <v>0.05</v>
      </c>
      <c r="G236" s="66">
        <v>45102</v>
      </c>
      <c r="H236" s="68">
        <f t="shared" si="3"/>
        <v>5000</v>
      </c>
      <c r="I236" s="12" t="s">
        <v>10</v>
      </c>
      <c r="J236" s="15"/>
    </row>
    <row r="237" hidden="1" spans="2:13">
      <c r="B237" s="86">
        <v>222301625</v>
      </c>
      <c r="C237" s="9">
        <v>45008</v>
      </c>
      <c r="D237" s="87" t="s">
        <v>243</v>
      </c>
      <c r="E237" s="10">
        <v>96000</v>
      </c>
      <c r="F237" s="10">
        <v>0.022</v>
      </c>
      <c r="G237" s="9">
        <v>45071</v>
      </c>
      <c r="H237" s="12">
        <f t="shared" si="3"/>
        <v>2112</v>
      </c>
      <c r="I237" s="12" t="s">
        <v>10</v>
      </c>
      <c r="J237" s="15"/>
    </row>
    <row r="238" hidden="1" spans="2:13">
      <c r="B238" s="90">
        <v>222301625</v>
      </c>
      <c r="C238" s="66">
        <v>45008</v>
      </c>
      <c r="D238" s="8" t="s">
        <v>200</v>
      </c>
      <c r="E238" s="67">
        <v>200000</v>
      </c>
      <c r="F238" s="67">
        <v>0.05</v>
      </c>
      <c r="G238" s="66">
        <v>45071</v>
      </c>
      <c r="H238" s="68">
        <f t="shared" si="3"/>
        <v>10000</v>
      </c>
      <c r="I238" s="12" t="s">
        <v>10</v>
      </c>
      <c r="J238" s="15"/>
    </row>
    <row r="239" hidden="1" spans="2:13">
      <c r="B239" s="90">
        <v>222301625</v>
      </c>
      <c r="C239" s="66">
        <v>45008</v>
      </c>
      <c r="D239" s="8" t="s">
        <v>200</v>
      </c>
      <c r="E239" s="67">
        <v>100000</v>
      </c>
      <c r="F239" s="67">
        <v>0.05</v>
      </c>
      <c r="G239" s="66">
        <v>45071</v>
      </c>
      <c r="H239" s="68">
        <f t="shared" si="3"/>
        <v>5000</v>
      </c>
      <c r="I239" s="12" t="s">
        <v>10</v>
      </c>
      <c r="J239" s="15"/>
    </row>
    <row r="240" hidden="1" spans="2:13">
      <c r="B240" s="90">
        <v>222301625</v>
      </c>
      <c r="C240" s="66">
        <v>45008</v>
      </c>
      <c r="D240" s="8" t="s">
        <v>200</v>
      </c>
      <c r="E240" s="67">
        <v>100000</v>
      </c>
      <c r="F240" s="67">
        <v>0.05</v>
      </c>
      <c r="G240" s="66">
        <v>45102</v>
      </c>
      <c r="H240" s="68">
        <f t="shared" si="3"/>
        <v>5000</v>
      </c>
      <c r="I240" s="12" t="s">
        <v>10</v>
      </c>
      <c r="J240" s="15"/>
    </row>
    <row r="241" hidden="1" spans="2:10">
      <c r="B241" s="90">
        <v>222301625</v>
      </c>
      <c r="C241" s="66">
        <v>45008</v>
      </c>
      <c r="D241" s="8" t="s">
        <v>200</v>
      </c>
      <c r="E241" s="67">
        <v>100000</v>
      </c>
      <c r="F241" s="67">
        <v>0.05</v>
      </c>
      <c r="G241" s="66">
        <v>45132</v>
      </c>
      <c r="H241" s="68">
        <f t="shared" si="3"/>
        <v>5000</v>
      </c>
      <c r="I241" s="12" t="s">
        <v>10</v>
      </c>
      <c r="J241" s="15"/>
    </row>
    <row r="242" hidden="1" spans="2:10">
      <c r="B242" s="86">
        <v>222301626</v>
      </c>
      <c r="C242" s="9">
        <v>45008</v>
      </c>
      <c r="D242" s="87" t="s">
        <v>243</v>
      </c>
      <c r="E242" s="10">
        <v>112000</v>
      </c>
      <c r="F242" s="10">
        <v>0.022</v>
      </c>
      <c r="G242" s="9">
        <v>45071</v>
      </c>
      <c r="H242" s="12">
        <f t="shared" si="3"/>
        <v>2464</v>
      </c>
      <c r="I242" s="12" t="s">
        <v>10</v>
      </c>
      <c r="J242" s="15"/>
    </row>
    <row r="243" hidden="1" spans="2:10">
      <c r="B243" s="86">
        <v>222301628</v>
      </c>
      <c r="C243" s="9">
        <v>45005</v>
      </c>
      <c r="D243" s="10" t="s">
        <v>150</v>
      </c>
      <c r="E243" s="10">
        <v>80000</v>
      </c>
      <c r="F243" s="10">
        <v>0.022</v>
      </c>
      <c r="G243" s="9">
        <v>45071</v>
      </c>
      <c r="H243" s="12">
        <f t="shared" si="3"/>
        <v>1760</v>
      </c>
      <c r="I243" s="12" t="s">
        <v>10</v>
      </c>
      <c r="J243" s="15"/>
    </row>
    <row r="244" hidden="1" spans="2:10">
      <c r="B244" s="86">
        <v>222301628</v>
      </c>
      <c r="C244" s="9">
        <v>45005</v>
      </c>
      <c r="D244" s="10" t="s">
        <v>150</v>
      </c>
      <c r="E244" s="10">
        <v>80000</v>
      </c>
      <c r="F244" s="10">
        <v>0.022</v>
      </c>
      <c r="G244" s="9">
        <v>45102</v>
      </c>
      <c r="H244" s="12">
        <f t="shared" si="3"/>
        <v>1760</v>
      </c>
      <c r="I244" s="12" t="s">
        <v>10</v>
      </c>
      <c r="J244" s="15"/>
    </row>
    <row r="245" hidden="1" spans="2:10">
      <c r="B245" s="86">
        <v>222301628</v>
      </c>
      <c r="C245" s="9">
        <v>45005</v>
      </c>
      <c r="D245" s="10" t="s">
        <v>212</v>
      </c>
      <c r="E245" s="10">
        <v>20000</v>
      </c>
      <c r="F245" s="10">
        <v>0.023</v>
      </c>
      <c r="G245" s="9">
        <v>45071</v>
      </c>
      <c r="H245" s="12">
        <f t="shared" si="3"/>
        <v>460</v>
      </c>
      <c r="I245" s="12" t="s">
        <v>10</v>
      </c>
      <c r="J245" s="15"/>
    </row>
    <row r="246" hidden="1" spans="2:10">
      <c r="B246" s="86">
        <v>222301628</v>
      </c>
      <c r="C246" s="9">
        <v>45005</v>
      </c>
      <c r="D246" s="10" t="s">
        <v>212</v>
      </c>
      <c r="E246" s="10">
        <v>20000</v>
      </c>
      <c r="F246" s="10">
        <v>0.023</v>
      </c>
      <c r="G246" s="9">
        <v>45102</v>
      </c>
      <c r="H246" s="12">
        <f t="shared" si="3"/>
        <v>460</v>
      </c>
      <c r="I246" s="12" t="s">
        <v>10</v>
      </c>
      <c r="J246" s="15"/>
    </row>
    <row r="247" hidden="1" spans="2:10">
      <c r="B247" s="86">
        <v>222301629</v>
      </c>
      <c r="C247" s="9">
        <v>45008</v>
      </c>
      <c r="D247" s="10" t="s">
        <v>260</v>
      </c>
      <c r="E247" s="10">
        <v>30000</v>
      </c>
      <c r="F247" s="10">
        <v>0.027</v>
      </c>
      <c r="G247" s="9">
        <v>45036</v>
      </c>
      <c r="H247" s="12">
        <f t="shared" si="3"/>
        <v>810</v>
      </c>
      <c r="I247" s="12" t="s">
        <v>10</v>
      </c>
      <c r="J247" s="15"/>
    </row>
    <row r="248" hidden="1" spans="2:10">
      <c r="B248" s="86">
        <v>222301630</v>
      </c>
      <c r="C248" s="9">
        <v>45009</v>
      </c>
      <c r="D248" s="10" t="s">
        <v>261</v>
      </c>
      <c r="E248" s="10">
        <v>24000</v>
      </c>
      <c r="F248" s="10">
        <v>0.013</v>
      </c>
      <c r="G248" s="9">
        <v>45026</v>
      </c>
      <c r="H248" s="12">
        <f t="shared" si="3"/>
        <v>312</v>
      </c>
      <c r="I248" s="12" t="s">
        <v>10</v>
      </c>
      <c r="J248" s="15"/>
    </row>
    <row r="249" hidden="1" spans="2:10">
      <c r="B249" s="86">
        <v>222301630</v>
      </c>
      <c r="C249" s="9">
        <v>45009</v>
      </c>
      <c r="D249" s="10" t="s">
        <v>262</v>
      </c>
      <c r="E249" s="10">
        <v>24000</v>
      </c>
      <c r="F249" s="10">
        <v>0.015</v>
      </c>
      <c r="G249" s="9">
        <v>45026</v>
      </c>
      <c r="H249" s="12">
        <f t="shared" si="3"/>
        <v>360</v>
      </c>
      <c r="I249" s="12" t="s">
        <v>10</v>
      </c>
      <c r="J249" s="15"/>
    </row>
    <row r="250" hidden="1" spans="2:10">
      <c r="B250" s="86">
        <v>222301630</v>
      </c>
      <c r="C250" s="9">
        <v>45009</v>
      </c>
      <c r="D250" s="10" t="s">
        <v>263</v>
      </c>
      <c r="E250" s="10">
        <v>24000</v>
      </c>
      <c r="F250" s="10">
        <v>0.026</v>
      </c>
      <c r="G250" s="9">
        <v>45026</v>
      </c>
      <c r="H250" s="12">
        <f t="shared" si="3"/>
        <v>624</v>
      </c>
      <c r="I250" s="12" t="s">
        <v>10</v>
      </c>
      <c r="J250" s="15"/>
    </row>
    <row r="251" hidden="1" spans="2:10">
      <c r="B251" s="86">
        <v>222301630</v>
      </c>
      <c r="C251" s="9">
        <v>45009</v>
      </c>
      <c r="D251" s="10" t="s">
        <v>163</v>
      </c>
      <c r="E251" s="10">
        <v>256000</v>
      </c>
      <c r="F251" s="10">
        <v>0.0025</v>
      </c>
      <c r="G251" s="9">
        <v>45041</v>
      </c>
      <c r="H251" s="12">
        <f t="shared" si="3"/>
        <v>640</v>
      </c>
      <c r="I251" s="12" t="s">
        <v>10</v>
      </c>
      <c r="J251" s="15"/>
    </row>
    <row r="252" hidden="1" spans="2:10">
      <c r="B252" s="86">
        <v>222301630</v>
      </c>
      <c r="C252" s="9">
        <v>45009</v>
      </c>
      <c r="D252" s="10" t="s">
        <v>163</v>
      </c>
      <c r="E252" s="10">
        <v>256000</v>
      </c>
      <c r="F252" s="10">
        <v>0.0025</v>
      </c>
      <c r="G252" s="9">
        <v>45071</v>
      </c>
      <c r="H252" s="12">
        <f t="shared" si="3"/>
        <v>640</v>
      </c>
      <c r="I252" s="12" t="s">
        <v>10</v>
      </c>
      <c r="J252" s="15"/>
    </row>
    <row r="253" hidden="1" spans="2:10">
      <c r="B253" s="86">
        <v>222301631</v>
      </c>
      <c r="C253" s="9">
        <v>45009</v>
      </c>
      <c r="D253" s="87" t="s">
        <v>210</v>
      </c>
      <c r="E253" s="10">
        <v>100000</v>
      </c>
      <c r="F253" s="10">
        <v>0.028</v>
      </c>
      <c r="G253" s="9">
        <v>45041</v>
      </c>
      <c r="H253" s="12">
        <f t="shared" si="3"/>
        <v>2800</v>
      </c>
      <c r="I253" s="12" t="s">
        <v>10</v>
      </c>
      <c r="J253" s="15"/>
    </row>
    <row r="254" hidden="1" spans="2:10">
      <c r="B254" s="86">
        <v>222301631</v>
      </c>
      <c r="C254" s="9">
        <v>45009</v>
      </c>
      <c r="D254" s="87" t="s">
        <v>210</v>
      </c>
      <c r="E254" s="10">
        <v>148000</v>
      </c>
      <c r="F254" s="10">
        <v>0.028</v>
      </c>
      <c r="G254" s="9">
        <v>45071</v>
      </c>
      <c r="H254" s="12">
        <f t="shared" si="3"/>
        <v>4144</v>
      </c>
      <c r="I254" s="12" t="s">
        <v>10</v>
      </c>
      <c r="J254" s="15"/>
    </row>
    <row r="255" hidden="1" spans="2:10">
      <c r="B255" s="86">
        <v>222301631</v>
      </c>
      <c r="C255" s="9">
        <v>45009</v>
      </c>
      <c r="D255" s="87" t="s">
        <v>243</v>
      </c>
      <c r="E255" s="10">
        <v>96000</v>
      </c>
      <c r="F255" s="10">
        <v>0.022</v>
      </c>
      <c r="G255" s="9">
        <v>45041</v>
      </c>
      <c r="H255" s="12">
        <f t="shared" si="3"/>
        <v>2112</v>
      </c>
      <c r="I255" s="12" t="s">
        <v>10</v>
      </c>
      <c r="J255" s="15"/>
    </row>
    <row r="256" hidden="1" spans="2:10">
      <c r="B256" s="86">
        <v>222301631</v>
      </c>
      <c r="C256" s="9">
        <v>45009</v>
      </c>
      <c r="D256" s="87" t="s">
        <v>243</v>
      </c>
      <c r="E256" s="10">
        <v>96000</v>
      </c>
      <c r="F256" s="10">
        <v>0.022</v>
      </c>
      <c r="G256" s="9">
        <v>45071</v>
      </c>
      <c r="H256" s="12">
        <f t="shared" si="3"/>
        <v>2112</v>
      </c>
      <c r="I256" s="12" t="s">
        <v>10</v>
      </c>
      <c r="J256" s="15"/>
    </row>
    <row r="257" hidden="1" spans="2:10">
      <c r="B257" s="86">
        <v>222301631</v>
      </c>
      <c r="C257" s="9">
        <v>45009</v>
      </c>
      <c r="D257" s="10" t="s">
        <v>163</v>
      </c>
      <c r="E257" s="10">
        <v>208000</v>
      </c>
      <c r="F257" s="10">
        <v>0.0025</v>
      </c>
      <c r="G257" s="9">
        <v>45041</v>
      </c>
      <c r="H257" s="12">
        <f t="shared" si="3"/>
        <v>520</v>
      </c>
      <c r="I257" s="12" t="s">
        <v>10</v>
      </c>
      <c r="J257" s="15"/>
    </row>
    <row r="258" hidden="1" spans="2:10">
      <c r="B258" s="86">
        <v>222301639</v>
      </c>
      <c r="C258" s="9">
        <v>45013</v>
      </c>
      <c r="D258" s="87" t="s">
        <v>250</v>
      </c>
      <c r="E258" s="10">
        <v>20000</v>
      </c>
      <c r="F258" s="10">
        <v>0.04</v>
      </c>
      <c r="G258" s="9">
        <v>45071</v>
      </c>
      <c r="H258" s="12">
        <f t="shared" ref="H258:H321" si="4">E258*F258</f>
        <v>800</v>
      </c>
      <c r="I258" s="12" t="s">
        <v>10</v>
      </c>
      <c r="J258" s="15"/>
    </row>
    <row r="259" hidden="1" spans="2:10">
      <c r="B259" s="86">
        <v>222301639</v>
      </c>
      <c r="C259" s="9">
        <v>45013</v>
      </c>
      <c r="D259" s="87" t="s">
        <v>250</v>
      </c>
      <c r="E259" s="10">
        <v>20000</v>
      </c>
      <c r="F259" s="10">
        <v>0.04</v>
      </c>
      <c r="G259" s="9">
        <v>45132</v>
      </c>
      <c r="H259" s="12">
        <f t="shared" si="4"/>
        <v>800</v>
      </c>
      <c r="I259" s="12" t="s">
        <v>10</v>
      </c>
      <c r="J259" s="15"/>
    </row>
    <row r="260" hidden="1" spans="2:10">
      <c r="B260" s="86">
        <v>222301639</v>
      </c>
      <c r="C260" s="9">
        <v>45013</v>
      </c>
      <c r="D260" s="87" t="s">
        <v>264</v>
      </c>
      <c r="E260" s="10">
        <v>20000</v>
      </c>
      <c r="F260" s="10">
        <v>0.03</v>
      </c>
      <c r="G260" s="9">
        <v>45071</v>
      </c>
      <c r="H260" s="12">
        <f t="shared" si="4"/>
        <v>600</v>
      </c>
      <c r="I260" s="12" t="s">
        <v>10</v>
      </c>
      <c r="J260" s="15"/>
    </row>
    <row r="261" hidden="1" spans="2:10">
      <c r="B261" s="86">
        <v>222301639</v>
      </c>
      <c r="C261" s="9">
        <v>45013</v>
      </c>
      <c r="D261" s="87" t="s">
        <v>264</v>
      </c>
      <c r="E261" s="10">
        <v>20000</v>
      </c>
      <c r="F261" s="10">
        <v>0.03</v>
      </c>
      <c r="G261" s="9">
        <v>45132</v>
      </c>
      <c r="H261" s="12">
        <f t="shared" si="4"/>
        <v>600</v>
      </c>
      <c r="I261" s="12" t="s">
        <v>10</v>
      </c>
      <c r="J261" s="15"/>
    </row>
    <row r="262" hidden="1" spans="2:10">
      <c r="B262" s="86">
        <v>222301639</v>
      </c>
      <c r="C262" s="9">
        <v>45013</v>
      </c>
      <c r="D262" s="87" t="s">
        <v>252</v>
      </c>
      <c r="E262" s="10">
        <v>50000</v>
      </c>
      <c r="F262" s="10">
        <v>0.032</v>
      </c>
      <c r="G262" s="9">
        <v>45132</v>
      </c>
      <c r="H262" s="12">
        <f t="shared" si="4"/>
        <v>1600</v>
      </c>
      <c r="I262" s="12" t="s">
        <v>10</v>
      </c>
      <c r="J262" s="15"/>
    </row>
    <row r="263" hidden="1" spans="2:10">
      <c r="B263" s="86">
        <v>222301643</v>
      </c>
      <c r="C263" s="9">
        <v>45014</v>
      </c>
      <c r="D263" s="10" t="s">
        <v>230</v>
      </c>
      <c r="E263" s="10">
        <v>25000</v>
      </c>
      <c r="F263" s="10">
        <v>0.0285</v>
      </c>
      <c r="G263" s="9">
        <v>45041</v>
      </c>
      <c r="H263" s="12">
        <f t="shared" si="4"/>
        <v>712.5</v>
      </c>
      <c r="I263" s="12" t="s">
        <v>10</v>
      </c>
      <c r="J263" s="15"/>
    </row>
    <row r="264" hidden="1" spans="2:10">
      <c r="B264" s="86">
        <v>222301643</v>
      </c>
      <c r="C264" s="9">
        <v>45014</v>
      </c>
      <c r="D264" s="10" t="s">
        <v>230</v>
      </c>
      <c r="E264" s="10">
        <v>26000</v>
      </c>
      <c r="F264" s="10">
        <v>0.0285</v>
      </c>
      <c r="G264" s="9">
        <v>45071</v>
      </c>
      <c r="H264" s="12">
        <f t="shared" si="4"/>
        <v>741</v>
      </c>
      <c r="I264" s="12" t="s">
        <v>10</v>
      </c>
      <c r="J264" s="15"/>
    </row>
    <row r="265" hidden="1" spans="2:10">
      <c r="B265" s="86">
        <v>222301643</v>
      </c>
      <c r="C265" s="9">
        <v>45014</v>
      </c>
      <c r="D265" s="10" t="s">
        <v>229</v>
      </c>
      <c r="E265" s="10">
        <v>25000</v>
      </c>
      <c r="F265" s="10">
        <v>0.0285</v>
      </c>
      <c r="G265" s="9">
        <v>45041</v>
      </c>
      <c r="H265" s="12">
        <f t="shared" si="4"/>
        <v>712.5</v>
      </c>
      <c r="I265" s="12" t="s">
        <v>10</v>
      </c>
      <c r="J265" s="15"/>
    </row>
    <row r="266" hidden="1" spans="2:10">
      <c r="B266" s="86">
        <v>222301643</v>
      </c>
      <c r="C266" s="9">
        <v>45014</v>
      </c>
      <c r="D266" s="10" t="s">
        <v>229</v>
      </c>
      <c r="E266" s="10">
        <v>26000</v>
      </c>
      <c r="F266" s="10">
        <v>0.0285</v>
      </c>
      <c r="G266" s="9">
        <v>45071</v>
      </c>
      <c r="H266" s="12">
        <f t="shared" si="4"/>
        <v>741</v>
      </c>
      <c r="I266" s="12" t="s">
        <v>10</v>
      </c>
      <c r="J266" s="15"/>
    </row>
    <row r="267" hidden="1" spans="2:10">
      <c r="B267" s="86">
        <v>232400005</v>
      </c>
      <c r="C267" s="9">
        <v>45020</v>
      </c>
      <c r="D267" s="87" t="s">
        <v>265</v>
      </c>
      <c r="E267" s="10">
        <v>50000</v>
      </c>
      <c r="F267" s="10">
        <v>0.15</v>
      </c>
      <c r="G267" s="9">
        <v>45031</v>
      </c>
      <c r="H267" s="12">
        <f t="shared" si="4"/>
        <v>7500</v>
      </c>
      <c r="I267" s="12" t="s">
        <v>10</v>
      </c>
      <c r="J267" s="15"/>
    </row>
    <row r="268" hidden="1" spans="2:10">
      <c r="B268" s="86">
        <v>232400005</v>
      </c>
      <c r="C268" s="9">
        <v>45020</v>
      </c>
      <c r="D268" s="87" t="s">
        <v>266</v>
      </c>
      <c r="E268" s="10">
        <v>100000</v>
      </c>
      <c r="F268" s="10">
        <v>0.13</v>
      </c>
      <c r="G268" s="9">
        <v>45031</v>
      </c>
      <c r="H268" s="12">
        <f t="shared" si="4"/>
        <v>13000</v>
      </c>
      <c r="I268" s="12" t="s">
        <v>10</v>
      </c>
      <c r="J268" s="15"/>
    </row>
    <row r="269" hidden="1" spans="2:10">
      <c r="B269" s="86">
        <v>232400016</v>
      </c>
      <c r="C269" s="9">
        <v>45021</v>
      </c>
      <c r="D269" s="87" t="s">
        <v>225</v>
      </c>
      <c r="E269" s="10">
        <v>20000</v>
      </c>
      <c r="F269" s="10">
        <v>0.041</v>
      </c>
      <c r="G269" s="9">
        <v>45071</v>
      </c>
      <c r="H269" s="12">
        <f t="shared" si="4"/>
        <v>820</v>
      </c>
      <c r="I269" s="12" t="s">
        <v>10</v>
      </c>
      <c r="J269" s="15"/>
    </row>
    <row r="270" hidden="1" spans="2:10">
      <c r="B270" s="86">
        <v>232400016</v>
      </c>
      <c r="C270" s="9">
        <v>45021</v>
      </c>
      <c r="D270" s="87" t="s">
        <v>225</v>
      </c>
      <c r="E270" s="10">
        <v>20000</v>
      </c>
      <c r="F270" s="10">
        <v>0.041</v>
      </c>
      <c r="G270" s="9">
        <v>45087</v>
      </c>
      <c r="H270" s="12">
        <f t="shared" si="4"/>
        <v>820</v>
      </c>
      <c r="I270" s="12" t="s">
        <v>10</v>
      </c>
      <c r="J270" s="15"/>
    </row>
    <row r="271" hidden="1" spans="2:10">
      <c r="B271" s="86">
        <v>232400016</v>
      </c>
      <c r="C271" s="9">
        <v>45021</v>
      </c>
      <c r="D271" s="87" t="s">
        <v>225</v>
      </c>
      <c r="E271" s="10">
        <v>20000</v>
      </c>
      <c r="F271" s="10">
        <v>0.041</v>
      </c>
      <c r="G271" s="9">
        <v>45117</v>
      </c>
      <c r="H271" s="12">
        <f t="shared" si="4"/>
        <v>820</v>
      </c>
      <c r="I271" s="12" t="s">
        <v>10</v>
      </c>
      <c r="J271" s="15"/>
    </row>
    <row r="272" hidden="1" spans="2:10">
      <c r="B272" s="86">
        <v>232400031</v>
      </c>
      <c r="C272" s="9">
        <v>45023</v>
      </c>
      <c r="D272" s="87" t="s">
        <v>267</v>
      </c>
      <c r="E272" s="10">
        <v>208000</v>
      </c>
      <c r="F272" s="10">
        <v>0.015</v>
      </c>
      <c r="G272" s="9">
        <v>45031</v>
      </c>
      <c r="H272" s="12">
        <f t="shared" si="4"/>
        <v>3120</v>
      </c>
      <c r="I272" s="12" t="s">
        <v>10</v>
      </c>
      <c r="J272" s="15"/>
    </row>
    <row r="273" hidden="1" spans="2:10">
      <c r="B273" s="86">
        <v>232400032</v>
      </c>
      <c r="C273" s="9">
        <v>45023</v>
      </c>
      <c r="D273" s="87" t="s">
        <v>215</v>
      </c>
      <c r="E273" s="88">
        <v>150000</v>
      </c>
      <c r="F273" s="10">
        <v>0.028</v>
      </c>
      <c r="G273" s="9">
        <v>45036</v>
      </c>
      <c r="H273" s="12">
        <f t="shared" si="4"/>
        <v>4200</v>
      </c>
      <c r="I273" s="12" t="s">
        <v>10</v>
      </c>
      <c r="J273" s="15"/>
    </row>
    <row r="274" hidden="1" spans="2:10">
      <c r="B274" s="86">
        <v>232400032</v>
      </c>
      <c r="C274" s="9">
        <v>45023</v>
      </c>
      <c r="D274" s="87" t="s">
        <v>215</v>
      </c>
      <c r="E274" s="10">
        <v>150000</v>
      </c>
      <c r="F274" s="10">
        <v>0.028</v>
      </c>
      <c r="G274" s="9">
        <v>45066</v>
      </c>
      <c r="H274" s="12">
        <f t="shared" si="4"/>
        <v>4200</v>
      </c>
      <c r="I274" s="12" t="s">
        <v>10</v>
      </c>
      <c r="J274" s="15"/>
    </row>
    <row r="275" hidden="1" spans="2:10">
      <c r="B275" s="86">
        <v>232400033</v>
      </c>
      <c r="C275" s="9">
        <v>45023</v>
      </c>
      <c r="D275" s="87" t="s">
        <v>215</v>
      </c>
      <c r="E275" s="10">
        <v>50000</v>
      </c>
      <c r="F275" s="10">
        <v>0.028</v>
      </c>
      <c r="G275" s="9">
        <v>45056</v>
      </c>
      <c r="H275" s="12">
        <f t="shared" si="4"/>
        <v>1400</v>
      </c>
      <c r="I275" s="12" t="s">
        <v>10</v>
      </c>
      <c r="J275" s="15"/>
    </row>
    <row r="276" hidden="1" spans="2:10">
      <c r="B276" s="86">
        <v>232400033</v>
      </c>
      <c r="C276" s="9">
        <v>45023</v>
      </c>
      <c r="D276" s="87" t="s">
        <v>215</v>
      </c>
      <c r="E276" s="10">
        <v>50000</v>
      </c>
      <c r="F276" s="10">
        <v>0.028</v>
      </c>
      <c r="G276" s="9">
        <v>45097</v>
      </c>
      <c r="H276" s="12">
        <f t="shared" si="4"/>
        <v>1400</v>
      </c>
      <c r="I276" s="12" t="s">
        <v>10</v>
      </c>
      <c r="J276" s="15"/>
    </row>
    <row r="277" hidden="1" spans="2:10">
      <c r="B277" s="127">
        <v>232400034</v>
      </c>
      <c r="C277" s="54">
        <v>45023</v>
      </c>
      <c r="D277" s="93" t="s">
        <v>268</v>
      </c>
      <c r="E277" s="56">
        <v>32000</v>
      </c>
      <c r="F277" s="56">
        <v>0.02</v>
      </c>
      <c r="G277" s="54">
        <v>45066</v>
      </c>
      <c r="H277" s="58">
        <f t="shared" si="4"/>
        <v>640</v>
      </c>
      <c r="I277" s="12" t="s">
        <v>10</v>
      </c>
      <c r="J277" s="15"/>
    </row>
    <row r="278" hidden="1" spans="2:10">
      <c r="B278" s="86">
        <v>232400034</v>
      </c>
      <c r="C278" s="9">
        <v>45023</v>
      </c>
      <c r="D278" s="87" t="s">
        <v>206</v>
      </c>
      <c r="E278" s="88">
        <v>120000</v>
      </c>
      <c r="F278" s="10">
        <v>0.065</v>
      </c>
      <c r="G278" s="9">
        <v>45066</v>
      </c>
      <c r="H278" s="12">
        <f t="shared" si="4"/>
        <v>7800</v>
      </c>
      <c r="I278" s="12" t="s">
        <v>10</v>
      </c>
      <c r="J278" s="15"/>
    </row>
    <row r="279" hidden="1" spans="2:10">
      <c r="B279" s="86">
        <v>232400034</v>
      </c>
      <c r="C279" s="9">
        <v>45023</v>
      </c>
      <c r="D279" s="87" t="s">
        <v>206</v>
      </c>
      <c r="E279" s="10">
        <v>120000</v>
      </c>
      <c r="F279" s="10">
        <v>0.065</v>
      </c>
      <c r="G279" s="9">
        <v>45097</v>
      </c>
      <c r="H279" s="12">
        <f t="shared" si="4"/>
        <v>7800</v>
      </c>
      <c r="I279" s="12" t="s">
        <v>10</v>
      </c>
      <c r="J279" s="15"/>
    </row>
    <row r="280" hidden="1" spans="2:10">
      <c r="B280" s="86">
        <v>232400044</v>
      </c>
      <c r="C280" s="9">
        <v>45026</v>
      </c>
      <c r="D280" s="87" t="s">
        <v>269</v>
      </c>
      <c r="E280" s="10">
        <v>50000</v>
      </c>
      <c r="F280" s="10">
        <v>0.05</v>
      </c>
      <c r="G280" s="9">
        <v>45061</v>
      </c>
      <c r="H280" s="12">
        <f t="shared" si="4"/>
        <v>2500</v>
      </c>
      <c r="I280" s="12" t="s">
        <v>10</v>
      </c>
      <c r="J280" s="15"/>
    </row>
    <row r="281" hidden="1" spans="2:10">
      <c r="B281" s="86">
        <v>232400044</v>
      </c>
      <c r="C281" s="9">
        <v>45026</v>
      </c>
      <c r="D281" s="87" t="s">
        <v>269</v>
      </c>
      <c r="E281" s="10">
        <v>50000</v>
      </c>
      <c r="F281" s="10">
        <v>0.05</v>
      </c>
      <c r="G281" s="9">
        <v>45092</v>
      </c>
      <c r="H281" s="12">
        <f t="shared" si="4"/>
        <v>2500</v>
      </c>
      <c r="I281" s="12" t="s">
        <v>10</v>
      </c>
      <c r="J281" s="15"/>
    </row>
    <row r="282" hidden="1" spans="2:10">
      <c r="B282" s="86">
        <v>232400050</v>
      </c>
      <c r="C282" s="9">
        <v>45028</v>
      </c>
      <c r="D282" s="10" t="s">
        <v>226</v>
      </c>
      <c r="E282" s="10">
        <v>100000</v>
      </c>
      <c r="F282" s="10">
        <v>0.08</v>
      </c>
      <c r="G282" s="9">
        <v>45102</v>
      </c>
      <c r="H282" s="12">
        <f t="shared" si="4"/>
        <v>8000</v>
      </c>
      <c r="I282" s="12" t="s">
        <v>10</v>
      </c>
      <c r="J282" s="15"/>
    </row>
    <row r="283" hidden="1" spans="2:10">
      <c r="B283" s="86">
        <v>232400051</v>
      </c>
      <c r="C283" s="9">
        <v>45029</v>
      </c>
      <c r="D283" s="10" t="s">
        <v>78</v>
      </c>
      <c r="E283" s="10">
        <v>300000</v>
      </c>
      <c r="F283" s="10">
        <v>0.02</v>
      </c>
      <c r="G283" s="9">
        <v>45127</v>
      </c>
      <c r="H283" s="12">
        <f t="shared" si="4"/>
        <v>6000</v>
      </c>
      <c r="I283" s="12" t="s">
        <v>10</v>
      </c>
      <c r="J283" s="15"/>
    </row>
    <row r="284" hidden="1" spans="2:10">
      <c r="B284" s="86">
        <v>232400052</v>
      </c>
      <c r="C284" s="9">
        <v>45029</v>
      </c>
      <c r="D284" s="87" t="s">
        <v>215</v>
      </c>
      <c r="E284" s="10">
        <v>600000</v>
      </c>
      <c r="F284" s="10">
        <v>0.028</v>
      </c>
      <c r="G284" s="9">
        <v>45127</v>
      </c>
      <c r="H284" s="12">
        <f t="shared" si="4"/>
        <v>16800</v>
      </c>
      <c r="I284" s="12" t="s">
        <v>10</v>
      </c>
      <c r="J284" s="15"/>
    </row>
    <row r="285" hidden="1" spans="2:10">
      <c r="B285" s="86">
        <v>232400052</v>
      </c>
      <c r="C285" s="9">
        <v>45029</v>
      </c>
      <c r="D285" s="87" t="s">
        <v>215</v>
      </c>
      <c r="E285" s="10">
        <v>300000</v>
      </c>
      <c r="F285" s="10">
        <v>0.028</v>
      </c>
      <c r="G285" s="9">
        <v>45158</v>
      </c>
      <c r="H285" s="12">
        <f t="shared" si="4"/>
        <v>8400</v>
      </c>
      <c r="I285" s="12" t="s">
        <v>10</v>
      </c>
      <c r="J285" s="15"/>
    </row>
    <row r="286" hidden="1" spans="2:10">
      <c r="B286" s="86">
        <v>232400052</v>
      </c>
      <c r="C286" s="9">
        <v>45029</v>
      </c>
      <c r="D286" s="87" t="s">
        <v>100</v>
      </c>
      <c r="E286" s="10">
        <v>250000</v>
      </c>
      <c r="F286" s="10">
        <v>0.03</v>
      </c>
      <c r="G286" s="9">
        <v>45127</v>
      </c>
      <c r="H286" s="12">
        <f t="shared" si="4"/>
        <v>7500</v>
      </c>
      <c r="I286" s="12" t="s">
        <v>10</v>
      </c>
      <c r="J286" s="15"/>
    </row>
    <row r="287" hidden="1" spans="2:10">
      <c r="B287" s="86">
        <v>232400053</v>
      </c>
      <c r="C287" s="9">
        <v>45029</v>
      </c>
      <c r="D287" s="10" t="s">
        <v>34</v>
      </c>
      <c r="E287" s="10">
        <v>50000</v>
      </c>
      <c r="F287" s="10">
        <v>0.051</v>
      </c>
      <c r="G287" s="9">
        <v>45046</v>
      </c>
      <c r="H287" s="12">
        <f t="shared" si="4"/>
        <v>2550</v>
      </c>
      <c r="I287" s="12" t="s">
        <v>10</v>
      </c>
      <c r="J287" s="15"/>
    </row>
    <row r="288" hidden="1" spans="2:10">
      <c r="B288" s="86">
        <v>232400053</v>
      </c>
      <c r="C288" s="9">
        <v>45029</v>
      </c>
      <c r="D288" s="10" t="s">
        <v>34</v>
      </c>
      <c r="E288" s="10">
        <v>50000</v>
      </c>
      <c r="F288" s="10">
        <v>0.051</v>
      </c>
      <c r="G288" s="9">
        <v>45071</v>
      </c>
      <c r="H288" s="12">
        <f t="shared" si="4"/>
        <v>2550</v>
      </c>
      <c r="I288" s="12" t="s">
        <v>10</v>
      </c>
      <c r="J288" s="15"/>
    </row>
    <row r="289" hidden="1" spans="2:10">
      <c r="B289" s="86">
        <v>232400053</v>
      </c>
      <c r="C289" s="9">
        <v>45029</v>
      </c>
      <c r="D289" s="10" t="s">
        <v>34</v>
      </c>
      <c r="E289" s="10">
        <v>50000</v>
      </c>
      <c r="F289" s="10">
        <v>0.051</v>
      </c>
      <c r="G289" s="9">
        <v>45102</v>
      </c>
      <c r="H289" s="12">
        <f t="shared" si="4"/>
        <v>2550</v>
      </c>
      <c r="I289" s="12" t="s">
        <v>10</v>
      </c>
      <c r="J289" s="15"/>
    </row>
    <row r="290" hidden="1" spans="2:10">
      <c r="B290" s="86">
        <v>232400053</v>
      </c>
      <c r="C290" s="9">
        <v>45029</v>
      </c>
      <c r="D290" s="87" t="s">
        <v>231</v>
      </c>
      <c r="E290" s="10">
        <v>201000</v>
      </c>
      <c r="F290" s="10">
        <v>0.0083</v>
      </c>
      <c r="G290" s="9">
        <v>45066</v>
      </c>
      <c r="H290" s="12">
        <f t="shared" si="4"/>
        <v>1668.3</v>
      </c>
      <c r="I290" s="12" t="s">
        <v>10</v>
      </c>
      <c r="J290" s="15"/>
    </row>
    <row r="291" hidden="1" spans="2:10">
      <c r="B291" s="86">
        <v>232400053</v>
      </c>
      <c r="C291" s="9">
        <v>45029</v>
      </c>
      <c r="D291" s="87" t="s">
        <v>204</v>
      </c>
      <c r="E291" s="10">
        <v>100000</v>
      </c>
      <c r="F291" s="10">
        <v>0.036</v>
      </c>
      <c r="G291" s="9">
        <v>45066</v>
      </c>
      <c r="H291" s="12">
        <f t="shared" si="4"/>
        <v>3600</v>
      </c>
      <c r="I291" s="12" t="s">
        <v>10</v>
      </c>
      <c r="J291" s="15"/>
    </row>
    <row r="292" hidden="1" spans="2:10">
      <c r="B292" s="86">
        <v>232400053</v>
      </c>
      <c r="C292" s="9">
        <v>45029</v>
      </c>
      <c r="D292" s="87" t="s">
        <v>204</v>
      </c>
      <c r="E292" s="10">
        <v>100000</v>
      </c>
      <c r="F292" s="10">
        <v>0.036</v>
      </c>
      <c r="G292" s="9">
        <v>45097</v>
      </c>
      <c r="H292" s="12">
        <f t="shared" si="4"/>
        <v>3600</v>
      </c>
      <c r="I292" s="12" t="s">
        <v>10</v>
      </c>
      <c r="J292" s="15"/>
    </row>
    <row r="293" hidden="1" spans="2:10">
      <c r="B293" s="86">
        <v>232400053</v>
      </c>
      <c r="C293" s="9">
        <v>45029</v>
      </c>
      <c r="D293" s="10" t="s">
        <v>78</v>
      </c>
      <c r="E293" s="10">
        <v>150000</v>
      </c>
      <c r="F293" s="10">
        <v>0.02</v>
      </c>
      <c r="G293" s="9">
        <v>45066</v>
      </c>
      <c r="H293" s="12">
        <f t="shared" si="4"/>
        <v>3000</v>
      </c>
      <c r="I293" s="12" t="s">
        <v>10</v>
      </c>
      <c r="J293" s="15"/>
    </row>
    <row r="294" hidden="1" spans="2:10">
      <c r="B294" s="86">
        <v>232400053</v>
      </c>
      <c r="C294" s="9">
        <v>45029</v>
      </c>
      <c r="D294" s="10" t="s">
        <v>78</v>
      </c>
      <c r="E294" s="10">
        <v>150000</v>
      </c>
      <c r="F294" s="10">
        <v>0.02</v>
      </c>
      <c r="G294" s="9">
        <v>45097</v>
      </c>
      <c r="H294" s="12">
        <f t="shared" si="4"/>
        <v>3000</v>
      </c>
      <c r="I294" s="12" t="s">
        <v>10</v>
      </c>
      <c r="J294" s="15"/>
    </row>
    <row r="295" hidden="1" spans="2:10">
      <c r="B295" s="86">
        <v>232400053</v>
      </c>
      <c r="C295" s="9">
        <v>45029</v>
      </c>
      <c r="D295" s="10" t="s">
        <v>33</v>
      </c>
      <c r="E295" s="10">
        <v>80000</v>
      </c>
      <c r="F295" s="10">
        <v>0.02</v>
      </c>
      <c r="G295" s="9">
        <v>45066</v>
      </c>
      <c r="H295" s="12">
        <f t="shared" si="4"/>
        <v>1600</v>
      </c>
      <c r="I295" s="12" t="s">
        <v>10</v>
      </c>
      <c r="J295" s="15"/>
    </row>
    <row r="296" hidden="1" spans="2:10">
      <c r="B296" s="86">
        <v>232400053</v>
      </c>
      <c r="C296" s="9">
        <v>45029</v>
      </c>
      <c r="D296" s="10" t="s">
        <v>33</v>
      </c>
      <c r="E296" s="10">
        <v>100000</v>
      </c>
      <c r="F296" s="10">
        <v>0.02</v>
      </c>
      <c r="G296" s="9">
        <v>45097</v>
      </c>
      <c r="H296" s="12">
        <f t="shared" si="4"/>
        <v>2000</v>
      </c>
      <c r="I296" s="12" t="s">
        <v>10</v>
      </c>
      <c r="J296" s="15"/>
    </row>
    <row r="297" hidden="1" spans="2:10">
      <c r="B297" s="86">
        <v>232400053</v>
      </c>
      <c r="C297" s="9">
        <v>45029</v>
      </c>
      <c r="D297" s="10" t="s">
        <v>33</v>
      </c>
      <c r="E297" s="10">
        <v>80000</v>
      </c>
      <c r="F297" s="10">
        <v>0.02</v>
      </c>
      <c r="G297" s="9">
        <v>45127</v>
      </c>
      <c r="H297" s="12">
        <f t="shared" si="4"/>
        <v>1600</v>
      </c>
      <c r="I297" s="12" t="s">
        <v>10</v>
      </c>
      <c r="J297" s="15"/>
    </row>
    <row r="298" hidden="1" spans="2:10">
      <c r="B298" s="86">
        <v>232400054</v>
      </c>
      <c r="C298" s="9">
        <v>45029</v>
      </c>
      <c r="D298" s="10" t="s">
        <v>34</v>
      </c>
      <c r="E298" s="10">
        <v>120000</v>
      </c>
      <c r="F298" s="10">
        <v>0.051</v>
      </c>
      <c r="G298" s="9">
        <v>45046</v>
      </c>
      <c r="H298" s="12">
        <f t="shared" si="4"/>
        <v>6120</v>
      </c>
      <c r="I298" s="12" t="s">
        <v>10</v>
      </c>
      <c r="J298" s="15"/>
    </row>
    <row r="299" hidden="1" spans="2:10">
      <c r="B299" s="86">
        <v>232400054</v>
      </c>
      <c r="C299" s="9">
        <v>45029</v>
      </c>
      <c r="D299" s="10" t="s">
        <v>34</v>
      </c>
      <c r="E299" s="10">
        <v>120000</v>
      </c>
      <c r="F299" s="10">
        <v>0.051</v>
      </c>
      <c r="G299" s="9">
        <v>45071</v>
      </c>
      <c r="H299" s="12">
        <f t="shared" si="4"/>
        <v>6120</v>
      </c>
      <c r="I299" s="12" t="s">
        <v>10</v>
      </c>
      <c r="J299" s="15"/>
    </row>
    <row r="300" hidden="1" spans="2:10">
      <c r="B300" s="86">
        <v>232400054</v>
      </c>
      <c r="C300" s="9">
        <v>45029</v>
      </c>
      <c r="D300" s="10" t="s">
        <v>34</v>
      </c>
      <c r="E300" s="10">
        <v>120000</v>
      </c>
      <c r="F300" s="10">
        <v>0.051</v>
      </c>
      <c r="G300" s="9">
        <v>45132</v>
      </c>
      <c r="H300" s="12">
        <f t="shared" si="4"/>
        <v>6120</v>
      </c>
      <c r="I300" s="12" t="s">
        <v>10</v>
      </c>
      <c r="J300" s="15"/>
    </row>
    <row r="301" hidden="1" spans="2:10">
      <c r="B301" s="86">
        <v>232400054</v>
      </c>
      <c r="C301" s="9">
        <v>45029</v>
      </c>
      <c r="D301" s="10" t="s">
        <v>34</v>
      </c>
      <c r="E301" s="10">
        <v>100000</v>
      </c>
      <c r="F301" s="10">
        <v>0.051</v>
      </c>
      <c r="G301" s="9">
        <v>45163</v>
      </c>
      <c r="H301" s="12">
        <f t="shared" si="4"/>
        <v>5100</v>
      </c>
      <c r="I301" s="12" t="s">
        <v>10</v>
      </c>
      <c r="J301" s="15"/>
    </row>
    <row r="302" hidden="1" spans="2:10">
      <c r="B302" s="86">
        <v>232400054</v>
      </c>
      <c r="C302" s="9">
        <v>45029</v>
      </c>
      <c r="D302" s="10" t="s">
        <v>100</v>
      </c>
      <c r="E302" s="10">
        <v>30000</v>
      </c>
      <c r="F302" s="10">
        <v>0.03</v>
      </c>
      <c r="G302" s="9">
        <v>45066</v>
      </c>
      <c r="H302" s="12">
        <f t="shared" si="4"/>
        <v>900</v>
      </c>
      <c r="I302" s="12" t="s">
        <v>10</v>
      </c>
      <c r="J302" s="15"/>
    </row>
    <row r="303" hidden="1" spans="2:10">
      <c r="B303" s="86">
        <v>232400054</v>
      </c>
      <c r="C303" s="9">
        <v>45029</v>
      </c>
      <c r="D303" s="10" t="s">
        <v>100</v>
      </c>
      <c r="E303" s="10">
        <v>30000</v>
      </c>
      <c r="F303" s="10">
        <v>0.03</v>
      </c>
      <c r="G303" s="9">
        <v>45097</v>
      </c>
      <c r="H303" s="12">
        <f t="shared" si="4"/>
        <v>900</v>
      </c>
      <c r="I303" s="12" t="s">
        <v>10</v>
      </c>
      <c r="J303" s="15"/>
    </row>
    <row r="304" hidden="1" spans="2:10">
      <c r="B304" s="86">
        <v>232400054</v>
      </c>
      <c r="C304" s="9">
        <v>45029</v>
      </c>
      <c r="D304" s="10" t="s">
        <v>100</v>
      </c>
      <c r="E304" s="10">
        <v>30000</v>
      </c>
      <c r="F304" s="10">
        <v>0.03</v>
      </c>
      <c r="G304" s="9">
        <v>45127</v>
      </c>
      <c r="H304" s="12">
        <f t="shared" si="4"/>
        <v>900</v>
      </c>
      <c r="I304" s="12" t="s">
        <v>10</v>
      </c>
      <c r="J304" s="15"/>
    </row>
    <row r="305" hidden="1" spans="2:10">
      <c r="B305" s="86">
        <v>232400054</v>
      </c>
      <c r="C305" s="9">
        <v>45029</v>
      </c>
      <c r="D305" s="10" t="s">
        <v>78</v>
      </c>
      <c r="E305" s="10">
        <v>50000</v>
      </c>
      <c r="F305" s="10">
        <v>0.02</v>
      </c>
      <c r="G305" s="9">
        <v>45066</v>
      </c>
      <c r="H305" s="12">
        <f t="shared" si="4"/>
        <v>1000</v>
      </c>
      <c r="I305" s="12" t="s">
        <v>10</v>
      </c>
      <c r="J305" s="15"/>
    </row>
    <row r="306" hidden="1" spans="2:10">
      <c r="B306" s="86">
        <v>232400054</v>
      </c>
      <c r="C306" s="9">
        <v>45029</v>
      </c>
      <c r="D306" s="10" t="s">
        <v>78</v>
      </c>
      <c r="E306" s="10">
        <v>50000</v>
      </c>
      <c r="F306" s="10">
        <v>0.02</v>
      </c>
      <c r="G306" s="9">
        <v>45097</v>
      </c>
      <c r="H306" s="12">
        <f t="shared" si="4"/>
        <v>1000</v>
      </c>
      <c r="I306" s="12" t="s">
        <v>10</v>
      </c>
      <c r="J306" s="15"/>
    </row>
    <row r="307" hidden="1" spans="2:10">
      <c r="B307" s="86">
        <v>232400054</v>
      </c>
      <c r="C307" s="9">
        <v>45029</v>
      </c>
      <c r="D307" s="10" t="s">
        <v>78</v>
      </c>
      <c r="E307" s="10">
        <v>50000</v>
      </c>
      <c r="F307" s="10">
        <v>0.02</v>
      </c>
      <c r="G307" s="9">
        <v>45127</v>
      </c>
      <c r="H307" s="12">
        <f t="shared" si="4"/>
        <v>1000</v>
      </c>
      <c r="I307" s="12" t="s">
        <v>10</v>
      </c>
      <c r="J307" s="15"/>
    </row>
    <row r="308" hidden="1" spans="2:10">
      <c r="B308" s="86">
        <v>232400055</v>
      </c>
      <c r="C308" s="9">
        <v>45029</v>
      </c>
      <c r="D308" s="10" t="s">
        <v>26</v>
      </c>
      <c r="E308" s="10">
        <v>21000</v>
      </c>
      <c r="F308" s="10">
        <v>0.014</v>
      </c>
      <c r="G308" s="9">
        <v>45046</v>
      </c>
      <c r="H308" s="12">
        <f t="shared" si="4"/>
        <v>294</v>
      </c>
      <c r="I308" s="12" t="s">
        <v>10</v>
      </c>
      <c r="J308" s="15"/>
    </row>
    <row r="309" hidden="1" spans="2:10">
      <c r="B309" s="86">
        <v>232400056</v>
      </c>
      <c r="C309" s="9">
        <v>45030</v>
      </c>
      <c r="D309" s="10" t="s">
        <v>241</v>
      </c>
      <c r="E309" s="10">
        <v>2128</v>
      </c>
      <c r="F309" s="10">
        <v>0.12</v>
      </c>
      <c r="G309" s="9">
        <v>45030</v>
      </c>
      <c r="H309" s="12">
        <f t="shared" si="4"/>
        <v>255.36</v>
      </c>
      <c r="I309" s="12" t="s">
        <v>10</v>
      </c>
      <c r="J309" s="15"/>
    </row>
    <row r="310" hidden="1" spans="2:10">
      <c r="B310" s="86">
        <v>232400064</v>
      </c>
      <c r="C310" s="9">
        <v>45033</v>
      </c>
      <c r="D310" s="87" t="s">
        <v>207</v>
      </c>
      <c r="E310" s="10">
        <v>60000</v>
      </c>
      <c r="F310" s="10">
        <v>0.03</v>
      </c>
      <c r="G310" s="9">
        <v>45066</v>
      </c>
      <c r="H310" s="12">
        <f t="shared" si="4"/>
        <v>1800</v>
      </c>
      <c r="I310" s="12" t="s">
        <v>10</v>
      </c>
      <c r="J310" s="15"/>
    </row>
    <row r="311" hidden="1" spans="2:10">
      <c r="B311" s="86">
        <v>232400064</v>
      </c>
      <c r="C311" s="9">
        <v>45033</v>
      </c>
      <c r="D311" s="87" t="s">
        <v>207</v>
      </c>
      <c r="E311" s="10">
        <v>60000</v>
      </c>
      <c r="F311" s="10">
        <v>0.03</v>
      </c>
      <c r="G311" s="9">
        <v>45087</v>
      </c>
      <c r="H311" s="12">
        <f t="shared" si="4"/>
        <v>1800</v>
      </c>
      <c r="I311" s="12" t="s">
        <v>10</v>
      </c>
      <c r="J311" s="15"/>
    </row>
    <row r="312" hidden="1" spans="2:10">
      <c r="B312" s="90">
        <v>232400076</v>
      </c>
      <c r="C312" s="66">
        <v>45036</v>
      </c>
      <c r="D312" s="8" t="s">
        <v>200</v>
      </c>
      <c r="E312" s="67">
        <v>150000</v>
      </c>
      <c r="F312" s="67">
        <v>0.05</v>
      </c>
      <c r="G312" s="66">
        <v>45041</v>
      </c>
      <c r="H312" s="68">
        <f t="shared" si="4"/>
        <v>7500</v>
      </c>
      <c r="I312" s="12" t="s">
        <v>10</v>
      </c>
      <c r="J312" s="15"/>
    </row>
    <row r="313" hidden="1" spans="2:10">
      <c r="B313" s="90">
        <v>232400076</v>
      </c>
      <c r="C313" s="66">
        <v>45036</v>
      </c>
      <c r="D313" s="8" t="s">
        <v>200</v>
      </c>
      <c r="E313" s="67">
        <v>100000</v>
      </c>
      <c r="F313" s="67">
        <v>0.05</v>
      </c>
      <c r="G313" s="66">
        <v>45071</v>
      </c>
      <c r="H313" s="68">
        <f t="shared" si="4"/>
        <v>5000</v>
      </c>
      <c r="I313" s="12" t="s">
        <v>10</v>
      </c>
      <c r="J313" s="15"/>
    </row>
    <row r="314" hidden="1" spans="2:10">
      <c r="B314" s="90">
        <v>232400076</v>
      </c>
      <c r="C314" s="66">
        <v>45036</v>
      </c>
      <c r="D314" s="8" t="s">
        <v>200</v>
      </c>
      <c r="E314" s="67">
        <v>100000</v>
      </c>
      <c r="F314" s="67">
        <v>0.05</v>
      </c>
      <c r="G314" s="66">
        <v>45102</v>
      </c>
      <c r="H314" s="68">
        <f t="shared" si="4"/>
        <v>5000</v>
      </c>
      <c r="I314" s="12" t="s">
        <v>10</v>
      </c>
      <c r="J314" s="15"/>
    </row>
    <row r="315" hidden="1" spans="2:10">
      <c r="B315" s="86">
        <v>232400076</v>
      </c>
      <c r="C315" s="9">
        <v>45036</v>
      </c>
      <c r="D315" s="87" t="s">
        <v>215</v>
      </c>
      <c r="E315" s="10">
        <v>50000</v>
      </c>
      <c r="F315" s="10">
        <v>0.028</v>
      </c>
      <c r="G315" s="9">
        <v>45087</v>
      </c>
      <c r="H315" s="12">
        <f t="shared" si="4"/>
        <v>1400</v>
      </c>
      <c r="I315" s="12" t="s">
        <v>10</v>
      </c>
      <c r="J315" s="15"/>
    </row>
    <row r="316" hidden="1" spans="2:10">
      <c r="B316" s="86">
        <v>232400080</v>
      </c>
      <c r="C316" s="9">
        <v>45037</v>
      </c>
      <c r="D316" s="87" t="s">
        <v>270</v>
      </c>
      <c r="E316" s="10">
        <v>50000</v>
      </c>
      <c r="F316" s="10">
        <v>0.0238</v>
      </c>
      <c r="G316" s="9">
        <v>45056</v>
      </c>
      <c r="H316" s="12">
        <f t="shared" si="4"/>
        <v>1190</v>
      </c>
      <c r="I316" s="12" t="s">
        <v>10</v>
      </c>
      <c r="J316" s="15"/>
    </row>
    <row r="317" hidden="1" spans="2:10">
      <c r="B317" s="86">
        <v>232400080</v>
      </c>
      <c r="C317" s="9">
        <v>45037</v>
      </c>
      <c r="D317" s="87" t="s">
        <v>270</v>
      </c>
      <c r="E317" s="10">
        <v>50000</v>
      </c>
      <c r="F317" s="10">
        <v>0.0238</v>
      </c>
      <c r="G317" s="9">
        <v>45087</v>
      </c>
      <c r="H317" s="12">
        <f t="shared" si="4"/>
        <v>1190</v>
      </c>
      <c r="I317" s="12" t="s">
        <v>10</v>
      </c>
      <c r="J317" s="15"/>
    </row>
    <row r="318" hidden="1" spans="2:10">
      <c r="B318" s="86">
        <v>232400080</v>
      </c>
      <c r="C318" s="9">
        <v>45037</v>
      </c>
      <c r="D318" s="87" t="s">
        <v>270</v>
      </c>
      <c r="E318" s="10">
        <v>50000</v>
      </c>
      <c r="F318" s="10">
        <v>0.0238</v>
      </c>
      <c r="G318" s="9">
        <v>45117</v>
      </c>
      <c r="H318" s="12">
        <f t="shared" si="4"/>
        <v>1190</v>
      </c>
      <c r="I318" s="12" t="s">
        <v>10</v>
      </c>
      <c r="J318" s="15"/>
    </row>
    <row r="319" hidden="1" spans="2:10">
      <c r="B319" s="86">
        <v>232400080</v>
      </c>
      <c r="C319" s="9">
        <v>45037</v>
      </c>
      <c r="D319" s="87" t="s">
        <v>270</v>
      </c>
      <c r="E319" s="10">
        <v>30000</v>
      </c>
      <c r="F319" s="10">
        <v>0.0238</v>
      </c>
      <c r="G319" s="9">
        <v>45117</v>
      </c>
      <c r="H319" s="12">
        <f t="shared" si="4"/>
        <v>714</v>
      </c>
      <c r="I319" s="12" t="s">
        <v>10</v>
      </c>
      <c r="J319" s="15"/>
    </row>
    <row r="320" hidden="1" spans="2:10">
      <c r="B320" s="86">
        <v>232400081</v>
      </c>
      <c r="C320" s="9">
        <v>45037</v>
      </c>
      <c r="D320" s="87" t="s">
        <v>210</v>
      </c>
      <c r="E320" s="10">
        <v>32000</v>
      </c>
      <c r="F320" s="10">
        <v>0.028</v>
      </c>
      <c r="G320" s="9">
        <v>45066</v>
      </c>
      <c r="H320" s="12">
        <f t="shared" si="4"/>
        <v>896</v>
      </c>
      <c r="I320" s="12" t="s">
        <v>10</v>
      </c>
      <c r="J320" s="15"/>
    </row>
    <row r="321" s="106" customFormat="1" hidden="1" spans="2:12">
      <c r="B321" s="86">
        <v>232400081</v>
      </c>
      <c r="C321" s="9">
        <v>45037</v>
      </c>
      <c r="D321" s="87" t="s">
        <v>210</v>
      </c>
      <c r="E321" s="10">
        <v>32000</v>
      </c>
      <c r="F321" s="10">
        <v>0.028</v>
      </c>
      <c r="G321" s="9">
        <v>45097</v>
      </c>
      <c r="H321" s="12">
        <f t="shared" si="4"/>
        <v>896</v>
      </c>
      <c r="I321" s="12" t="s">
        <v>10</v>
      </c>
      <c r="J321" s="10"/>
    </row>
    <row r="322" s="106" customFormat="1" hidden="1" spans="2:12">
      <c r="B322" s="86">
        <v>232400081</v>
      </c>
      <c r="C322" s="9">
        <v>45037</v>
      </c>
      <c r="D322" s="87" t="s">
        <v>210</v>
      </c>
      <c r="E322" s="10">
        <v>32000</v>
      </c>
      <c r="F322" s="10">
        <v>0.028</v>
      </c>
      <c r="G322" s="9">
        <v>45127</v>
      </c>
      <c r="H322" s="12">
        <f t="shared" ref="H322:H385" si="5">E322*F322</f>
        <v>896</v>
      </c>
      <c r="I322" s="12" t="s">
        <v>10</v>
      </c>
      <c r="J322" s="10"/>
    </row>
    <row r="323" hidden="1" spans="2:12">
      <c r="B323" s="86">
        <v>232400081</v>
      </c>
      <c r="C323" s="9">
        <v>45037</v>
      </c>
      <c r="D323" s="87" t="s">
        <v>210</v>
      </c>
      <c r="E323" s="10">
        <v>32000</v>
      </c>
      <c r="F323" s="10">
        <v>0.028</v>
      </c>
      <c r="G323" s="9">
        <v>45158</v>
      </c>
      <c r="H323" s="12">
        <f t="shared" si="5"/>
        <v>896</v>
      </c>
      <c r="I323" s="12" t="s">
        <v>10</v>
      </c>
      <c r="J323" s="15"/>
    </row>
    <row r="324" s="106" customFormat="1" hidden="1" spans="2:12">
      <c r="B324" s="86">
        <v>232400081</v>
      </c>
      <c r="C324" s="9">
        <v>45037</v>
      </c>
      <c r="D324" s="87" t="s">
        <v>243</v>
      </c>
      <c r="E324" s="10">
        <v>48000</v>
      </c>
      <c r="F324" s="10">
        <v>0.022</v>
      </c>
      <c r="G324" s="9">
        <v>45097</v>
      </c>
      <c r="H324" s="12">
        <f t="shared" si="5"/>
        <v>1056</v>
      </c>
      <c r="I324" s="12" t="s">
        <v>10</v>
      </c>
      <c r="J324" s="10"/>
    </row>
    <row r="325" s="106" customFormat="1" hidden="1" spans="2:12">
      <c r="B325" s="86">
        <v>232400081</v>
      </c>
      <c r="C325" s="9">
        <v>45037</v>
      </c>
      <c r="D325" s="87" t="s">
        <v>243</v>
      </c>
      <c r="E325" s="10">
        <v>48000</v>
      </c>
      <c r="F325" s="10">
        <v>0.022</v>
      </c>
      <c r="G325" s="9">
        <v>45127</v>
      </c>
      <c r="H325" s="12">
        <f t="shared" si="5"/>
        <v>1056</v>
      </c>
      <c r="I325" s="12" t="s">
        <v>10</v>
      </c>
      <c r="J325" s="10"/>
    </row>
    <row r="326" hidden="1" spans="2:12">
      <c r="B326" s="86">
        <v>232400081</v>
      </c>
      <c r="C326" s="9">
        <v>45037</v>
      </c>
      <c r="D326" s="87" t="s">
        <v>243</v>
      </c>
      <c r="E326" s="10">
        <v>48000</v>
      </c>
      <c r="F326" s="10">
        <v>0.022</v>
      </c>
      <c r="G326" s="9">
        <v>45158</v>
      </c>
      <c r="H326" s="12">
        <f t="shared" si="5"/>
        <v>1056</v>
      </c>
      <c r="I326" s="12" t="s">
        <v>10</v>
      </c>
      <c r="J326" s="15"/>
    </row>
    <row r="327" s="106" customFormat="1" hidden="1" spans="2:12">
      <c r="B327" s="86">
        <v>232400081</v>
      </c>
      <c r="C327" s="9">
        <v>45037</v>
      </c>
      <c r="D327" s="87" t="s">
        <v>257</v>
      </c>
      <c r="E327" s="88">
        <v>152000</v>
      </c>
      <c r="F327" s="10">
        <v>0.01</v>
      </c>
      <c r="G327" s="9">
        <v>45066</v>
      </c>
      <c r="H327" s="12">
        <f t="shared" si="5"/>
        <v>1520</v>
      </c>
      <c r="I327" s="12" t="s">
        <v>10</v>
      </c>
      <c r="J327" s="10"/>
    </row>
    <row r="328" s="106" customFormat="1" hidden="1" spans="2:12">
      <c r="B328" s="86">
        <v>232400081</v>
      </c>
      <c r="C328" s="9">
        <v>45037</v>
      </c>
      <c r="D328" s="87" t="s">
        <v>257</v>
      </c>
      <c r="E328" s="10">
        <v>152000</v>
      </c>
      <c r="F328" s="10">
        <v>0.01</v>
      </c>
      <c r="G328" s="9">
        <v>45097</v>
      </c>
      <c r="H328" s="12">
        <f t="shared" si="5"/>
        <v>1520</v>
      </c>
      <c r="I328" s="12" t="s">
        <v>10</v>
      </c>
      <c r="J328" s="10"/>
    </row>
    <row r="329" s="106" customFormat="1" hidden="1" spans="2:12">
      <c r="B329" s="86">
        <v>232400081</v>
      </c>
      <c r="C329" s="9">
        <v>45037</v>
      </c>
      <c r="D329" s="87" t="s">
        <v>257</v>
      </c>
      <c r="E329" s="10">
        <v>152000</v>
      </c>
      <c r="F329" s="10">
        <v>0.01</v>
      </c>
      <c r="G329" s="9">
        <v>45127</v>
      </c>
      <c r="H329" s="12">
        <f t="shared" si="5"/>
        <v>1520</v>
      </c>
      <c r="I329" s="12" t="s">
        <v>10</v>
      </c>
      <c r="J329" s="10"/>
    </row>
    <row r="330" hidden="1" spans="2:12">
      <c r="B330" s="86">
        <v>232400081</v>
      </c>
      <c r="C330" s="9">
        <v>45037</v>
      </c>
      <c r="D330" s="87" t="s">
        <v>257</v>
      </c>
      <c r="E330" s="10">
        <v>152000</v>
      </c>
      <c r="F330" s="10">
        <v>0.01</v>
      </c>
      <c r="G330" s="9">
        <v>45158</v>
      </c>
      <c r="H330" s="12">
        <f t="shared" si="5"/>
        <v>1520</v>
      </c>
      <c r="I330" s="12" t="s">
        <v>10</v>
      </c>
      <c r="J330" s="15"/>
    </row>
    <row r="331" s="106" customFormat="1" hidden="1" spans="2:12">
      <c r="B331" s="86">
        <v>232400081</v>
      </c>
      <c r="C331" s="9">
        <v>45037</v>
      </c>
      <c r="D331" s="87" t="s">
        <v>269</v>
      </c>
      <c r="E331" s="10">
        <v>100000</v>
      </c>
      <c r="F331" s="10">
        <v>0.05</v>
      </c>
      <c r="G331" s="9">
        <v>45066</v>
      </c>
      <c r="H331" s="12">
        <f t="shared" si="5"/>
        <v>5000</v>
      </c>
      <c r="I331" s="12" t="s">
        <v>10</v>
      </c>
      <c r="J331" s="10"/>
    </row>
    <row r="332" s="106" customFormat="1" hidden="1" spans="2:12">
      <c r="B332" s="86">
        <v>232400081</v>
      </c>
      <c r="C332" s="9">
        <v>45037</v>
      </c>
      <c r="D332" s="87" t="s">
        <v>269</v>
      </c>
      <c r="E332" s="10">
        <v>80000</v>
      </c>
      <c r="F332" s="10">
        <v>0.05</v>
      </c>
      <c r="G332" s="9">
        <v>45097</v>
      </c>
      <c r="H332" s="12">
        <f t="shared" si="5"/>
        <v>4000</v>
      </c>
      <c r="I332" s="12" t="s">
        <v>10</v>
      </c>
      <c r="J332" s="10"/>
    </row>
    <row r="333" s="106" customFormat="1" hidden="1" spans="2:12">
      <c r="B333" s="86">
        <v>232400081</v>
      </c>
      <c r="C333" s="9">
        <v>45037</v>
      </c>
      <c r="D333" s="87" t="s">
        <v>269</v>
      </c>
      <c r="E333" s="10">
        <v>70000</v>
      </c>
      <c r="F333" s="10">
        <v>0.05</v>
      </c>
      <c r="G333" s="9">
        <v>45127</v>
      </c>
      <c r="H333" s="12">
        <f t="shared" si="5"/>
        <v>3500</v>
      </c>
      <c r="I333" s="12" t="s">
        <v>10</v>
      </c>
      <c r="J333" s="10"/>
    </row>
    <row r="334" hidden="1" spans="2:12">
      <c r="B334" s="86">
        <v>232400081</v>
      </c>
      <c r="C334" s="9">
        <v>45037</v>
      </c>
      <c r="D334" s="87" t="s">
        <v>269</v>
      </c>
      <c r="E334" s="10">
        <v>70000</v>
      </c>
      <c r="F334" s="10">
        <v>0.05</v>
      </c>
      <c r="G334" s="9">
        <v>45158</v>
      </c>
      <c r="H334" s="12">
        <f t="shared" si="5"/>
        <v>3500</v>
      </c>
      <c r="I334" s="12" t="s">
        <v>10</v>
      </c>
      <c r="J334" s="15"/>
    </row>
    <row r="335" hidden="1" spans="2:12">
      <c r="B335" s="86">
        <v>232400082</v>
      </c>
      <c r="C335" s="9">
        <v>45037</v>
      </c>
      <c r="D335" s="10" t="s">
        <v>246</v>
      </c>
      <c r="E335" s="10">
        <v>20000</v>
      </c>
      <c r="F335" s="10">
        <v>0.07</v>
      </c>
      <c r="G335" s="9">
        <v>45066</v>
      </c>
      <c r="H335" s="12">
        <f t="shared" si="5"/>
        <v>1400</v>
      </c>
      <c r="I335" s="12" t="s">
        <v>10</v>
      </c>
      <c r="J335" s="15"/>
      <c r="K335" s="131">
        <v>44972</v>
      </c>
      <c r="L335">
        <v>70000</v>
      </c>
    </row>
    <row r="336" hidden="1" spans="2:12">
      <c r="B336" s="86">
        <v>232400083</v>
      </c>
      <c r="C336" s="9">
        <v>45037</v>
      </c>
      <c r="D336" s="10" t="s">
        <v>246</v>
      </c>
      <c r="E336" s="10">
        <v>30000</v>
      </c>
      <c r="F336" s="10">
        <v>0.07</v>
      </c>
      <c r="G336" s="9">
        <v>45046</v>
      </c>
      <c r="H336" s="12">
        <f t="shared" si="5"/>
        <v>2100</v>
      </c>
      <c r="I336" s="12" t="s">
        <v>10</v>
      </c>
      <c r="J336" s="15"/>
      <c r="K336" s="131">
        <v>45037</v>
      </c>
      <c r="L336">
        <v>120000</v>
      </c>
    </row>
    <row r="337" hidden="1" spans="2:12">
      <c r="B337" s="86">
        <v>232400083</v>
      </c>
      <c r="C337" s="9">
        <v>45037</v>
      </c>
      <c r="D337" s="10" t="s">
        <v>246</v>
      </c>
      <c r="E337" s="10">
        <v>35000</v>
      </c>
      <c r="F337" s="10">
        <v>0.07</v>
      </c>
      <c r="G337" s="9">
        <v>45066</v>
      </c>
      <c r="H337" s="12">
        <f t="shared" si="5"/>
        <v>2450</v>
      </c>
      <c r="I337" s="12" t="s">
        <v>10</v>
      </c>
      <c r="J337" s="15"/>
      <c r="K337" s="131">
        <v>45045</v>
      </c>
      <c r="L337">
        <v>45000</v>
      </c>
    </row>
    <row r="338" hidden="1" spans="2:12">
      <c r="B338" s="86">
        <v>232400083</v>
      </c>
      <c r="C338" s="9">
        <v>45037</v>
      </c>
      <c r="D338" s="10" t="s">
        <v>246</v>
      </c>
      <c r="E338" s="10">
        <v>35000</v>
      </c>
      <c r="F338" s="10">
        <v>0.07</v>
      </c>
      <c r="G338" s="9">
        <v>45097</v>
      </c>
      <c r="H338" s="12">
        <f t="shared" si="5"/>
        <v>2450</v>
      </c>
      <c r="I338" s="12" t="s">
        <v>10</v>
      </c>
      <c r="J338" s="15"/>
    </row>
    <row r="339" hidden="1" spans="2:12">
      <c r="B339" s="86">
        <v>232400083</v>
      </c>
      <c r="C339" s="9">
        <v>45037</v>
      </c>
      <c r="D339" s="87" t="s">
        <v>223</v>
      </c>
      <c r="E339" s="10">
        <v>200000</v>
      </c>
      <c r="F339" s="10">
        <v>0.08</v>
      </c>
      <c r="G339" s="9">
        <v>45066</v>
      </c>
      <c r="H339" s="12">
        <f t="shared" si="5"/>
        <v>16000</v>
      </c>
      <c r="I339" s="12" t="s">
        <v>10</v>
      </c>
      <c r="J339" s="15"/>
    </row>
    <row r="340" hidden="1" spans="2:12">
      <c r="B340" s="86">
        <v>232400084</v>
      </c>
      <c r="C340" s="9">
        <v>45037</v>
      </c>
      <c r="D340" s="10" t="s">
        <v>163</v>
      </c>
      <c r="E340" s="10">
        <v>256000</v>
      </c>
      <c r="F340" s="10">
        <v>0.0025</v>
      </c>
      <c r="G340" s="9">
        <v>45066</v>
      </c>
      <c r="H340" s="12">
        <f t="shared" si="5"/>
        <v>640</v>
      </c>
      <c r="I340" s="12" t="s">
        <v>10</v>
      </c>
      <c r="J340" s="15"/>
    </row>
    <row r="341" hidden="1" spans="2:12">
      <c r="B341" s="86">
        <v>232400084</v>
      </c>
      <c r="C341" s="9">
        <v>45037</v>
      </c>
      <c r="D341" s="10" t="s">
        <v>163</v>
      </c>
      <c r="E341" s="10">
        <v>256000</v>
      </c>
      <c r="F341" s="10">
        <v>0.0025</v>
      </c>
      <c r="G341" s="9">
        <v>45097</v>
      </c>
      <c r="H341" s="12">
        <f t="shared" si="5"/>
        <v>640</v>
      </c>
      <c r="I341" s="12" t="s">
        <v>10</v>
      </c>
      <c r="J341" s="15"/>
    </row>
    <row r="342" hidden="1" spans="2:12">
      <c r="B342" s="86">
        <v>232400085</v>
      </c>
      <c r="C342" s="9">
        <v>45037</v>
      </c>
      <c r="D342" s="87" t="s">
        <v>257</v>
      </c>
      <c r="E342" s="10">
        <v>300000</v>
      </c>
      <c r="F342" s="10">
        <v>0.01</v>
      </c>
      <c r="G342" s="9">
        <v>45066</v>
      </c>
      <c r="H342" s="12">
        <f t="shared" si="5"/>
        <v>3000</v>
      </c>
      <c r="I342" s="12" t="s">
        <v>10</v>
      </c>
      <c r="J342" s="15"/>
    </row>
    <row r="343" hidden="1" spans="2:12">
      <c r="B343" s="86">
        <v>232400085</v>
      </c>
      <c r="C343" s="9">
        <v>45037</v>
      </c>
      <c r="D343" s="87" t="s">
        <v>257</v>
      </c>
      <c r="E343" s="10">
        <v>300000</v>
      </c>
      <c r="F343" s="10">
        <v>0.01</v>
      </c>
      <c r="G343" s="9">
        <v>45097</v>
      </c>
      <c r="H343" s="12">
        <f t="shared" si="5"/>
        <v>3000</v>
      </c>
      <c r="I343" s="12" t="s">
        <v>10</v>
      </c>
      <c r="J343" s="15"/>
    </row>
    <row r="344" hidden="1" spans="2:12">
      <c r="B344" s="86">
        <v>232400085</v>
      </c>
      <c r="C344" s="9">
        <v>45037</v>
      </c>
      <c r="D344" s="87" t="s">
        <v>257</v>
      </c>
      <c r="E344" s="10">
        <v>300000</v>
      </c>
      <c r="F344" s="10">
        <v>0.01</v>
      </c>
      <c r="G344" s="9">
        <v>45127</v>
      </c>
      <c r="H344" s="12">
        <f t="shared" si="5"/>
        <v>3000</v>
      </c>
      <c r="I344" s="12" t="s">
        <v>10</v>
      </c>
      <c r="J344" s="15"/>
    </row>
    <row r="345" hidden="1" spans="2:12">
      <c r="B345" s="86">
        <v>232400085</v>
      </c>
      <c r="C345" s="9">
        <v>45037</v>
      </c>
      <c r="D345" s="10" t="s">
        <v>163</v>
      </c>
      <c r="E345" s="10">
        <v>208000</v>
      </c>
      <c r="F345" s="10">
        <v>0.0025</v>
      </c>
      <c r="G345" s="9">
        <v>45076</v>
      </c>
      <c r="H345" s="12">
        <f t="shared" si="5"/>
        <v>520</v>
      </c>
      <c r="I345" s="12" t="s">
        <v>10</v>
      </c>
      <c r="J345" s="15"/>
    </row>
    <row r="346" hidden="1" spans="2:12">
      <c r="B346" s="86">
        <v>232400085</v>
      </c>
      <c r="C346" s="9">
        <v>45037</v>
      </c>
      <c r="D346" s="10" t="s">
        <v>163</v>
      </c>
      <c r="E346" s="10">
        <v>208000</v>
      </c>
      <c r="F346" s="10">
        <v>0.0025</v>
      </c>
      <c r="G346" s="9">
        <v>45066</v>
      </c>
      <c r="H346" s="12">
        <f t="shared" si="5"/>
        <v>520</v>
      </c>
      <c r="I346" s="12" t="s">
        <v>10</v>
      </c>
      <c r="J346" s="15"/>
    </row>
    <row r="347" hidden="1" spans="2:12">
      <c r="B347" s="86">
        <v>232400097</v>
      </c>
      <c r="C347" s="9">
        <v>45037</v>
      </c>
      <c r="D347" s="87" t="s">
        <v>271</v>
      </c>
      <c r="E347" s="10">
        <v>240000</v>
      </c>
      <c r="F347" s="10">
        <v>0.024</v>
      </c>
      <c r="G347" s="9">
        <v>45051</v>
      </c>
      <c r="H347" s="12">
        <f t="shared" si="5"/>
        <v>5760</v>
      </c>
      <c r="I347" s="12" t="s">
        <v>10</v>
      </c>
      <c r="J347" s="15"/>
    </row>
    <row r="348" hidden="1" spans="2:12">
      <c r="B348" s="86">
        <v>232400097</v>
      </c>
      <c r="C348" s="9">
        <v>45037</v>
      </c>
      <c r="D348" s="87" t="s">
        <v>271</v>
      </c>
      <c r="E348" s="10">
        <v>60000</v>
      </c>
      <c r="F348" s="10">
        <v>0.024</v>
      </c>
      <c r="G348" s="9">
        <v>45107</v>
      </c>
      <c r="H348" s="12">
        <f t="shared" si="5"/>
        <v>1440</v>
      </c>
      <c r="I348" s="12" t="s">
        <v>10</v>
      </c>
      <c r="J348" s="15"/>
    </row>
    <row r="349" s="106" customFormat="1" hidden="1" spans="2:12">
      <c r="B349" s="86">
        <v>232400098</v>
      </c>
      <c r="C349" s="9">
        <v>45037</v>
      </c>
      <c r="D349" s="87" t="s">
        <v>204</v>
      </c>
      <c r="E349" s="10">
        <v>200000</v>
      </c>
      <c r="F349" s="10">
        <v>0.036</v>
      </c>
      <c r="G349" s="9">
        <v>45066</v>
      </c>
      <c r="H349" s="12">
        <f t="shared" si="5"/>
        <v>7200</v>
      </c>
      <c r="I349" s="12" t="s">
        <v>10</v>
      </c>
      <c r="J349" s="10"/>
    </row>
    <row r="350" s="106" customFormat="1" hidden="1" spans="2:12">
      <c r="B350" s="86">
        <v>232400098</v>
      </c>
      <c r="C350" s="9">
        <v>45037</v>
      </c>
      <c r="D350" s="87" t="s">
        <v>204</v>
      </c>
      <c r="E350" s="10">
        <v>200000</v>
      </c>
      <c r="F350" s="10">
        <v>0.036</v>
      </c>
      <c r="G350" s="9">
        <v>45097</v>
      </c>
      <c r="H350" s="12">
        <f t="shared" si="5"/>
        <v>7200</v>
      </c>
      <c r="I350" s="12" t="s">
        <v>10</v>
      </c>
      <c r="J350" s="10"/>
    </row>
    <row r="351" s="106" customFormat="1" hidden="1" spans="2:12">
      <c r="B351" s="86">
        <v>232400098</v>
      </c>
      <c r="C351" s="9">
        <v>45037</v>
      </c>
      <c r="D351" s="87" t="s">
        <v>255</v>
      </c>
      <c r="E351" s="10">
        <v>200000</v>
      </c>
      <c r="F351" s="10">
        <v>0.0238</v>
      </c>
      <c r="G351" s="9">
        <v>45097</v>
      </c>
      <c r="H351" s="12">
        <f t="shared" si="5"/>
        <v>4760</v>
      </c>
      <c r="I351" s="12" t="s">
        <v>10</v>
      </c>
      <c r="J351" s="10"/>
    </row>
    <row r="352" s="106" customFormat="1" hidden="1" spans="2:12">
      <c r="B352" s="86">
        <v>232400098</v>
      </c>
      <c r="C352" s="9">
        <v>45037</v>
      </c>
      <c r="D352" s="87" t="s">
        <v>255</v>
      </c>
      <c r="E352" s="10">
        <v>150000</v>
      </c>
      <c r="F352" s="10">
        <v>0.0238</v>
      </c>
      <c r="G352" s="9">
        <v>45127</v>
      </c>
      <c r="H352" s="12">
        <f t="shared" si="5"/>
        <v>3570</v>
      </c>
      <c r="I352" s="12" t="s">
        <v>10</v>
      </c>
      <c r="J352" s="10"/>
    </row>
    <row r="353" hidden="1" spans="2:10">
      <c r="B353" s="86">
        <v>232400098</v>
      </c>
      <c r="C353" s="9">
        <v>45037</v>
      </c>
      <c r="D353" s="87" t="s">
        <v>255</v>
      </c>
      <c r="E353" s="10">
        <v>150000</v>
      </c>
      <c r="F353" s="10">
        <v>0.0238</v>
      </c>
      <c r="G353" s="9">
        <v>45158</v>
      </c>
      <c r="H353" s="12">
        <f t="shared" si="5"/>
        <v>3570</v>
      </c>
      <c r="I353" s="12" t="s">
        <v>10</v>
      </c>
      <c r="J353" s="15"/>
    </row>
    <row r="354" s="106" customFormat="1" hidden="1" spans="2:10">
      <c r="B354" s="86">
        <v>232400098</v>
      </c>
      <c r="C354" s="9">
        <v>45037</v>
      </c>
      <c r="D354" s="10" t="s">
        <v>32</v>
      </c>
      <c r="E354" s="10">
        <v>100000</v>
      </c>
      <c r="F354" s="10">
        <v>0.02</v>
      </c>
      <c r="G354" s="9">
        <v>45066</v>
      </c>
      <c r="H354" s="12">
        <f t="shared" si="5"/>
        <v>2000</v>
      </c>
      <c r="I354" s="12" t="s">
        <v>10</v>
      </c>
      <c r="J354" s="10"/>
    </row>
    <row r="355" s="106" customFormat="1" hidden="1" spans="2:10">
      <c r="B355" s="86">
        <v>232400098</v>
      </c>
      <c r="C355" s="9">
        <v>45037</v>
      </c>
      <c r="D355" s="10" t="s">
        <v>32</v>
      </c>
      <c r="E355" s="10">
        <v>100000</v>
      </c>
      <c r="F355" s="10">
        <v>0.02</v>
      </c>
      <c r="G355" s="9">
        <v>45097</v>
      </c>
      <c r="H355" s="12">
        <f t="shared" si="5"/>
        <v>2000</v>
      </c>
      <c r="I355" s="12" t="s">
        <v>10</v>
      </c>
      <c r="J355" s="10"/>
    </row>
    <row r="356" s="106" customFormat="1" hidden="1" spans="2:10">
      <c r="B356" s="86">
        <v>232400098</v>
      </c>
      <c r="C356" s="9">
        <v>45037</v>
      </c>
      <c r="D356" s="10" t="s">
        <v>32</v>
      </c>
      <c r="E356" s="10">
        <v>100000</v>
      </c>
      <c r="F356" s="10">
        <v>0.02</v>
      </c>
      <c r="G356" s="9">
        <v>45127</v>
      </c>
      <c r="H356" s="12">
        <f t="shared" si="5"/>
        <v>2000</v>
      </c>
      <c r="I356" s="12" t="s">
        <v>10</v>
      </c>
      <c r="J356" s="10"/>
    </row>
    <row r="357" s="106" customFormat="1" hidden="1" spans="2:10">
      <c r="B357" s="86">
        <v>232400098</v>
      </c>
      <c r="C357" s="9">
        <v>45037</v>
      </c>
      <c r="D357" s="87" t="s">
        <v>207</v>
      </c>
      <c r="E357" s="10">
        <v>300000</v>
      </c>
      <c r="F357" s="10">
        <v>0.03</v>
      </c>
      <c r="G357" s="9">
        <v>45097</v>
      </c>
      <c r="H357" s="12">
        <f t="shared" si="5"/>
        <v>9000</v>
      </c>
      <c r="I357" s="12" t="s">
        <v>10</v>
      </c>
      <c r="J357" s="10"/>
    </row>
    <row r="358" s="106" customFormat="1" hidden="1" spans="2:10">
      <c r="B358" s="86">
        <v>232400098</v>
      </c>
      <c r="C358" s="9">
        <v>45037</v>
      </c>
      <c r="D358" s="87" t="s">
        <v>207</v>
      </c>
      <c r="E358" s="10">
        <v>200000</v>
      </c>
      <c r="F358" s="10">
        <v>0.03</v>
      </c>
      <c r="G358" s="9">
        <v>45097</v>
      </c>
      <c r="H358" s="12">
        <f t="shared" si="5"/>
        <v>6000</v>
      </c>
      <c r="I358" s="12" t="s">
        <v>10</v>
      </c>
      <c r="J358" s="10"/>
    </row>
    <row r="359" s="106" customFormat="1" hidden="1" spans="2:10">
      <c r="B359" s="86">
        <v>232400098</v>
      </c>
      <c r="C359" s="9">
        <v>45037</v>
      </c>
      <c r="D359" s="87" t="s">
        <v>207</v>
      </c>
      <c r="E359" s="10">
        <v>300000</v>
      </c>
      <c r="F359" s="10">
        <v>0.03</v>
      </c>
      <c r="G359" s="9">
        <v>45127</v>
      </c>
      <c r="H359" s="12">
        <f t="shared" si="5"/>
        <v>9000</v>
      </c>
      <c r="I359" s="12" t="s">
        <v>10</v>
      </c>
      <c r="J359" s="10"/>
    </row>
    <row r="360" hidden="1" spans="2:10">
      <c r="B360" s="86">
        <v>232400098</v>
      </c>
      <c r="C360" s="9">
        <v>45037</v>
      </c>
      <c r="D360" s="10" t="s">
        <v>56</v>
      </c>
      <c r="E360" s="10">
        <v>60000</v>
      </c>
      <c r="F360" s="10">
        <v>0.035</v>
      </c>
      <c r="G360" s="9">
        <v>45158</v>
      </c>
      <c r="H360" s="12">
        <f t="shared" si="5"/>
        <v>2100</v>
      </c>
      <c r="I360" s="12" t="s">
        <v>10</v>
      </c>
      <c r="J360" s="15"/>
    </row>
    <row r="361" s="106" customFormat="1" hidden="1" spans="2:10">
      <c r="B361" s="86">
        <v>232400098</v>
      </c>
      <c r="C361" s="9">
        <v>45037</v>
      </c>
      <c r="D361" s="10" t="s">
        <v>213</v>
      </c>
      <c r="E361" s="10">
        <v>200000</v>
      </c>
      <c r="F361" s="10">
        <v>0.05</v>
      </c>
      <c r="G361" s="9">
        <v>45066</v>
      </c>
      <c r="H361" s="12">
        <f t="shared" si="5"/>
        <v>10000</v>
      </c>
      <c r="I361" s="12" t="s">
        <v>10</v>
      </c>
      <c r="J361" s="10"/>
    </row>
    <row r="362" hidden="1" spans="2:10">
      <c r="B362" s="86">
        <v>232400099</v>
      </c>
      <c r="C362" s="9">
        <v>45037</v>
      </c>
      <c r="D362" s="10" t="s">
        <v>213</v>
      </c>
      <c r="E362" s="10">
        <v>200000</v>
      </c>
      <c r="F362" s="10">
        <v>0.05</v>
      </c>
      <c r="G362" s="9">
        <v>45097</v>
      </c>
      <c r="H362" s="12">
        <f t="shared" si="5"/>
        <v>10000</v>
      </c>
      <c r="I362" s="12" t="s">
        <v>10</v>
      </c>
      <c r="J362" s="15"/>
    </row>
    <row r="363" hidden="1" spans="2:10">
      <c r="B363" s="86">
        <v>232400099</v>
      </c>
      <c r="C363" s="9">
        <v>45037</v>
      </c>
      <c r="D363" s="10" t="s">
        <v>108</v>
      </c>
      <c r="E363" s="10">
        <v>20000</v>
      </c>
      <c r="F363" s="10">
        <v>0.04</v>
      </c>
      <c r="G363" s="9">
        <v>45158</v>
      </c>
      <c r="H363" s="12">
        <f t="shared" si="5"/>
        <v>800</v>
      </c>
      <c r="I363" s="12" t="s">
        <v>10</v>
      </c>
      <c r="J363" s="15"/>
    </row>
    <row r="364" hidden="1" spans="2:10">
      <c r="B364" s="86">
        <v>232400099</v>
      </c>
      <c r="C364" s="9">
        <v>45037</v>
      </c>
      <c r="D364" s="87" t="s">
        <v>235</v>
      </c>
      <c r="E364" s="10">
        <v>200000</v>
      </c>
      <c r="F364" s="10">
        <v>0.04</v>
      </c>
      <c r="G364" s="9">
        <v>45066</v>
      </c>
      <c r="H364" s="12">
        <f t="shared" si="5"/>
        <v>8000</v>
      </c>
      <c r="I364" s="12" t="s">
        <v>10</v>
      </c>
      <c r="J364" s="15"/>
    </row>
    <row r="365" hidden="1" spans="2:10">
      <c r="B365" s="86">
        <v>232400099</v>
      </c>
      <c r="C365" s="9">
        <v>45037</v>
      </c>
      <c r="D365" s="87" t="s">
        <v>235</v>
      </c>
      <c r="E365" s="10">
        <v>100000</v>
      </c>
      <c r="F365" s="10">
        <v>0.04</v>
      </c>
      <c r="G365" s="9">
        <v>45097</v>
      </c>
      <c r="H365" s="12">
        <f t="shared" si="5"/>
        <v>4000</v>
      </c>
      <c r="I365" s="12" t="s">
        <v>10</v>
      </c>
      <c r="J365" s="15"/>
    </row>
    <row r="366" hidden="1" spans="2:10">
      <c r="B366" s="86">
        <v>232400099</v>
      </c>
      <c r="C366" s="9">
        <v>45037</v>
      </c>
      <c r="D366" s="87" t="s">
        <v>238</v>
      </c>
      <c r="E366" s="10">
        <v>250000</v>
      </c>
      <c r="F366" s="10">
        <v>0.035</v>
      </c>
      <c r="G366" s="9">
        <v>45066</v>
      </c>
      <c r="H366" s="12">
        <f t="shared" si="5"/>
        <v>8750</v>
      </c>
      <c r="I366" s="12" t="s">
        <v>10</v>
      </c>
      <c r="J366" s="15"/>
    </row>
    <row r="367" hidden="1" spans="2:10">
      <c r="B367" s="86">
        <v>232400099</v>
      </c>
      <c r="C367" s="9">
        <v>45037</v>
      </c>
      <c r="D367" s="87" t="s">
        <v>238</v>
      </c>
      <c r="E367" s="10">
        <v>200000</v>
      </c>
      <c r="F367" s="10">
        <v>0.035</v>
      </c>
      <c r="G367" s="9">
        <v>45097</v>
      </c>
      <c r="H367" s="12">
        <f t="shared" si="5"/>
        <v>7000</v>
      </c>
      <c r="I367" s="12" t="s">
        <v>10</v>
      </c>
      <c r="J367" s="15"/>
    </row>
    <row r="368" hidden="1" spans="2:10">
      <c r="B368" s="86">
        <v>232400099</v>
      </c>
      <c r="C368" s="9">
        <v>45037</v>
      </c>
      <c r="D368" s="87" t="s">
        <v>239</v>
      </c>
      <c r="E368" s="10">
        <v>150000</v>
      </c>
      <c r="F368" s="10">
        <v>0.03</v>
      </c>
      <c r="G368" s="9">
        <v>45066</v>
      </c>
      <c r="H368" s="12">
        <f t="shared" si="5"/>
        <v>4500</v>
      </c>
      <c r="I368" s="12" t="s">
        <v>10</v>
      </c>
      <c r="J368" s="15"/>
    </row>
    <row r="369" hidden="1" spans="2:10">
      <c r="B369" s="86">
        <v>232400099</v>
      </c>
      <c r="C369" s="9">
        <v>45037</v>
      </c>
      <c r="D369" s="87" t="s">
        <v>239</v>
      </c>
      <c r="E369" s="10">
        <v>100000</v>
      </c>
      <c r="F369" s="10">
        <v>0.03</v>
      </c>
      <c r="G369" s="9">
        <v>45097</v>
      </c>
      <c r="H369" s="12">
        <f t="shared" si="5"/>
        <v>3000</v>
      </c>
      <c r="I369" s="12" t="s">
        <v>10</v>
      </c>
      <c r="J369" s="15"/>
    </row>
    <row r="370" hidden="1" spans="2:10">
      <c r="B370" s="86">
        <v>232400099</v>
      </c>
      <c r="C370" s="9">
        <v>45037</v>
      </c>
      <c r="D370" s="87" t="s">
        <v>240</v>
      </c>
      <c r="E370" s="10">
        <v>150000</v>
      </c>
      <c r="F370" s="10">
        <v>0.03</v>
      </c>
      <c r="G370" s="9">
        <v>45066</v>
      </c>
      <c r="H370" s="12">
        <f t="shared" si="5"/>
        <v>4500</v>
      </c>
      <c r="I370" s="12" t="s">
        <v>10</v>
      </c>
      <c r="J370" s="15"/>
    </row>
    <row r="371" hidden="1" spans="2:10">
      <c r="B371" s="86">
        <v>232400099</v>
      </c>
      <c r="C371" s="9">
        <v>45037</v>
      </c>
      <c r="D371" s="87" t="s">
        <v>240</v>
      </c>
      <c r="E371" s="10">
        <v>100000</v>
      </c>
      <c r="F371" s="10">
        <v>0.03</v>
      </c>
      <c r="G371" s="9">
        <v>45097</v>
      </c>
      <c r="H371" s="12">
        <f t="shared" si="5"/>
        <v>3000</v>
      </c>
      <c r="I371" s="12" t="s">
        <v>10</v>
      </c>
      <c r="J371" s="15"/>
    </row>
    <row r="372" hidden="1" spans="2:10">
      <c r="B372" s="86">
        <v>232400100</v>
      </c>
      <c r="C372" s="9">
        <v>45037</v>
      </c>
      <c r="D372" s="10" t="s">
        <v>34</v>
      </c>
      <c r="E372" s="10">
        <v>200000</v>
      </c>
      <c r="F372" s="10">
        <v>0.051</v>
      </c>
      <c r="G372" s="9">
        <v>45066</v>
      </c>
      <c r="H372" s="12">
        <f t="shared" si="5"/>
        <v>10200</v>
      </c>
      <c r="I372" s="12" t="s">
        <v>10</v>
      </c>
      <c r="J372" s="15"/>
    </row>
    <row r="373" hidden="1" spans="2:10">
      <c r="B373" s="86">
        <v>232400100</v>
      </c>
      <c r="C373" s="9">
        <v>45037</v>
      </c>
      <c r="D373" s="10" t="s">
        <v>34</v>
      </c>
      <c r="E373" s="10">
        <v>100000</v>
      </c>
      <c r="F373" s="10">
        <v>0.051</v>
      </c>
      <c r="G373" s="9">
        <v>45097</v>
      </c>
      <c r="H373" s="12">
        <f t="shared" si="5"/>
        <v>5100</v>
      </c>
      <c r="I373" s="12" t="s">
        <v>10</v>
      </c>
      <c r="J373" s="15"/>
    </row>
    <row r="374" hidden="1" spans="2:10">
      <c r="B374" s="86">
        <v>232400101</v>
      </c>
      <c r="C374" s="97">
        <v>45037</v>
      </c>
      <c r="D374" s="87" t="s">
        <v>256</v>
      </c>
      <c r="E374" s="87">
        <v>70000</v>
      </c>
      <c r="F374" s="87">
        <v>0.0292</v>
      </c>
      <c r="G374" s="97">
        <v>45127</v>
      </c>
      <c r="H374" s="12">
        <f t="shared" si="5"/>
        <v>2044</v>
      </c>
      <c r="I374" s="12" t="s">
        <v>10</v>
      </c>
      <c r="J374" s="15"/>
    </row>
    <row r="375" hidden="1" spans="2:10">
      <c r="B375" s="86">
        <v>232400101</v>
      </c>
      <c r="C375" s="97">
        <v>45037</v>
      </c>
      <c r="D375" s="87" t="s">
        <v>272</v>
      </c>
      <c r="E375" s="87">
        <v>80000</v>
      </c>
      <c r="F375" s="87">
        <v>0.034</v>
      </c>
      <c r="G375" s="97">
        <v>45066</v>
      </c>
      <c r="H375" s="12">
        <f t="shared" si="5"/>
        <v>2720</v>
      </c>
      <c r="I375" s="12" t="s">
        <v>10</v>
      </c>
      <c r="J375" s="15"/>
    </row>
    <row r="376" hidden="1" spans="2:10">
      <c r="B376" s="86">
        <v>232400101</v>
      </c>
      <c r="C376" s="97">
        <v>45037</v>
      </c>
      <c r="D376" s="87" t="s">
        <v>272</v>
      </c>
      <c r="E376" s="87">
        <v>50000</v>
      </c>
      <c r="F376" s="87">
        <v>0.034</v>
      </c>
      <c r="G376" s="97">
        <v>45097</v>
      </c>
      <c r="H376" s="12">
        <f t="shared" si="5"/>
        <v>1700</v>
      </c>
      <c r="I376" s="12" t="s">
        <v>10</v>
      </c>
      <c r="J376" s="15"/>
    </row>
    <row r="377" hidden="1" spans="2:10">
      <c r="B377" s="86">
        <v>232400101</v>
      </c>
      <c r="C377" s="97">
        <v>45037</v>
      </c>
      <c r="D377" s="87" t="s">
        <v>272</v>
      </c>
      <c r="E377" s="87">
        <v>50000</v>
      </c>
      <c r="F377" s="87">
        <v>0.034</v>
      </c>
      <c r="G377" s="97">
        <v>45127</v>
      </c>
      <c r="H377" s="12">
        <f t="shared" si="5"/>
        <v>1700</v>
      </c>
      <c r="I377" s="12" t="s">
        <v>10</v>
      </c>
      <c r="J377" s="15"/>
    </row>
    <row r="378" hidden="1" spans="2:10">
      <c r="B378" s="86">
        <v>232400101</v>
      </c>
      <c r="C378" s="97">
        <v>45037</v>
      </c>
      <c r="D378" s="87" t="s">
        <v>273</v>
      </c>
      <c r="E378" s="87">
        <v>150000</v>
      </c>
      <c r="F378" s="87">
        <v>0.028</v>
      </c>
      <c r="G378" s="97">
        <v>45097</v>
      </c>
      <c r="H378" s="12">
        <f t="shared" si="5"/>
        <v>4200</v>
      </c>
      <c r="I378" s="12" t="s">
        <v>10</v>
      </c>
      <c r="J378" s="15"/>
    </row>
    <row r="379" hidden="1" spans="2:10">
      <c r="B379" s="86">
        <v>232400101</v>
      </c>
      <c r="C379" s="97">
        <v>45037</v>
      </c>
      <c r="D379" s="87" t="s">
        <v>274</v>
      </c>
      <c r="E379" s="87">
        <v>100000</v>
      </c>
      <c r="F379" s="87">
        <v>0.028</v>
      </c>
      <c r="G379" s="97">
        <v>45158</v>
      </c>
      <c r="H379" s="12">
        <f t="shared" si="5"/>
        <v>2800</v>
      </c>
      <c r="I379" s="12" t="s">
        <v>10</v>
      </c>
      <c r="J379" s="15"/>
    </row>
    <row r="380" hidden="1" spans="2:10">
      <c r="B380" s="86">
        <v>232400101</v>
      </c>
      <c r="C380" s="97">
        <v>45037</v>
      </c>
      <c r="D380" s="87" t="s">
        <v>259</v>
      </c>
      <c r="E380" s="87">
        <v>120000</v>
      </c>
      <c r="F380" s="87">
        <v>0.028</v>
      </c>
      <c r="G380" s="97">
        <v>45066</v>
      </c>
      <c r="H380" s="12">
        <f t="shared" si="5"/>
        <v>3360</v>
      </c>
      <c r="I380" s="12" t="s">
        <v>10</v>
      </c>
      <c r="J380" s="15"/>
    </row>
    <row r="381" hidden="1" spans="2:10">
      <c r="B381" s="86">
        <v>232400101</v>
      </c>
      <c r="C381" s="97">
        <v>45037</v>
      </c>
      <c r="D381" s="87" t="s">
        <v>259</v>
      </c>
      <c r="E381" s="87">
        <v>120000</v>
      </c>
      <c r="F381" s="87">
        <v>0.028</v>
      </c>
      <c r="G381" s="97">
        <v>45097</v>
      </c>
      <c r="H381" s="12">
        <f t="shared" si="5"/>
        <v>3360</v>
      </c>
      <c r="I381" s="12" t="s">
        <v>10</v>
      </c>
      <c r="J381" s="15"/>
    </row>
    <row r="382" hidden="1" spans="2:10">
      <c r="B382" s="86">
        <v>232400101</v>
      </c>
      <c r="C382" s="97">
        <v>45037</v>
      </c>
      <c r="D382" s="87" t="s">
        <v>275</v>
      </c>
      <c r="E382" s="87">
        <v>201000</v>
      </c>
      <c r="F382" s="87">
        <v>0.0145</v>
      </c>
      <c r="G382" s="97">
        <v>45066</v>
      </c>
      <c r="H382" s="12">
        <f t="shared" si="5"/>
        <v>2914.5</v>
      </c>
      <c r="I382" s="12" t="s">
        <v>10</v>
      </c>
      <c r="J382" s="15"/>
    </row>
    <row r="383" ht="29" hidden="1" spans="2:10">
      <c r="B383" s="86">
        <v>232400101</v>
      </c>
      <c r="C383" s="97">
        <v>45037</v>
      </c>
      <c r="D383" s="88" t="s">
        <v>275</v>
      </c>
      <c r="E383" s="87">
        <v>150000</v>
      </c>
      <c r="F383" s="87">
        <v>0.0145</v>
      </c>
      <c r="G383" s="97">
        <v>45097</v>
      </c>
      <c r="H383" s="12">
        <f t="shared" si="5"/>
        <v>2175</v>
      </c>
      <c r="I383" s="12" t="s">
        <v>10</v>
      </c>
      <c r="J383" s="15"/>
    </row>
    <row r="384" hidden="1" spans="2:10">
      <c r="B384" s="86">
        <v>232400101</v>
      </c>
      <c r="C384" s="97">
        <v>45037</v>
      </c>
      <c r="D384" s="87" t="s">
        <v>255</v>
      </c>
      <c r="E384" s="87">
        <v>300000</v>
      </c>
      <c r="F384" s="87">
        <v>0.0238</v>
      </c>
      <c r="G384" s="97">
        <v>45097</v>
      </c>
      <c r="H384" s="12">
        <f t="shared" si="5"/>
        <v>7140</v>
      </c>
      <c r="I384" s="12" t="s">
        <v>10</v>
      </c>
      <c r="J384" s="15"/>
    </row>
    <row r="385" hidden="1" spans="2:11">
      <c r="B385" s="86">
        <v>232400101</v>
      </c>
      <c r="C385" s="97">
        <v>45037</v>
      </c>
      <c r="D385" s="87" t="s">
        <v>255</v>
      </c>
      <c r="E385" s="87">
        <v>300000</v>
      </c>
      <c r="F385" s="87">
        <v>0.0238</v>
      </c>
      <c r="G385" s="97">
        <v>45127</v>
      </c>
      <c r="H385" s="12">
        <f t="shared" si="5"/>
        <v>7140</v>
      </c>
      <c r="I385" s="12" t="s">
        <v>10</v>
      </c>
      <c r="J385" s="15"/>
    </row>
    <row r="386" hidden="1" spans="2:11">
      <c r="B386" s="86">
        <v>232400102</v>
      </c>
      <c r="C386" s="97">
        <v>45037</v>
      </c>
      <c r="D386" s="87" t="s">
        <v>58</v>
      </c>
      <c r="E386" s="87">
        <v>400000</v>
      </c>
      <c r="F386" s="87">
        <v>0.019</v>
      </c>
      <c r="G386" s="97">
        <v>45097</v>
      </c>
      <c r="H386" s="12">
        <f t="shared" ref="H386:H449" si="6">E386*F386</f>
        <v>7600</v>
      </c>
      <c r="I386" s="12" t="s">
        <v>10</v>
      </c>
      <c r="J386" s="15"/>
    </row>
    <row r="387" hidden="1" spans="2:11">
      <c r="B387" s="86">
        <v>232400102</v>
      </c>
      <c r="C387" s="97">
        <v>45037</v>
      </c>
      <c r="D387" s="87" t="s">
        <v>58</v>
      </c>
      <c r="E387" s="87">
        <v>400000</v>
      </c>
      <c r="F387" s="87">
        <v>0.019</v>
      </c>
      <c r="G387" s="97">
        <v>45127</v>
      </c>
      <c r="H387" s="12">
        <f t="shared" si="6"/>
        <v>7600</v>
      </c>
      <c r="I387" s="12" t="s">
        <v>10</v>
      </c>
      <c r="J387" s="15"/>
    </row>
    <row r="388" hidden="1" spans="2:11">
      <c r="B388" s="86">
        <v>232400102</v>
      </c>
      <c r="C388" s="97">
        <v>45037</v>
      </c>
      <c r="D388" s="87" t="s">
        <v>58</v>
      </c>
      <c r="E388" s="87">
        <v>400000</v>
      </c>
      <c r="F388" s="87">
        <v>0.019</v>
      </c>
      <c r="G388" s="97">
        <v>45127</v>
      </c>
      <c r="H388" s="12">
        <f t="shared" si="6"/>
        <v>7600</v>
      </c>
      <c r="I388" s="12" t="s">
        <v>10</v>
      </c>
      <c r="J388" s="15"/>
    </row>
    <row r="389" hidden="1" spans="2:11">
      <c r="B389" s="86">
        <v>232400104</v>
      </c>
      <c r="C389" s="97">
        <v>45037</v>
      </c>
      <c r="D389" s="87" t="s">
        <v>33</v>
      </c>
      <c r="E389" s="87">
        <v>20000</v>
      </c>
      <c r="F389" s="87">
        <v>0.02</v>
      </c>
      <c r="G389" s="97">
        <v>45037</v>
      </c>
      <c r="H389" s="12">
        <f t="shared" si="6"/>
        <v>400</v>
      </c>
      <c r="I389" s="12" t="s">
        <v>10</v>
      </c>
      <c r="J389" s="15"/>
    </row>
    <row r="390" hidden="1" spans="2:11">
      <c r="B390" s="86">
        <v>232400104</v>
      </c>
      <c r="C390" s="97">
        <v>45037</v>
      </c>
      <c r="D390" s="87" t="s">
        <v>33</v>
      </c>
      <c r="E390" s="87">
        <v>20000</v>
      </c>
      <c r="F390" s="87">
        <v>0.02</v>
      </c>
      <c r="G390" s="97">
        <v>45066</v>
      </c>
      <c r="H390" s="12">
        <f t="shared" si="6"/>
        <v>400</v>
      </c>
      <c r="I390" s="12" t="s">
        <v>10</v>
      </c>
      <c r="J390" s="15"/>
    </row>
    <row r="391" hidden="1" spans="2:11">
      <c r="B391" s="86">
        <v>232400104</v>
      </c>
      <c r="C391" s="97">
        <v>45037</v>
      </c>
      <c r="D391" s="87" t="s">
        <v>33</v>
      </c>
      <c r="E391" s="87">
        <v>20000</v>
      </c>
      <c r="F391" s="87">
        <v>0.02</v>
      </c>
      <c r="G391" s="97">
        <v>45097</v>
      </c>
      <c r="H391" s="12">
        <f t="shared" si="6"/>
        <v>400</v>
      </c>
      <c r="I391" s="12" t="s">
        <v>10</v>
      </c>
      <c r="J391" s="15"/>
    </row>
    <row r="392" hidden="1" spans="2:11">
      <c r="B392" s="86">
        <v>232400104</v>
      </c>
      <c r="C392" s="97">
        <v>45037</v>
      </c>
      <c r="D392" s="87" t="s">
        <v>78</v>
      </c>
      <c r="E392" s="87">
        <v>20000</v>
      </c>
      <c r="F392" s="87">
        <v>0.02</v>
      </c>
      <c r="G392" s="97">
        <v>45066</v>
      </c>
      <c r="H392" s="12">
        <f t="shared" si="6"/>
        <v>400</v>
      </c>
      <c r="I392" s="12" t="s">
        <v>10</v>
      </c>
      <c r="J392" s="15"/>
    </row>
    <row r="393" hidden="1" spans="2:11">
      <c r="B393" s="86">
        <v>232400106</v>
      </c>
      <c r="C393" s="97">
        <v>45040</v>
      </c>
      <c r="D393" s="87" t="s">
        <v>271</v>
      </c>
      <c r="E393" s="87">
        <v>100000</v>
      </c>
      <c r="F393" s="87">
        <v>0.024</v>
      </c>
      <c r="G393" s="97">
        <v>45087</v>
      </c>
      <c r="H393" s="12">
        <f t="shared" si="6"/>
        <v>2400</v>
      </c>
      <c r="I393" s="12" t="s">
        <v>10</v>
      </c>
      <c r="J393" s="15"/>
    </row>
    <row r="394" hidden="1" spans="2:11">
      <c r="B394" s="86">
        <v>232400106</v>
      </c>
      <c r="C394" s="97">
        <v>45040</v>
      </c>
      <c r="D394" s="87" t="s">
        <v>257</v>
      </c>
      <c r="E394" s="87">
        <v>48000</v>
      </c>
      <c r="F394" s="87">
        <v>0.01</v>
      </c>
      <c r="G394" s="97">
        <v>45087</v>
      </c>
      <c r="H394" s="12">
        <f t="shared" si="6"/>
        <v>480</v>
      </c>
      <c r="I394" s="12" t="s">
        <v>10</v>
      </c>
      <c r="J394" s="15"/>
    </row>
    <row r="395" hidden="1" spans="2:11">
      <c r="B395" s="86">
        <v>232400108</v>
      </c>
      <c r="C395" s="97">
        <v>45040</v>
      </c>
      <c r="D395" s="87" t="s">
        <v>258</v>
      </c>
      <c r="E395" s="87">
        <v>20000</v>
      </c>
      <c r="F395" s="87">
        <v>0.065</v>
      </c>
      <c r="G395" s="97">
        <v>45056</v>
      </c>
      <c r="H395" s="12">
        <f t="shared" si="6"/>
        <v>1300</v>
      </c>
      <c r="I395" s="12" t="s">
        <v>10</v>
      </c>
      <c r="J395" s="15"/>
    </row>
    <row r="396" hidden="1" spans="2:11">
      <c r="B396" s="86">
        <v>232400126</v>
      </c>
      <c r="C396" s="97">
        <v>45041</v>
      </c>
      <c r="D396" s="87" t="s">
        <v>222</v>
      </c>
      <c r="E396" s="87">
        <v>30000</v>
      </c>
      <c r="F396" s="87">
        <v>0.285</v>
      </c>
      <c r="G396" s="97">
        <v>45087</v>
      </c>
      <c r="H396" s="12">
        <f t="shared" si="6"/>
        <v>8550</v>
      </c>
      <c r="I396" s="12" t="s">
        <v>10</v>
      </c>
      <c r="J396" s="15" t="s">
        <v>276</v>
      </c>
    </row>
    <row r="397" hidden="1" spans="2:11">
      <c r="B397" s="86">
        <v>232400126</v>
      </c>
      <c r="C397" s="97">
        <v>45041</v>
      </c>
      <c r="D397" s="87" t="s">
        <v>254</v>
      </c>
      <c r="E397" s="87">
        <v>1500000</v>
      </c>
      <c r="F397" s="87">
        <v>0.03</v>
      </c>
      <c r="G397" s="97">
        <v>45117</v>
      </c>
      <c r="H397" s="12">
        <f t="shared" si="6"/>
        <v>45000</v>
      </c>
      <c r="I397" s="12" t="s">
        <v>10</v>
      </c>
      <c r="J397" s="15"/>
    </row>
    <row r="398" hidden="1" spans="2:11">
      <c r="B398" s="86">
        <v>232400126</v>
      </c>
      <c r="C398" s="97">
        <v>45041</v>
      </c>
      <c r="D398" s="87" t="s">
        <v>226</v>
      </c>
      <c r="E398" s="87">
        <v>100000</v>
      </c>
      <c r="F398" s="87">
        <v>0.08</v>
      </c>
      <c r="G398" s="97">
        <v>45087</v>
      </c>
      <c r="H398" s="12">
        <f t="shared" si="6"/>
        <v>8000</v>
      </c>
      <c r="I398" s="12" t="s">
        <v>10</v>
      </c>
      <c r="J398" s="15"/>
    </row>
    <row r="399" hidden="1" spans="2:11">
      <c r="B399" s="86">
        <v>232400128</v>
      </c>
      <c r="C399" s="97">
        <v>45041</v>
      </c>
      <c r="D399" s="87" t="s">
        <v>254</v>
      </c>
      <c r="E399" s="87">
        <v>500000</v>
      </c>
      <c r="F399" s="87">
        <v>0.03</v>
      </c>
      <c r="G399" s="97">
        <v>45097</v>
      </c>
      <c r="H399" s="12">
        <f t="shared" si="6"/>
        <v>15000</v>
      </c>
      <c r="I399" s="12" t="s">
        <v>10</v>
      </c>
      <c r="J399" s="15"/>
    </row>
    <row r="400" hidden="1" spans="2:11">
      <c r="B400" s="86">
        <v>232400128</v>
      </c>
      <c r="C400" s="97">
        <v>45041</v>
      </c>
      <c r="D400" s="87" t="s">
        <v>254</v>
      </c>
      <c r="E400" s="87">
        <v>600000</v>
      </c>
      <c r="F400" s="87">
        <v>0.03</v>
      </c>
      <c r="G400" s="97">
        <v>45127</v>
      </c>
      <c r="H400" s="12">
        <f t="shared" si="6"/>
        <v>18000</v>
      </c>
      <c r="I400" s="12" t="s">
        <v>10</v>
      </c>
      <c r="J400" s="15"/>
      <c r="K400">
        <f>36788000</f>
        <v>36788000</v>
      </c>
    </row>
    <row r="401" hidden="1" spans="2:10">
      <c r="B401" s="86">
        <v>232400128</v>
      </c>
      <c r="C401" s="97">
        <v>45041</v>
      </c>
      <c r="D401" s="87" t="s">
        <v>254</v>
      </c>
      <c r="E401" s="87">
        <v>400000</v>
      </c>
      <c r="F401" s="87">
        <v>0.03</v>
      </c>
      <c r="G401" s="97">
        <v>45127</v>
      </c>
      <c r="H401" s="12">
        <f t="shared" si="6"/>
        <v>12000</v>
      </c>
      <c r="I401" s="12" t="s">
        <v>10</v>
      </c>
      <c r="J401" s="15"/>
    </row>
    <row r="402" hidden="1" spans="2:10">
      <c r="B402" s="86">
        <v>232400128</v>
      </c>
      <c r="C402" s="97">
        <v>45041</v>
      </c>
      <c r="D402" s="87" t="s">
        <v>254</v>
      </c>
      <c r="E402" s="87">
        <v>600000</v>
      </c>
      <c r="F402" s="87">
        <v>0.03</v>
      </c>
      <c r="G402" s="97">
        <v>45158</v>
      </c>
      <c r="H402" s="12">
        <f t="shared" si="6"/>
        <v>18000</v>
      </c>
      <c r="I402" s="12" t="s">
        <v>10</v>
      </c>
      <c r="J402" s="15"/>
    </row>
    <row r="403" hidden="1" spans="2:10">
      <c r="B403" s="86">
        <v>232400129</v>
      </c>
      <c r="C403" s="97">
        <v>45041</v>
      </c>
      <c r="D403" s="87" t="s">
        <v>254</v>
      </c>
      <c r="E403" s="87">
        <v>800000</v>
      </c>
      <c r="F403" s="87">
        <v>0.03</v>
      </c>
      <c r="G403" s="97">
        <v>45097</v>
      </c>
      <c r="H403" s="12">
        <f t="shared" si="6"/>
        <v>24000</v>
      </c>
      <c r="I403" s="12" t="s">
        <v>10</v>
      </c>
      <c r="J403" s="15"/>
    </row>
    <row r="404" hidden="1" spans="2:10">
      <c r="B404" s="86">
        <v>232400129</v>
      </c>
      <c r="C404" s="97">
        <v>45041</v>
      </c>
      <c r="D404" s="87" t="s">
        <v>254</v>
      </c>
      <c r="E404" s="87">
        <v>500000</v>
      </c>
      <c r="F404" s="87">
        <v>0.03</v>
      </c>
      <c r="G404" s="97">
        <v>45158</v>
      </c>
      <c r="H404" s="12">
        <f t="shared" si="6"/>
        <v>15000</v>
      </c>
      <c r="I404" s="12" t="s">
        <v>10</v>
      </c>
      <c r="J404" s="15"/>
    </row>
    <row r="405" hidden="1" spans="2:10">
      <c r="B405" s="86">
        <v>232400129</v>
      </c>
      <c r="C405" s="97">
        <v>45041</v>
      </c>
      <c r="D405" s="87" t="s">
        <v>254</v>
      </c>
      <c r="E405" s="87">
        <v>600000</v>
      </c>
      <c r="F405" s="87">
        <v>0.03</v>
      </c>
      <c r="G405" s="97">
        <v>45158</v>
      </c>
      <c r="H405" s="12">
        <f t="shared" si="6"/>
        <v>18000</v>
      </c>
      <c r="I405" s="12" t="s">
        <v>10</v>
      </c>
      <c r="J405" s="15"/>
    </row>
    <row r="406" hidden="1" spans="2:10">
      <c r="B406" s="86">
        <v>232400131</v>
      </c>
      <c r="C406" s="9">
        <v>45041</v>
      </c>
      <c r="D406" s="87" t="s">
        <v>225</v>
      </c>
      <c r="E406" s="10">
        <v>40000</v>
      </c>
      <c r="F406" s="10">
        <v>0.041</v>
      </c>
      <c r="G406" s="9">
        <v>45087</v>
      </c>
      <c r="H406" s="12">
        <f t="shared" si="6"/>
        <v>1640</v>
      </c>
      <c r="I406" s="12" t="s">
        <v>10</v>
      </c>
      <c r="J406" s="15"/>
    </row>
    <row r="407" hidden="1" spans="2:10">
      <c r="B407" s="86">
        <v>232400131</v>
      </c>
      <c r="C407" s="9">
        <v>45041</v>
      </c>
      <c r="D407" s="87" t="s">
        <v>237</v>
      </c>
      <c r="E407" s="10">
        <v>20000</v>
      </c>
      <c r="F407" s="10">
        <v>0.18</v>
      </c>
      <c r="G407" s="9">
        <v>45087</v>
      </c>
      <c r="H407" s="12">
        <f t="shared" si="6"/>
        <v>3600</v>
      </c>
      <c r="I407" s="12" t="s">
        <v>10</v>
      </c>
      <c r="J407" s="15"/>
    </row>
    <row r="408" hidden="1" spans="2:10">
      <c r="B408" s="86">
        <v>232400131</v>
      </c>
      <c r="C408" s="9">
        <v>45041</v>
      </c>
      <c r="D408" s="87" t="s">
        <v>243</v>
      </c>
      <c r="E408" s="10">
        <v>96000</v>
      </c>
      <c r="F408" s="10">
        <v>0.022</v>
      </c>
      <c r="G408" s="9">
        <v>45087</v>
      </c>
      <c r="H408" s="12">
        <f t="shared" si="6"/>
        <v>2112</v>
      </c>
      <c r="I408" s="12" t="s">
        <v>10</v>
      </c>
      <c r="J408" s="15"/>
    </row>
    <row r="409" hidden="1" spans="2:10">
      <c r="B409" s="86">
        <v>232400131</v>
      </c>
      <c r="C409" s="9">
        <v>45041</v>
      </c>
      <c r="D409" s="87" t="s">
        <v>223</v>
      </c>
      <c r="E409" s="10">
        <v>50000</v>
      </c>
      <c r="F409" s="10">
        <v>0.08</v>
      </c>
      <c r="G409" s="9">
        <v>45087</v>
      </c>
      <c r="H409" s="12">
        <f t="shared" si="6"/>
        <v>4000</v>
      </c>
      <c r="I409" s="12" t="s">
        <v>10</v>
      </c>
      <c r="J409" s="15"/>
    </row>
    <row r="410" hidden="1" spans="2:10">
      <c r="B410" s="86">
        <v>232400131</v>
      </c>
      <c r="C410" s="9">
        <v>45041</v>
      </c>
      <c r="D410" s="87" t="s">
        <v>223</v>
      </c>
      <c r="E410" s="88">
        <v>50000</v>
      </c>
      <c r="F410" s="10">
        <v>0.08</v>
      </c>
      <c r="G410" s="9">
        <v>45117</v>
      </c>
      <c r="H410" s="12">
        <f t="shared" si="6"/>
        <v>4000</v>
      </c>
      <c r="I410" s="12" t="s">
        <v>10</v>
      </c>
      <c r="J410" s="15"/>
    </row>
    <row r="411" hidden="1" spans="2:10">
      <c r="B411" s="86">
        <v>232400132</v>
      </c>
      <c r="C411" s="9">
        <v>45042</v>
      </c>
      <c r="D411" s="87" t="s">
        <v>203</v>
      </c>
      <c r="E411" s="10">
        <v>600000</v>
      </c>
      <c r="F411" s="10">
        <v>0.027</v>
      </c>
      <c r="G411" s="9">
        <v>45092</v>
      </c>
      <c r="H411" s="12">
        <f t="shared" si="6"/>
        <v>16200</v>
      </c>
      <c r="I411" s="12" t="s">
        <v>10</v>
      </c>
      <c r="J411" s="15"/>
    </row>
    <row r="412" hidden="1" spans="2:10">
      <c r="B412" s="86">
        <v>232400132</v>
      </c>
      <c r="C412" s="9">
        <v>45042</v>
      </c>
      <c r="D412" s="87" t="s">
        <v>203</v>
      </c>
      <c r="E412" s="10">
        <v>600000</v>
      </c>
      <c r="F412" s="10">
        <v>0.027</v>
      </c>
      <c r="G412" s="9">
        <v>45097</v>
      </c>
      <c r="H412" s="12">
        <f t="shared" si="6"/>
        <v>16200</v>
      </c>
      <c r="I412" s="12" t="s">
        <v>10</v>
      </c>
      <c r="J412" s="15"/>
    </row>
    <row r="413" hidden="1" spans="2:10">
      <c r="B413" s="86">
        <v>232400132</v>
      </c>
      <c r="C413" s="9">
        <v>45042</v>
      </c>
      <c r="D413" s="87" t="s">
        <v>203</v>
      </c>
      <c r="E413" s="10">
        <v>600000</v>
      </c>
      <c r="F413" s="10">
        <v>0.027</v>
      </c>
      <c r="G413" s="9">
        <v>45122</v>
      </c>
      <c r="H413" s="12">
        <f t="shared" si="6"/>
        <v>16200</v>
      </c>
      <c r="I413" s="12" t="s">
        <v>10</v>
      </c>
      <c r="J413" s="15"/>
    </row>
    <row r="414" hidden="1" spans="2:10">
      <c r="B414" s="86">
        <v>232400132</v>
      </c>
      <c r="C414" s="9">
        <v>45042</v>
      </c>
      <c r="D414" s="87" t="s">
        <v>203</v>
      </c>
      <c r="E414" s="10">
        <v>600000</v>
      </c>
      <c r="F414" s="10">
        <v>0.027</v>
      </c>
      <c r="G414" s="9">
        <v>45127</v>
      </c>
      <c r="H414" s="12">
        <f t="shared" si="6"/>
        <v>16200</v>
      </c>
      <c r="I414" s="12" t="s">
        <v>10</v>
      </c>
      <c r="J414" s="15"/>
    </row>
    <row r="415" hidden="1" spans="2:10">
      <c r="B415" s="86">
        <v>232400132</v>
      </c>
      <c r="C415" s="9">
        <v>45042</v>
      </c>
      <c r="D415" s="87" t="s">
        <v>203</v>
      </c>
      <c r="E415" s="10">
        <v>600000</v>
      </c>
      <c r="F415" s="10">
        <v>0.027</v>
      </c>
      <c r="G415" s="9">
        <v>45127</v>
      </c>
      <c r="H415" s="12">
        <f t="shared" si="6"/>
        <v>16200</v>
      </c>
      <c r="I415" s="12" t="s">
        <v>10</v>
      </c>
      <c r="J415" s="15"/>
    </row>
    <row r="416" hidden="1" spans="2:10">
      <c r="B416" s="86">
        <v>232400132</v>
      </c>
      <c r="C416" s="9">
        <v>45042</v>
      </c>
      <c r="D416" s="87" t="s">
        <v>203</v>
      </c>
      <c r="E416" s="10">
        <v>300000</v>
      </c>
      <c r="F416" s="10">
        <v>0.027</v>
      </c>
      <c r="G416" s="9">
        <v>45132</v>
      </c>
      <c r="H416" s="12">
        <f t="shared" si="6"/>
        <v>8100</v>
      </c>
      <c r="I416" s="12" t="s">
        <v>10</v>
      </c>
      <c r="J416" s="15"/>
    </row>
    <row r="417" hidden="1" spans="2:10">
      <c r="B417" s="86">
        <v>232400132</v>
      </c>
      <c r="C417" s="9">
        <v>45042</v>
      </c>
      <c r="D417" s="87" t="s">
        <v>203</v>
      </c>
      <c r="E417" s="10">
        <v>300000</v>
      </c>
      <c r="F417" s="10">
        <v>0.027</v>
      </c>
      <c r="G417" s="9">
        <v>45163</v>
      </c>
      <c r="H417" s="12">
        <f t="shared" si="6"/>
        <v>8100</v>
      </c>
      <c r="I417" s="12" t="s">
        <v>10</v>
      </c>
      <c r="J417" s="15"/>
    </row>
    <row r="418" hidden="1" spans="2:10">
      <c r="B418" s="86">
        <v>232400132</v>
      </c>
      <c r="C418" s="9">
        <v>45042</v>
      </c>
      <c r="D418" s="87" t="s">
        <v>203</v>
      </c>
      <c r="E418" s="10">
        <v>300000</v>
      </c>
      <c r="F418" s="10">
        <v>0.027</v>
      </c>
      <c r="G418" s="9">
        <v>45163</v>
      </c>
      <c r="H418" s="12">
        <f t="shared" si="6"/>
        <v>8100</v>
      </c>
      <c r="I418" s="12" t="s">
        <v>10</v>
      </c>
      <c r="J418" s="15"/>
    </row>
    <row r="419" hidden="1" spans="2:10">
      <c r="B419" s="86">
        <v>232400135</v>
      </c>
      <c r="C419" s="9">
        <v>45042</v>
      </c>
      <c r="D419" s="87" t="s">
        <v>210</v>
      </c>
      <c r="E419" s="10">
        <v>20000</v>
      </c>
      <c r="F419" s="10">
        <v>0.028</v>
      </c>
      <c r="G419" s="9">
        <v>45042</v>
      </c>
      <c r="H419" s="12">
        <f t="shared" si="6"/>
        <v>560</v>
      </c>
      <c r="I419" s="12" t="s">
        <v>10</v>
      </c>
      <c r="J419" s="15"/>
    </row>
    <row r="420" hidden="1" spans="2:10">
      <c r="B420" s="86">
        <v>232400135</v>
      </c>
      <c r="C420" s="9">
        <v>45042</v>
      </c>
      <c r="D420" s="87" t="s">
        <v>277</v>
      </c>
      <c r="E420" s="10">
        <v>20000</v>
      </c>
      <c r="F420" s="10">
        <v>0.15</v>
      </c>
      <c r="G420" s="9">
        <v>45042</v>
      </c>
      <c r="H420" s="12">
        <f t="shared" si="6"/>
        <v>3000</v>
      </c>
      <c r="I420" s="12" t="s">
        <v>10</v>
      </c>
      <c r="J420" s="15"/>
    </row>
    <row r="421" hidden="1" spans="2:10">
      <c r="B421" s="86">
        <v>232400136</v>
      </c>
      <c r="C421" s="9">
        <v>45042</v>
      </c>
      <c r="D421" s="10" t="s">
        <v>164</v>
      </c>
      <c r="E421" s="10">
        <v>300000</v>
      </c>
      <c r="F421" s="10">
        <v>0.011</v>
      </c>
      <c r="G421" s="9">
        <v>45056</v>
      </c>
      <c r="H421" s="12">
        <f t="shared" si="6"/>
        <v>3300</v>
      </c>
      <c r="I421" s="12" t="s">
        <v>10</v>
      </c>
      <c r="J421" s="15"/>
    </row>
    <row r="422" hidden="1" spans="2:10">
      <c r="B422" s="86">
        <v>232400143</v>
      </c>
      <c r="C422" s="9">
        <v>45044</v>
      </c>
      <c r="D422" s="10" t="s">
        <v>226</v>
      </c>
      <c r="E422" s="10">
        <v>50000</v>
      </c>
      <c r="F422" s="10">
        <v>0.08</v>
      </c>
      <c r="G422" s="9">
        <v>45122</v>
      </c>
      <c r="H422" s="12">
        <f t="shared" si="6"/>
        <v>4000</v>
      </c>
      <c r="I422" s="12" t="s">
        <v>10</v>
      </c>
      <c r="J422" s="15"/>
    </row>
    <row r="423" hidden="1" spans="2:10">
      <c r="B423" s="86">
        <v>232400143</v>
      </c>
      <c r="C423" s="9">
        <v>45044</v>
      </c>
      <c r="D423" s="10" t="s">
        <v>226</v>
      </c>
      <c r="E423" s="10">
        <v>50000</v>
      </c>
      <c r="F423" s="10">
        <v>0.08</v>
      </c>
      <c r="G423" s="9">
        <v>45122</v>
      </c>
      <c r="H423" s="12">
        <f t="shared" si="6"/>
        <v>4000</v>
      </c>
      <c r="I423" s="12" t="s">
        <v>10</v>
      </c>
      <c r="J423" s="15"/>
    </row>
    <row r="424" hidden="1" spans="2:10">
      <c r="B424" s="86">
        <v>232400144</v>
      </c>
      <c r="C424" s="9">
        <v>45044</v>
      </c>
      <c r="D424" s="87" t="s">
        <v>204</v>
      </c>
      <c r="E424" s="10">
        <v>300000</v>
      </c>
      <c r="F424" s="10">
        <v>0.036</v>
      </c>
      <c r="G424" s="9">
        <v>45087</v>
      </c>
      <c r="H424" s="12">
        <f t="shared" si="6"/>
        <v>10800</v>
      </c>
      <c r="I424" s="12" t="s">
        <v>10</v>
      </c>
      <c r="J424" s="15"/>
    </row>
    <row r="425" hidden="1" spans="2:10">
      <c r="B425" s="86">
        <v>232400144</v>
      </c>
      <c r="C425" s="9">
        <v>45044</v>
      </c>
      <c r="D425" s="87" t="s">
        <v>204</v>
      </c>
      <c r="E425" s="10">
        <v>100000</v>
      </c>
      <c r="F425" s="10">
        <v>0.036</v>
      </c>
      <c r="G425" s="9">
        <v>45087</v>
      </c>
      <c r="H425" s="12">
        <f t="shared" si="6"/>
        <v>3600</v>
      </c>
      <c r="I425" s="12" t="s">
        <v>10</v>
      </c>
      <c r="J425" s="15"/>
    </row>
    <row r="426" hidden="1" spans="2:10">
      <c r="B426" s="86">
        <v>232400144</v>
      </c>
      <c r="C426" s="9">
        <v>45044</v>
      </c>
      <c r="D426" s="87" t="s">
        <v>204</v>
      </c>
      <c r="E426" s="10">
        <v>300000</v>
      </c>
      <c r="F426" s="10">
        <v>0.036</v>
      </c>
      <c r="G426" s="9">
        <v>45117</v>
      </c>
      <c r="H426" s="12">
        <f t="shared" si="6"/>
        <v>10800</v>
      </c>
      <c r="I426" s="12" t="s">
        <v>10</v>
      </c>
      <c r="J426" s="15"/>
    </row>
    <row r="427" hidden="1" spans="2:10">
      <c r="B427" s="86">
        <v>232400144</v>
      </c>
      <c r="C427" s="9">
        <v>45044</v>
      </c>
      <c r="D427" s="87" t="s">
        <v>204</v>
      </c>
      <c r="E427" s="10">
        <v>200000</v>
      </c>
      <c r="F427" s="10">
        <v>0.036</v>
      </c>
      <c r="G427" s="9">
        <v>45158</v>
      </c>
      <c r="H427" s="12">
        <f t="shared" si="6"/>
        <v>7200</v>
      </c>
      <c r="I427" s="12" t="s">
        <v>10</v>
      </c>
      <c r="J427" s="15"/>
    </row>
    <row r="428" hidden="1" spans="2:10">
      <c r="B428" s="86">
        <v>232400144</v>
      </c>
      <c r="C428" s="9">
        <v>45044</v>
      </c>
      <c r="D428" s="87" t="s">
        <v>204</v>
      </c>
      <c r="E428" s="10">
        <v>200000</v>
      </c>
      <c r="F428" s="10">
        <v>0.036</v>
      </c>
      <c r="G428" s="9">
        <v>45189</v>
      </c>
      <c r="H428" s="12">
        <f t="shared" si="6"/>
        <v>7200</v>
      </c>
      <c r="I428" s="12" t="s">
        <v>10</v>
      </c>
      <c r="J428" s="15"/>
    </row>
    <row r="429" hidden="1" spans="2:10">
      <c r="B429" s="86">
        <v>232400144</v>
      </c>
      <c r="C429" s="9">
        <v>45044</v>
      </c>
      <c r="D429" s="10" t="s">
        <v>32</v>
      </c>
      <c r="E429" s="10">
        <v>200000</v>
      </c>
      <c r="F429" s="10">
        <v>0.02</v>
      </c>
      <c r="G429" s="9">
        <v>45097</v>
      </c>
      <c r="H429" s="12">
        <f t="shared" si="6"/>
        <v>4000</v>
      </c>
      <c r="I429" s="12" t="s">
        <v>10</v>
      </c>
      <c r="J429" s="15"/>
    </row>
    <row r="430" hidden="1" spans="2:10">
      <c r="B430" s="86">
        <v>232400144</v>
      </c>
      <c r="C430" s="9">
        <v>45044</v>
      </c>
      <c r="D430" s="10" t="s">
        <v>32</v>
      </c>
      <c r="E430" s="10">
        <v>300000</v>
      </c>
      <c r="F430" s="10">
        <v>0.02</v>
      </c>
      <c r="G430" s="9">
        <v>45102</v>
      </c>
      <c r="H430" s="12">
        <f t="shared" si="6"/>
        <v>6000</v>
      </c>
      <c r="I430" s="12" t="s">
        <v>10</v>
      </c>
      <c r="J430" s="15"/>
    </row>
    <row r="431" hidden="1" spans="2:10">
      <c r="B431" s="86">
        <v>232400144</v>
      </c>
      <c r="C431" s="9">
        <v>45044</v>
      </c>
      <c r="D431" s="10" t="s">
        <v>32</v>
      </c>
      <c r="E431" s="10">
        <v>350000</v>
      </c>
      <c r="F431" s="10">
        <v>0.02</v>
      </c>
      <c r="G431" s="9">
        <v>45102</v>
      </c>
      <c r="H431" s="12">
        <f t="shared" si="6"/>
        <v>7000</v>
      </c>
      <c r="I431" s="12" t="s">
        <v>10</v>
      </c>
      <c r="J431" s="15"/>
    </row>
    <row r="432" hidden="1" spans="2:10">
      <c r="B432" s="86">
        <v>232400144</v>
      </c>
      <c r="C432" s="9">
        <v>45044</v>
      </c>
      <c r="D432" s="10" t="s">
        <v>32</v>
      </c>
      <c r="E432" s="10">
        <v>400000</v>
      </c>
      <c r="F432" s="10">
        <v>0.02</v>
      </c>
      <c r="G432" s="9">
        <v>45132</v>
      </c>
      <c r="H432" s="12">
        <f t="shared" si="6"/>
        <v>8000</v>
      </c>
      <c r="I432" s="12" t="s">
        <v>10</v>
      </c>
      <c r="J432" s="15"/>
    </row>
    <row r="433" hidden="1" spans="2:10">
      <c r="B433" s="86">
        <v>232400144</v>
      </c>
      <c r="C433" s="9">
        <v>45044</v>
      </c>
      <c r="D433" s="10" t="s">
        <v>32</v>
      </c>
      <c r="E433" s="10">
        <v>200000</v>
      </c>
      <c r="F433" s="10">
        <v>0.02</v>
      </c>
      <c r="G433" s="9">
        <v>45163</v>
      </c>
      <c r="H433" s="12">
        <f t="shared" si="6"/>
        <v>4000</v>
      </c>
      <c r="I433" s="12" t="s">
        <v>10</v>
      </c>
      <c r="J433" s="15"/>
    </row>
    <row r="434" hidden="1" spans="2:10">
      <c r="B434" s="86">
        <v>232400144</v>
      </c>
      <c r="C434" s="9">
        <v>45044</v>
      </c>
      <c r="D434" s="10" t="s">
        <v>58</v>
      </c>
      <c r="E434" s="10">
        <v>300000</v>
      </c>
      <c r="F434" s="10">
        <v>0.019</v>
      </c>
      <c r="G434" s="9">
        <v>45071</v>
      </c>
      <c r="H434" s="12">
        <f t="shared" si="6"/>
        <v>5700</v>
      </c>
      <c r="I434" s="12" t="s">
        <v>10</v>
      </c>
      <c r="J434" s="15"/>
    </row>
    <row r="435" hidden="1" spans="2:10">
      <c r="B435" s="86">
        <v>232400144</v>
      </c>
      <c r="C435" s="9">
        <v>45044</v>
      </c>
      <c r="D435" s="10" t="s">
        <v>58</v>
      </c>
      <c r="E435" s="10">
        <v>300000</v>
      </c>
      <c r="F435" s="10">
        <v>0.019</v>
      </c>
      <c r="G435" s="9">
        <v>45071</v>
      </c>
      <c r="H435" s="12">
        <f t="shared" si="6"/>
        <v>5700</v>
      </c>
      <c r="I435" s="12" t="s">
        <v>10</v>
      </c>
      <c r="J435" s="15"/>
    </row>
    <row r="436" hidden="1" spans="2:10">
      <c r="B436" s="86">
        <v>232400144</v>
      </c>
      <c r="C436" s="9">
        <v>45044</v>
      </c>
      <c r="D436" s="10" t="s">
        <v>58</v>
      </c>
      <c r="E436" s="10">
        <v>300000</v>
      </c>
      <c r="F436" s="10">
        <v>0.019</v>
      </c>
      <c r="G436" s="9">
        <v>45102</v>
      </c>
      <c r="H436" s="12">
        <f t="shared" si="6"/>
        <v>5700</v>
      </c>
      <c r="I436" s="12" t="s">
        <v>10</v>
      </c>
      <c r="J436" s="15"/>
    </row>
    <row r="437" hidden="1" spans="2:10">
      <c r="B437" s="86">
        <v>232400144</v>
      </c>
      <c r="C437" s="9">
        <v>45044</v>
      </c>
      <c r="D437" s="10" t="s">
        <v>58</v>
      </c>
      <c r="E437" s="10">
        <v>300000</v>
      </c>
      <c r="F437" s="10">
        <v>0.019</v>
      </c>
      <c r="G437" s="9">
        <v>45102</v>
      </c>
      <c r="H437" s="12">
        <f t="shared" si="6"/>
        <v>5700</v>
      </c>
      <c r="I437" s="12" t="s">
        <v>10</v>
      </c>
      <c r="J437" s="15"/>
    </row>
    <row r="438" hidden="1" spans="2:10">
      <c r="B438" s="86">
        <v>232400144</v>
      </c>
      <c r="C438" s="9">
        <v>45044</v>
      </c>
      <c r="D438" s="10" t="s">
        <v>58</v>
      </c>
      <c r="E438" s="10">
        <v>200000</v>
      </c>
      <c r="F438" s="10">
        <v>0.019</v>
      </c>
      <c r="G438" s="9">
        <v>45132</v>
      </c>
      <c r="H438" s="12">
        <f t="shared" si="6"/>
        <v>3800</v>
      </c>
      <c r="I438" s="12" t="s">
        <v>10</v>
      </c>
      <c r="J438" s="15"/>
    </row>
    <row r="439" hidden="1" spans="2:10">
      <c r="B439" s="86">
        <v>232400144</v>
      </c>
      <c r="C439" s="9">
        <v>45044</v>
      </c>
      <c r="D439" s="10" t="s">
        <v>33</v>
      </c>
      <c r="E439" s="10">
        <v>600000</v>
      </c>
      <c r="F439" s="132">
        <v>0.02</v>
      </c>
      <c r="G439" s="9">
        <v>45102</v>
      </c>
      <c r="H439" s="12">
        <f t="shared" si="6"/>
        <v>12000</v>
      </c>
      <c r="I439" s="12" t="s">
        <v>10</v>
      </c>
      <c r="J439" s="15"/>
    </row>
    <row r="440" hidden="1" spans="2:10">
      <c r="B440" s="86">
        <v>232400144</v>
      </c>
      <c r="C440" s="9">
        <v>45044</v>
      </c>
      <c r="D440" s="10" t="s">
        <v>33</v>
      </c>
      <c r="E440" s="10">
        <v>600000</v>
      </c>
      <c r="F440" s="132">
        <v>0.02</v>
      </c>
      <c r="G440" s="9">
        <v>45132</v>
      </c>
      <c r="H440" s="12">
        <f t="shared" si="6"/>
        <v>12000</v>
      </c>
      <c r="I440" s="12" t="s">
        <v>10</v>
      </c>
      <c r="J440" s="15"/>
    </row>
    <row r="441" hidden="1" spans="2:10">
      <c r="B441" s="127">
        <v>232400145</v>
      </c>
      <c r="C441" s="54">
        <v>45044</v>
      </c>
      <c r="D441" s="93" t="s">
        <v>207</v>
      </c>
      <c r="E441" s="56">
        <v>50000</v>
      </c>
      <c r="F441" s="56">
        <v>0.03</v>
      </c>
      <c r="G441" s="54">
        <v>45097</v>
      </c>
      <c r="H441" s="58">
        <f t="shared" si="6"/>
        <v>1500</v>
      </c>
      <c r="I441" s="56" t="s">
        <v>278</v>
      </c>
      <c r="J441" s="15" t="s">
        <v>279</v>
      </c>
    </row>
    <row r="442" hidden="1" spans="2:10">
      <c r="B442" s="127">
        <v>232400145</v>
      </c>
      <c r="C442" s="54">
        <v>45044</v>
      </c>
      <c r="D442" s="93" t="s">
        <v>207</v>
      </c>
      <c r="E442" s="56">
        <v>50000</v>
      </c>
      <c r="F442" s="56">
        <v>0.03</v>
      </c>
      <c r="G442" s="54">
        <v>45127</v>
      </c>
      <c r="H442" s="58">
        <f t="shared" si="6"/>
        <v>1500</v>
      </c>
      <c r="I442" s="56" t="s">
        <v>278</v>
      </c>
      <c r="J442" s="15"/>
    </row>
    <row r="443" hidden="1" spans="2:10">
      <c r="B443" s="86">
        <v>232400145</v>
      </c>
      <c r="C443" s="9">
        <v>45044</v>
      </c>
      <c r="D443" s="10" t="s">
        <v>58</v>
      </c>
      <c r="E443" s="10">
        <v>20000</v>
      </c>
      <c r="F443" s="10">
        <v>0.019</v>
      </c>
      <c r="G443" s="9">
        <v>45066</v>
      </c>
      <c r="H443" s="12">
        <f t="shared" si="6"/>
        <v>380</v>
      </c>
      <c r="I443" s="12" t="s">
        <v>10</v>
      </c>
      <c r="J443" s="15"/>
    </row>
    <row r="444" hidden="1" spans="2:10">
      <c r="B444" s="86">
        <v>232400145</v>
      </c>
      <c r="C444" s="9">
        <v>45044</v>
      </c>
      <c r="D444" s="10" t="s">
        <v>58</v>
      </c>
      <c r="E444" s="10">
        <v>20000</v>
      </c>
      <c r="F444" s="10">
        <v>0.019</v>
      </c>
      <c r="G444" s="9">
        <v>45097</v>
      </c>
      <c r="H444" s="12">
        <f t="shared" si="6"/>
        <v>380</v>
      </c>
      <c r="I444" s="12" t="s">
        <v>10</v>
      </c>
      <c r="J444" s="15"/>
    </row>
    <row r="445" hidden="1" spans="2:10">
      <c r="B445" s="86">
        <v>232400145</v>
      </c>
      <c r="C445" s="9">
        <v>45044</v>
      </c>
      <c r="D445" s="10" t="s">
        <v>33</v>
      </c>
      <c r="E445" s="10">
        <v>100000</v>
      </c>
      <c r="F445" s="10">
        <v>0.02</v>
      </c>
      <c r="G445" s="9">
        <v>45097</v>
      </c>
      <c r="H445" s="12">
        <f t="shared" si="6"/>
        <v>2000</v>
      </c>
      <c r="I445" s="12" t="s">
        <v>10</v>
      </c>
      <c r="J445" s="15"/>
    </row>
    <row r="446" hidden="1" spans="2:10">
      <c r="B446" s="86">
        <v>232400145</v>
      </c>
      <c r="C446" s="9">
        <v>45044</v>
      </c>
      <c r="D446" s="10" t="s">
        <v>33</v>
      </c>
      <c r="E446" s="10">
        <v>100000</v>
      </c>
      <c r="F446" s="10">
        <v>0.02</v>
      </c>
      <c r="G446" s="9">
        <v>45097</v>
      </c>
      <c r="H446" s="12">
        <f t="shared" si="6"/>
        <v>2000</v>
      </c>
      <c r="I446" s="12" t="s">
        <v>10</v>
      </c>
      <c r="J446" s="15"/>
    </row>
    <row r="447" hidden="1" spans="2:10">
      <c r="B447" s="86">
        <v>232400145</v>
      </c>
      <c r="C447" s="9">
        <v>45044</v>
      </c>
      <c r="D447" s="10" t="s">
        <v>33</v>
      </c>
      <c r="E447" s="10">
        <v>100000</v>
      </c>
      <c r="F447" s="10">
        <v>0.02</v>
      </c>
      <c r="G447" s="9">
        <v>45127</v>
      </c>
      <c r="H447" s="12">
        <f t="shared" si="6"/>
        <v>2000</v>
      </c>
      <c r="I447" s="12" t="s">
        <v>10</v>
      </c>
      <c r="J447" s="15"/>
    </row>
    <row r="448" hidden="1" spans="2:10">
      <c r="B448" s="86">
        <v>232400146</v>
      </c>
      <c r="C448" s="9">
        <v>45044</v>
      </c>
      <c r="D448" s="87" t="s">
        <v>215</v>
      </c>
      <c r="E448" s="10">
        <v>500000</v>
      </c>
      <c r="F448" s="10">
        <v>0.028</v>
      </c>
      <c r="G448" s="9">
        <v>45066</v>
      </c>
      <c r="H448" s="12">
        <f t="shared" si="6"/>
        <v>14000</v>
      </c>
      <c r="I448" s="12" t="s">
        <v>10</v>
      </c>
      <c r="J448" s="15"/>
    </row>
    <row r="449" hidden="1" spans="2:10">
      <c r="B449" s="86">
        <v>232400146</v>
      </c>
      <c r="C449" s="9">
        <v>45044</v>
      </c>
      <c r="D449" s="87" t="s">
        <v>215</v>
      </c>
      <c r="E449" s="10">
        <v>300000</v>
      </c>
      <c r="F449" s="10">
        <v>0.028</v>
      </c>
      <c r="G449" s="9">
        <v>45102</v>
      </c>
      <c r="H449" s="12">
        <f t="shared" si="6"/>
        <v>8400</v>
      </c>
      <c r="I449" s="12" t="s">
        <v>10</v>
      </c>
      <c r="J449" s="15"/>
    </row>
    <row r="450" hidden="1" spans="2:10">
      <c r="B450" s="86">
        <v>232400146</v>
      </c>
      <c r="C450" s="9">
        <v>45044</v>
      </c>
      <c r="D450" s="87" t="s">
        <v>215</v>
      </c>
      <c r="E450" s="10">
        <v>300000</v>
      </c>
      <c r="F450" s="10">
        <v>0.028</v>
      </c>
      <c r="G450" s="9">
        <v>45102</v>
      </c>
      <c r="H450" s="12">
        <f t="shared" ref="H450:H513" si="7">E450*F450</f>
        <v>8400</v>
      </c>
      <c r="I450" s="12" t="s">
        <v>10</v>
      </c>
      <c r="J450" s="15"/>
    </row>
    <row r="451" hidden="1" spans="2:10">
      <c r="B451" s="86">
        <v>232400146</v>
      </c>
      <c r="C451" s="9">
        <v>45044</v>
      </c>
      <c r="D451" s="87" t="s">
        <v>215</v>
      </c>
      <c r="E451" s="10">
        <v>100000</v>
      </c>
      <c r="F451" s="10">
        <v>0.028</v>
      </c>
      <c r="G451" s="9">
        <v>45163</v>
      </c>
      <c r="H451" s="12">
        <f t="shared" si="7"/>
        <v>2800</v>
      </c>
      <c r="I451" s="12" t="s">
        <v>10</v>
      </c>
      <c r="J451" s="15"/>
    </row>
    <row r="452" hidden="1" spans="2:10">
      <c r="B452" s="86">
        <v>232400146</v>
      </c>
      <c r="C452" s="9">
        <v>45044</v>
      </c>
      <c r="D452" s="87" t="s">
        <v>215</v>
      </c>
      <c r="E452" s="10">
        <v>100000</v>
      </c>
      <c r="F452" s="10">
        <v>0.028</v>
      </c>
      <c r="G452" s="9">
        <v>45163</v>
      </c>
      <c r="H452" s="12">
        <f t="shared" si="7"/>
        <v>2800</v>
      </c>
      <c r="I452" s="12" t="s">
        <v>10</v>
      </c>
      <c r="J452" s="15"/>
    </row>
    <row r="453" hidden="1" spans="2:10">
      <c r="B453" s="86">
        <v>232400146</v>
      </c>
      <c r="C453" s="9">
        <v>45044</v>
      </c>
      <c r="D453" s="87" t="s">
        <v>215</v>
      </c>
      <c r="E453" s="10">
        <v>100000</v>
      </c>
      <c r="F453" s="10">
        <v>0.028</v>
      </c>
      <c r="G453" s="9">
        <v>45163</v>
      </c>
      <c r="H453" s="12">
        <f t="shared" si="7"/>
        <v>2800</v>
      </c>
      <c r="I453" s="12" t="s">
        <v>10</v>
      </c>
      <c r="J453" s="15"/>
    </row>
    <row r="454" hidden="1" spans="2:10">
      <c r="B454" s="127">
        <v>232400147</v>
      </c>
      <c r="C454" s="54">
        <v>45044</v>
      </c>
      <c r="D454" s="93" t="s">
        <v>207</v>
      </c>
      <c r="E454" s="56">
        <v>50000</v>
      </c>
      <c r="F454" s="56">
        <v>0.03</v>
      </c>
      <c r="G454" s="54">
        <v>45097</v>
      </c>
      <c r="H454" s="58">
        <f t="shared" si="7"/>
        <v>1500</v>
      </c>
      <c r="I454" s="56" t="s">
        <v>278</v>
      </c>
      <c r="J454" s="15"/>
    </row>
    <row r="455" hidden="1" spans="2:10">
      <c r="B455" s="86">
        <v>232400147</v>
      </c>
      <c r="C455" s="9">
        <v>45044</v>
      </c>
      <c r="D455" s="10" t="s">
        <v>58</v>
      </c>
      <c r="E455" s="10">
        <v>20000</v>
      </c>
      <c r="F455" s="10">
        <v>0.019</v>
      </c>
      <c r="G455" s="9">
        <v>45071</v>
      </c>
      <c r="H455" s="12">
        <f t="shared" si="7"/>
        <v>380</v>
      </c>
      <c r="I455" s="12" t="s">
        <v>10</v>
      </c>
      <c r="J455" s="15"/>
    </row>
    <row r="456" hidden="1" spans="2:10">
      <c r="B456" s="86">
        <v>232400147</v>
      </c>
      <c r="C456" s="9">
        <v>45044</v>
      </c>
      <c r="D456" s="10" t="s">
        <v>58</v>
      </c>
      <c r="E456" s="10">
        <v>20000</v>
      </c>
      <c r="F456" s="10">
        <v>0.019</v>
      </c>
      <c r="G456" s="9">
        <v>45102</v>
      </c>
      <c r="H456" s="12">
        <f t="shared" si="7"/>
        <v>380</v>
      </c>
      <c r="I456" s="12" t="s">
        <v>10</v>
      </c>
      <c r="J456" s="15"/>
    </row>
    <row r="457" hidden="1" spans="2:10">
      <c r="B457" s="86">
        <v>232400148</v>
      </c>
      <c r="C457" s="9">
        <v>45044</v>
      </c>
      <c r="D457" s="10" t="s">
        <v>226</v>
      </c>
      <c r="E457" s="10">
        <v>70000</v>
      </c>
      <c r="F457" s="10">
        <v>0.08</v>
      </c>
      <c r="G457" s="9">
        <v>45071</v>
      </c>
      <c r="H457" s="12">
        <f t="shared" si="7"/>
        <v>5600</v>
      </c>
      <c r="I457" s="12" t="s">
        <v>10</v>
      </c>
      <c r="J457" s="15"/>
    </row>
    <row r="458" hidden="1" spans="2:10">
      <c r="B458" s="86">
        <v>232400148</v>
      </c>
      <c r="C458" s="9">
        <v>45044</v>
      </c>
      <c r="D458" s="10" t="s">
        <v>226</v>
      </c>
      <c r="E458" s="10">
        <v>90000</v>
      </c>
      <c r="F458" s="10">
        <v>0.08</v>
      </c>
      <c r="G458" s="9">
        <v>45102</v>
      </c>
      <c r="H458" s="12">
        <f t="shared" si="7"/>
        <v>7200</v>
      </c>
      <c r="I458" s="12" t="s">
        <v>10</v>
      </c>
      <c r="J458" s="15"/>
    </row>
    <row r="459" hidden="1" spans="2:10">
      <c r="B459" s="86">
        <v>232400148</v>
      </c>
      <c r="C459" s="9">
        <v>45044</v>
      </c>
      <c r="D459" s="10" t="s">
        <v>226</v>
      </c>
      <c r="E459" s="10">
        <v>90000</v>
      </c>
      <c r="F459" s="10">
        <v>0.08</v>
      </c>
      <c r="G459" s="9">
        <v>45102</v>
      </c>
      <c r="H459" s="12">
        <f t="shared" si="7"/>
        <v>7200</v>
      </c>
      <c r="I459" s="12" t="s">
        <v>10</v>
      </c>
      <c r="J459" s="15"/>
    </row>
    <row r="460" hidden="1" spans="2:10">
      <c r="B460" s="86">
        <v>232400149</v>
      </c>
      <c r="C460" s="9">
        <v>45044</v>
      </c>
      <c r="D460" s="10" t="s">
        <v>32</v>
      </c>
      <c r="E460" s="10">
        <v>100000</v>
      </c>
      <c r="F460" s="10">
        <v>0.02</v>
      </c>
      <c r="G460" s="9">
        <v>45102</v>
      </c>
      <c r="H460" s="12">
        <f t="shared" si="7"/>
        <v>2000</v>
      </c>
      <c r="I460" s="12" t="s">
        <v>10</v>
      </c>
      <c r="J460" s="15"/>
    </row>
    <row r="461" hidden="1" spans="2:10">
      <c r="B461" s="86">
        <v>232400149</v>
      </c>
      <c r="C461" s="9">
        <v>45044</v>
      </c>
      <c r="D461" s="10" t="s">
        <v>32</v>
      </c>
      <c r="E461" s="10">
        <v>50000</v>
      </c>
      <c r="F461" s="10">
        <v>0.02</v>
      </c>
      <c r="G461" s="9">
        <v>45102</v>
      </c>
      <c r="H461" s="12">
        <f t="shared" si="7"/>
        <v>1000</v>
      </c>
      <c r="I461" s="12" t="s">
        <v>10</v>
      </c>
      <c r="J461" s="15"/>
    </row>
    <row r="462" hidden="1" spans="2:10">
      <c r="B462" s="86">
        <v>232400149</v>
      </c>
      <c r="C462" s="9">
        <v>45044</v>
      </c>
      <c r="D462" s="10" t="s">
        <v>32</v>
      </c>
      <c r="E462" s="10">
        <v>50000</v>
      </c>
      <c r="F462" s="10">
        <v>0.02</v>
      </c>
      <c r="G462" s="9">
        <v>45132</v>
      </c>
      <c r="H462" s="12">
        <f t="shared" si="7"/>
        <v>1000</v>
      </c>
      <c r="I462" s="12" t="s">
        <v>10</v>
      </c>
      <c r="J462" s="15"/>
    </row>
    <row r="463" hidden="1" spans="2:10">
      <c r="B463" s="86">
        <v>232400149</v>
      </c>
      <c r="C463" s="9">
        <v>45044</v>
      </c>
      <c r="D463" s="10" t="s">
        <v>32</v>
      </c>
      <c r="E463" s="10">
        <v>50000</v>
      </c>
      <c r="F463" s="10">
        <v>0.02</v>
      </c>
      <c r="G463" s="9">
        <v>45163</v>
      </c>
      <c r="H463" s="12">
        <f t="shared" si="7"/>
        <v>1000</v>
      </c>
      <c r="I463" s="12" t="s">
        <v>10</v>
      </c>
      <c r="J463" s="15"/>
    </row>
    <row r="464" hidden="1" spans="2:10">
      <c r="B464" s="127">
        <v>232400149</v>
      </c>
      <c r="C464" s="54">
        <v>45044</v>
      </c>
      <c r="D464" s="93" t="s">
        <v>207</v>
      </c>
      <c r="E464" s="56">
        <v>200000</v>
      </c>
      <c r="F464" s="56">
        <v>0.03</v>
      </c>
      <c r="G464" s="54">
        <v>45097</v>
      </c>
      <c r="H464" s="58">
        <f t="shared" si="7"/>
        <v>6000</v>
      </c>
      <c r="I464" s="56" t="s">
        <v>278</v>
      </c>
      <c r="J464" s="15"/>
    </row>
    <row r="465" hidden="1" spans="2:10">
      <c r="B465" s="127">
        <v>232400149</v>
      </c>
      <c r="C465" s="54">
        <v>45044</v>
      </c>
      <c r="D465" s="93" t="s">
        <v>207</v>
      </c>
      <c r="E465" s="56">
        <v>350000</v>
      </c>
      <c r="F465" s="56">
        <v>0.03</v>
      </c>
      <c r="G465" s="54">
        <v>45127</v>
      </c>
      <c r="H465" s="58">
        <f t="shared" si="7"/>
        <v>10500</v>
      </c>
      <c r="I465" s="56" t="s">
        <v>278</v>
      </c>
      <c r="J465" s="15"/>
    </row>
    <row r="466" hidden="1" spans="2:10">
      <c r="B466" s="127">
        <v>232400149</v>
      </c>
      <c r="C466" s="54">
        <v>45044</v>
      </c>
      <c r="D466" s="93" t="s">
        <v>207</v>
      </c>
      <c r="E466" s="56">
        <v>500000</v>
      </c>
      <c r="F466" s="56">
        <v>0.03</v>
      </c>
      <c r="G466" s="54">
        <v>45158</v>
      </c>
      <c r="H466" s="58">
        <f t="shared" si="7"/>
        <v>15000</v>
      </c>
      <c r="I466" s="56" t="s">
        <v>278</v>
      </c>
      <c r="J466" s="15"/>
    </row>
    <row r="467" hidden="1" spans="2:10">
      <c r="B467" s="86">
        <v>232400150</v>
      </c>
      <c r="C467" s="9">
        <v>45044</v>
      </c>
      <c r="D467" s="10" t="s">
        <v>226</v>
      </c>
      <c r="E467" s="10">
        <v>70000</v>
      </c>
      <c r="F467" s="10">
        <v>0.08</v>
      </c>
      <c r="G467" s="9">
        <v>45071</v>
      </c>
      <c r="H467" s="12">
        <f t="shared" si="7"/>
        <v>5600</v>
      </c>
      <c r="I467" s="12" t="s">
        <v>10</v>
      </c>
      <c r="J467" s="15"/>
    </row>
    <row r="468" hidden="1" spans="2:10">
      <c r="B468" s="86">
        <v>232400151</v>
      </c>
      <c r="C468" s="9">
        <v>45044</v>
      </c>
      <c r="D468" s="87" t="s">
        <v>200</v>
      </c>
      <c r="E468" s="10">
        <v>100000</v>
      </c>
      <c r="F468" s="10">
        <v>0.05</v>
      </c>
      <c r="G468" s="9">
        <v>45097</v>
      </c>
      <c r="H468" s="12">
        <f t="shared" si="7"/>
        <v>5000</v>
      </c>
      <c r="I468" s="12" t="s">
        <v>10</v>
      </c>
      <c r="J468" s="15"/>
    </row>
    <row r="469" hidden="1" spans="2:10">
      <c r="B469" s="86">
        <v>232400151</v>
      </c>
      <c r="C469" s="9">
        <v>45044</v>
      </c>
      <c r="D469" s="87" t="s">
        <v>200</v>
      </c>
      <c r="E469" s="10">
        <v>100000</v>
      </c>
      <c r="F469" s="10">
        <v>0.05</v>
      </c>
      <c r="G469" s="9">
        <v>45097</v>
      </c>
      <c r="H469" s="12">
        <f t="shared" si="7"/>
        <v>5000</v>
      </c>
      <c r="I469" s="12" t="s">
        <v>10</v>
      </c>
      <c r="J469" s="15"/>
    </row>
    <row r="470" hidden="1" spans="2:10">
      <c r="B470" s="86">
        <v>232400151</v>
      </c>
      <c r="C470" s="9">
        <v>45044</v>
      </c>
      <c r="D470" s="87" t="s">
        <v>200</v>
      </c>
      <c r="E470" s="10">
        <v>100000</v>
      </c>
      <c r="F470" s="10">
        <v>0.05</v>
      </c>
      <c r="G470" s="9">
        <v>45127</v>
      </c>
      <c r="H470" s="12">
        <f t="shared" si="7"/>
        <v>5000</v>
      </c>
      <c r="I470" s="12" t="s">
        <v>10</v>
      </c>
      <c r="J470" s="15"/>
    </row>
    <row r="471" hidden="1" spans="2:10">
      <c r="B471" s="86">
        <v>232400151</v>
      </c>
      <c r="C471" s="9">
        <v>45044</v>
      </c>
      <c r="D471" s="87" t="s">
        <v>200</v>
      </c>
      <c r="E471" s="10">
        <v>100000</v>
      </c>
      <c r="F471" s="10">
        <v>0.05</v>
      </c>
      <c r="G471" s="9">
        <v>45127</v>
      </c>
      <c r="H471" s="12">
        <f t="shared" si="7"/>
        <v>5000</v>
      </c>
      <c r="I471" s="12" t="s">
        <v>10</v>
      </c>
      <c r="J471" s="15"/>
    </row>
    <row r="472" hidden="1" spans="2:10">
      <c r="B472" s="86">
        <v>232400152</v>
      </c>
      <c r="C472" s="9">
        <v>45044</v>
      </c>
      <c r="D472" s="87" t="s">
        <v>204</v>
      </c>
      <c r="E472" s="10">
        <v>100000</v>
      </c>
      <c r="F472" s="10">
        <v>0.036</v>
      </c>
      <c r="G472" s="9">
        <v>45087</v>
      </c>
      <c r="H472" s="12">
        <f t="shared" si="7"/>
        <v>3600</v>
      </c>
      <c r="I472" s="12" t="s">
        <v>10</v>
      </c>
      <c r="J472" s="15"/>
    </row>
    <row r="473" hidden="1" spans="2:10">
      <c r="B473" s="86">
        <v>232400152</v>
      </c>
      <c r="C473" s="9">
        <v>45044</v>
      </c>
      <c r="D473" s="87" t="s">
        <v>204</v>
      </c>
      <c r="E473" s="10">
        <v>100000</v>
      </c>
      <c r="F473" s="10">
        <v>0.036</v>
      </c>
      <c r="G473" s="9">
        <v>45117</v>
      </c>
      <c r="H473" s="12">
        <f t="shared" si="7"/>
        <v>3600</v>
      </c>
      <c r="I473" s="12" t="s">
        <v>10</v>
      </c>
      <c r="J473" s="15"/>
    </row>
    <row r="474" hidden="1" spans="2:10">
      <c r="B474" s="86">
        <v>232400152</v>
      </c>
      <c r="C474" s="9">
        <v>45044</v>
      </c>
      <c r="D474" s="87" t="s">
        <v>204</v>
      </c>
      <c r="E474" s="10">
        <v>100000</v>
      </c>
      <c r="F474" s="10">
        <v>0.036</v>
      </c>
      <c r="G474" s="9">
        <v>45117</v>
      </c>
      <c r="H474" s="12">
        <f t="shared" si="7"/>
        <v>3600</v>
      </c>
      <c r="I474" s="12" t="s">
        <v>10</v>
      </c>
      <c r="J474" s="15"/>
    </row>
    <row r="475" hidden="1" spans="2:10">
      <c r="B475" s="86">
        <v>232400152</v>
      </c>
      <c r="C475" s="9">
        <v>45044</v>
      </c>
      <c r="D475" s="87" t="s">
        <v>204</v>
      </c>
      <c r="E475" s="10">
        <v>100000</v>
      </c>
      <c r="F475" s="10">
        <v>0.036</v>
      </c>
      <c r="G475" s="9">
        <v>45158</v>
      </c>
      <c r="H475" s="12">
        <f t="shared" si="7"/>
        <v>3600</v>
      </c>
      <c r="I475" s="12" t="s">
        <v>10</v>
      </c>
      <c r="J475" s="15"/>
    </row>
    <row r="476" hidden="1" spans="2:10">
      <c r="B476" s="86">
        <v>232400152</v>
      </c>
      <c r="C476" s="9">
        <v>45044</v>
      </c>
      <c r="D476" s="87" t="s">
        <v>204</v>
      </c>
      <c r="E476" s="10">
        <v>100000</v>
      </c>
      <c r="F476" s="10">
        <v>0.036</v>
      </c>
      <c r="G476" s="9">
        <v>45158</v>
      </c>
      <c r="H476" s="12">
        <f t="shared" si="7"/>
        <v>3600</v>
      </c>
      <c r="I476" s="12" t="s">
        <v>10</v>
      </c>
      <c r="J476" s="15"/>
    </row>
    <row r="477" hidden="1" spans="2:10">
      <c r="B477" s="86">
        <v>232400152</v>
      </c>
      <c r="C477" s="9">
        <v>45044</v>
      </c>
      <c r="D477" s="87" t="s">
        <v>204</v>
      </c>
      <c r="E477" s="10">
        <v>100000</v>
      </c>
      <c r="F477" s="10">
        <v>0.036</v>
      </c>
      <c r="G477" s="9">
        <v>45189</v>
      </c>
      <c r="H477" s="12">
        <f t="shared" si="7"/>
        <v>3600</v>
      </c>
      <c r="I477" s="12" t="s">
        <v>10</v>
      </c>
      <c r="J477" s="15"/>
    </row>
    <row r="478" hidden="1" spans="2:10">
      <c r="B478" s="86">
        <v>232400152</v>
      </c>
      <c r="C478" s="9">
        <v>45044</v>
      </c>
      <c r="D478" s="87" t="s">
        <v>204</v>
      </c>
      <c r="E478" s="10">
        <v>100000</v>
      </c>
      <c r="F478" s="10">
        <v>0.036</v>
      </c>
      <c r="G478" s="9">
        <v>45189</v>
      </c>
      <c r="H478" s="12">
        <f t="shared" si="7"/>
        <v>3600</v>
      </c>
      <c r="I478" s="12" t="s">
        <v>10</v>
      </c>
      <c r="J478" s="15"/>
    </row>
    <row r="479" hidden="1" spans="2:10">
      <c r="B479" s="86">
        <v>232400152</v>
      </c>
      <c r="C479" s="9">
        <v>45044</v>
      </c>
      <c r="D479" s="10" t="s">
        <v>32</v>
      </c>
      <c r="E479" s="10">
        <v>300000</v>
      </c>
      <c r="F479" s="10">
        <v>0.02</v>
      </c>
      <c r="G479" s="9">
        <v>45097</v>
      </c>
      <c r="H479" s="12">
        <f t="shared" si="7"/>
        <v>6000</v>
      </c>
      <c r="I479" s="12" t="s">
        <v>10</v>
      </c>
      <c r="J479" s="15"/>
    </row>
    <row r="480" hidden="1" spans="2:10">
      <c r="B480" s="86">
        <v>232400152</v>
      </c>
      <c r="C480" s="9">
        <v>45044</v>
      </c>
      <c r="D480" s="10" t="s">
        <v>32</v>
      </c>
      <c r="E480" s="10">
        <v>100000</v>
      </c>
      <c r="F480" s="10">
        <v>0.02</v>
      </c>
      <c r="G480" s="9">
        <v>45102</v>
      </c>
      <c r="H480" s="12">
        <f t="shared" si="7"/>
        <v>2000</v>
      </c>
      <c r="I480" s="12" t="s">
        <v>10</v>
      </c>
      <c r="J480" s="15"/>
    </row>
    <row r="481" hidden="1" spans="2:10">
      <c r="B481" s="86">
        <v>232400152</v>
      </c>
      <c r="C481" s="9">
        <v>45044</v>
      </c>
      <c r="D481" s="10" t="s">
        <v>32</v>
      </c>
      <c r="E481" s="10">
        <v>100000</v>
      </c>
      <c r="F481" s="10">
        <v>0.02</v>
      </c>
      <c r="G481" s="9">
        <v>45102</v>
      </c>
      <c r="H481" s="12">
        <f t="shared" si="7"/>
        <v>2000</v>
      </c>
      <c r="I481" s="12" t="s">
        <v>10</v>
      </c>
      <c r="J481" s="15"/>
    </row>
    <row r="482" hidden="1" spans="2:10">
      <c r="B482" s="86">
        <v>232400152</v>
      </c>
      <c r="C482" s="9">
        <v>45044</v>
      </c>
      <c r="D482" s="10" t="s">
        <v>32</v>
      </c>
      <c r="E482" s="10">
        <v>50000</v>
      </c>
      <c r="F482" s="10">
        <v>0.02</v>
      </c>
      <c r="G482" s="9">
        <v>45127</v>
      </c>
      <c r="H482" s="12">
        <f t="shared" si="7"/>
        <v>1000</v>
      </c>
      <c r="I482" s="12" t="s">
        <v>10</v>
      </c>
      <c r="J482" s="15"/>
    </row>
    <row r="483" hidden="1" spans="2:10">
      <c r="B483" s="86">
        <v>232400152</v>
      </c>
      <c r="C483" s="9">
        <v>45044</v>
      </c>
      <c r="D483" s="10" t="s">
        <v>32</v>
      </c>
      <c r="E483" s="10">
        <v>50000</v>
      </c>
      <c r="F483" s="10">
        <v>0.02</v>
      </c>
      <c r="G483" s="9">
        <v>45158</v>
      </c>
      <c r="H483" s="12">
        <f t="shared" si="7"/>
        <v>1000</v>
      </c>
      <c r="I483" s="12" t="s">
        <v>10</v>
      </c>
      <c r="J483" s="15"/>
    </row>
    <row r="484" hidden="1" spans="2:10">
      <c r="B484" s="127">
        <v>232400152</v>
      </c>
      <c r="C484" s="54">
        <v>45044</v>
      </c>
      <c r="D484" s="93" t="s">
        <v>207</v>
      </c>
      <c r="E484" s="56">
        <v>100000</v>
      </c>
      <c r="F484" s="56">
        <v>0.03</v>
      </c>
      <c r="G484" s="54">
        <v>45097</v>
      </c>
      <c r="H484" s="58">
        <f t="shared" si="7"/>
        <v>3000</v>
      </c>
      <c r="I484" s="56" t="s">
        <v>278</v>
      </c>
      <c r="J484" s="15"/>
    </row>
    <row r="485" hidden="1" spans="2:10">
      <c r="B485" s="86">
        <v>232400152</v>
      </c>
      <c r="C485" s="9">
        <v>45044</v>
      </c>
      <c r="D485" s="10" t="s">
        <v>58</v>
      </c>
      <c r="E485" s="10">
        <v>160000</v>
      </c>
      <c r="F485" s="10">
        <v>0.019</v>
      </c>
      <c r="G485" s="9">
        <v>45071</v>
      </c>
      <c r="H485" s="12">
        <f t="shared" si="7"/>
        <v>3040</v>
      </c>
      <c r="I485" s="12" t="s">
        <v>10</v>
      </c>
      <c r="J485" s="15"/>
    </row>
    <row r="486" hidden="1" spans="2:10">
      <c r="B486" s="86">
        <v>232400152</v>
      </c>
      <c r="C486" s="9">
        <v>45044</v>
      </c>
      <c r="D486" s="10" t="s">
        <v>58</v>
      </c>
      <c r="E486" s="10">
        <v>160000</v>
      </c>
      <c r="F486" s="10">
        <v>0.019</v>
      </c>
      <c r="G486" s="9">
        <v>45102</v>
      </c>
      <c r="H486" s="12">
        <f t="shared" si="7"/>
        <v>3040</v>
      </c>
      <c r="I486" s="12" t="s">
        <v>10</v>
      </c>
      <c r="J486" s="15"/>
    </row>
    <row r="487" hidden="1" spans="2:10">
      <c r="B487" s="86">
        <v>232400152</v>
      </c>
      <c r="C487" s="9">
        <v>45044</v>
      </c>
      <c r="D487" s="10" t="s">
        <v>33</v>
      </c>
      <c r="E487" s="10">
        <v>100000</v>
      </c>
      <c r="F487" s="10">
        <v>0.02</v>
      </c>
      <c r="G487" s="9">
        <v>45087</v>
      </c>
      <c r="H487" s="12">
        <f t="shared" si="7"/>
        <v>2000</v>
      </c>
      <c r="I487" s="12" t="s">
        <v>10</v>
      </c>
      <c r="J487" s="15"/>
    </row>
    <row r="488" hidden="1" spans="2:10">
      <c r="B488" s="86">
        <v>232400152</v>
      </c>
      <c r="C488" s="9">
        <v>45044</v>
      </c>
      <c r="D488" s="10" t="s">
        <v>33</v>
      </c>
      <c r="E488" s="10">
        <v>100000</v>
      </c>
      <c r="F488" s="10">
        <v>0.02</v>
      </c>
      <c r="G488" s="9">
        <v>45097</v>
      </c>
      <c r="H488" s="12">
        <f t="shared" si="7"/>
        <v>2000</v>
      </c>
      <c r="I488" s="12" t="s">
        <v>10</v>
      </c>
      <c r="J488" s="15"/>
    </row>
    <row r="489" hidden="1" spans="2:10">
      <c r="B489" s="86">
        <v>232400152</v>
      </c>
      <c r="C489" s="9">
        <v>45044</v>
      </c>
      <c r="D489" s="10" t="s">
        <v>33</v>
      </c>
      <c r="E489" s="10">
        <v>100000</v>
      </c>
      <c r="F489" s="10">
        <v>0.02</v>
      </c>
      <c r="G489" s="9">
        <v>45127</v>
      </c>
      <c r="H489" s="12">
        <f t="shared" si="7"/>
        <v>2000</v>
      </c>
      <c r="I489" s="12" t="s">
        <v>10</v>
      </c>
      <c r="J489" s="15"/>
    </row>
    <row r="490" hidden="1" spans="2:10">
      <c r="B490" s="86">
        <v>232400154</v>
      </c>
      <c r="C490" s="9">
        <v>45045</v>
      </c>
      <c r="D490" s="87" t="s">
        <v>210</v>
      </c>
      <c r="E490" s="10">
        <v>48000</v>
      </c>
      <c r="F490" s="10">
        <v>0.028</v>
      </c>
      <c r="G490" s="9">
        <v>45102</v>
      </c>
      <c r="H490" s="12">
        <f t="shared" si="7"/>
        <v>1344</v>
      </c>
      <c r="I490" s="12" t="s">
        <v>10</v>
      </c>
      <c r="J490" s="15"/>
    </row>
    <row r="491" hidden="1" spans="2:10">
      <c r="B491" s="86">
        <v>232400154</v>
      </c>
      <c r="C491" s="9">
        <v>45045</v>
      </c>
      <c r="D491" s="87" t="s">
        <v>210</v>
      </c>
      <c r="E491" s="10">
        <v>48000</v>
      </c>
      <c r="F491" s="10">
        <v>0.028</v>
      </c>
      <c r="G491" s="9">
        <v>45132</v>
      </c>
      <c r="H491" s="12">
        <f t="shared" si="7"/>
        <v>1344</v>
      </c>
      <c r="I491" s="12" t="s">
        <v>10</v>
      </c>
      <c r="J491" s="15"/>
    </row>
    <row r="492" hidden="1" spans="2:10">
      <c r="B492" s="86">
        <v>232400154</v>
      </c>
      <c r="C492" s="9">
        <v>45045</v>
      </c>
      <c r="D492" s="87" t="s">
        <v>257</v>
      </c>
      <c r="E492" s="10">
        <v>152000</v>
      </c>
      <c r="F492" s="10">
        <v>0.01</v>
      </c>
      <c r="G492" s="9">
        <v>45132</v>
      </c>
      <c r="H492" s="12">
        <f t="shared" si="7"/>
        <v>1520</v>
      </c>
      <c r="I492" s="12" t="s">
        <v>10</v>
      </c>
      <c r="J492" s="15"/>
    </row>
    <row r="493" hidden="1" spans="2:10">
      <c r="B493" s="86">
        <v>232400154</v>
      </c>
      <c r="C493" s="9">
        <v>45045</v>
      </c>
      <c r="D493" s="87" t="s">
        <v>257</v>
      </c>
      <c r="E493" s="10">
        <v>152000</v>
      </c>
      <c r="F493" s="10">
        <v>0.01</v>
      </c>
      <c r="G493" s="9">
        <v>45163</v>
      </c>
      <c r="H493" s="12">
        <f t="shared" si="7"/>
        <v>1520</v>
      </c>
      <c r="I493" s="12" t="s">
        <v>10</v>
      </c>
      <c r="J493" s="15"/>
    </row>
    <row r="494" hidden="1" spans="2:10">
      <c r="B494" s="86">
        <v>232400154</v>
      </c>
      <c r="C494" s="9">
        <v>45045</v>
      </c>
      <c r="D494" s="87" t="s">
        <v>243</v>
      </c>
      <c r="E494" s="10">
        <v>64000</v>
      </c>
      <c r="F494" s="10">
        <v>0.022</v>
      </c>
      <c r="G494" s="9">
        <v>45127</v>
      </c>
      <c r="H494" s="12">
        <f t="shared" si="7"/>
        <v>1408</v>
      </c>
      <c r="I494" s="12" t="s">
        <v>10</v>
      </c>
      <c r="J494" s="15"/>
    </row>
    <row r="495" hidden="1" spans="2:10">
      <c r="B495" s="86">
        <v>232400155</v>
      </c>
      <c r="C495" s="9">
        <v>45045</v>
      </c>
      <c r="D495" s="10" t="s">
        <v>182</v>
      </c>
      <c r="E495" s="10">
        <v>100000</v>
      </c>
      <c r="F495" s="10">
        <v>0.025</v>
      </c>
      <c r="G495" s="9">
        <v>45097</v>
      </c>
      <c r="H495" s="12">
        <f t="shared" si="7"/>
        <v>2500</v>
      </c>
      <c r="I495" s="12" t="s">
        <v>10</v>
      </c>
      <c r="J495" s="15"/>
    </row>
    <row r="496" hidden="1" spans="2:10">
      <c r="B496" s="86">
        <v>232400155</v>
      </c>
      <c r="C496" s="9">
        <v>45045</v>
      </c>
      <c r="D496" s="10" t="s">
        <v>182</v>
      </c>
      <c r="E496" s="10">
        <v>100000</v>
      </c>
      <c r="F496" s="10">
        <v>0.025</v>
      </c>
      <c r="G496" s="9">
        <v>45127</v>
      </c>
      <c r="H496" s="12">
        <f t="shared" si="7"/>
        <v>2500</v>
      </c>
      <c r="I496" s="12" t="s">
        <v>10</v>
      </c>
      <c r="J496" s="15"/>
    </row>
    <row r="497" hidden="1" spans="2:10">
      <c r="B497" s="86">
        <v>232400156</v>
      </c>
      <c r="C497" s="9">
        <v>45045</v>
      </c>
      <c r="D497" s="87" t="s">
        <v>243</v>
      </c>
      <c r="E497" s="88">
        <v>96000</v>
      </c>
      <c r="F497" s="10">
        <v>0.022</v>
      </c>
      <c r="G497" s="9">
        <v>45127</v>
      </c>
      <c r="H497" s="12">
        <f t="shared" si="7"/>
        <v>2112</v>
      </c>
      <c r="I497" s="12" t="s">
        <v>10</v>
      </c>
      <c r="J497" s="15"/>
    </row>
    <row r="498" hidden="1" spans="2:10">
      <c r="B498" s="86">
        <v>232400156</v>
      </c>
      <c r="C498" s="9">
        <v>45045</v>
      </c>
      <c r="D498" s="87" t="s">
        <v>216</v>
      </c>
      <c r="E498" s="10">
        <v>80000</v>
      </c>
      <c r="F498" s="10">
        <v>0.045</v>
      </c>
      <c r="G498" s="9">
        <v>45102</v>
      </c>
      <c r="H498" s="12">
        <f t="shared" si="7"/>
        <v>3600</v>
      </c>
      <c r="I498" s="12" t="s">
        <v>10</v>
      </c>
      <c r="J498" s="15"/>
    </row>
    <row r="499" hidden="1" spans="2:10">
      <c r="B499" s="86">
        <v>232400156</v>
      </c>
      <c r="C499" s="9">
        <v>45045</v>
      </c>
      <c r="D499" s="87" t="s">
        <v>216</v>
      </c>
      <c r="E499" s="10">
        <v>80000</v>
      </c>
      <c r="F499" s="10">
        <v>0.045</v>
      </c>
      <c r="G499" s="9">
        <v>45132</v>
      </c>
      <c r="H499" s="12">
        <f t="shared" si="7"/>
        <v>3600</v>
      </c>
      <c r="I499" s="12" t="s">
        <v>10</v>
      </c>
      <c r="J499" s="15"/>
    </row>
    <row r="500" hidden="1" spans="2:10">
      <c r="B500" s="86">
        <v>232400156</v>
      </c>
      <c r="C500" s="9">
        <v>45045</v>
      </c>
      <c r="D500" s="87" t="s">
        <v>216</v>
      </c>
      <c r="E500" s="10">
        <v>80000</v>
      </c>
      <c r="F500" s="10">
        <v>0.045</v>
      </c>
      <c r="G500" s="9">
        <v>45163</v>
      </c>
      <c r="H500" s="12">
        <f t="shared" si="7"/>
        <v>3600</v>
      </c>
      <c r="I500" s="12" t="s">
        <v>10</v>
      </c>
      <c r="J500" s="15"/>
    </row>
    <row r="501" hidden="1" spans="2:10">
      <c r="B501" s="86">
        <v>232400157</v>
      </c>
      <c r="C501" s="9">
        <v>45045</v>
      </c>
      <c r="D501" s="10" t="s">
        <v>100</v>
      </c>
      <c r="E501" s="10">
        <v>30000</v>
      </c>
      <c r="F501" s="10">
        <v>0.03</v>
      </c>
      <c r="G501" s="9">
        <v>45102</v>
      </c>
      <c r="H501" s="12">
        <f t="shared" si="7"/>
        <v>900</v>
      </c>
      <c r="I501" s="12" t="s">
        <v>10</v>
      </c>
      <c r="J501" s="15"/>
    </row>
    <row r="502" hidden="1" spans="2:10">
      <c r="B502" s="86">
        <v>232400157</v>
      </c>
      <c r="C502" s="9">
        <v>45045</v>
      </c>
      <c r="D502" s="10" t="s">
        <v>100</v>
      </c>
      <c r="E502" s="10">
        <v>30000</v>
      </c>
      <c r="F502" s="10">
        <v>0.03</v>
      </c>
      <c r="G502" s="9">
        <v>45127</v>
      </c>
      <c r="H502" s="12">
        <f t="shared" si="7"/>
        <v>900</v>
      </c>
      <c r="I502" s="12" t="s">
        <v>10</v>
      </c>
      <c r="J502" s="15"/>
    </row>
    <row r="503" hidden="1" spans="2:10">
      <c r="B503" s="86">
        <v>232400157</v>
      </c>
      <c r="C503" s="9">
        <v>45045</v>
      </c>
      <c r="D503" s="10" t="s">
        <v>100</v>
      </c>
      <c r="E503" s="10">
        <v>40000</v>
      </c>
      <c r="F503" s="10">
        <v>0.03</v>
      </c>
      <c r="G503" s="9">
        <v>45163</v>
      </c>
      <c r="H503" s="12">
        <f t="shared" si="7"/>
        <v>1200</v>
      </c>
      <c r="I503" s="12" t="s">
        <v>10</v>
      </c>
      <c r="J503" s="15"/>
    </row>
    <row r="504" hidden="1" spans="2:10">
      <c r="B504" s="86">
        <v>232400158</v>
      </c>
      <c r="C504" s="9">
        <v>45045</v>
      </c>
      <c r="D504" s="10" t="s">
        <v>100</v>
      </c>
      <c r="E504" s="10">
        <v>30000</v>
      </c>
      <c r="F504" s="10">
        <v>0.03</v>
      </c>
      <c r="G504" s="9">
        <v>45102</v>
      </c>
      <c r="H504" s="12">
        <f t="shared" si="7"/>
        <v>900</v>
      </c>
      <c r="I504" s="12" t="s">
        <v>10</v>
      </c>
      <c r="J504" s="15"/>
    </row>
    <row r="505" hidden="1" spans="2:10">
      <c r="B505" s="86">
        <v>232400158</v>
      </c>
      <c r="C505" s="9">
        <v>45045</v>
      </c>
      <c r="D505" s="10" t="s">
        <v>100</v>
      </c>
      <c r="E505" s="10">
        <v>30000</v>
      </c>
      <c r="F505" s="10">
        <v>0.03</v>
      </c>
      <c r="G505" s="9">
        <v>45127</v>
      </c>
      <c r="H505" s="12">
        <f t="shared" si="7"/>
        <v>900</v>
      </c>
      <c r="I505" s="12" t="s">
        <v>10</v>
      </c>
      <c r="J505" s="15"/>
    </row>
    <row r="506" hidden="1" spans="2:10">
      <c r="B506" s="86">
        <v>232400158</v>
      </c>
      <c r="C506" s="9">
        <v>45045</v>
      </c>
      <c r="D506" s="10" t="s">
        <v>100</v>
      </c>
      <c r="E506" s="10">
        <v>40000</v>
      </c>
      <c r="F506" s="10">
        <v>0.03</v>
      </c>
      <c r="G506" s="9">
        <v>45163</v>
      </c>
      <c r="H506" s="12">
        <f t="shared" si="7"/>
        <v>1200</v>
      </c>
      <c r="I506" s="12" t="s">
        <v>10</v>
      </c>
      <c r="J506" s="15"/>
    </row>
    <row r="507" hidden="1" spans="2:10">
      <c r="B507" s="86">
        <v>232400159</v>
      </c>
      <c r="C507" s="9">
        <v>45045</v>
      </c>
      <c r="D507" s="87" t="s">
        <v>259</v>
      </c>
      <c r="E507" s="10">
        <v>120000</v>
      </c>
      <c r="F507" s="10">
        <v>0.028</v>
      </c>
      <c r="G507" s="9">
        <v>45132</v>
      </c>
      <c r="H507" s="12">
        <f t="shared" si="7"/>
        <v>3360</v>
      </c>
      <c r="I507" s="12" t="s">
        <v>10</v>
      </c>
      <c r="J507" s="15"/>
    </row>
    <row r="508" hidden="1" spans="2:10">
      <c r="B508" s="86">
        <v>232400159</v>
      </c>
      <c r="C508" s="9">
        <v>45045</v>
      </c>
      <c r="D508" s="87" t="s">
        <v>256</v>
      </c>
      <c r="E508" s="10">
        <v>50000</v>
      </c>
      <c r="F508" s="10">
        <v>0.0292</v>
      </c>
      <c r="G508" s="9">
        <v>45127</v>
      </c>
      <c r="H508" s="12">
        <f t="shared" si="7"/>
        <v>1460</v>
      </c>
      <c r="I508" s="12" t="s">
        <v>10</v>
      </c>
      <c r="J508" s="15"/>
    </row>
    <row r="509" hidden="1" spans="2:10">
      <c r="B509" s="86">
        <v>232400159</v>
      </c>
      <c r="C509" s="9">
        <v>45045</v>
      </c>
      <c r="D509" s="87" t="s">
        <v>231</v>
      </c>
      <c r="E509" s="10">
        <v>150000</v>
      </c>
      <c r="F509" s="10">
        <v>0.0083</v>
      </c>
      <c r="G509" s="9">
        <v>45097</v>
      </c>
      <c r="H509" s="12">
        <f t="shared" si="7"/>
        <v>1245</v>
      </c>
      <c r="I509" s="12" t="s">
        <v>10</v>
      </c>
      <c r="J509" s="15"/>
    </row>
    <row r="510" hidden="1" spans="2:10">
      <c r="B510" s="86">
        <v>232400159</v>
      </c>
      <c r="C510" s="9">
        <v>45045</v>
      </c>
      <c r="D510" s="87" t="s">
        <v>231</v>
      </c>
      <c r="E510" s="10">
        <v>102000</v>
      </c>
      <c r="F510" s="10">
        <v>0.0083</v>
      </c>
      <c r="G510" s="9">
        <v>45127</v>
      </c>
      <c r="H510" s="12">
        <f t="shared" si="7"/>
        <v>846.6</v>
      </c>
      <c r="I510" s="12" t="s">
        <v>10</v>
      </c>
      <c r="J510" s="15"/>
    </row>
    <row r="511" hidden="1" spans="2:10">
      <c r="B511" s="86">
        <v>232400159</v>
      </c>
      <c r="C511" s="9">
        <v>45045</v>
      </c>
      <c r="D511" s="87" t="s">
        <v>231</v>
      </c>
      <c r="E511" s="10">
        <v>102000</v>
      </c>
      <c r="F511" s="10">
        <v>0.0083</v>
      </c>
      <c r="G511" s="9">
        <v>45158</v>
      </c>
      <c r="H511" s="12">
        <f t="shared" si="7"/>
        <v>846.6</v>
      </c>
      <c r="I511" s="12" t="s">
        <v>10</v>
      </c>
      <c r="J511" s="15"/>
    </row>
    <row r="512" hidden="1" spans="2:10">
      <c r="B512" s="86">
        <v>232400159</v>
      </c>
      <c r="C512" s="9">
        <v>45045</v>
      </c>
      <c r="D512" s="87" t="s">
        <v>275</v>
      </c>
      <c r="E512" s="10">
        <v>102000</v>
      </c>
      <c r="F512" s="10">
        <v>0.0145</v>
      </c>
      <c r="G512" s="9">
        <v>45087</v>
      </c>
      <c r="H512" s="12">
        <f t="shared" si="7"/>
        <v>1479</v>
      </c>
      <c r="I512" s="12" t="s">
        <v>10</v>
      </c>
      <c r="J512" s="15"/>
    </row>
    <row r="513" hidden="1" spans="2:10">
      <c r="B513" s="86">
        <v>232400159</v>
      </c>
      <c r="C513" s="9">
        <v>45045</v>
      </c>
      <c r="D513" s="87" t="s">
        <v>275</v>
      </c>
      <c r="E513" s="10">
        <v>150000</v>
      </c>
      <c r="F513" s="10">
        <v>0.0145</v>
      </c>
      <c r="G513" s="9">
        <v>45097</v>
      </c>
      <c r="H513" s="12">
        <f t="shared" si="7"/>
        <v>2175</v>
      </c>
      <c r="I513" s="12" t="s">
        <v>10</v>
      </c>
      <c r="J513" s="15"/>
    </row>
    <row r="514" hidden="1" spans="2:10">
      <c r="B514" s="86">
        <v>232400160</v>
      </c>
      <c r="C514" s="9">
        <v>45045</v>
      </c>
      <c r="D514" s="10" t="s">
        <v>100</v>
      </c>
      <c r="E514" s="10">
        <v>230000</v>
      </c>
      <c r="F514" s="10">
        <v>0.03</v>
      </c>
      <c r="G514" s="9">
        <v>45102</v>
      </c>
      <c r="H514" s="12">
        <f t="shared" ref="H514:H577" si="8">E514*F514</f>
        <v>6900</v>
      </c>
      <c r="I514" s="12" t="s">
        <v>10</v>
      </c>
      <c r="J514" s="15"/>
    </row>
    <row r="515" hidden="1" spans="2:10">
      <c r="B515" s="86">
        <v>232400160</v>
      </c>
      <c r="C515" s="9">
        <v>45045</v>
      </c>
      <c r="D515" s="10" t="s">
        <v>100</v>
      </c>
      <c r="E515" s="10">
        <v>100000</v>
      </c>
      <c r="F515" s="10">
        <v>0.03</v>
      </c>
      <c r="G515" s="9">
        <v>45127</v>
      </c>
      <c r="H515" s="12">
        <f t="shared" si="8"/>
        <v>3000</v>
      </c>
      <c r="I515" s="12" t="s">
        <v>10</v>
      </c>
      <c r="J515" s="15"/>
    </row>
    <row r="516" hidden="1" spans="2:10">
      <c r="B516" s="86">
        <v>232400160</v>
      </c>
      <c r="C516" s="9">
        <v>45045</v>
      </c>
      <c r="D516" s="10" t="s">
        <v>100</v>
      </c>
      <c r="E516" s="10">
        <v>260000</v>
      </c>
      <c r="F516" s="10">
        <v>0.03</v>
      </c>
      <c r="G516" s="9">
        <v>45163</v>
      </c>
      <c r="H516" s="12">
        <f t="shared" si="8"/>
        <v>7800</v>
      </c>
      <c r="I516" s="12" t="s">
        <v>10</v>
      </c>
      <c r="J516" s="15"/>
    </row>
    <row r="517" hidden="1" spans="2:10">
      <c r="B517" s="86">
        <v>232400160</v>
      </c>
      <c r="C517" s="9">
        <v>45045</v>
      </c>
      <c r="D517" s="10" t="s">
        <v>119</v>
      </c>
      <c r="E517" s="10">
        <v>50000</v>
      </c>
      <c r="F517" s="10">
        <v>0.07</v>
      </c>
      <c r="G517" s="9">
        <v>45132</v>
      </c>
      <c r="H517" s="12">
        <f t="shared" si="8"/>
        <v>3500</v>
      </c>
      <c r="I517" s="12" t="s">
        <v>10</v>
      </c>
      <c r="J517" s="15"/>
    </row>
    <row r="518" hidden="1" spans="2:10">
      <c r="B518" s="86">
        <v>232400161</v>
      </c>
      <c r="C518" s="9">
        <v>45045</v>
      </c>
      <c r="D518" s="87" t="s">
        <v>210</v>
      </c>
      <c r="E518" s="10">
        <v>48000</v>
      </c>
      <c r="F518" s="10">
        <v>0.028</v>
      </c>
      <c r="G518" s="9">
        <v>45102</v>
      </c>
      <c r="H518" s="12">
        <f t="shared" si="8"/>
        <v>1344</v>
      </c>
      <c r="I518" s="12" t="s">
        <v>10</v>
      </c>
      <c r="J518" s="15"/>
    </row>
    <row r="519" hidden="1" spans="2:10">
      <c r="B519" s="86">
        <v>232400161</v>
      </c>
      <c r="C519" s="9">
        <v>45045</v>
      </c>
      <c r="D519" s="87" t="s">
        <v>210</v>
      </c>
      <c r="E519" s="10">
        <v>48000</v>
      </c>
      <c r="F519" s="10">
        <v>0.028</v>
      </c>
      <c r="G519" s="9">
        <v>45132</v>
      </c>
      <c r="H519" s="12">
        <f t="shared" si="8"/>
        <v>1344</v>
      </c>
      <c r="I519" s="12" t="s">
        <v>10</v>
      </c>
      <c r="J519" s="15"/>
    </row>
    <row r="520" hidden="1" spans="2:10">
      <c r="B520" s="86">
        <v>232400162</v>
      </c>
      <c r="C520" s="9">
        <v>45045</v>
      </c>
      <c r="D520" s="87" t="s">
        <v>257</v>
      </c>
      <c r="E520" s="10">
        <v>352000</v>
      </c>
      <c r="F520" s="10">
        <v>0.01</v>
      </c>
      <c r="G520" s="9">
        <v>45132</v>
      </c>
      <c r="H520" s="12">
        <f t="shared" si="8"/>
        <v>3520</v>
      </c>
      <c r="I520" s="12" t="s">
        <v>10</v>
      </c>
      <c r="J520" s="15"/>
    </row>
    <row r="521" hidden="1" spans="2:10">
      <c r="B521" s="86">
        <v>232400162</v>
      </c>
      <c r="C521" s="9">
        <v>45045</v>
      </c>
      <c r="D521" s="87" t="s">
        <v>257</v>
      </c>
      <c r="E521" s="10">
        <v>352000</v>
      </c>
      <c r="F521" s="10">
        <v>0.01</v>
      </c>
      <c r="G521" s="9">
        <v>45163</v>
      </c>
      <c r="H521" s="12">
        <f t="shared" si="8"/>
        <v>3520</v>
      </c>
      <c r="I521" s="12" t="s">
        <v>10</v>
      </c>
      <c r="J521" s="15"/>
    </row>
    <row r="522" hidden="1" spans="2:10">
      <c r="B522" s="86">
        <v>232400163</v>
      </c>
      <c r="C522" s="9">
        <v>45045</v>
      </c>
      <c r="D522" s="87" t="s">
        <v>222</v>
      </c>
      <c r="E522" s="10">
        <v>30000</v>
      </c>
      <c r="F522" s="10">
        <v>0.285</v>
      </c>
      <c r="G522" s="9">
        <v>45127</v>
      </c>
      <c r="H522" s="12">
        <f t="shared" si="8"/>
        <v>8550</v>
      </c>
      <c r="I522" s="12" t="s">
        <v>10</v>
      </c>
      <c r="J522" s="15"/>
    </row>
    <row r="523" hidden="1" spans="2:10">
      <c r="B523" s="86">
        <v>232400163</v>
      </c>
      <c r="C523" s="9">
        <v>45045</v>
      </c>
      <c r="D523" s="87" t="s">
        <v>248</v>
      </c>
      <c r="E523" s="10">
        <v>120000</v>
      </c>
      <c r="F523" s="10">
        <v>0.065</v>
      </c>
      <c r="G523" s="9">
        <v>45102</v>
      </c>
      <c r="H523" s="12">
        <f t="shared" si="8"/>
        <v>7800</v>
      </c>
      <c r="I523" s="12" t="s">
        <v>10</v>
      </c>
      <c r="J523" s="15"/>
    </row>
    <row r="524" hidden="1" spans="2:10">
      <c r="B524" s="86">
        <v>232400163</v>
      </c>
      <c r="C524" s="9">
        <v>45045</v>
      </c>
      <c r="D524" s="87" t="s">
        <v>248</v>
      </c>
      <c r="E524" s="10">
        <v>120000</v>
      </c>
      <c r="F524" s="10">
        <v>0.065</v>
      </c>
      <c r="G524" s="9">
        <v>45132</v>
      </c>
      <c r="H524" s="12">
        <f t="shared" si="8"/>
        <v>7800</v>
      </c>
      <c r="I524" s="12" t="s">
        <v>10</v>
      </c>
      <c r="J524" s="15"/>
    </row>
    <row r="525" hidden="1" spans="2:10">
      <c r="B525" s="86">
        <v>232400163</v>
      </c>
      <c r="C525" s="9">
        <v>45045</v>
      </c>
      <c r="D525" s="10" t="s">
        <v>246</v>
      </c>
      <c r="E525" s="10">
        <v>45000</v>
      </c>
      <c r="F525" s="10">
        <v>0.07</v>
      </c>
      <c r="G525" s="9">
        <v>45132</v>
      </c>
      <c r="H525" s="12">
        <f t="shared" si="8"/>
        <v>3150</v>
      </c>
      <c r="I525" s="12" t="s">
        <v>10</v>
      </c>
      <c r="J525" s="15"/>
    </row>
    <row r="526" hidden="1" spans="2:10">
      <c r="B526" s="86">
        <v>232400164</v>
      </c>
      <c r="C526" s="9">
        <v>45045</v>
      </c>
      <c r="D526" s="10" t="s">
        <v>100</v>
      </c>
      <c r="E526" s="10">
        <v>60000</v>
      </c>
      <c r="F526" s="10">
        <v>0.03</v>
      </c>
      <c r="G526" s="9">
        <v>45102</v>
      </c>
      <c r="H526" s="12">
        <f t="shared" si="8"/>
        <v>1800</v>
      </c>
      <c r="I526" s="12" t="s">
        <v>10</v>
      </c>
      <c r="J526" s="15"/>
    </row>
    <row r="527" hidden="1" spans="2:10">
      <c r="B527" s="86">
        <v>232400164</v>
      </c>
      <c r="C527" s="9">
        <v>45045</v>
      </c>
      <c r="D527" s="10" t="s">
        <v>100</v>
      </c>
      <c r="E527" s="10">
        <v>40000</v>
      </c>
      <c r="F527" s="10">
        <v>0.03</v>
      </c>
      <c r="G527" s="9">
        <v>45127</v>
      </c>
      <c r="H527" s="12">
        <f t="shared" si="8"/>
        <v>1200</v>
      </c>
      <c r="I527" s="12" t="s">
        <v>10</v>
      </c>
      <c r="J527" s="15"/>
    </row>
    <row r="528" hidden="1" spans="2:10">
      <c r="B528" s="86">
        <v>232400164</v>
      </c>
      <c r="C528" s="9">
        <v>45045</v>
      </c>
      <c r="D528" s="10" t="s">
        <v>100</v>
      </c>
      <c r="E528" s="10">
        <v>60000</v>
      </c>
      <c r="F528" s="10">
        <v>0.03</v>
      </c>
      <c r="G528" s="9">
        <v>45163</v>
      </c>
      <c r="H528" s="12">
        <f t="shared" si="8"/>
        <v>1800</v>
      </c>
      <c r="I528" s="12" t="s">
        <v>10</v>
      </c>
      <c r="J528" s="15"/>
    </row>
    <row r="529" hidden="1" spans="2:10">
      <c r="B529" s="86">
        <v>232400164</v>
      </c>
      <c r="C529" s="9">
        <v>45045</v>
      </c>
      <c r="D529" s="87" t="s">
        <v>231</v>
      </c>
      <c r="E529" s="10">
        <v>201000</v>
      </c>
      <c r="F529" s="10">
        <v>0.0083</v>
      </c>
      <c r="G529" s="9">
        <v>45087</v>
      </c>
      <c r="H529" s="12">
        <f t="shared" si="8"/>
        <v>1668.3</v>
      </c>
      <c r="I529" s="12" t="s">
        <v>10</v>
      </c>
      <c r="J529" s="15"/>
    </row>
    <row r="530" hidden="1" spans="2:10">
      <c r="B530" s="86">
        <v>232400164</v>
      </c>
      <c r="C530" s="9">
        <v>45045</v>
      </c>
      <c r="D530" s="87" t="s">
        <v>231</v>
      </c>
      <c r="E530" s="10">
        <v>150000</v>
      </c>
      <c r="F530" s="10">
        <v>0.0083</v>
      </c>
      <c r="G530" s="9">
        <v>45097</v>
      </c>
      <c r="H530" s="12">
        <f t="shared" si="8"/>
        <v>1245</v>
      </c>
      <c r="I530" s="12" t="s">
        <v>10</v>
      </c>
      <c r="J530" s="15"/>
    </row>
    <row r="531" hidden="1" spans="2:10">
      <c r="B531" s="86">
        <v>232400164</v>
      </c>
      <c r="C531" s="9">
        <v>45045</v>
      </c>
      <c r="D531" s="87" t="s">
        <v>231</v>
      </c>
      <c r="E531" s="10">
        <v>102000</v>
      </c>
      <c r="F531" s="10">
        <v>0.0083</v>
      </c>
      <c r="G531" s="9">
        <v>45127</v>
      </c>
      <c r="H531" s="12">
        <f t="shared" si="8"/>
        <v>846.6</v>
      </c>
      <c r="I531" s="12" t="s">
        <v>10</v>
      </c>
      <c r="J531" s="15"/>
    </row>
    <row r="532" hidden="1" spans="2:10">
      <c r="B532" s="86">
        <v>232400164</v>
      </c>
      <c r="C532" s="9">
        <v>45045</v>
      </c>
      <c r="D532" s="87" t="s">
        <v>231</v>
      </c>
      <c r="E532" s="10">
        <v>102000</v>
      </c>
      <c r="F532" s="10">
        <v>0.0083</v>
      </c>
      <c r="G532" s="9">
        <v>45158</v>
      </c>
      <c r="H532" s="12">
        <f t="shared" si="8"/>
        <v>846.6</v>
      </c>
      <c r="I532" s="12" t="s">
        <v>10</v>
      </c>
      <c r="J532" s="15"/>
    </row>
    <row r="533" hidden="1" spans="2:10">
      <c r="B533" s="86">
        <v>232400165</v>
      </c>
      <c r="C533" s="9">
        <v>45045</v>
      </c>
      <c r="D533" s="87" t="s">
        <v>210</v>
      </c>
      <c r="E533" s="10">
        <v>104000</v>
      </c>
      <c r="F533" s="10">
        <v>0.028</v>
      </c>
      <c r="G533" s="9">
        <v>45132</v>
      </c>
      <c r="H533" s="12">
        <f t="shared" si="8"/>
        <v>2912</v>
      </c>
      <c r="I533" s="12" t="s">
        <v>10</v>
      </c>
      <c r="J533" s="15"/>
    </row>
    <row r="534" hidden="1" spans="2:10">
      <c r="B534" s="86">
        <v>232400165</v>
      </c>
      <c r="C534" s="9">
        <v>45045</v>
      </c>
      <c r="D534" s="87" t="s">
        <v>210</v>
      </c>
      <c r="E534" s="10">
        <v>104000</v>
      </c>
      <c r="F534" s="10">
        <v>0.028</v>
      </c>
      <c r="G534" s="9">
        <v>45163</v>
      </c>
      <c r="H534" s="12">
        <f t="shared" si="8"/>
        <v>2912</v>
      </c>
      <c r="I534" s="12" t="s">
        <v>10</v>
      </c>
      <c r="J534" s="15"/>
    </row>
    <row r="535" hidden="1" spans="2:10">
      <c r="B535" s="86">
        <v>232400165</v>
      </c>
      <c r="C535" s="9">
        <v>45045</v>
      </c>
      <c r="D535" s="87" t="s">
        <v>243</v>
      </c>
      <c r="E535" s="10">
        <v>96000</v>
      </c>
      <c r="F535" s="10">
        <v>0.022</v>
      </c>
      <c r="G535" s="9">
        <v>45127</v>
      </c>
      <c r="H535" s="12">
        <f t="shared" si="8"/>
        <v>2112</v>
      </c>
      <c r="I535" s="12" t="s">
        <v>10</v>
      </c>
      <c r="J535" s="15"/>
    </row>
    <row r="536" hidden="1" spans="2:10">
      <c r="B536" s="86">
        <v>232400166</v>
      </c>
      <c r="C536" s="9">
        <v>45045</v>
      </c>
      <c r="D536" s="10" t="s">
        <v>213</v>
      </c>
      <c r="E536" s="10">
        <v>50000</v>
      </c>
      <c r="F536" s="10">
        <v>0.05</v>
      </c>
      <c r="G536" s="9">
        <v>45163</v>
      </c>
      <c r="H536" s="12">
        <f t="shared" si="8"/>
        <v>2500</v>
      </c>
      <c r="I536" s="12" t="s">
        <v>10</v>
      </c>
      <c r="J536" s="15"/>
    </row>
    <row r="537" hidden="1" spans="2:10">
      <c r="B537" s="86">
        <v>232400166</v>
      </c>
      <c r="C537" s="9">
        <v>45045</v>
      </c>
      <c r="D537" s="10" t="s">
        <v>213</v>
      </c>
      <c r="E537" s="10">
        <v>50000</v>
      </c>
      <c r="F537" s="10">
        <v>0.05</v>
      </c>
      <c r="G537" s="9">
        <v>45194</v>
      </c>
      <c r="H537" s="12">
        <f t="shared" si="8"/>
        <v>2500</v>
      </c>
      <c r="I537" s="12" t="s">
        <v>10</v>
      </c>
      <c r="J537" s="15"/>
    </row>
    <row r="538" hidden="1" spans="2:10">
      <c r="B538" s="86">
        <v>232400166</v>
      </c>
      <c r="C538" s="9">
        <v>45045</v>
      </c>
      <c r="D538" s="87" t="s">
        <v>238</v>
      </c>
      <c r="E538" s="10">
        <v>100000</v>
      </c>
      <c r="F538" s="10">
        <v>0.035</v>
      </c>
      <c r="G538" s="9">
        <v>45163</v>
      </c>
      <c r="H538" s="12">
        <f t="shared" si="8"/>
        <v>3500</v>
      </c>
      <c r="I538" s="12" t="s">
        <v>10</v>
      </c>
      <c r="J538" s="15"/>
    </row>
    <row r="539" hidden="1" spans="2:10">
      <c r="B539" s="86">
        <v>232400196</v>
      </c>
      <c r="C539" s="9">
        <v>45052</v>
      </c>
      <c r="D539" s="10" t="s">
        <v>150</v>
      </c>
      <c r="E539" s="10">
        <v>80000</v>
      </c>
      <c r="F539" s="10">
        <v>0.022</v>
      </c>
      <c r="G539" s="9">
        <v>45127</v>
      </c>
      <c r="H539" s="12">
        <f t="shared" si="8"/>
        <v>1760</v>
      </c>
      <c r="I539" s="12" t="s">
        <v>10</v>
      </c>
      <c r="J539" s="15"/>
    </row>
    <row r="540" hidden="1" spans="2:10">
      <c r="B540" s="86">
        <v>232400196</v>
      </c>
      <c r="C540" s="9">
        <v>45052</v>
      </c>
      <c r="D540" s="10" t="s">
        <v>150</v>
      </c>
      <c r="E540" s="10">
        <v>80000</v>
      </c>
      <c r="F540" s="10">
        <v>0.022</v>
      </c>
      <c r="G540" s="9">
        <v>45158</v>
      </c>
      <c r="H540" s="12">
        <f t="shared" si="8"/>
        <v>1760</v>
      </c>
      <c r="I540" s="12" t="s">
        <v>10</v>
      </c>
      <c r="J540" s="15"/>
    </row>
    <row r="541" hidden="1" spans="2:10">
      <c r="B541" s="86">
        <v>232400196</v>
      </c>
      <c r="C541" s="9">
        <v>45052</v>
      </c>
      <c r="D541" s="10" t="s">
        <v>150</v>
      </c>
      <c r="E541" s="10">
        <v>80000</v>
      </c>
      <c r="F541" s="10">
        <v>0.022</v>
      </c>
      <c r="G541" s="9">
        <v>45189</v>
      </c>
      <c r="H541" s="12">
        <f t="shared" si="8"/>
        <v>1760</v>
      </c>
      <c r="I541" s="12" t="s">
        <v>10</v>
      </c>
      <c r="J541" s="15"/>
    </row>
    <row r="542" hidden="1" spans="2:10">
      <c r="B542" s="86">
        <v>232400196</v>
      </c>
      <c r="C542" s="9">
        <v>45052</v>
      </c>
      <c r="D542" s="10" t="s">
        <v>212</v>
      </c>
      <c r="E542" s="10">
        <v>20000</v>
      </c>
      <c r="F542" s="10">
        <v>0.023</v>
      </c>
      <c r="G542" s="9">
        <v>45127</v>
      </c>
      <c r="H542" s="12">
        <f t="shared" si="8"/>
        <v>460</v>
      </c>
      <c r="I542" s="12" t="s">
        <v>10</v>
      </c>
      <c r="J542" s="15"/>
    </row>
    <row r="543" hidden="1" spans="2:10">
      <c r="B543" s="86">
        <v>232400196</v>
      </c>
      <c r="C543" s="9">
        <v>45052</v>
      </c>
      <c r="D543" s="10" t="s">
        <v>212</v>
      </c>
      <c r="E543" s="10">
        <v>20000</v>
      </c>
      <c r="F543" s="10">
        <v>0.023</v>
      </c>
      <c r="G543" s="9">
        <v>45158</v>
      </c>
      <c r="H543" s="12">
        <f t="shared" si="8"/>
        <v>460</v>
      </c>
      <c r="I543" s="12" t="s">
        <v>10</v>
      </c>
      <c r="J543" s="15"/>
    </row>
    <row r="544" hidden="1" spans="2:10">
      <c r="B544" s="86">
        <v>232400196</v>
      </c>
      <c r="C544" s="9">
        <v>45052</v>
      </c>
      <c r="D544" s="10" t="s">
        <v>212</v>
      </c>
      <c r="E544" s="10">
        <v>20000</v>
      </c>
      <c r="F544" s="10">
        <v>0.023</v>
      </c>
      <c r="G544" s="9">
        <v>45189</v>
      </c>
      <c r="H544" s="12">
        <f t="shared" si="8"/>
        <v>460</v>
      </c>
      <c r="I544" s="12" t="s">
        <v>10</v>
      </c>
      <c r="J544" s="15"/>
    </row>
    <row r="545" hidden="1" spans="2:10">
      <c r="B545" s="86">
        <v>232400197</v>
      </c>
      <c r="C545" s="9">
        <v>45052</v>
      </c>
      <c r="D545" s="10" t="s">
        <v>245</v>
      </c>
      <c r="E545" s="10">
        <v>96000</v>
      </c>
      <c r="F545" s="10">
        <v>0.006</v>
      </c>
      <c r="G545" s="9">
        <v>45102</v>
      </c>
      <c r="H545" s="12">
        <f t="shared" si="8"/>
        <v>576</v>
      </c>
      <c r="I545" s="12" t="s">
        <v>10</v>
      </c>
      <c r="J545" s="15"/>
    </row>
    <row r="546" hidden="1" spans="2:10">
      <c r="B546" s="86">
        <v>232400198</v>
      </c>
      <c r="C546" s="9">
        <v>45052</v>
      </c>
      <c r="D546" s="87" t="s">
        <v>280</v>
      </c>
      <c r="E546" s="10">
        <v>40000</v>
      </c>
      <c r="F546" s="10">
        <v>0.065</v>
      </c>
      <c r="G546" s="9">
        <v>45127</v>
      </c>
      <c r="H546" s="12">
        <f t="shared" si="8"/>
        <v>2600</v>
      </c>
      <c r="I546" s="12" t="s">
        <v>10</v>
      </c>
      <c r="J546" s="15"/>
    </row>
    <row r="547" hidden="1" spans="2:10">
      <c r="B547" s="86">
        <v>232400198</v>
      </c>
      <c r="C547" s="9">
        <v>45052</v>
      </c>
      <c r="D547" s="87" t="s">
        <v>280</v>
      </c>
      <c r="E547" s="10">
        <v>40000</v>
      </c>
      <c r="F547" s="10">
        <v>0.065</v>
      </c>
      <c r="G547" s="9">
        <v>45158</v>
      </c>
      <c r="H547" s="12">
        <f t="shared" si="8"/>
        <v>2600</v>
      </c>
      <c r="I547" s="12" t="s">
        <v>10</v>
      </c>
      <c r="J547" s="15"/>
    </row>
    <row r="548" hidden="1" spans="2:10">
      <c r="B548" s="86">
        <v>232400212</v>
      </c>
      <c r="C548" s="9">
        <v>45054</v>
      </c>
      <c r="D548" s="10" t="s">
        <v>33</v>
      </c>
      <c r="E548" s="10">
        <v>40000</v>
      </c>
      <c r="F548" s="10">
        <v>0.02</v>
      </c>
      <c r="G548" s="9">
        <v>45179</v>
      </c>
      <c r="H548" s="12">
        <f t="shared" si="8"/>
        <v>800</v>
      </c>
      <c r="I548" s="12" t="s">
        <v>10</v>
      </c>
      <c r="J548" s="15"/>
    </row>
    <row r="549" hidden="1" spans="2:10">
      <c r="B549" s="86">
        <v>232400230</v>
      </c>
      <c r="C549" s="9">
        <v>45056</v>
      </c>
      <c r="D549" s="87" t="s">
        <v>269</v>
      </c>
      <c r="E549" s="10">
        <v>30000</v>
      </c>
      <c r="F549" s="10">
        <v>0.05</v>
      </c>
      <c r="G549" s="9">
        <v>45122</v>
      </c>
      <c r="H549" s="12">
        <f t="shared" si="8"/>
        <v>1500</v>
      </c>
      <c r="I549" s="12" t="s">
        <v>10</v>
      </c>
      <c r="J549" s="15"/>
    </row>
    <row r="550" hidden="1" spans="2:10">
      <c r="B550" s="86">
        <v>232400245</v>
      </c>
      <c r="C550" s="9">
        <v>45057</v>
      </c>
      <c r="D550" s="10" t="s">
        <v>281</v>
      </c>
      <c r="E550" s="10">
        <v>3060</v>
      </c>
      <c r="F550" s="10">
        <v>0.08</v>
      </c>
      <c r="G550" s="9">
        <v>45057</v>
      </c>
      <c r="H550" s="12">
        <f t="shared" si="8"/>
        <v>244.8</v>
      </c>
      <c r="I550" s="12" t="s">
        <v>10</v>
      </c>
      <c r="J550" s="15"/>
    </row>
    <row r="551" hidden="1" spans="2:10">
      <c r="B551" s="86">
        <v>232400270</v>
      </c>
      <c r="C551" s="9">
        <v>45059</v>
      </c>
      <c r="D551" s="87" t="s">
        <v>223</v>
      </c>
      <c r="E551" s="10">
        <v>300000</v>
      </c>
      <c r="F551" s="10">
        <v>0.08</v>
      </c>
      <c r="G551" s="9">
        <v>45066</v>
      </c>
      <c r="H551" s="12">
        <f t="shared" si="8"/>
        <v>24000</v>
      </c>
      <c r="I551" s="12" t="s">
        <v>10</v>
      </c>
      <c r="J551" s="15"/>
    </row>
    <row r="552" hidden="1" spans="2:10">
      <c r="B552" s="86">
        <v>232400270</v>
      </c>
      <c r="C552" s="9">
        <v>45059</v>
      </c>
      <c r="D552" s="87" t="s">
        <v>223</v>
      </c>
      <c r="E552" s="10">
        <v>200000</v>
      </c>
      <c r="F552" s="10">
        <v>0.08</v>
      </c>
      <c r="G552" s="9">
        <v>45076</v>
      </c>
      <c r="H552" s="12">
        <f t="shared" si="8"/>
        <v>16000</v>
      </c>
      <c r="I552" s="12" t="s">
        <v>10</v>
      </c>
      <c r="J552" s="15"/>
    </row>
    <row r="553" hidden="1" spans="2:10">
      <c r="B553" s="86">
        <v>232400270</v>
      </c>
      <c r="C553" s="9">
        <v>45059</v>
      </c>
      <c r="D553" s="87" t="s">
        <v>223</v>
      </c>
      <c r="E553" s="10">
        <v>200000</v>
      </c>
      <c r="F553" s="10">
        <v>0.08</v>
      </c>
      <c r="G553" s="9">
        <v>45087</v>
      </c>
      <c r="H553" s="12">
        <f t="shared" si="8"/>
        <v>16000</v>
      </c>
      <c r="I553" s="12" t="s">
        <v>10</v>
      </c>
      <c r="J553" s="15"/>
    </row>
    <row r="554" hidden="1" spans="2:10">
      <c r="B554" s="86">
        <v>232400270</v>
      </c>
      <c r="C554" s="9">
        <v>45059</v>
      </c>
      <c r="D554" s="87" t="s">
        <v>223</v>
      </c>
      <c r="E554" s="10">
        <v>210000</v>
      </c>
      <c r="F554" s="10">
        <v>0.08</v>
      </c>
      <c r="G554" s="9">
        <v>45117</v>
      </c>
      <c r="H554" s="12">
        <f t="shared" si="8"/>
        <v>16800</v>
      </c>
      <c r="I554" s="12" t="s">
        <v>10</v>
      </c>
      <c r="J554" s="15"/>
    </row>
    <row r="555" hidden="1" spans="2:10">
      <c r="B555" s="86">
        <v>232400270</v>
      </c>
      <c r="C555" s="9">
        <v>45059</v>
      </c>
      <c r="D555" s="87" t="s">
        <v>247</v>
      </c>
      <c r="E555" s="10">
        <v>386000</v>
      </c>
      <c r="F555" s="10">
        <v>0.0405</v>
      </c>
      <c r="G555" s="9">
        <v>45071</v>
      </c>
      <c r="H555" s="12">
        <f t="shared" si="8"/>
        <v>15633</v>
      </c>
      <c r="I555" s="12" t="s">
        <v>10</v>
      </c>
      <c r="J555" s="15"/>
    </row>
    <row r="556" hidden="1" spans="2:10">
      <c r="B556" s="86">
        <v>232400270</v>
      </c>
      <c r="C556" s="9">
        <v>45059</v>
      </c>
      <c r="D556" s="87" t="s">
        <v>247</v>
      </c>
      <c r="E556" s="10">
        <v>200000</v>
      </c>
      <c r="F556" s="10">
        <v>0.0405</v>
      </c>
      <c r="G556" s="9">
        <v>45102</v>
      </c>
      <c r="H556" s="12">
        <f t="shared" si="8"/>
        <v>8100</v>
      </c>
      <c r="I556" s="12" t="s">
        <v>10</v>
      </c>
      <c r="J556" s="15"/>
    </row>
    <row r="557" hidden="1" spans="2:10">
      <c r="B557" s="86">
        <v>232400270</v>
      </c>
      <c r="C557" s="9">
        <v>45059</v>
      </c>
      <c r="D557" s="87" t="s">
        <v>248</v>
      </c>
      <c r="E557" s="10">
        <v>200000</v>
      </c>
      <c r="F557" s="10">
        <v>0.065</v>
      </c>
      <c r="G557" s="9">
        <v>45066</v>
      </c>
      <c r="H557" s="12">
        <f t="shared" si="8"/>
        <v>13000</v>
      </c>
      <c r="I557" s="12" t="s">
        <v>10</v>
      </c>
      <c r="J557" s="15"/>
    </row>
    <row r="558" hidden="1" spans="2:10">
      <c r="B558" s="86">
        <v>232400270</v>
      </c>
      <c r="C558" s="9">
        <v>45059</v>
      </c>
      <c r="D558" s="87" t="s">
        <v>248</v>
      </c>
      <c r="E558" s="88">
        <v>80000</v>
      </c>
      <c r="F558" s="10">
        <v>0.065</v>
      </c>
      <c r="G558" s="9">
        <v>45092</v>
      </c>
      <c r="H558" s="12">
        <f t="shared" si="8"/>
        <v>5200</v>
      </c>
      <c r="I558" s="12" t="s">
        <v>10</v>
      </c>
      <c r="J558" s="15"/>
    </row>
    <row r="559" hidden="1" spans="2:10">
      <c r="B559" s="86">
        <v>232400270</v>
      </c>
      <c r="C559" s="9">
        <v>45059</v>
      </c>
      <c r="D559" s="87" t="s">
        <v>248</v>
      </c>
      <c r="E559" s="10">
        <v>80000</v>
      </c>
      <c r="F559" s="10">
        <v>0.065</v>
      </c>
      <c r="G559" s="9">
        <v>45122</v>
      </c>
      <c r="H559" s="12">
        <f t="shared" si="8"/>
        <v>5200</v>
      </c>
      <c r="I559" s="12" t="s">
        <v>10</v>
      </c>
      <c r="J559" s="15"/>
    </row>
    <row r="560" hidden="1" spans="2:10">
      <c r="B560" s="86">
        <v>232400270</v>
      </c>
      <c r="C560" s="9">
        <v>45059</v>
      </c>
      <c r="D560" s="87" t="s">
        <v>200</v>
      </c>
      <c r="E560" s="10">
        <v>100000</v>
      </c>
      <c r="F560" s="10">
        <v>0.05</v>
      </c>
      <c r="G560" s="9">
        <v>45132</v>
      </c>
      <c r="H560" s="12">
        <f t="shared" si="8"/>
        <v>5000</v>
      </c>
      <c r="I560" s="12" t="s">
        <v>10</v>
      </c>
      <c r="J560" s="15"/>
    </row>
    <row r="561" hidden="1" spans="2:10">
      <c r="B561" s="86">
        <v>232400296</v>
      </c>
      <c r="C561" s="9">
        <v>45061</v>
      </c>
      <c r="D561" s="10" t="s">
        <v>163</v>
      </c>
      <c r="E561" s="10">
        <v>208000</v>
      </c>
      <c r="F561" s="10">
        <v>0.0025</v>
      </c>
      <c r="G561" s="9">
        <v>45107</v>
      </c>
      <c r="H561" s="12">
        <f t="shared" si="8"/>
        <v>520</v>
      </c>
      <c r="I561" s="12" t="s">
        <v>10</v>
      </c>
      <c r="J561" s="15"/>
    </row>
    <row r="562" hidden="1" spans="2:10">
      <c r="B562" s="86">
        <v>232400296</v>
      </c>
      <c r="C562" s="9">
        <v>45061</v>
      </c>
      <c r="D562" s="10" t="s">
        <v>163</v>
      </c>
      <c r="E562" s="10">
        <v>208000</v>
      </c>
      <c r="F562" s="10">
        <v>0.0025</v>
      </c>
      <c r="G562" s="9">
        <v>45153</v>
      </c>
      <c r="H562" s="12">
        <f t="shared" si="8"/>
        <v>520</v>
      </c>
      <c r="I562" s="12" t="s">
        <v>10</v>
      </c>
      <c r="J562" s="15"/>
    </row>
    <row r="563" hidden="1" spans="2:10">
      <c r="B563" s="86">
        <v>232400296</v>
      </c>
      <c r="C563" s="9">
        <v>45061</v>
      </c>
      <c r="D563" s="87" t="s">
        <v>243</v>
      </c>
      <c r="E563" s="10">
        <v>96000</v>
      </c>
      <c r="F563" s="10">
        <v>0.022</v>
      </c>
      <c r="G563" s="9">
        <v>45107</v>
      </c>
      <c r="H563" s="12">
        <f t="shared" si="8"/>
        <v>2112</v>
      </c>
      <c r="I563" s="12" t="s">
        <v>10</v>
      </c>
      <c r="J563" s="15"/>
    </row>
    <row r="564" hidden="1" spans="2:10">
      <c r="B564" s="86">
        <v>232400296</v>
      </c>
      <c r="C564" s="9">
        <v>45061</v>
      </c>
      <c r="D564" s="87" t="s">
        <v>243</v>
      </c>
      <c r="E564" s="10">
        <v>96000</v>
      </c>
      <c r="F564" s="10">
        <v>0.022</v>
      </c>
      <c r="G564" s="9">
        <v>45168</v>
      </c>
      <c r="H564" s="12">
        <f t="shared" si="8"/>
        <v>2112</v>
      </c>
      <c r="I564" s="12" t="s">
        <v>10</v>
      </c>
      <c r="J564" s="15"/>
    </row>
    <row r="565" hidden="1" spans="2:10">
      <c r="B565" s="86">
        <v>232400296</v>
      </c>
      <c r="C565" s="9">
        <v>45061</v>
      </c>
      <c r="D565" s="10" t="s">
        <v>236</v>
      </c>
      <c r="E565" s="10">
        <v>96000</v>
      </c>
      <c r="F565" s="10">
        <v>0.006</v>
      </c>
      <c r="G565" s="9">
        <v>45168</v>
      </c>
      <c r="H565" s="12">
        <f t="shared" si="8"/>
        <v>576</v>
      </c>
      <c r="I565" s="12" t="s">
        <v>10</v>
      </c>
      <c r="J565" s="15"/>
    </row>
    <row r="566" hidden="1" spans="2:10">
      <c r="B566" s="86">
        <v>232400297</v>
      </c>
      <c r="C566" s="9">
        <v>45061</v>
      </c>
      <c r="D566" s="87" t="s">
        <v>211</v>
      </c>
      <c r="E566" s="10">
        <v>208000</v>
      </c>
      <c r="F566" s="10">
        <v>0.022</v>
      </c>
      <c r="G566" s="9">
        <v>45076</v>
      </c>
      <c r="H566" s="12">
        <f t="shared" si="8"/>
        <v>4576</v>
      </c>
      <c r="I566" s="12" t="s">
        <v>10</v>
      </c>
      <c r="J566" s="15"/>
    </row>
    <row r="567" hidden="1" spans="2:10">
      <c r="B567" s="86">
        <v>232400297</v>
      </c>
      <c r="C567" s="9">
        <v>45061</v>
      </c>
      <c r="D567" s="87" t="s">
        <v>211</v>
      </c>
      <c r="E567" s="10">
        <v>208000</v>
      </c>
      <c r="F567" s="10">
        <v>0.022</v>
      </c>
      <c r="G567" s="9">
        <v>45127</v>
      </c>
      <c r="H567" s="12">
        <f t="shared" si="8"/>
        <v>4576</v>
      </c>
      <c r="I567" s="12" t="s">
        <v>10</v>
      </c>
      <c r="J567" s="15"/>
    </row>
    <row r="568" hidden="1" spans="2:10">
      <c r="B568" s="86">
        <v>232400308</v>
      </c>
      <c r="C568" s="9">
        <v>45063</v>
      </c>
      <c r="D568" s="10" t="s">
        <v>282</v>
      </c>
      <c r="E568" s="10">
        <v>250000</v>
      </c>
      <c r="F568" s="10">
        <v>0.032</v>
      </c>
      <c r="G568" s="9">
        <v>45071</v>
      </c>
      <c r="H568" s="12">
        <f t="shared" si="8"/>
        <v>8000</v>
      </c>
      <c r="I568" s="12" t="s">
        <v>10</v>
      </c>
      <c r="J568" s="15"/>
    </row>
    <row r="569" hidden="1" spans="2:10">
      <c r="B569" s="86">
        <v>232400308</v>
      </c>
      <c r="C569" s="9">
        <v>45063</v>
      </c>
      <c r="D569" s="10" t="s">
        <v>282</v>
      </c>
      <c r="E569" s="10">
        <v>250000</v>
      </c>
      <c r="F569" s="10">
        <v>0.032</v>
      </c>
      <c r="G569" s="9">
        <v>45097</v>
      </c>
      <c r="H569" s="12">
        <f t="shared" si="8"/>
        <v>8000</v>
      </c>
      <c r="I569" s="12" t="s">
        <v>10</v>
      </c>
      <c r="J569" s="15"/>
    </row>
    <row r="570" hidden="1" spans="2:10">
      <c r="B570" s="86">
        <v>232400329</v>
      </c>
      <c r="C570" s="9">
        <v>45068</v>
      </c>
      <c r="D570" s="87" t="s">
        <v>210</v>
      </c>
      <c r="E570" s="10">
        <v>60000</v>
      </c>
      <c r="F570" s="10">
        <v>0.028</v>
      </c>
      <c r="G570" s="9">
        <v>45117</v>
      </c>
      <c r="H570" s="12">
        <f t="shared" si="8"/>
        <v>1680</v>
      </c>
      <c r="I570" s="12" t="s">
        <v>10</v>
      </c>
      <c r="J570" s="15"/>
    </row>
    <row r="571" hidden="1" spans="2:10">
      <c r="B571" s="86">
        <v>232400329</v>
      </c>
      <c r="C571" s="9">
        <v>45068</v>
      </c>
      <c r="D571" s="87" t="s">
        <v>257</v>
      </c>
      <c r="E571" s="10">
        <v>60000</v>
      </c>
      <c r="F571" s="10">
        <v>0.01</v>
      </c>
      <c r="G571" s="9">
        <v>45087</v>
      </c>
      <c r="H571" s="12">
        <f t="shared" si="8"/>
        <v>600</v>
      </c>
      <c r="I571" s="12" t="s">
        <v>10</v>
      </c>
      <c r="J571" s="15"/>
    </row>
    <row r="572" hidden="1" spans="2:10">
      <c r="B572" s="86">
        <v>232400329</v>
      </c>
      <c r="C572" s="9">
        <v>45068</v>
      </c>
      <c r="D572" s="87" t="s">
        <v>257</v>
      </c>
      <c r="E572" s="10">
        <v>60000</v>
      </c>
      <c r="F572" s="10">
        <v>0.01</v>
      </c>
      <c r="G572" s="9">
        <v>45097</v>
      </c>
      <c r="H572" s="12">
        <f t="shared" si="8"/>
        <v>600</v>
      </c>
      <c r="I572" s="12" t="s">
        <v>10</v>
      </c>
      <c r="J572" s="15"/>
    </row>
    <row r="573" hidden="1" spans="2:10">
      <c r="B573" s="86">
        <v>232400329</v>
      </c>
      <c r="C573" s="9">
        <v>45068</v>
      </c>
      <c r="D573" s="87" t="s">
        <v>257</v>
      </c>
      <c r="E573" s="10">
        <v>60000</v>
      </c>
      <c r="F573" s="10">
        <v>0.01</v>
      </c>
      <c r="G573" s="9">
        <v>45117</v>
      </c>
      <c r="H573" s="12">
        <f t="shared" si="8"/>
        <v>600</v>
      </c>
      <c r="I573" s="12" t="s">
        <v>10</v>
      </c>
      <c r="J573" s="15"/>
    </row>
    <row r="574" hidden="1" spans="2:10">
      <c r="B574" s="86">
        <v>232400329</v>
      </c>
      <c r="C574" s="9">
        <v>45068</v>
      </c>
      <c r="D574" s="87" t="s">
        <v>271</v>
      </c>
      <c r="E574" s="10">
        <v>152000</v>
      </c>
      <c r="F574" s="10">
        <v>0.024</v>
      </c>
      <c r="G574" s="9">
        <v>45087</v>
      </c>
      <c r="H574" s="12">
        <f t="shared" si="8"/>
        <v>3648</v>
      </c>
      <c r="I574" s="12" t="s">
        <v>10</v>
      </c>
      <c r="J574" s="15"/>
    </row>
    <row r="575" hidden="1" spans="2:10">
      <c r="B575" s="86">
        <v>232400329</v>
      </c>
      <c r="C575" s="9">
        <v>45068</v>
      </c>
      <c r="D575" s="87" t="s">
        <v>271</v>
      </c>
      <c r="E575" s="10">
        <v>148000</v>
      </c>
      <c r="F575" s="10">
        <v>0.024</v>
      </c>
      <c r="G575" s="9">
        <v>45097</v>
      </c>
      <c r="H575" s="12">
        <f t="shared" si="8"/>
        <v>3552</v>
      </c>
      <c r="I575" s="12" t="s">
        <v>10</v>
      </c>
      <c r="J575" s="15"/>
    </row>
    <row r="576" hidden="1" spans="2:10">
      <c r="B576" s="86">
        <v>232400329</v>
      </c>
      <c r="C576" s="9">
        <v>45068</v>
      </c>
      <c r="D576" s="87" t="s">
        <v>271</v>
      </c>
      <c r="E576" s="10">
        <v>148000</v>
      </c>
      <c r="F576" s="10">
        <v>0.024</v>
      </c>
      <c r="G576" s="9">
        <v>45148</v>
      </c>
      <c r="H576" s="12">
        <f t="shared" si="8"/>
        <v>3552</v>
      </c>
      <c r="I576" s="12" t="s">
        <v>10</v>
      </c>
      <c r="J576" s="15"/>
    </row>
    <row r="577" hidden="1" spans="2:10">
      <c r="B577" s="86">
        <v>232400329</v>
      </c>
      <c r="C577" s="9">
        <v>45068</v>
      </c>
      <c r="D577" s="87" t="s">
        <v>215</v>
      </c>
      <c r="E577" s="10">
        <v>20000</v>
      </c>
      <c r="F577" s="10">
        <v>0.028</v>
      </c>
      <c r="G577" s="9">
        <v>45087</v>
      </c>
      <c r="H577" s="12">
        <f t="shared" si="8"/>
        <v>560</v>
      </c>
      <c r="I577" s="12" t="s">
        <v>10</v>
      </c>
      <c r="J577" s="15"/>
    </row>
    <row r="578" hidden="1" spans="2:10">
      <c r="B578" s="86">
        <v>232400329</v>
      </c>
      <c r="C578" s="9">
        <v>45068</v>
      </c>
      <c r="D578" s="87" t="s">
        <v>215</v>
      </c>
      <c r="E578" s="10">
        <v>20000</v>
      </c>
      <c r="F578" s="10">
        <v>0.028</v>
      </c>
      <c r="G578" s="9">
        <v>45117</v>
      </c>
      <c r="H578" s="12">
        <f t="shared" ref="H578:H641" si="9">E578*F578</f>
        <v>560</v>
      </c>
      <c r="I578" s="12" t="s">
        <v>10</v>
      </c>
      <c r="J578" s="15"/>
    </row>
    <row r="579" hidden="1" spans="2:10">
      <c r="B579" s="86">
        <v>232400329</v>
      </c>
      <c r="C579" s="9">
        <v>45068</v>
      </c>
      <c r="D579" s="87" t="s">
        <v>215</v>
      </c>
      <c r="E579" s="10">
        <v>20000</v>
      </c>
      <c r="F579" s="10">
        <v>0.028</v>
      </c>
      <c r="G579" s="9">
        <v>45148</v>
      </c>
      <c r="H579" s="12">
        <f t="shared" si="9"/>
        <v>560</v>
      </c>
      <c r="I579" s="12" t="s">
        <v>10</v>
      </c>
      <c r="J579" s="15"/>
    </row>
    <row r="580" hidden="1" spans="2:10">
      <c r="B580" s="86">
        <v>232400330</v>
      </c>
      <c r="C580" s="9">
        <v>45066</v>
      </c>
      <c r="D580" s="87" t="s">
        <v>215</v>
      </c>
      <c r="E580" s="10">
        <v>150000</v>
      </c>
      <c r="F580" s="10">
        <v>0.028</v>
      </c>
      <c r="G580" s="9">
        <v>45097</v>
      </c>
      <c r="H580" s="12">
        <f t="shared" si="9"/>
        <v>4200</v>
      </c>
      <c r="I580" s="12" t="s">
        <v>10</v>
      </c>
      <c r="J580" s="15"/>
    </row>
    <row r="581" hidden="1" spans="2:10">
      <c r="B581" s="86">
        <v>232400331</v>
      </c>
      <c r="C581" s="9">
        <v>45068</v>
      </c>
      <c r="D581" s="10" t="s">
        <v>246</v>
      </c>
      <c r="E581" s="10">
        <v>30000</v>
      </c>
      <c r="F581" s="10">
        <v>0.07</v>
      </c>
      <c r="G581" s="9">
        <v>45148</v>
      </c>
      <c r="H581" s="12">
        <f t="shared" si="9"/>
        <v>2100</v>
      </c>
      <c r="I581" s="12" t="s">
        <v>10</v>
      </c>
      <c r="J581" s="15"/>
    </row>
    <row r="582" hidden="1" spans="2:10">
      <c r="B582" s="86">
        <v>232400331</v>
      </c>
      <c r="C582" s="9">
        <v>45068</v>
      </c>
      <c r="D582" s="87" t="s">
        <v>254</v>
      </c>
      <c r="E582" s="10">
        <v>1000000</v>
      </c>
      <c r="F582" s="10">
        <v>0.03</v>
      </c>
      <c r="G582" s="9">
        <v>45148</v>
      </c>
      <c r="H582" s="12">
        <f t="shared" si="9"/>
        <v>30000</v>
      </c>
      <c r="I582" s="12" t="s">
        <v>10</v>
      </c>
      <c r="J582" s="15"/>
    </row>
    <row r="583" hidden="1" spans="2:10">
      <c r="B583" s="86">
        <v>232400338</v>
      </c>
      <c r="C583" s="9">
        <v>45069</v>
      </c>
      <c r="D583" s="87" t="s">
        <v>257</v>
      </c>
      <c r="E583" s="10">
        <v>208000</v>
      </c>
      <c r="F583" s="10">
        <v>0.01</v>
      </c>
      <c r="G583" s="9">
        <v>45087</v>
      </c>
      <c r="H583" s="12">
        <f t="shared" si="9"/>
        <v>2080</v>
      </c>
      <c r="I583" s="12" t="s">
        <v>10</v>
      </c>
      <c r="J583" s="15"/>
    </row>
    <row r="584" hidden="1" spans="2:10">
      <c r="B584" s="86">
        <v>232400338</v>
      </c>
      <c r="C584" s="9">
        <v>45069</v>
      </c>
      <c r="D584" s="87" t="s">
        <v>257</v>
      </c>
      <c r="E584" s="10">
        <v>208000</v>
      </c>
      <c r="F584" s="10">
        <v>0.01</v>
      </c>
      <c r="G584" s="9">
        <v>45117</v>
      </c>
      <c r="H584" s="12">
        <f t="shared" si="9"/>
        <v>2080</v>
      </c>
      <c r="I584" s="12" t="s">
        <v>10</v>
      </c>
      <c r="J584" s="15"/>
    </row>
    <row r="585" hidden="1" spans="2:10">
      <c r="B585" s="86">
        <v>232400338</v>
      </c>
      <c r="C585" s="9">
        <v>45069</v>
      </c>
      <c r="D585" s="87" t="s">
        <v>257</v>
      </c>
      <c r="E585" s="10">
        <v>208000</v>
      </c>
      <c r="F585" s="10">
        <v>0.01</v>
      </c>
      <c r="G585" s="9">
        <v>45148</v>
      </c>
      <c r="H585" s="12">
        <f t="shared" si="9"/>
        <v>2080</v>
      </c>
      <c r="I585" s="12" t="s">
        <v>10</v>
      </c>
      <c r="J585" s="15"/>
    </row>
    <row r="586" hidden="1" spans="2:10">
      <c r="B586" s="86">
        <v>232400344</v>
      </c>
      <c r="C586" s="9">
        <v>45070</v>
      </c>
      <c r="D586" s="10" t="s">
        <v>12</v>
      </c>
      <c r="E586" s="10">
        <v>40000</v>
      </c>
      <c r="F586" s="10">
        <v>0.06</v>
      </c>
      <c r="G586" s="9">
        <v>45087</v>
      </c>
      <c r="H586" s="12">
        <f t="shared" si="9"/>
        <v>2400</v>
      </c>
      <c r="I586" s="12" t="s">
        <v>10</v>
      </c>
      <c r="J586" s="15"/>
    </row>
    <row r="587" hidden="1" spans="2:10">
      <c r="B587" s="86">
        <v>232400344</v>
      </c>
      <c r="C587" s="9">
        <v>45070</v>
      </c>
      <c r="D587" s="10" t="s">
        <v>12</v>
      </c>
      <c r="E587" s="10">
        <v>40000</v>
      </c>
      <c r="F587" s="10">
        <v>0.06</v>
      </c>
      <c r="G587" s="9">
        <v>45117</v>
      </c>
      <c r="H587" s="12">
        <f t="shared" si="9"/>
        <v>2400</v>
      </c>
      <c r="I587" s="12" t="s">
        <v>10</v>
      </c>
      <c r="J587" s="15"/>
    </row>
    <row r="588" hidden="1" spans="2:10">
      <c r="B588" s="86">
        <v>232400344</v>
      </c>
      <c r="C588" s="9">
        <v>45070</v>
      </c>
      <c r="D588" s="10" t="s">
        <v>12</v>
      </c>
      <c r="E588" s="10">
        <v>40000</v>
      </c>
      <c r="F588" s="10">
        <v>0.06</v>
      </c>
      <c r="G588" s="9">
        <v>45148</v>
      </c>
      <c r="H588" s="12">
        <f t="shared" si="9"/>
        <v>2400</v>
      </c>
      <c r="I588" s="12" t="s">
        <v>10</v>
      </c>
      <c r="J588" s="15"/>
    </row>
    <row r="589" hidden="1" spans="2:10">
      <c r="B589" s="86">
        <v>232400346</v>
      </c>
      <c r="C589" s="9">
        <v>45069</v>
      </c>
      <c r="D589" s="10" t="s">
        <v>262</v>
      </c>
      <c r="E589" s="10">
        <v>24000</v>
      </c>
      <c r="F589" s="10">
        <v>0.015</v>
      </c>
      <c r="G589" s="9">
        <v>45107</v>
      </c>
      <c r="H589" s="12">
        <f t="shared" si="9"/>
        <v>360</v>
      </c>
      <c r="I589" s="12" t="s">
        <v>10</v>
      </c>
      <c r="J589" s="15"/>
    </row>
    <row r="590" hidden="1" spans="2:10">
      <c r="B590" s="86">
        <v>232400346</v>
      </c>
      <c r="C590" s="9">
        <v>45069</v>
      </c>
      <c r="D590" s="10" t="s">
        <v>261</v>
      </c>
      <c r="E590" s="10">
        <v>24000</v>
      </c>
      <c r="F590" s="10">
        <v>0.013</v>
      </c>
      <c r="G590" s="9">
        <v>45107</v>
      </c>
      <c r="H590" s="12">
        <f t="shared" si="9"/>
        <v>312</v>
      </c>
      <c r="I590" s="12" t="s">
        <v>10</v>
      </c>
      <c r="J590" s="15"/>
    </row>
    <row r="591" hidden="1" spans="2:10">
      <c r="B591" s="86">
        <v>232400346</v>
      </c>
      <c r="C591" s="9">
        <v>45069</v>
      </c>
      <c r="D591" s="10" t="s">
        <v>263</v>
      </c>
      <c r="E591" s="10">
        <v>24000</v>
      </c>
      <c r="F591" s="10">
        <v>0.026</v>
      </c>
      <c r="G591" s="9">
        <v>45107</v>
      </c>
      <c r="H591" s="12">
        <f t="shared" si="9"/>
        <v>624</v>
      </c>
      <c r="I591" s="12" t="s">
        <v>10</v>
      </c>
      <c r="J591" s="15"/>
    </row>
    <row r="592" hidden="1" spans="2:10">
      <c r="B592" s="86">
        <v>232400352</v>
      </c>
      <c r="C592" s="9">
        <v>45070</v>
      </c>
      <c r="D592" s="10" t="s">
        <v>163</v>
      </c>
      <c r="E592" s="10">
        <v>208000</v>
      </c>
      <c r="F592" s="10">
        <v>0.0025</v>
      </c>
      <c r="G592" s="9">
        <v>45087</v>
      </c>
      <c r="H592" s="12">
        <f t="shared" si="9"/>
        <v>520</v>
      </c>
      <c r="I592" s="12" t="s">
        <v>10</v>
      </c>
      <c r="J592" s="15"/>
    </row>
    <row r="593" hidden="1" spans="2:10">
      <c r="B593" s="86">
        <v>232400352</v>
      </c>
      <c r="C593" s="9">
        <v>45070</v>
      </c>
      <c r="D593" s="10" t="s">
        <v>163</v>
      </c>
      <c r="E593" s="10">
        <v>208000</v>
      </c>
      <c r="F593" s="10">
        <v>0.0025</v>
      </c>
      <c r="G593" s="9">
        <v>45087</v>
      </c>
      <c r="H593" s="12">
        <f t="shared" si="9"/>
        <v>520</v>
      </c>
      <c r="I593" s="12" t="s">
        <v>10</v>
      </c>
      <c r="J593" s="15"/>
    </row>
    <row r="594" hidden="1" spans="2:10">
      <c r="B594" s="86">
        <v>232400352</v>
      </c>
      <c r="C594" s="9">
        <v>45070</v>
      </c>
      <c r="D594" s="10" t="s">
        <v>163</v>
      </c>
      <c r="E594" s="10">
        <v>208000</v>
      </c>
      <c r="F594" s="10">
        <v>0.0025</v>
      </c>
      <c r="G594" s="9">
        <v>45097</v>
      </c>
      <c r="H594" s="12">
        <f t="shared" si="9"/>
        <v>520</v>
      </c>
      <c r="I594" s="12" t="s">
        <v>10</v>
      </c>
      <c r="J594" s="15"/>
    </row>
    <row r="595" hidden="1" spans="2:10">
      <c r="B595" s="86">
        <v>232400352</v>
      </c>
      <c r="C595" s="9">
        <v>45070</v>
      </c>
      <c r="D595" s="10" t="s">
        <v>163</v>
      </c>
      <c r="E595" s="10">
        <v>208000</v>
      </c>
      <c r="F595" s="10">
        <v>0.0025</v>
      </c>
      <c r="G595" s="9">
        <v>45117</v>
      </c>
      <c r="H595" s="12">
        <f t="shared" si="9"/>
        <v>520</v>
      </c>
      <c r="I595" s="12" t="s">
        <v>10</v>
      </c>
      <c r="J595" s="15"/>
    </row>
    <row r="596" hidden="1" spans="2:10">
      <c r="B596" s="86">
        <v>232400352</v>
      </c>
      <c r="C596" s="9">
        <v>45070</v>
      </c>
      <c r="D596" s="10" t="s">
        <v>163</v>
      </c>
      <c r="E596" s="10">
        <v>208000</v>
      </c>
      <c r="F596" s="10">
        <v>0.0025</v>
      </c>
      <c r="G596" s="9">
        <v>45117</v>
      </c>
      <c r="H596" s="12">
        <f t="shared" si="9"/>
        <v>520</v>
      </c>
      <c r="I596" s="12" t="s">
        <v>10</v>
      </c>
      <c r="J596" s="15"/>
    </row>
    <row r="597" hidden="1" spans="2:10">
      <c r="B597" s="86">
        <v>232400352</v>
      </c>
      <c r="C597" s="9">
        <v>45070</v>
      </c>
      <c r="D597" s="10" t="s">
        <v>163</v>
      </c>
      <c r="E597" s="10">
        <v>208000</v>
      </c>
      <c r="F597" s="10">
        <v>0.0025</v>
      </c>
      <c r="G597" s="9">
        <v>45148</v>
      </c>
      <c r="H597" s="12">
        <f t="shared" si="9"/>
        <v>520</v>
      </c>
      <c r="I597" s="12" t="s">
        <v>10</v>
      </c>
      <c r="J597" s="15"/>
    </row>
    <row r="598" hidden="1" spans="2:10">
      <c r="B598" s="86">
        <v>232400360</v>
      </c>
      <c r="C598" s="9">
        <v>45076</v>
      </c>
      <c r="D598" s="87" t="s">
        <v>283</v>
      </c>
      <c r="E598" s="10">
        <v>20000</v>
      </c>
      <c r="F598" s="10">
        <v>0.04</v>
      </c>
      <c r="G598" s="9">
        <v>45079</v>
      </c>
      <c r="H598" s="12">
        <f t="shared" si="9"/>
        <v>800</v>
      </c>
      <c r="I598" s="12" t="s">
        <v>10</v>
      </c>
      <c r="J598" s="15"/>
    </row>
    <row r="599" hidden="1" spans="2:10">
      <c r="B599" s="86">
        <v>232400388</v>
      </c>
      <c r="C599" s="9">
        <v>45083</v>
      </c>
      <c r="D599" s="10" t="s">
        <v>34</v>
      </c>
      <c r="E599" s="10">
        <v>100000</v>
      </c>
      <c r="F599" s="10">
        <v>0.051</v>
      </c>
      <c r="G599" s="9">
        <v>45117</v>
      </c>
      <c r="H599" s="12">
        <f t="shared" si="9"/>
        <v>5100</v>
      </c>
      <c r="I599" s="12" t="s">
        <v>10</v>
      </c>
      <c r="J599" s="15"/>
    </row>
    <row r="600" hidden="1" spans="2:10">
      <c r="B600" s="86">
        <v>232400388</v>
      </c>
      <c r="C600" s="9">
        <v>45083</v>
      </c>
      <c r="D600" s="10" t="s">
        <v>34</v>
      </c>
      <c r="E600" s="10">
        <v>100000</v>
      </c>
      <c r="F600" s="10">
        <v>0.051</v>
      </c>
      <c r="G600" s="9">
        <v>45132</v>
      </c>
      <c r="H600" s="12">
        <f t="shared" si="9"/>
        <v>5100</v>
      </c>
      <c r="I600" s="12" t="s">
        <v>10</v>
      </c>
      <c r="J600" s="15"/>
    </row>
    <row r="601" hidden="1" spans="2:10">
      <c r="B601" s="86">
        <v>232400388</v>
      </c>
      <c r="C601" s="9">
        <v>45083</v>
      </c>
      <c r="D601" s="10" t="s">
        <v>34</v>
      </c>
      <c r="E601" s="10">
        <v>100000</v>
      </c>
      <c r="F601" s="10">
        <v>0.051</v>
      </c>
      <c r="G601" s="9">
        <v>45163</v>
      </c>
      <c r="H601" s="12">
        <f t="shared" si="9"/>
        <v>5100</v>
      </c>
      <c r="I601" s="12" t="s">
        <v>10</v>
      </c>
      <c r="J601" s="15"/>
    </row>
    <row r="602" hidden="1" spans="2:10">
      <c r="B602" s="86">
        <v>232400388</v>
      </c>
      <c r="C602" s="9">
        <v>45083</v>
      </c>
      <c r="D602" s="10" t="s">
        <v>34</v>
      </c>
      <c r="E602" s="10">
        <v>100000</v>
      </c>
      <c r="F602" s="10">
        <v>0.051</v>
      </c>
      <c r="G602" s="9">
        <v>45194</v>
      </c>
      <c r="H602" s="12">
        <f t="shared" si="9"/>
        <v>5100</v>
      </c>
      <c r="I602" s="12" t="s">
        <v>10</v>
      </c>
      <c r="J602" s="15"/>
    </row>
    <row r="603" hidden="1" spans="2:10">
      <c r="B603" s="86">
        <v>232400389</v>
      </c>
      <c r="C603" s="9">
        <v>45083</v>
      </c>
      <c r="D603" s="10" t="s">
        <v>34</v>
      </c>
      <c r="E603" s="10">
        <v>50000</v>
      </c>
      <c r="F603" s="10">
        <v>0.051</v>
      </c>
      <c r="G603" s="9">
        <v>45122</v>
      </c>
      <c r="H603" s="12">
        <f t="shared" si="9"/>
        <v>2550</v>
      </c>
      <c r="I603" s="12" t="s">
        <v>10</v>
      </c>
      <c r="J603" s="15"/>
    </row>
    <row r="604" hidden="1" spans="2:10">
      <c r="B604" s="86">
        <v>232400389</v>
      </c>
      <c r="C604" s="9">
        <v>45083</v>
      </c>
      <c r="D604" s="10" t="s">
        <v>34</v>
      </c>
      <c r="E604" s="10">
        <v>50000</v>
      </c>
      <c r="F604" s="10">
        <v>0.051</v>
      </c>
      <c r="G604" s="9">
        <v>45153</v>
      </c>
      <c r="H604" s="12">
        <f t="shared" si="9"/>
        <v>2550</v>
      </c>
      <c r="I604" s="12" t="s">
        <v>10</v>
      </c>
      <c r="J604" s="15"/>
    </row>
    <row r="605" hidden="1" spans="2:10">
      <c r="B605" s="86">
        <v>232400395</v>
      </c>
      <c r="C605" s="9">
        <v>45084</v>
      </c>
      <c r="D605" s="10" t="s">
        <v>137</v>
      </c>
      <c r="E605" s="10">
        <v>82000</v>
      </c>
      <c r="F605" s="10">
        <v>0.019</v>
      </c>
      <c r="G605" s="9">
        <v>45127</v>
      </c>
      <c r="H605" s="12">
        <f t="shared" si="9"/>
        <v>1558</v>
      </c>
      <c r="I605" s="12" t="s">
        <v>10</v>
      </c>
      <c r="J605" s="15"/>
    </row>
    <row r="606" hidden="1" spans="2:10">
      <c r="B606" s="86">
        <v>232400395</v>
      </c>
      <c r="C606" s="9">
        <v>45084</v>
      </c>
      <c r="D606" s="87" t="s">
        <v>284</v>
      </c>
      <c r="E606" s="10">
        <v>20000</v>
      </c>
      <c r="F606" s="10">
        <v>0.0304</v>
      </c>
      <c r="G606" s="9">
        <v>45158</v>
      </c>
      <c r="H606" s="12">
        <f t="shared" si="9"/>
        <v>608</v>
      </c>
      <c r="I606" s="12" t="s">
        <v>10</v>
      </c>
      <c r="J606" s="15"/>
    </row>
    <row r="607" hidden="1" spans="2:10">
      <c r="B607" s="86">
        <v>232400395</v>
      </c>
      <c r="C607" s="9">
        <v>45084</v>
      </c>
      <c r="D607" s="10" t="s">
        <v>136</v>
      </c>
      <c r="E607" s="10">
        <v>58000</v>
      </c>
      <c r="F607" s="10">
        <v>0.035</v>
      </c>
      <c r="G607" s="9">
        <v>45158</v>
      </c>
      <c r="H607" s="12">
        <f t="shared" si="9"/>
        <v>2030</v>
      </c>
      <c r="I607" s="12" t="s">
        <v>10</v>
      </c>
      <c r="J607" s="15"/>
    </row>
    <row r="608" hidden="1" spans="2:10">
      <c r="B608" s="86">
        <v>232400395</v>
      </c>
      <c r="C608" s="9">
        <v>45084</v>
      </c>
      <c r="D608" s="10" t="s">
        <v>137</v>
      </c>
      <c r="E608" s="10">
        <v>108000</v>
      </c>
      <c r="F608" s="10">
        <v>0.019</v>
      </c>
      <c r="G608" s="9">
        <v>45158</v>
      </c>
      <c r="H608" s="12">
        <f t="shared" si="9"/>
        <v>2052</v>
      </c>
      <c r="I608" s="12" t="s">
        <v>10</v>
      </c>
      <c r="J608" s="15"/>
    </row>
    <row r="609" hidden="1" spans="2:11">
      <c r="B609" s="86">
        <v>232400396</v>
      </c>
      <c r="C609" s="9">
        <v>45084</v>
      </c>
      <c r="D609" s="10" t="s">
        <v>285</v>
      </c>
      <c r="E609" s="10">
        <v>24000</v>
      </c>
      <c r="F609" s="10">
        <v>0.02</v>
      </c>
      <c r="G609" s="9">
        <v>45092</v>
      </c>
      <c r="H609" s="12">
        <f t="shared" si="9"/>
        <v>480</v>
      </c>
      <c r="I609" s="12" t="s">
        <v>10</v>
      </c>
      <c r="J609" s="15"/>
    </row>
    <row r="610" hidden="1" spans="2:11">
      <c r="B610" s="86">
        <v>232400396</v>
      </c>
      <c r="C610" s="9">
        <v>45084</v>
      </c>
      <c r="D610" s="10" t="s">
        <v>286</v>
      </c>
      <c r="E610" s="10">
        <v>24000</v>
      </c>
      <c r="F610" s="10">
        <v>0.0235</v>
      </c>
      <c r="G610" s="9">
        <v>45092</v>
      </c>
      <c r="H610" s="12">
        <f t="shared" si="9"/>
        <v>564</v>
      </c>
      <c r="I610" s="12" t="s">
        <v>10</v>
      </c>
      <c r="J610" s="15"/>
    </row>
    <row r="611" hidden="1" spans="2:11">
      <c r="B611" s="86">
        <v>232400396</v>
      </c>
      <c r="C611" s="9">
        <v>45084</v>
      </c>
      <c r="D611" s="10" t="s">
        <v>287</v>
      </c>
      <c r="E611" s="10">
        <v>20000</v>
      </c>
      <c r="F611" s="10">
        <v>0.018</v>
      </c>
      <c r="G611" s="9">
        <v>45092</v>
      </c>
      <c r="H611" s="12">
        <f t="shared" si="9"/>
        <v>360</v>
      </c>
      <c r="I611" s="12" t="s">
        <v>10</v>
      </c>
      <c r="J611" s="15"/>
    </row>
    <row r="612" hidden="1" spans="2:11">
      <c r="B612" s="86">
        <v>232400396</v>
      </c>
      <c r="C612" s="9">
        <v>45084</v>
      </c>
      <c r="D612" s="10" t="s">
        <v>288</v>
      </c>
      <c r="E612" s="10">
        <v>24000</v>
      </c>
      <c r="F612" s="10">
        <v>0.022</v>
      </c>
      <c r="G612" s="9">
        <v>45092</v>
      </c>
      <c r="H612" s="12">
        <f t="shared" si="9"/>
        <v>528</v>
      </c>
      <c r="I612" s="12" t="s">
        <v>10</v>
      </c>
      <c r="J612" s="15"/>
    </row>
    <row r="613" hidden="1" spans="2:11">
      <c r="B613" s="86">
        <v>232400400</v>
      </c>
      <c r="C613" s="9">
        <v>45085</v>
      </c>
      <c r="D613" s="10" t="s">
        <v>33</v>
      </c>
      <c r="E613" s="10">
        <v>20000</v>
      </c>
      <c r="F613" s="10">
        <v>0.02</v>
      </c>
      <c r="G613" s="9">
        <v>45097</v>
      </c>
      <c r="H613" s="12">
        <f t="shared" si="9"/>
        <v>400</v>
      </c>
      <c r="I613" s="12" t="s">
        <v>10</v>
      </c>
      <c r="J613" s="15"/>
    </row>
    <row r="614" hidden="1" spans="2:11">
      <c r="B614" s="86">
        <v>232400400</v>
      </c>
      <c r="C614" s="9">
        <v>45085</v>
      </c>
      <c r="D614" s="10" t="s">
        <v>33</v>
      </c>
      <c r="E614" s="10">
        <v>40000</v>
      </c>
      <c r="F614" s="10">
        <v>0.02</v>
      </c>
      <c r="G614" s="9">
        <v>45127</v>
      </c>
      <c r="H614" s="12">
        <f t="shared" si="9"/>
        <v>800</v>
      </c>
      <c r="I614" s="12" t="s">
        <v>10</v>
      </c>
      <c r="J614" s="15"/>
    </row>
    <row r="615" hidden="1" spans="2:11">
      <c r="B615" s="86">
        <v>232400403</v>
      </c>
      <c r="C615" s="9">
        <v>45086</v>
      </c>
      <c r="D615" s="87" t="s">
        <v>200</v>
      </c>
      <c r="E615" s="10">
        <v>100000</v>
      </c>
      <c r="F615" s="10">
        <v>0.05</v>
      </c>
      <c r="G615" s="9">
        <v>45127</v>
      </c>
      <c r="H615" s="12">
        <f t="shared" si="9"/>
        <v>5000</v>
      </c>
      <c r="I615" s="12" t="s">
        <v>10</v>
      </c>
      <c r="J615" s="15"/>
    </row>
    <row r="616" hidden="1" spans="2:11">
      <c r="B616" s="86">
        <v>232400404</v>
      </c>
      <c r="C616" s="9">
        <v>45086</v>
      </c>
      <c r="D616" s="87" t="s">
        <v>200</v>
      </c>
      <c r="E616" s="10">
        <v>100000</v>
      </c>
      <c r="F616" s="10">
        <v>0.05</v>
      </c>
      <c r="G616" s="9">
        <v>45127</v>
      </c>
      <c r="H616" s="12">
        <f t="shared" si="9"/>
        <v>5000</v>
      </c>
      <c r="I616" s="12" t="s">
        <v>10</v>
      </c>
      <c r="J616" s="15"/>
    </row>
    <row r="617" hidden="1" spans="2:11">
      <c r="B617" s="86">
        <v>232400404</v>
      </c>
      <c r="C617" s="9">
        <v>45086</v>
      </c>
      <c r="D617" s="87" t="s">
        <v>254</v>
      </c>
      <c r="E617" s="10">
        <v>1000000</v>
      </c>
      <c r="F617" s="10">
        <v>0.03</v>
      </c>
      <c r="G617" s="9">
        <v>45198</v>
      </c>
      <c r="H617" s="12">
        <f t="shared" si="9"/>
        <v>30000</v>
      </c>
      <c r="I617" s="12" t="s">
        <v>10</v>
      </c>
      <c r="J617" s="15"/>
    </row>
    <row r="618" hidden="1" spans="2:11">
      <c r="B618" s="86">
        <v>232400408</v>
      </c>
      <c r="C618" s="9">
        <v>45086</v>
      </c>
      <c r="D618" s="87" t="s">
        <v>231</v>
      </c>
      <c r="E618" s="10">
        <v>201000</v>
      </c>
      <c r="F618" s="10">
        <v>0.0083</v>
      </c>
      <c r="G618" s="9">
        <v>45117</v>
      </c>
      <c r="H618" s="12">
        <f t="shared" si="9"/>
        <v>1668.3</v>
      </c>
      <c r="I618" s="12" t="s">
        <v>10</v>
      </c>
      <c r="J618" s="15"/>
    </row>
    <row r="619" hidden="1" spans="2:11">
      <c r="B619" s="86">
        <v>232400408</v>
      </c>
      <c r="C619" s="9">
        <v>45086</v>
      </c>
      <c r="D619" s="87" t="s">
        <v>231</v>
      </c>
      <c r="E619" s="10">
        <v>201000</v>
      </c>
      <c r="F619" s="10">
        <v>0.0083</v>
      </c>
      <c r="G619" s="9">
        <v>45148</v>
      </c>
      <c r="H619" s="12">
        <f t="shared" si="9"/>
        <v>1668.3</v>
      </c>
      <c r="I619" s="12" t="s">
        <v>10</v>
      </c>
      <c r="J619" s="15"/>
    </row>
    <row r="620" hidden="1" spans="2:11">
      <c r="B620" s="86">
        <v>232400408</v>
      </c>
      <c r="C620" s="9">
        <v>45086</v>
      </c>
      <c r="D620" s="87" t="s">
        <v>231</v>
      </c>
      <c r="E620" s="10">
        <v>201000</v>
      </c>
      <c r="F620" s="10">
        <v>0.0083</v>
      </c>
      <c r="G620" s="9">
        <v>45179</v>
      </c>
      <c r="H620" s="12">
        <f t="shared" si="9"/>
        <v>1668.3</v>
      </c>
      <c r="I620" s="12" t="s">
        <v>10</v>
      </c>
      <c r="J620" s="15"/>
    </row>
    <row r="621" hidden="1" spans="2:11">
      <c r="B621" s="86">
        <v>232400408</v>
      </c>
      <c r="C621" s="9">
        <v>45086</v>
      </c>
      <c r="D621" s="87" t="s">
        <v>231</v>
      </c>
      <c r="E621" s="10">
        <v>201000</v>
      </c>
      <c r="F621" s="10">
        <v>0.0083</v>
      </c>
      <c r="G621" s="9">
        <v>45209</v>
      </c>
      <c r="H621" s="12">
        <f t="shared" si="9"/>
        <v>1668.3</v>
      </c>
      <c r="I621" s="12" t="s">
        <v>10</v>
      </c>
      <c r="J621" s="15"/>
    </row>
    <row r="622" hidden="1" spans="2:11">
      <c r="B622" s="86">
        <v>232400409</v>
      </c>
      <c r="C622" s="9">
        <v>45086</v>
      </c>
      <c r="D622" s="87" t="s">
        <v>231</v>
      </c>
      <c r="E622" s="10">
        <v>252000</v>
      </c>
      <c r="F622" s="10">
        <v>0.0083</v>
      </c>
      <c r="G622" s="9">
        <v>45112</v>
      </c>
      <c r="H622" s="12">
        <f t="shared" si="9"/>
        <v>2091.6</v>
      </c>
      <c r="I622" s="12" t="s">
        <v>10</v>
      </c>
      <c r="J622" s="15"/>
    </row>
    <row r="623" hidden="1" spans="2:11">
      <c r="B623" s="86">
        <v>232400409</v>
      </c>
      <c r="C623" s="9">
        <v>45086</v>
      </c>
      <c r="D623" s="87" t="s">
        <v>231</v>
      </c>
      <c r="E623" s="10">
        <v>252000</v>
      </c>
      <c r="F623" s="10">
        <v>0.0083</v>
      </c>
      <c r="G623" s="9">
        <v>45122</v>
      </c>
      <c r="H623" s="12">
        <f t="shared" si="9"/>
        <v>2091.6</v>
      </c>
      <c r="I623" s="12" t="s">
        <v>10</v>
      </c>
      <c r="J623" s="15"/>
    </row>
    <row r="624" hidden="1" spans="2:11">
      <c r="B624" s="86">
        <v>232400409</v>
      </c>
      <c r="C624" s="9">
        <v>45086</v>
      </c>
      <c r="D624" s="87" t="s">
        <v>231</v>
      </c>
      <c r="E624" s="10">
        <v>252000</v>
      </c>
      <c r="F624" s="10">
        <v>0.0083</v>
      </c>
      <c r="G624" s="9">
        <v>45153</v>
      </c>
      <c r="H624" s="12">
        <f t="shared" si="9"/>
        <v>2091.6</v>
      </c>
      <c r="I624" s="12" t="s">
        <v>10</v>
      </c>
      <c r="J624" s="15">
        <v>285000</v>
      </c>
      <c r="K624" s="131"/>
    </row>
    <row r="625" hidden="1" spans="2:11">
      <c r="B625" s="127">
        <v>232400409</v>
      </c>
      <c r="C625" s="54">
        <v>45086</v>
      </c>
      <c r="D625" s="93" t="s">
        <v>231</v>
      </c>
      <c r="E625" s="56">
        <v>252000</v>
      </c>
      <c r="F625" s="56">
        <v>0.0083</v>
      </c>
      <c r="G625" s="54">
        <v>45214</v>
      </c>
      <c r="H625" s="58">
        <f t="shared" si="9"/>
        <v>2091.6</v>
      </c>
      <c r="I625" s="12" t="s">
        <v>10</v>
      </c>
      <c r="J625" s="15">
        <v>102000</v>
      </c>
      <c r="K625" s="131"/>
    </row>
    <row r="626" hidden="1" spans="2:11">
      <c r="B626" s="86">
        <v>232400414</v>
      </c>
      <c r="C626" s="9">
        <v>45089</v>
      </c>
      <c r="D626" s="10" t="s">
        <v>285</v>
      </c>
      <c r="E626" s="10">
        <v>24000</v>
      </c>
      <c r="F626" s="10">
        <v>0.02</v>
      </c>
      <c r="G626" s="9">
        <v>45122</v>
      </c>
      <c r="H626" s="12">
        <f t="shared" si="9"/>
        <v>480</v>
      </c>
      <c r="I626" s="12" t="s">
        <v>10</v>
      </c>
      <c r="J626" s="15"/>
    </row>
    <row r="627" hidden="1" spans="2:11">
      <c r="B627" s="86">
        <v>232400414</v>
      </c>
      <c r="C627" s="9">
        <v>45089</v>
      </c>
      <c r="D627" s="10" t="s">
        <v>286</v>
      </c>
      <c r="E627" s="10">
        <v>24000</v>
      </c>
      <c r="F627" s="10">
        <v>0.0235</v>
      </c>
      <c r="G627" s="9">
        <v>45122</v>
      </c>
      <c r="H627" s="12">
        <f t="shared" si="9"/>
        <v>564</v>
      </c>
      <c r="I627" s="12" t="s">
        <v>10</v>
      </c>
      <c r="J627" s="15"/>
    </row>
    <row r="628" hidden="1" spans="2:11">
      <c r="B628" s="86">
        <v>232400414</v>
      </c>
      <c r="C628" s="9">
        <v>45089</v>
      </c>
      <c r="D628" s="10" t="s">
        <v>287</v>
      </c>
      <c r="E628" s="10">
        <v>20000</v>
      </c>
      <c r="F628" s="10">
        <v>0.018</v>
      </c>
      <c r="G628" s="9">
        <v>45122</v>
      </c>
      <c r="H628" s="12">
        <f t="shared" si="9"/>
        <v>360</v>
      </c>
      <c r="I628" s="12" t="s">
        <v>10</v>
      </c>
      <c r="J628" s="15"/>
    </row>
    <row r="629" hidden="1" spans="2:11">
      <c r="B629" s="86">
        <v>232400414</v>
      </c>
      <c r="C629" s="9">
        <v>45089</v>
      </c>
      <c r="D629" s="10" t="s">
        <v>288</v>
      </c>
      <c r="E629" s="10">
        <v>24000</v>
      </c>
      <c r="F629" s="10">
        <v>0.022</v>
      </c>
      <c r="G629" s="9">
        <v>45122</v>
      </c>
      <c r="H629" s="12">
        <f t="shared" si="9"/>
        <v>528</v>
      </c>
      <c r="I629" s="12" t="s">
        <v>10</v>
      </c>
      <c r="J629" s="15"/>
    </row>
    <row r="630" hidden="1" spans="2:11">
      <c r="B630" s="86">
        <v>232400414</v>
      </c>
      <c r="C630" s="9">
        <v>45089</v>
      </c>
      <c r="D630" s="10" t="s">
        <v>285</v>
      </c>
      <c r="E630" s="10">
        <v>24000</v>
      </c>
      <c r="F630" s="10">
        <v>0.02</v>
      </c>
      <c r="G630" s="9">
        <v>45153</v>
      </c>
      <c r="H630" s="12">
        <f t="shared" si="9"/>
        <v>480</v>
      </c>
      <c r="I630" s="12" t="s">
        <v>10</v>
      </c>
      <c r="J630" s="15"/>
    </row>
    <row r="631" hidden="1" spans="2:11">
      <c r="B631" s="86">
        <v>232400414</v>
      </c>
      <c r="C631" s="9">
        <v>45089</v>
      </c>
      <c r="D631" s="10" t="s">
        <v>286</v>
      </c>
      <c r="E631" s="10">
        <v>24000</v>
      </c>
      <c r="F631" s="10">
        <v>0.0235</v>
      </c>
      <c r="G631" s="9">
        <v>45153</v>
      </c>
      <c r="H631" s="12">
        <f t="shared" si="9"/>
        <v>564</v>
      </c>
      <c r="I631" s="12" t="s">
        <v>10</v>
      </c>
      <c r="J631" s="15"/>
    </row>
    <row r="632" hidden="1" spans="2:11">
      <c r="B632" s="86">
        <v>232400414</v>
      </c>
      <c r="C632" s="9">
        <v>45089</v>
      </c>
      <c r="D632" s="10" t="s">
        <v>287</v>
      </c>
      <c r="E632" s="10">
        <v>20000</v>
      </c>
      <c r="F632" s="10">
        <v>0.018</v>
      </c>
      <c r="G632" s="9">
        <v>45153</v>
      </c>
      <c r="H632" s="12">
        <f t="shared" si="9"/>
        <v>360</v>
      </c>
      <c r="I632" s="12" t="s">
        <v>10</v>
      </c>
      <c r="J632" s="15"/>
    </row>
    <row r="633" hidden="1" spans="2:11">
      <c r="B633" s="86">
        <v>232400414</v>
      </c>
      <c r="C633" s="9">
        <v>45089</v>
      </c>
      <c r="D633" s="10" t="s">
        <v>288</v>
      </c>
      <c r="E633" s="10">
        <v>24000</v>
      </c>
      <c r="F633" s="10">
        <v>0.022</v>
      </c>
      <c r="G633" s="9">
        <v>45153</v>
      </c>
      <c r="H633" s="12">
        <f t="shared" si="9"/>
        <v>528</v>
      </c>
      <c r="I633" s="12" t="s">
        <v>10</v>
      </c>
      <c r="J633" s="15"/>
    </row>
    <row r="634" hidden="1" spans="2:11">
      <c r="B634" s="86">
        <v>232400435</v>
      </c>
      <c r="C634" s="9">
        <v>45091</v>
      </c>
      <c r="D634" s="10" t="s">
        <v>82</v>
      </c>
      <c r="E634" s="10">
        <v>80000</v>
      </c>
      <c r="F634" s="10">
        <v>0.022</v>
      </c>
      <c r="G634" s="9">
        <v>45117</v>
      </c>
      <c r="H634" s="12">
        <f t="shared" si="9"/>
        <v>1760</v>
      </c>
      <c r="I634" s="12" t="s">
        <v>10</v>
      </c>
      <c r="J634" s="15"/>
    </row>
    <row r="635" hidden="1" spans="2:11">
      <c r="B635" s="86">
        <v>232400435</v>
      </c>
      <c r="C635" s="9">
        <v>45091</v>
      </c>
      <c r="D635" s="10" t="s">
        <v>212</v>
      </c>
      <c r="E635" s="10">
        <v>20000</v>
      </c>
      <c r="F635" s="10">
        <v>0.023</v>
      </c>
      <c r="G635" s="9">
        <v>45117</v>
      </c>
      <c r="H635" s="12">
        <f t="shared" si="9"/>
        <v>460</v>
      </c>
      <c r="I635" s="12" t="s">
        <v>10</v>
      </c>
      <c r="J635" s="15"/>
    </row>
    <row r="636" hidden="1" spans="2:11">
      <c r="B636" s="86">
        <v>232400435</v>
      </c>
      <c r="C636" s="9">
        <v>45091</v>
      </c>
      <c r="D636" s="10" t="s">
        <v>82</v>
      </c>
      <c r="E636" s="10">
        <v>80000</v>
      </c>
      <c r="F636" s="10">
        <v>0.022</v>
      </c>
      <c r="G636" s="9">
        <v>45148</v>
      </c>
      <c r="H636" s="12">
        <f t="shared" si="9"/>
        <v>1760</v>
      </c>
      <c r="I636" s="12" t="s">
        <v>10</v>
      </c>
      <c r="J636" s="15"/>
    </row>
    <row r="637" hidden="1" spans="2:11">
      <c r="B637" s="86">
        <v>232400435</v>
      </c>
      <c r="C637" s="9">
        <v>45091</v>
      </c>
      <c r="D637" s="10" t="s">
        <v>212</v>
      </c>
      <c r="E637" s="10">
        <v>20000</v>
      </c>
      <c r="F637" s="10">
        <v>0.023</v>
      </c>
      <c r="G637" s="9">
        <v>45148</v>
      </c>
      <c r="H637" s="12">
        <f t="shared" si="9"/>
        <v>460</v>
      </c>
      <c r="I637" s="12" t="s">
        <v>10</v>
      </c>
      <c r="J637" s="15"/>
    </row>
    <row r="638" hidden="1" spans="2:11">
      <c r="B638" s="86">
        <v>232400435</v>
      </c>
      <c r="C638" s="9">
        <v>45091</v>
      </c>
      <c r="D638" s="10" t="s">
        <v>82</v>
      </c>
      <c r="E638" s="10">
        <v>80000</v>
      </c>
      <c r="F638" s="10">
        <v>0.022</v>
      </c>
      <c r="G638" s="9">
        <v>45179</v>
      </c>
      <c r="H638" s="12">
        <f t="shared" si="9"/>
        <v>1760</v>
      </c>
      <c r="I638" s="12" t="s">
        <v>10</v>
      </c>
      <c r="J638" s="15"/>
    </row>
    <row r="639" hidden="1" spans="2:11">
      <c r="B639" s="86">
        <v>232400435</v>
      </c>
      <c r="C639" s="9">
        <v>45091</v>
      </c>
      <c r="D639" s="10" t="s">
        <v>212</v>
      </c>
      <c r="E639" s="10">
        <v>20000</v>
      </c>
      <c r="F639" s="10">
        <v>0.023</v>
      </c>
      <c r="G639" s="9">
        <v>45179</v>
      </c>
      <c r="H639" s="12">
        <f t="shared" si="9"/>
        <v>460</v>
      </c>
      <c r="I639" s="12" t="s">
        <v>10</v>
      </c>
      <c r="J639" s="15"/>
    </row>
    <row r="640" hidden="1" spans="2:11">
      <c r="B640" s="86">
        <v>232400442</v>
      </c>
      <c r="C640" s="9">
        <v>45093</v>
      </c>
      <c r="D640" s="87" t="s">
        <v>269</v>
      </c>
      <c r="E640" s="10">
        <v>60000</v>
      </c>
      <c r="F640" s="10">
        <v>0.05</v>
      </c>
      <c r="G640" s="9">
        <v>45122</v>
      </c>
      <c r="H640" s="12">
        <f t="shared" si="9"/>
        <v>3000</v>
      </c>
      <c r="I640" s="12" t="s">
        <v>10</v>
      </c>
      <c r="J640" s="15"/>
    </row>
    <row r="641" hidden="1" spans="2:10">
      <c r="B641" s="86">
        <v>232400442</v>
      </c>
      <c r="C641" s="9">
        <v>45093</v>
      </c>
      <c r="D641" s="87" t="s">
        <v>269</v>
      </c>
      <c r="E641" s="10">
        <v>60000</v>
      </c>
      <c r="F641" s="10">
        <v>0.05</v>
      </c>
      <c r="G641" s="9">
        <v>45153</v>
      </c>
      <c r="H641" s="12">
        <f t="shared" si="9"/>
        <v>3000</v>
      </c>
      <c r="I641" s="12" t="s">
        <v>10</v>
      </c>
      <c r="J641" s="15"/>
    </row>
    <row r="642" hidden="1" spans="2:10">
      <c r="B642" s="86">
        <v>232400442</v>
      </c>
      <c r="C642" s="9">
        <v>45093</v>
      </c>
      <c r="D642" s="87" t="s">
        <v>269</v>
      </c>
      <c r="E642" s="10">
        <v>60000</v>
      </c>
      <c r="F642" s="10">
        <v>0.05</v>
      </c>
      <c r="G642" s="9">
        <v>45184</v>
      </c>
      <c r="H642" s="12">
        <f t="shared" ref="H642:H705" si="10">E642*F642</f>
        <v>3000</v>
      </c>
      <c r="I642" s="12" t="s">
        <v>10</v>
      </c>
      <c r="J642" s="15"/>
    </row>
    <row r="643" hidden="1" spans="2:10">
      <c r="B643" s="86">
        <v>232400443</v>
      </c>
      <c r="C643" s="9">
        <v>45093</v>
      </c>
      <c r="D643" s="87" t="s">
        <v>200</v>
      </c>
      <c r="E643" s="10">
        <v>240000</v>
      </c>
      <c r="F643" s="10">
        <v>0.05</v>
      </c>
      <c r="G643" s="9">
        <v>45148</v>
      </c>
      <c r="H643" s="12">
        <f t="shared" si="10"/>
        <v>12000</v>
      </c>
      <c r="I643" s="12" t="s">
        <v>10</v>
      </c>
      <c r="J643" s="15"/>
    </row>
    <row r="644" hidden="1" spans="2:10">
      <c r="B644" s="86">
        <v>232400443</v>
      </c>
      <c r="C644" s="9">
        <v>45093</v>
      </c>
      <c r="D644" s="87" t="s">
        <v>200</v>
      </c>
      <c r="E644" s="10">
        <v>240000</v>
      </c>
      <c r="F644" s="10">
        <v>0.05</v>
      </c>
      <c r="G644" s="9">
        <v>45179</v>
      </c>
      <c r="H644" s="12">
        <f t="shared" si="10"/>
        <v>12000</v>
      </c>
      <c r="I644" s="12" t="s">
        <v>10</v>
      </c>
      <c r="J644" s="15"/>
    </row>
    <row r="645" hidden="1" spans="2:10">
      <c r="B645" s="86">
        <v>232400444</v>
      </c>
      <c r="C645" s="9">
        <v>45093</v>
      </c>
      <c r="D645" s="87" t="s">
        <v>271</v>
      </c>
      <c r="E645" s="10">
        <v>120000</v>
      </c>
      <c r="F645" s="10">
        <v>0.024</v>
      </c>
      <c r="G645" s="9">
        <v>45168</v>
      </c>
      <c r="H645" s="12">
        <f t="shared" si="10"/>
        <v>2880</v>
      </c>
      <c r="I645" s="12" t="s">
        <v>10</v>
      </c>
      <c r="J645" s="15"/>
    </row>
    <row r="646" hidden="1" spans="2:10">
      <c r="B646" s="86">
        <v>232400444</v>
      </c>
      <c r="C646" s="9">
        <v>45093</v>
      </c>
      <c r="D646" s="87" t="s">
        <v>257</v>
      </c>
      <c r="E646" s="10">
        <v>48000</v>
      </c>
      <c r="F646" s="10">
        <v>0.01</v>
      </c>
      <c r="G646" s="9">
        <v>45117</v>
      </c>
      <c r="H646" s="12">
        <f t="shared" si="10"/>
        <v>480</v>
      </c>
      <c r="I646" s="12" t="s">
        <v>10</v>
      </c>
      <c r="J646" s="15"/>
    </row>
    <row r="647" hidden="1" spans="2:10">
      <c r="B647" s="86">
        <v>232400444</v>
      </c>
      <c r="C647" s="9">
        <v>45093</v>
      </c>
      <c r="D647" s="87" t="s">
        <v>257</v>
      </c>
      <c r="E647" s="10">
        <v>52000</v>
      </c>
      <c r="F647" s="10">
        <v>0.01</v>
      </c>
      <c r="G647" s="9">
        <v>45148</v>
      </c>
      <c r="H647" s="12">
        <f t="shared" si="10"/>
        <v>520</v>
      </c>
      <c r="I647" s="12" t="s">
        <v>10</v>
      </c>
      <c r="J647" s="15"/>
    </row>
    <row r="648" hidden="1" spans="2:10">
      <c r="B648" s="86">
        <v>232400444</v>
      </c>
      <c r="C648" s="9">
        <v>45093</v>
      </c>
      <c r="D648" s="87" t="s">
        <v>257</v>
      </c>
      <c r="E648" s="10">
        <v>52000</v>
      </c>
      <c r="F648" s="10">
        <v>0.01</v>
      </c>
      <c r="G648" s="9">
        <v>45179</v>
      </c>
      <c r="H648" s="12">
        <f t="shared" si="10"/>
        <v>520</v>
      </c>
      <c r="I648" s="12" t="s">
        <v>10</v>
      </c>
      <c r="J648" s="15"/>
    </row>
    <row r="649" hidden="1" spans="2:10">
      <c r="B649" s="86">
        <v>232400444</v>
      </c>
      <c r="C649" s="9">
        <v>45093</v>
      </c>
      <c r="D649" s="87" t="s">
        <v>267</v>
      </c>
      <c r="E649" s="10">
        <v>208000</v>
      </c>
      <c r="F649" s="10">
        <v>0.015</v>
      </c>
      <c r="G649" s="9">
        <v>45148</v>
      </c>
      <c r="H649" s="12">
        <f t="shared" si="10"/>
        <v>3120</v>
      </c>
      <c r="I649" s="12" t="s">
        <v>10</v>
      </c>
      <c r="J649" s="15"/>
    </row>
    <row r="650" hidden="1" spans="2:10">
      <c r="B650" s="86">
        <v>232400444</v>
      </c>
      <c r="C650" s="9">
        <v>45093</v>
      </c>
      <c r="D650" s="10" t="s">
        <v>236</v>
      </c>
      <c r="E650" s="10">
        <v>96000</v>
      </c>
      <c r="F650" s="10">
        <v>0.006</v>
      </c>
      <c r="G650" s="9">
        <v>45117</v>
      </c>
      <c r="H650" s="12">
        <f t="shared" si="10"/>
        <v>576</v>
      </c>
      <c r="I650" s="12" t="s">
        <v>10</v>
      </c>
      <c r="J650" s="15"/>
    </row>
    <row r="651" hidden="1" spans="2:10">
      <c r="B651" s="86">
        <v>232400444</v>
      </c>
      <c r="C651" s="9">
        <v>45093</v>
      </c>
      <c r="D651" s="10" t="s">
        <v>163</v>
      </c>
      <c r="E651" s="10">
        <v>208000</v>
      </c>
      <c r="F651" s="10">
        <v>0.0025</v>
      </c>
      <c r="G651" s="9">
        <v>45117</v>
      </c>
      <c r="H651" s="12">
        <f t="shared" si="10"/>
        <v>520</v>
      </c>
      <c r="I651" s="12" t="s">
        <v>10</v>
      </c>
      <c r="J651" s="15"/>
    </row>
    <row r="652" hidden="1" spans="2:10">
      <c r="B652" s="86">
        <v>232400461</v>
      </c>
      <c r="C652" s="9">
        <v>45097</v>
      </c>
      <c r="D652" s="87" t="s">
        <v>273</v>
      </c>
      <c r="E652" s="10">
        <v>150000</v>
      </c>
      <c r="F652" s="10">
        <v>0.028</v>
      </c>
      <c r="G652" s="9">
        <v>45133</v>
      </c>
      <c r="H652" s="12">
        <f t="shared" si="10"/>
        <v>4200</v>
      </c>
      <c r="I652" s="12" t="s">
        <v>10</v>
      </c>
      <c r="J652" s="15"/>
    </row>
    <row r="653" hidden="1" spans="2:10">
      <c r="B653" s="86">
        <v>232400463</v>
      </c>
      <c r="C653" s="9">
        <v>45098</v>
      </c>
      <c r="D653" s="87" t="s">
        <v>250</v>
      </c>
      <c r="E653" s="10">
        <v>50000</v>
      </c>
      <c r="F653" s="10">
        <v>0.04</v>
      </c>
      <c r="G653" s="9">
        <v>45122</v>
      </c>
      <c r="H653" s="12">
        <f t="shared" si="10"/>
        <v>2000</v>
      </c>
      <c r="I653" s="12" t="s">
        <v>10</v>
      </c>
      <c r="J653" s="15"/>
    </row>
    <row r="654" hidden="1" spans="2:10">
      <c r="B654" s="86">
        <v>232400463</v>
      </c>
      <c r="C654" s="9">
        <v>45098</v>
      </c>
      <c r="D654" s="87" t="s">
        <v>250</v>
      </c>
      <c r="E654" s="10">
        <v>50000</v>
      </c>
      <c r="F654" s="10">
        <v>0.04</v>
      </c>
      <c r="G654" s="9">
        <v>45158</v>
      </c>
      <c r="H654" s="12">
        <f t="shared" si="10"/>
        <v>2000</v>
      </c>
      <c r="I654" s="12" t="s">
        <v>10</v>
      </c>
      <c r="J654" s="15"/>
    </row>
    <row r="655" hidden="1" spans="2:10">
      <c r="B655" s="86">
        <v>232400463</v>
      </c>
      <c r="C655" s="9">
        <v>45098</v>
      </c>
      <c r="D655" s="87" t="s">
        <v>250</v>
      </c>
      <c r="E655" s="10">
        <v>50000</v>
      </c>
      <c r="F655" s="10">
        <v>0.04</v>
      </c>
      <c r="G655" s="9">
        <v>45189</v>
      </c>
      <c r="H655" s="12">
        <f t="shared" si="10"/>
        <v>2000</v>
      </c>
      <c r="I655" s="12" t="s">
        <v>10</v>
      </c>
      <c r="J655" s="15"/>
    </row>
    <row r="656" hidden="1" spans="2:10">
      <c r="B656" s="86">
        <v>232400463</v>
      </c>
      <c r="C656" s="9">
        <v>45098</v>
      </c>
      <c r="D656" s="87" t="s">
        <v>264</v>
      </c>
      <c r="E656" s="10">
        <v>50000</v>
      </c>
      <c r="F656" s="10">
        <v>0.03</v>
      </c>
      <c r="G656" s="9">
        <v>45122</v>
      </c>
      <c r="H656" s="12">
        <f t="shared" si="10"/>
        <v>1500</v>
      </c>
      <c r="I656" s="12" t="s">
        <v>10</v>
      </c>
      <c r="J656" s="15"/>
    </row>
    <row r="657" hidden="1" spans="2:10">
      <c r="B657" s="86">
        <v>232400463</v>
      </c>
      <c r="C657" s="9">
        <v>45098</v>
      </c>
      <c r="D657" s="87" t="s">
        <v>264</v>
      </c>
      <c r="E657" s="10">
        <v>50000</v>
      </c>
      <c r="F657" s="10">
        <v>0.03</v>
      </c>
      <c r="G657" s="9">
        <v>45158</v>
      </c>
      <c r="H657" s="12">
        <f t="shared" si="10"/>
        <v>1500</v>
      </c>
      <c r="I657" s="12" t="s">
        <v>10</v>
      </c>
      <c r="J657" s="15"/>
    </row>
    <row r="658" hidden="1" spans="2:10">
      <c r="B658" s="86">
        <v>232400463</v>
      </c>
      <c r="C658" s="9">
        <v>45098</v>
      </c>
      <c r="D658" s="87" t="s">
        <v>264</v>
      </c>
      <c r="E658" s="10">
        <v>50000</v>
      </c>
      <c r="F658" s="10">
        <v>0.03</v>
      </c>
      <c r="G658" s="9">
        <v>45189</v>
      </c>
      <c r="H658" s="12">
        <f t="shared" si="10"/>
        <v>1500</v>
      </c>
      <c r="I658" s="12" t="s">
        <v>10</v>
      </c>
      <c r="J658" s="15"/>
    </row>
    <row r="659" hidden="1" spans="2:10">
      <c r="B659" s="86">
        <v>232400463</v>
      </c>
      <c r="C659" s="9">
        <v>45098</v>
      </c>
      <c r="D659" s="87" t="s">
        <v>252</v>
      </c>
      <c r="E659" s="10">
        <v>90000</v>
      </c>
      <c r="F659" s="10">
        <v>0.032</v>
      </c>
      <c r="G659" s="9">
        <v>45122</v>
      </c>
      <c r="H659" s="12">
        <f t="shared" si="10"/>
        <v>2880</v>
      </c>
      <c r="I659" s="12" t="s">
        <v>10</v>
      </c>
      <c r="J659" s="15"/>
    </row>
    <row r="660" hidden="1" spans="2:10">
      <c r="B660" s="86">
        <v>232400463</v>
      </c>
      <c r="C660" s="9">
        <v>45098</v>
      </c>
      <c r="D660" s="87" t="s">
        <v>252</v>
      </c>
      <c r="E660" s="10">
        <v>90000</v>
      </c>
      <c r="F660" s="10">
        <v>0.032</v>
      </c>
      <c r="G660" s="9">
        <v>45158</v>
      </c>
      <c r="H660" s="12">
        <f t="shared" si="10"/>
        <v>2880</v>
      </c>
      <c r="I660" s="12" t="s">
        <v>10</v>
      </c>
      <c r="J660" s="15"/>
    </row>
    <row r="661" hidden="1" spans="2:10">
      <c r="B661" s="86">
        <v>232400463</v>
      </c>
      <c r="C661" s="9">
        <v>45098</v>
      </c>
      <c r="D661" s="87" t="s">
        <v>252</v>
      </c>
      <c r="E661" s="10">
        <v>90000</v>
      </c>
      <c r="F661" s="10">
        <v>0.032</v>
      </c>
      <c r="G661" s="9">
        <v>45189</v>
      </c>
      <c r="H661" s="12">
        <f t="shared" si="10"/>
        <v>2880</v>
      </c>
      <c r="I661" s="12" t="s">
        <v>10</v>
      </c>
      <c r="J661" s="15"/>
    </row>
    <row r="662" hidden="1" spans="2:10">
      <c r="B662" s="86">
        <v>232400467</v>
      </c>
      <c r="C662" s="9">
        <v>45099</v>
      </c>
      <c r="D662" s="10" t="s">
        <v>246</v>
      </c>
      <c r="E662" s="10">
        <v>40000</v>
      </c>
      <c r="F662" s="10">
        <v>0.07</v>
      </c>
      <c r="G662" s="9">
        <v>45179</v>
      </c>
      <c r="H662" s="12">
        <f t="shared" si="10"/>
        <v>2800</v>
      </c>
      <c r="I662" s="12" t="s">
        <v>10</v>
      </c>
      <c r="J662" s="15"/>
    </row>
    <row r="663" hidden="1" spans="2:10">
      <c r="B663" s="86">
        <v>232400467</v>
      </c>
      <c r="C663" s="9">
        <v>45099</v>
      </c>
      <c r="D663" s="87" t="s">
        <v>254</v>
      </c>
      <c r="E663" s="10">
        <v>1500000</v>
      </c>
      <c r="F663" s="10">
        <v>0.03</v>
      </c>
      <c r="G663" s="9">
        <v>45179</v>
      </c>
      <c r="H663" s="12">
        <f t="shared" si="10"/>
        <v>45000</v>
      </c>
      <c r="I663" s="12" t="s">
        <v>10</v>
      </c>
      <c r="J663" s="15"/>
    </row>
    <row r="664" hidden="1" spans="2:10">
      <c r="B664" s="86">
        <v>232400467</v>
      </c>
      <c r="C664" s="9">
        <v>45099</v>
      </c>
      <c r="D664" s="87" t="s">
        <v>248</v>
      </c>
      <c r="E664" s="10">
        <v>120000</v>
      </c>
      <c r="F664" s="10">
        <v>0.065</v>
      </c>
      <c r="G664" s="9">
        <v>45179</v>
      </c>
      <c r="H664" s="12">
        <f t="shared" si="10"/>
        <v>7800</v>
      </c>
      <c r="I664" s="12" t="s">
        <v>10</v>
      </c>
      <c r="J664" s="15"/>
    </row>
    <row r="665" hidden="1" spans="2:10">
      <c r="B665" s="86">
        <v>232400467</v>
      </c>
      <c r="C665" s="9">
        <v>45099</v>
      </c>
      <c r="D665" s="87" t="s">
        <v>222</v>
      </c>
      <c r="E665" s="10">
        <v>20000</v>
      </c>
      <c r="F665" s="10">
        <v>0.285</v>
      </c>
      <c r="G665" s="9">
        <v>45179</v>
      </c>
      <c r="H665" s="12">
        <f t="shared" si="10"/>
        <v>5700</v>
      </c>
      <c r="I665" s="12" t="s">
        <v>10</v>
      </c>
      <c r="J665" s="15"/>
    </row>
    <row r="666" hidden="1" spans="2:10">
      <c r="B666" s="86">
        <v>232400467</v>
      </c>
      <c r="C666" s="9">
        <v>45099</v>
      </c>
      <c r="D666" s="87" t="s">
        <v>200</v>
      </c>
      <c r="E666" s="10">
        <v>100000</v>
      </c>
      <c r="F666" s="10">
        <v>0.05</v>
      </c>
      <c r="G666" s="9">
        <v>45179</v>
      </c>
      <c r="H666" s="12">
        <f t="shared" si="10"/>
        <v>5000</v>
      </c>
      <c r="I666" s="12" t="s">
        <v>10</v>
      </c>
      <c r="J666" s="15"/>
    </row>
    <row r="667" hidden="1" spans="2:10">
      <c r="B667" s="86">
        <v>232400468</v>
      </c>
      <c r="C667" s="9">
        <v>45099</v>
      </c>
      <c r="D667" s="87" t="s">
        <v>215</v>
      </c>
      <c r="E667" s="10">
        <v>200000</v>
      </c>
      <c r="F667" s="10">
        <v>0.028</v>
      </c>
      <c r="G667" s="9">
        <v>45127</v>
      </c>
      <c r="H667" s="12">
        <f t="shared" si="10"/>
        <v>5600</v>
      </c>
      <c r="I667" s="12" t="s">
        <v>10</v>
      </c>
      <c r="J667" s="15"/>
    </row>
    <row r="668" hidden="1" spans="2:10">
      <c r="B668" s="86">
        <v>232400469</v>
      </c>
      <c r="C668" s="9">
        <v>45099</v>
      </c>
      <c r="D668" s="87" t="s">
        <v>215</v>
      </c>
      <c r="E668" s="10">
        <v>60000</v>
      </c>
      <c r="F668" s="10">
        <v>0.028</v>
      </c>
      <c r="G668" s="9">
        <v>45127</v>
      </c>
      <c r="H668" s="12">
        <f t="shared" si="10"/>
        <v>1680</v>
      </c>
      <c r="I668" s="12" t="s">
        <v>10</v>
      </c>
      <c r="J668" s="15"/>
    </row>
    <row r="669" hidden="1" spans="2:10">
      <c r="B669" s="86">
        <v>232400478</v>
      </c>
      <c r="C669" s="9">
        <v>45103</v>
      </c>
      <c r="D669" s="10" t="s">
        <v>26</v>
      </c>
      <c r="E669" s="10">
        <v>42000</v>
      </c>
      <c r="F669" s="10">
        <v>0.014</v>
      </c>
      <c r="G669" s="9">
        <v>45117</v>
      </c>
      <c r="H669" s="12">
        <f t="shared" si="10"/>
        <v>588</v>
      </c>
      <c r="I669" s="12" t="s">
        <v>10</v>
      </c>
      <c r="J669" s="15"/>
    </row>
    <row r="670" hidden="1" spans="2:10">
      <c r="B670" s="86">
        <v>232400482</v>
      </c>
      <c r="C670" s="9">
        <v>45100</v>
      </c>
      <c r="D670" s="87" t="s">
        <v>215</v>
      </c>
      <c r="E670" s="10">
        <v>40000</v>
      </c>
      <c r="F670" s="10">
        <v>0.028</v>
      </c>
      <c r="G670" s="9">
        <v>45127</v>
      </c>
      <c r="H670" s="12">
        <f t="shared" si="10"/>
        <v>1120</v>
      </c>
      <c r="I670" s="12" t="s">
        <v>10</v>
      </c>
      <c r="J670" s="15"/>
    </row>
    <row r="671" hidden="1" spans="2:10">
      <c r="B671" s="86">
        <v>232400486</v>
      </c>
      <c r="C671" s="9">
        <v>45104</v>
      </c>
      <c r="D671" s="10" t="s">
        <v>289</v>
      </c>
      <c r="E671" s="10">
        <v>36000</v>
      </c>
      <c r="F671" s="10">
        <v>0.033</v>
      </c>
      <c r="G671" s="9">
        <v>45104</v>
      </c>
      <c r="H671" s="12">
        <f t="shared" si="10"/>
        <v>1188</v>
      </c>
      <c r="I671" s="12" t="s">
        <v>10</v>
      </c>
      <c r="J671" s="15"/>
    </row>
    <row r="672" hidden="1" spans="2:10">
      <c r="B672" s="86">
        <v>232400486</v>
      </c>
      <c r="C672" s="9">
        <v>45104</v>
      </c>
      <c r="D672" s="10" t="s">
        <v>289</v>
      </c>
      <c r="E672" s="10">
        <v>36000</v>
      </c>
      <c r="F672" s="10">
        <v>0.033</v>
      </c>
      <c r="G672" s="9">
        <v>45127</v>
      </c>
      <c r="H672" s="12">
        <f t="shared" si="10"/>
        <v>1188</v>
      </c>
      <c r="I672" s="12" t="s">
        <v>10</v>
      </c>
      <c r="J672" s="15"/>
    </row>
    <row r="673" hidden="1" spans="2:10">
      <c r="B673" s="86">
        <v>232400486</v>
      </c>
      <c r="C673" s="9">
        <v>45104</v>
      </c>
      <c r="D673" s="87" t="s">
        <v>290</v>
      </c>
      <c r="E673" s="10">
        <v>48000</v>
      </c>
      <c r="F673" s="10">
        <v>0.03</v>
      </c>
      <c r="G673" s="9">
        <v>45104</v>
      </c>
      <c r="H673" s="12">
        <f t="shared" si="10"/>
        <v>1440</v>
      </c>
      <c r="I673" s="12" t="s">
        <v>10</v>
      </c>
      <c r="J673" s="15"/>
    </row>
    <row r="674" hidden="1" spans="2:10">
      <c r="B674" s="86">
        <v>232400486</v>
      </c>
      <c r="C674" s="9">
        <v>45104</v>
      </c>
      <c r="D674" s="87" t="s">
        <v>290</v>
      </c>
      <c r="E674" s="10">
        <v>48000</v>
      </c>
      <c r="F674" s="10">
        <v>0.03</v>
      </c>
      <c r="G674" s="9">
        <v>45127</v>
      </c>
      <c r="H674" s="12">
        <f t="shared" si="10"/>
        <v>1440</v>
      </c>
      <c r="I674" s="12" t="s">
        <v>10</v>
      </c>
      <c r="J674" s="15"/>
    </row>
    <row r="675" hidden="1" spans="2:10">
      <c r="B675" s="86">
        <v>232400486</v>
      </c>
      <c r="C675" s="9">
        <v>45104</v>
      </c>
      <c r="D675" s="87" t="s">
        <v>291</v>
      </c>
      <c r="E675" s="10">
        <v>24000</v>
      </c>
      <c r="F675" s="10">
        <v>0.03</v>
      </c>
      <c r="G675" s="9">
        <v>45112</v>
      </c>
      <c r="H675" s="12">
        <f t="shared" si="10"/>
        <v>720</v>
      </c>
      <c r="I675" s="12" t="s">
        <v>10</v>
      </c>
      <c r="J675" s="15"/>
    </row>
    <row r="676" hidden="1" spans="2:10">
      <c r="B676" s="86">
        <v>232400486</v>
      </c>
      <c r="C676" s="9">
        <v>45104</v>
      </c>
      <c r="D676" s="87" t="s">
        <v>292</v>
      </c>
      <c r="E676" s="10">
        <v>24000</v>
      </c>
      <c r="F676" s="10">
        <v>0.0205</v>
      </c>
      <c r="G676" s="9">
        <v>45112</v>
      </c>
      <c r="H676" s="12">
        <f t="shared" si="10"/>
        <v>492</v>
      </c>
      <c r="I676" s="12" t="s">
        <v>10</v>
      </c>
      <c r="J676" s="15"/>
    </row>
    <row r="677" hidden="1" spans="2:10">
      <c r="B677" s="86">
        <v>232400492</v>
      </c>
      <c r="C677" s="9">
        <v>45105</v>
      </c>
      <c r="D677" s="87" t="s">
        <v>271</v>
      </c>
      <c r="E677" s="10">
        <v>100000</v>
      </c>
      <c r="F677" s="10">
        <v>0.024</v>
      </c>
      <c r="G677" s="9">
        <v>45163</v>
      </c>
      <c r="H677" s="12">
        <f t="shared" si="10"/>
        <v>2400</v>
      </c>
      <c r="I677" s="12" t="s">
        <v>10</v>
      </c>
      <c r="J677" s="15"/>
    </row>
    <row r="678" hidden="1" spans="2:10">
      <c r="B678" s="86">
        <v>232400492</v>
      </c>
      <c r="C678" s="9">
        <v>45105</v>
      </c>
      <c r="D678" s="87" t="s">
        <v>243</v>
      </c>
      <c r="E678" s="10">
        <v>96000</v>
      </c>
      <c r="F678" s="10">
        <v>0.022</v>
      </c>
      <c r="G678" s="9">
        <v>45163</v>
      </c>
      <c r="H678" s="12">
        <f t="shared" si="10"/>
        <v>2112</v>
      </c>
      <c r="I678" s="12" t="s">
        <v>10</v>
      </c>
      <c r="J678" s="15"/>
    </row>
    <row r="679" hidden="1" spans="2:10">
      <c r="B679" s="86">
        <v>232400492</v>
      </c>
      <c r="C679" s="9">
        <v>45105</v>
      </c>
      <c r="D679" s="87" t="s">
        <v>210</v>
      </c>
      <c r="E679" s="10">
        <v>100000</v>
      </c>
      <c r="F679" s="10">
        <v>0.028</v>
      </c>
      <c r="G679" s="9">
        <v>45154</v>
      </c>
      <c r="H679" s="12">
        <f t="shared" si="10"/>
        <v>2800</v>
      </c>
      <c r="I679" s="12" t="s">
        <v>10</v>
      </c>
      <c r="J679" s="15"/>
    </row>
    <row r="680" hidden="1" spans="2:10">
      <c r="B680" s="86">
        <v>232400492</v>
      </c>
      <c r="C680" s="9">
        <v>45105</v>
      </c>
      <c r="D680" s="87" t="s">
        <v>210</v>
      </c>
      <c r="E680" s="10">
        <v>100000</v>
      </c>
      <c r="F680" s="10">
        <v>0.028</v>
      </c>
      <c r="G680" s="9">
        <v>45185</v>
      </c>
      <c r="H680" s="12">
        <f t="shared" si="10"/>
        <v>2800</v>
      </c>
      <c r="I680" s="12" t="s">
        <v>10</v>
      </c>
      <c r="J680" s="15"/>
    </row>
    <row r="681" hidden="1" spans="2:10">
      <c r="B681" s="86">
        <v>232400502</v>
      </c>
      <c r="C681" s="9">
        <v>45107</v>
      </c>
      <c r="D681" s="87" t="s">
        <v>225</v>
      </c>
      <c r="E681" s="10">
        <v>20000</v>
      </c>
      <c r="F681" s="10">
        <v>0.041</v>
      </c>
      <c r="G681" s="9">
        <v>45148</v>
      </c>
      <c r="H681" s="12">
        <f t="shared" si="10"/>
        <v>820</v>
      </c>
      <c r="I681" s="12" t="s">
        <v>10</v>
      </c>
      <c r="J681" s="15"/>
    </row>
    <row r="682" hidden="1" spans="2:10">
      <c r="B682" s="86">
        <v>232400502</v>
      </c>
      <c r="C682" s="9">
        <v>45107</v>
      </c>
      <c r="D682" s="87" t="s">
        <v>225</v>
      </c>
      <c r="E682" s="10">
        <v>40000</v>
      </c>
      <c r="F682" s="10">
        <v>0.041</v>
      </c>
      <c r="G682" s="9">
        <v>45163</v>
      </c>
      <c r="H682" s="12">
        <f t="shared" si="10"/>
        <v>1640</v>
      </c>
      <c r="I682" s="12" t="s">
        <v>10</v>
      </c>
      <c r="J682" s="15"/>
    </row>
    <row r="683" hidden="1" spans="2:10">
      <c r="B683" s="86">
        <v>232400502</v>
      </c>
      <c r="C683" s="9">
        <v>45107</v>
      </c>
      <c r="D683" s="87" t="s">
        <v>293</v>
      </c>
      <c r="E683" s="10">
        <v>10000</v>
      </c>
      <c r="F683" s="10">
        <v>0.215</v>
      </c>
      <c r="G683" s="9">
        <v>45132</v>
      </c>
      <c r="H683" s="12">
        <f t="shared" si="10"/>
        <v>2150</v>
      </c>
      <c r="I683" s="12" t="s">
        <v>10</v>
      </c>
      <c r="J683" s="15"/>
    </row>
    <row r="684" hidden="1" spans="2:10">
      <c r="B684" s="86">
        <v>232400502</v>
      </c>
      <c r="C684" s="9">
        <v>45107</v>
      </c>
      <c r="D684" s="87" t="s">
        <v>268</v>
      </c>
      <c r="E684" s="10">
        <v>32000</v>
      </c>
      <c r="F684" s="10">
        <v>0.02</v>
      </c>
      <c r="G684" s="9">
        <v>45189</v>
      </c>
      <c r="H684" s="12">
        <f t="shared" si="10"/>
        <v>640</v>
      </c>
      <c r="I684" s="12" t="s">
        <v>10</v>
      </c>
      <c r="J684" s="15"/>
    </row>
    <row r="685" hidden="1" spans="2:10">
      <c r="B685" s="86">
        <v>232400502</v>
      </c>
      <c r="C685" s="9">
        <v>45107</v>
      </c>
      <c r="D685" s="87" t="s">
        <v>223</v>
      </c>
      <c r="E685" s="10">
        <v>50000</v>
      </c>
      <c r="F685" s="10">
        <v>0.08</v>
      </c>
      <c r="G685" s="9">
        <v>45158</v>
      </c>
      <c r="H685" s="12">
        <f t="shared" si="10"/>
        <v>4000</v>
      </c>
      <c r="I685" s="12" t="s">
        <v>10</v>
      </c>
      <c r="J685" s="15"/>
    </row>
    <row r="686" hidden="1" spans="2:10">
      <c r="B686" s="86">
        <v>232400502</v>
      </c>
      <c r="C686" s="9">
        <v>45107</v>
      </c>
      <c r="D686" s="87" t="s">
        <v>216</v>
      </c>
      <c r="E686" s="10">
        <v>80000</v>
      </c>
      <c r="F686" s="10">
        <v>0.045</v>
      </c>
      <c r="G686" s="9">
        <v>45189</v>
      </c>
      <c r="H686" s="12">
        <f t="shared" si="10"/>
        <v>3600</v>
      </c>
      <c r="I686" s="12" t="s">
        <v>10</v>
      </c>
      <c r="J686" s="15"/>
    </row>
    <row r="687" hidden="1" spans="2:10">
      <c r="B687" s="86">
        <v>232400502</v>
      </c>
      <c r="C687" s="9">
        <v>45107</v>
      </c>
      <c r="D687" s="87" t="s">
        <v>216</v>
      </c>
      <c r="E687" s="10">
        <v>80000</v>
      </c>
      <c r="F687" s="10">
        <v>0.045</v>
      </c>
      <c r="G687" s="9">
        <v>45219</v>
      </c>
      <c r="H687" s="12">
        <f t="shared" si="10"/>
        <v>3600</v>
      </c>
      <c r="I687" s="12" t="s">
        <v>10</v>
      </c>
      <c r="J687" s="15"/>
    </row>
    <row r="688" hidden="1" spans="2:10">
      <c r="B688" s="86">
        <v>232400502</v>
      </c>
      <c r="C688" s="9">
        <v>45107</v>
      </c>
      <c r="D688" s="87" t="s">
        <v>206</v>
      </c>
      <c r="E688" s="10">
        <v>60000</v>
      </c>
      <c r="F688" s="10">
        <v>0.065</v>
      </c>
      <c r="G688" s="9">
        <v>45127</v>
      </c>
      <c r="H688" s="12">
        <f t="shared" si="10"/>
        <v>3900</v>
      </c>
      <c r="I688" s="12" t="s">
        <v>10</v>
      </c>
      <c r="J688" s="15"/>
    </row>
    <row r="689" hidden="1" spans="2:10">
      <c r="B689" s="86">
        <v>232400502</v>
      </c>
      <c r="C689" s="9">
        <v>45107</v>
      </c>
      <c r="D689" s="87" t="s">
        <v>206</v>
      </c>
      <c r="E689" s="10">
        <v>60000</v>
      </c>
      <c r="F689" s="10">
        <v>0.065</v>
      </c>
      <c r="G689" s="9">
        <v>45158</v>
      </c>
      <c r="H689" s="12">
        <f t="shared" si="10"/>
        <v>3900</v>
      </c>
      <c r="I689" s="12" t="s">
        <v>10</v>
      </c>
      <c r="J689" s="15"/>
    </row>
    <row r="690" hidden="1" spans="2:10">
      <c r="B690" s="86">
        <v>232400509</v>
      </c>
      <c r="C690" s="9">
        <v>45108</v>
      </c>
      <c r="D690" s="10" t="s">
        <v>282</v>
      </c>
      <c r="E690" s="10">
        <v>400000</v>
      </c>
      <c r="F690" s="10">
        <v>0.032</v>
      </c>
      <c r="G690" s="9">
        <v>45148</v>
      </c>
      <c r="H690" s="12">
        <f t="shared" si="10"/>
        <v>12800</v>
      </c>
      <c r="I690" s="12" t="s">
        <v>10</v>
      </c>
      <c r="J690" s="15" t="s">
        <v>294</v>
      </c>
    </row>
    <row r="691" hidden="1" spans="2:10">
      <c r="B691" s="86">
        <v>232400570</v>
      </c>
      <c r="C691" s="9">
        <v>45114</v>
      </c>
      <c r="D691" s="87" t="s">
        <v>200</v>
      </c>
      <c r="E691" s="10">
        <v>150000</v>
      </c>
      <c r="F691" s="10">
        <v>0.05</v>
      </c>
      <c r="G691" s="9">
        <v>45158</v>
      </c>
      <c r="H691" s="12">
        <f t="shared" si="10"/>
        <v>7500</v>
      </c>
      <c r="I691" s="12" t="s">
        <v>10</v>
      </c>
      <c r="J691" s="15"/>
    </row>
    <row r="692" hidden="1" spans="2:10">
      <c r="B692" s="86">
        <v>232400570</v>
      </c>
      <c r="C692" s="9">
        <v>45114</v>
      </c>
      <c r="D692" s="87" t="s">
        <v>200</v>
      </c>
      <c r="E692" s="10">
        <v>150000</v>
      </c>
      <c r="F692" s="10">
        <v>0.05</v>
      </c>
      <c r="G692" s="9">
        <v>45189</v>
      </c>
      <c r="H692" s="12">
        <f t="shared" si="10"/>
        <v>7500</v>
      </c>
      <c r="I692" s="12" t="s">
        <v>10</v>
      </c>
      <c r="J692" s="15"/>
    </row>
    <row r="693" hidden="1" spans="2:10">
      <c r="B693" s="86">
        <v>232400570</v>
      </c>
      <c r="C693" s="9">
        <v>45114</v>
      </c>
      <c r="D693" s="87" t="s">
        <v>215</v>
      </c>
      <c r="E693" s="10">
        <v>80000</v>
      </c>
      <c r="F693" s="10">
        <v>0.028</v>
      </c>
      <c r="G693" s="9">
        <v>45158</v>
      </c>
      <c r="H693" s="12">
        <f t="shared" si="10"/>
        <v>2240</v>
      </c>
      <c r="I693" s="12" t="s">
        <v>10</v>
      </c>
      <c r="J693" s="15"/>
    </row>
    <row r="694" hidden="1" spans="2:10">
      <c r="B694" s="86">
        <v>232400570</v>
      </c>
      <c r="C694" s="9">
        <v>45114</v>
      </c>
      <c r="D694" s="87" t="s">
        <v>215</v>
      </c>
      <c r="E694" s="10">
        <v>80000</v>
      </c>
      <c r="F694" s="10">
        <v>0.028</v>
      </c>
      <c r="G694" s="9">
        <v>45189</v>
      </c>
      <c r="H694" s="12">
        <f t="shared" si="10"/>
        <v>2240</v>
      </c>
      <c r="I694" s="12" t="s">
        <v>10</v>
      </c>
      <c r="J694" s="15"/>
    </row>
    <row r="695" hidden="1" spans="2:10">
      <c r="B695" s="86">
        <v>232400578</v>
      </c>
      <c r="C695" s="9">
        <v>45114</v>
      </c>
      <c r="D695" s="87" t="s">
        <v>268</v>
      </c>
      <c r="E695" s="10">
        <v>208000</v>
      </c>
      <c r="F695" s="10">
        <v>0.02</v>
      </c>
      <c r="G695" s="9">
        <v>45189</v>
      </c>
      <c r="H695" s="12">
        <f t="shared" si="10"/>
        <v>4160</v>
      </c>
      <c r="I695" s="12" t="s">
        <v>10</v>
      </c>
      <c r="J695" s="15"/>
    </row>
    <row r="696" hidden="1" spans="2:10">
      <c r="B696" s="86">
        <v>232400579</v>
      </c>
      <c r="C696" s="9">
        <v>45114</v>
      </c>
      <c r="D696" s="87" t="s">
        <v>210</v>
      </c>
      <c r="E696" s="10">
        <v>132000</v>
      </c>
      <c r="F696" s="10">
        <v>0.028</v>
      </c>
      <c r="G696" s="9">
        <v>45127</v>
      </c>
      <c r="H696" s="12">
        <f t="shared" si="10"/>
        <v>3696</v>
      </c>
      <c r="I696" s="12" t="s">
        <v>10</v>
      </c>
      <c r="J696" s="15"/>
    </row>
    <row r="697" hidden="1" spans="2:10">
      <c r="B697" s="86">
        <v>232400579</v>
      </c>
      <c r="C697" s="9">
        <v>45114</v>
      </c>
      <c r="D697" s="87" t="s">
        <v>243</v>
      </c>
      <c r="E697" s="10">
        <v>32000</v>
      </c>
      <c r="F697" s="10">
        <v>0.022</v>
      </c>
      <c r="G697" s="9">
        <v>45127</v>
      </c>
      <c r="H697" s="12">
        <f t="shared" si="10"/>
        <v>704</v>
      </c>
      <c r="I697" s="12" t="s">
        <v>10</v>
      </c>
      <c r="J697" s="15"/>
    </row>
    <row r="698" hidden="1" spans="2:10">
      <c r="B698" s="86">
        <v>232400579</v>
      </c>
      <c r="C698" s="9">
        <v>45114</v>
      </c>
      <c r="D698" s="10" t="s">
        <v>236</v>
      </c>
      <c r="E698" s="10">
        <v>64000</v>
      </c>
      <c r="F698" s="10">
        <v>0.006</v>
      </c>
      <c r="G698" s="9">
        <v>45127</v>
      </c>
      <c r="H698" s="12">
        <f t="shared" si="10"/>
        <v>384</v>
      </c>
      <c r="I698" s="12" t="s">
        <v>10</v>
      </c>
      <c r="J698" s="15"/>
    </row>
    <row r="699" hidden="1" spans="2:10">
      <c r="B699" s="86">
        <v>232400586</v>
      </c>
      <c r="C699" s="9">
        <v>45117</v>
      </c>
      <c r="D699" s="10" t="s">
        <v>281</v>
      </c>
      <c r="E699" s="10">
        <v>30060</v>
      </c>
      <c r="F699" s="10">
        <v>0.08</v>
      </c>
      <c r="G699" s="9">
        <v>45122</v>
      </c>
      <c r="H699" s="12">
        <f t="shared" si="10"/>
        <v>2404.8</v>
      </c>
      <c r="I699" s="12" t="s">
        <v>10</v>
      </c>
      <c r="J699" s="15"/>
    </row>
    <row r="700" hidden="1" spans="2:10">
      <c r="B700" s="86">
        <v>232400592</v>
      </c>
      <c r="C700" s="9">
        <v>45118</v>
      </c>
      <c r="D700" s="87" t="s">
        <v>202</v>
      </c>
      <c r="E700" s="10">
        <v>200000</v>
      </c>
      <c r="F700" s="10">
        <v>0.04</v>
      </c>
      <c r="G700" s="9">
        <v>45153</v>
      </c>
      <c r="H700" s="12">
        <f t="shared" si="10"/>
        <v>8000</v>
      </c>
      <c r="I700" s="12" t="s">
        <v>10</v>
      </c>
      <c r="J700" s="15"/>
    </row>
    <row r="701" hidden="1" spans="2:10">
      <c r="B701" s="86">
        <v>232400592</v>
      </c>
      <c r="C701" s="9">
        <v>45118</v>
      </c>
      <c r="D701" s="87" t="s">
        <v>202</v>
      </c>
      <c r="E701" s="10">
        <v>200000</v>
      </c>
      <c r="F701" s="10">
        <v>0.04</v>
      </c>
      <c r="G701" s="9">
        <v>45184</v>
      </c>
      <c r="H701" s="12">
        <f t="shared" si="10"/>
        <v>8000</v>
      </c>
      <c r="I701" s="12" t="s">
        <v>10</v>
      </c>
      <c r="J701" s="15"/>
    </row>
    <row r="702" hidden="1" spans="2:10">
      <c r="B702" s="86">
        <v>232400592</v>
      </c>
      <c r="C702" s="9">
        <v>45118</v>
      </c>
      <c r="D702" s="87" t="s">
        <v>202</v>
      </c>
      <c r="E702" s="10">
        <v>150000</v>
      </c>
      <c r="F702" s="10">
        <v>0.04</v>
      </c>
      <c r="G702" s="9">
        <v>45214</v>
      </c>
      <c r="H702" s="12">
        <f t="shared" si="10"/>
        <v>6000</v>
      </c>
      <c r="I702" s="12" t="s">
        <v>10</v>
      </c>
      <c r="J702" s="15"/>
    </row>
    <row r="703" hidden="1" spans="2:10">
      <c r="B703" s="86">
        <v>232400593</v>
      </c>
      <c r="C703" s="9">
        <v>45118</v>
      </c>
      <c r="D703" s="87" t="s">
        <v>202</v>
      </c>
      <c r="E703" s="10">
        <v>200000</v>
      </c>
      <c r="F703" s="10">
        <v>0.04</v>
      </c>
      <c r="G703" s="9">
        <v>45184</v>
      </c>
      <c r="H703" s="12">
        <f t="shared" si="10"/>
        <v>8000</v>
      </c>
      <c r="I703" s="12" t="s">
        <v>10</v>
      </c>
      <c r="J703" s="15"/>
    </row>
    <row r="704" hidden="1" spans="2:10">
      <c r="B704" s="86">
        <v>232400594</v>
      </c>
      <c r="C704" s="9">
        <v>45118</v>
      </c>
      <c r="D704" s="87" t="s">
        <v>202</v>
      </c>
      <c r="E704" s="10">
        <v>300000</v>
      </c>
      <c r="F704" s="10">
        <v>0.04</v>
      </c>
      <c r="G704" s="9">
        <v>45153</v>
      </c>
      <c r="H704" s="12">
        <f t="shared" si="10"/>
        <v>12000</v>
      </c>
      <c r="I704" s="12" t="s">
        <v>10</v>
      </c>
      <c r="J704" s="15"/>
    </row>
    <row r="705" hidden="1" spans="2:10">
      <c r="B705" s="86">
        <v>232400594</v>
      </c>
      <c r="C705" s="9">
        <v>45118</v>
      </c>
      <c r="D705" s="87" t="s">
        <v>202</v>
      </c>
      <c r="E705" s="10">
        <v>200000</v>
      </c>
      <c r="F705" s="10">
        <v>0.04</v>
      </c>
      <c r="G705" s="9">
        <v>45153</v>
      </c>
      <c r="H705" s="12">
        <f t="shared" si="10"/>
        <v>8000</v>
      </c>
      <c r="I705" s="12" t="s">
        <v>10</v>
      </c>
      <c r="J705" s="15"/>
    </row>
    <row r="706" hidden="1" spans="2:10">
      <c r="B706" s="86">
        <v>232400594</v>
      </c>
      <c r="C706" s="9">
        <v>45118</v>
      </c>
      <c r="D706" s="87" t="s">
        <v>202</v>
      </c>
      <c r="E706" s="10">
        <v>300000</v>
      </c>
      <c r="F706" s="10">
        <v>0.04</v>
      </c>
      <c r="G706" s="9">
        <v>45194</v>
      </c>
      <c r="H706" s="12">
        <f t="shared" ref="H706:H769" si="11">E706*F706</f>
        <v>12000</v>
      </c>
      <c r="I706" s="12" t="s">
        <v>10</v>
      </c>
      <c r="J706" s="15"/>
    </row>
    <row r="707" hidden="1" spans="2:10">
      <c r="B707" s="86">
        <v>232400594</v>
      </c>
      <c r="C707" s="9">
        <v>45118</v>
      </c>
      <c r="D707" s="87" t="s">
        <v>202</v>
      </c>
      <c r="E707" s="10">
        <v>200000</v>
      </c>
      <c r="F707" s="10">
        <v>0.04</v>
      </c>
      <c r="G707" s="9">
        <v>45194</v>
      </c>
      <c r="H707" s="12">
        <f t="shared" si="11"/>
        <v>8000</v>
      </c>
      <c r="I707" s="12" t="s">
        <v>10</v>
      </c>
      <c r="J707" s="15"/>
    </row>
    <row r="708" hidden="1" spans="2:10">
      <c r="B708" s="86">
        <v>232400594</v>
      </c>
      <c r="C708" s="9">
        <v>45118</v>
      </c>
      <c r="D708" s="87" t="s">
        <v>215</v>
      </c>
      <c r="E708" s="10">
        <v>300000</v>
      </c>
      <c r="F708" s="10">
        <v>0.028</v>
      </c>
      <c r="G708" s="9">
        <v>45189</v>
      </c>
      <c r="H708" s="12">
        <f t="shared" si="11"/>
        <v>8400</v>
      </c>
      <c r="I708" s="12" t="s">
        <v>10</v>
      </c>
      <c r="J708" s="15"/>
    </row>
    <row r="709" hidden="1" spans="2:10">
      <c r="B709" s="86">
        <v>232400594</v>
      </c>
      <c r="C709" s="9">
        <v>45118</v>
      </c>
      <c r="D709" s="87" t="s">
        <v>215</v>
      </c>
      <c r="E709" s="10">
        <v>200000</v>
      </c>
      <c r="F709" s="10">
        <v>0.028</v>
      </c>
      <c r="G709" s="9">
        <v>45189</v>
      </c>
      <c r="H709" s="12">
        <f t="shared" si="11"/>
        <v>5600</v>
      </c>
      <c r="I709" s="12" t="s">
        <v>10</v>
      </c>
      <c r="J709" s="15"/>
    </row>
    <row r="710" hidden="1" spans="2:10">
      <c r="B710" s="86">
        <v>232400594</v>
      </c>
      <c r="C710" s="9">
        <v>45118</v>
      </c>
      <c r="D710" s="87" t="s">
        <v>215</v>
      </c>
      <c r="E710" s="10">
        <v>200000</v>
      </c>
      <c r="F710" s="10">
        <v>0.028</v>
      </c>
      <c r="G710" s="9">
        <v>45189</v>
      </c>
      <c r="H710" s="12">
        <f t="shared" si="11"/>
        <v>5600</v>
      </c>
      <c r="I710" s="12" t="s">
        <v>10</v>
      </c>
      <c r="J710" s="15"/>
    </row>
    <row r="711" hidden="1" spans="2:10">
      <c r="B711" s="86">
        <v>232400594</v>
      </c>
      <c r="C711" s="9">
        <v>45118</v>
      </c>
      <c r="D711" s="87" t="s">
        <v>215</v>
      </c>
      <c r="E711" s="10">
        <v>300000</v>
      </c>
      <c r="F711" s="10">
        <v>0.028</v>
      </c>
      <c r="G711" s="9">
        <v>45219</v>
      </c>
      <c r="H711" s="12">
        <f t="shared" si="11"/>
        <v>8400</v>
      </c>
      <c r="I711" s="12" t="s">
        <v>10</v>
      </c>
      <c r="J711" s="15"/>
    </row>
    <row r="712" hidden="1" spans="2:10">
      <c r="B712" s="86">
        <v>232400594</v>
      </c>
      <c r="C712" s="9">
        <v>45118</v>
      </c>
      <c r="D712" s="10" t="s">
        <v>100</v>
      </c>
      <c r="E712" s="10">
        <v>300000</v>
      </c>
      <c r="F712" s="10">
        <v>0.03</v>
      </c>
      <c r="G712" s="9">
        <v>45163</v>
      </c>
      <c r="H712" s="12">
        <f t="shared" si="11"/>
        <v>9000</v>
      </c>
      <c r="I712" s="12" t="s">
        <v>10</v>
      </c>
      <c r="J712" s="15"/>
    </row>
    <row r="713" hidden="1" spans="2:10">
      <c r="B713" s="86">
        <v>232400594</v>
      </c>
      <c r="C713" s="9">
        <v>45118</v>
      </c>
      <c r="D713" s="10" t="s">
        <v>100</v>
      </c>
      <c r="E713" s="10">
        <v>100000</v>
      </c>
      <c r="F713" s="10">
        <v>0.03</v>
      </c>
      <c r="G713" s="9">
        <v>45184</v>
      </c>
      <c r="H713" s="12">
        <f t="shared" si="11"/>
        <v>3000</v>
      </c>
      <c r="I713" s="12" t="s">
        <v>10</v>
      </c>
      <c r="J713" s="15"/>
    </row>
    <row r="714" hidden="1" spans="2:10">
      <c r="B714" s="86">
        <v>232400594</v>
      </c>
      <c r="C714" s="9">
        <v>45118</v>
      </c>
      <c r="D714" s="10" t="s">
        <v>100</v>
      </c>
      <c r="E714" s="10">
        <v>200000</v>
      </c>
      <c r="F714" s="10">
        <v>0.03</v>
      </c>
      <c r="G714" s="9">
        <v>45184</v>
      </c>
      <c r="H714" s="12">
        <f t="shared" si="11"/>
        <v>6000</v>
      </c>
      <c r="I714" s="12" t="s">
        <v>10</v>
      </c>
      <c r="J714" s="15"/>
    </row>
    <row r="715" hidden="1" spans="2:10">
      <c r="B715" s="86">
        <v>232400594</v>
      </c>
      <c r="C715" s="9">
        <v>45118</v>
      </c>
      <c r="D715" s="10" t="s">
        <v>119</v>
      </c>
      <c r="E715" s="10">
        <v>40000</v>
      </c>
      <c r="F715" s="10">
        <v>0.07</v>
      </c>
      <c r="G715" s="9">
        <v>45158</v>
      </c>
      <c r="H715" s="12">
        <f t="shared" si="11"/>
        <v>2800</v>
      </c>
      <c r="I715" s="12" t="s">
        <v>10</v>
      </c>
      <c r="J715" s="15"/>
    </row>
    <row r="716" hidden="1" spans="2:10">
      <c r="B716" s="86">
        <v>232400594</v>
      </c>
      <c r="C716" s="9">
        <v>45118</v>
      </c>
      <c r="D716" s="10" t="s">
        <v>119</v>
      </c>
      <c r="E716" s="10">
        <v>40000</v>
      </c>
      <c r="F716" s="10">
        <v>0.07</v>
      </c>
      <c r="G716" s="9">
        <v>45189</v>
      </c>
      <c r="H716" s="12">
        <f t="shared" si="11"/>
        <v>2800</v>
      </c>
      <c r="I716" s="12" t="s">
        <v>10</v>
      </c>
      <c r="J716" s="15"/>
    </row>
    <row r="717" hidden="1" spans="2:10">
      <c r="B717" s="86">
        <v>232400595</v>
      </c>
      <c r="C717" s="9">
        <v>45118</v>
      </c>
      <c r="D717" s="87" t="s">
        <v>202</v>
      </c>
      <c r="E717" s="10">
        <v>20000</v>
      </c>
      <c r="F717" s="10">
        <v>0.04</v>
      </c>
      <c r="G717" s="9">
        <v>45127</v>
      </c>
      <c r="H717" s="12">
        <f t="shared" si="11"/>
        <v>800</v>
      </c>
      <c r="I717" s="12" t="s">
        <v>10</v>
      </c>
      <c r="J717" s="15"/>
    </row>
    <row r="718" hidden="1" spans="2:10">
      <c r="B718" s="86">
        <v>232400595</v>
      </c>
      <c r="C718" s="9">
        <v>45118</v>
      </c>
      <c r="D718" s="87" t="s">
        <v>202</v>
      </c>
      <c r="E718" s="10">
        <v>20000</v>
      </c>
      <c r="F718" s="10">
        <v>0.04</v>
      </c>
      <c r="G718" s="9">
        <v>45158</v>
      </c>
      <c r="H718" s="12">
        <f t="shared" si="11"/>
        <v>800</v>
      </c>
      <c r="I718" s="12" t="s">
        <v>10</v>
      </c>
      <c r="J718" s="15"/>
    </row>
    <row r="719" hidden="1" spans="2:10">
      <c r="B719" s="86">
        <v>232400598</v>
      </c>
      <c r="C719" s="9">
        <v>45119</v>
      </c>
      <c r="D719" s="87" t="s">
        <v>200</v>
      </c>
      <c r="E719" s="10">
        <v>200000</v>
      </c>
      <c r="F719" s="10">
        <v>0.05</v>
      </c>
      <c r="G719" s="9">
        <v>45189</v>
      </c>
      <c r="H719" s="12">
        <f t="shared" si="11"/>
        <v>10000</v>
      </c>
      <c r="I719" s="12" t="s">
        <v>10</v>
      </c>
      <c r="J719" s="15"/>
    </row>
    <row r="720" hidden="1" spans="2:10">
      <c r="B720" s="86">
        <v>232400599</v>
      </c>
      <c r="C720" s="9">
        <v>45119</v>
      </c>
      <c r="D720" s="87" t="s">
        <v>271</v>
      </c>
      <c r="E720" s="10">
        <v>100000</v>
      </c>
      <c r="F720" s="10">
        <v>0.024</v>
      </c>
      <c r="G720" s="9">
        <v>45158</v>
      </c>
      <c r="H720" s="12">
        <f t="shared" si="11"/>
        <v>2400</v>
      </c>
      <c r="I720" s="12" t="s">
        <v>10</v>
      </c>
      <c r="J720" s="15"/>
    </row>
    <row r="721" hidden="1" spans="2:10">
      <c r="B721" s="86">
        <v>232400599</v>
      </c>
      <c r="C721" s="9">
        <v>45119</v>
      </c>
      <c r="D721" s="87" t="s">
        <v>271</v>
      </c>
      <c r="E721" s="88">
        <v>100000</v>
      </c>
      <c r="F721" s="10">
        <v>0.024</v>
      </c>
      <c r="G721" s="9">
        <v>45189</v>
      </c>
      <c r="H721" s="12">
        <f t="shared" si="11"/>
        <v>2400</v>
      </c>
      <c r="I721" s="12" t="s">
        <v>10</v>
      </c>
      <c r="J721" s="15"/>
    </row>
    <row r="722" hidden="1" spans="2:10">
      <c r="B722" s="86">
        <v>232400599</v>
      </c>
      <c r="C722" s="9">
        <v>45119</v>
      </c>
      <c r="D722" s="87" t="s">
        <v>210</v>
      </c>
      <c r="E722" s="10">
        <v>200000</v>
      </c>
      <c r="F722" s="10">
        <v>0.028</v>
      </c>
      <c r="G722" s="9">
        <v>45158</v>
      </c>
      <c r="H722" s="12">
        <f t="shared" si="11"/>
        <v>5600</v>
      </c>
      <c r="I722" s="12" t="s">
        <v>10</v>
      </c>
      <c r="J722" s="15"/>
    </row>
    <row r="723" hidden="1" spans="2:10">
      <c r="B723" s="86">
        <v>232400599</v>
      </c>
      <c r="C723" s="9">
        <v>45119</v>
      </c>
      <c r="D723" s="87" t="s">
        <v>210</v>
      </c>
      <c r="E723" s="10">
        <v>100000</v>
      </c>
      <c r="F723" s="10">
        <v>0.028</v>
      </c>
      <c r="G723" s="9">
        <v>45189</v>
      </c>
      <c r="H723" s="12">
        <f t="shared" si="11"/>
        <v>2800</v>
      </c>
      <c r="I723" s="12" t="s">
        <v>10</v>
      </c>
      <c r="J723" s="15"/>
    </row>
    <row r="724" hidden="1" spans="2:10">
      <c r="B724" s="86">
        <v>232400599</v>
      </c>
      <c r="C724" s="9">
        <v>45119</v>
      </c>
      <c r="D724" s="87" t="s">
        <v>243</v>
      </c>
      <c r="E724" s="10">
        <v>96000</v>
      </c>
      <c r="F724" s="10">
        <v>0.022</v>
      </c>
      <c r="G724" s="9">
        <v>45189</v>
      </c>
      <c r="H724" s="12">
        <f t="shared" si="11"/>
        <v>2112</v>
      </c>
      <c r="I724" s="12" t="s">
        <v>10</v>
      </c>
      <c r="J724" s="15"/>
    </row>
    <row r="725" hidden="1" spans="2:10">
      <c r="B725" s="86">
        <v>232400599</v>
      </c>
      <c r="C725" s="9">
        <v>45119</v>
      </c>
      <c r="D725" s="10" t="s">
        <v>236</v>
      </c>
      <c r="E725" s="10">
        <v>96000</v>
      </c>
      <c r="F725" s="10">
        <v>0.006</v>
      </c>
      <c r="G725" s="9">
        <v>45189</v>
      </c>
      <c r="H725" s="12">
        <f t="shared" si="11"/>
        <v>576</v>
      </c>
      <c r="I725" s="12" t="s">
        <v>10</v>
      </c>
      <c r="J725" s="15"/>
    </row>
    <row r="726" hidden="1" spans="2:10">
      <c r="B726" s="86">
        <v>232400601</v>
      </c>
      <c r="C726" s="9">
        <v>45119</v>
      </c>
      <c r="D726" s="10" t="s">
        <v>163</v>
      </c>
      <c r="E726" s="10">
        <v>112000</v>
      </c>
      <c r="F726" s="10">
        <v>0.0025</v>
      </c>
      <c r="G726" s="9">
        <v>45132</v>
      </c>
      <c r="H726" s="12">
        <f t="shared" si="11"/>
        <v>280</v>
      </c>
      <c r="I726" s="12" t="s">
        <v>10</v>
      </c>
      <c r="J726" s="15"/>
    </row>
    <row r="727" hidden="1" spans="2:10">
      <c r="B727" s="86">
        <v>232400601</v>
      </c>
      <c r="C727" s="9">
        <v>45119</v>
      </c>
      <c r="D727" s="10" t="s">
        <v>163</v>
      </c>
      <c r="E727" s="10">
        <v>112000</v>
      </c>
      <c r="F727" s="10">
        <v>0.0025</v>
      </c>
      <c r="G727" s="9">
        <v>45158</v>
      </c>
      <c r="H727" s="12">
        <f t="shared" si="11"/>
        <v>280</v>
      </c>
      <c r="I727" s="12" t="s">
        <v>10</v>
      </c>
      <c r="J727" s="15"/>
    </row>
    <row r="728" hidden="1" spans="2:10">
      <c r="B728" s="86">
        <v>232400601</v>
      </c>
      <c r="C728" s="9">
        <v>45119</v>
      </c>
      <c r="D728" s="10" t="s">
        <v>163</v>
      </c>
      <c r="E728" s="10">
        <v>112000</v>
      </c>
      <c r="F728" s="10">
        <v>0.0025</v>
      </c>
      <c r="G728" s="9">
        <v>45189</v>
      </c>
      <c r="H728" s="12">
        <f t="shared" si="11"/>
        <v>280</v>
      </c>
      <c r="I728" s="12" t="s">
        <v>10</v>
      </c>
      <c r="J728" s="15"/>
    </row>
    <row r="729" hidden="1" spans="2:10">
      <c r="B729" s="86">
        <v>232400601</v>
      </c>
      <c r="C729" s="9">
        <v>45119</v>
      </c>
      <c r="D729" s="10" t="s">
        <v>163</v>
      </c>
      <c r="E729" s="10">
        <v>112000</v>
      </c>
      <c r="F729" s="10">
        <v>0.0025</v>
      </c>
      <c r="G729" s="9">
        <v>45219</v>
      </c>
      <c r="H729" s="12">
        <f t="shared" si="11"/>
        <v>280</v>
      </c>
      <c r="I729" s="12" t="s">
        <v>10</v>
      </c>
      <c r="J729" s="15"/>
    </row>
    <row r="730" hidden="1" spans="2:10">
      <c r="B730" s="86">
        <v>232400601</v>
      </c>
      <c r="C730" s="9">
        <v>45119</v>
      </c>
      <c r="D730" s="87" t="s">
        <v>257</v>
      </c>
      <c r="E730" s="10">
        <v>352000</v>
      </c>
      <c r="F730" s="10">
        <v>0.01</v>
      </c>
      <c r="G730" s="9">
        <v>45153</v>
      </c>
      <c r="H730" s="12">
        <f t="shared" si="11"/>
        <v>3520</v>
      </c>
      <c r="I730" s="12" t="s">
        <v>10</v>
      </c>
      <c r="J730" s="15"/>
    </row>
    <row r="731" hidden="1" spans="2:10">
      <c r="B731" s="86">
        <v>232400601</v>
      </c>
      <c r="C731" s="9">
        <v>45119</v>
      </c>
      <c r="D731" s="87" t="s">
        <v>257</v>
      </c>
      <c r="E731" s="10">
        <v>352000</v>
      </c>
      <c r="F731" s="10">
        <v>0.01</v>
      </c>
      <c r="G731" s="9">
        <v>45184</v>
      </c>
      <c r="H731" s="12">
        <f t="shared" si="11"/>
        <v>3520</v>
      </c>
      <c r="I731" s="12" t="s">
        <v>10</v>
      </c>
      <c r="J731" s="15"/>
    </row>
    <row r="732" hidden="1" spans="2:10">
      <c r="B732" s="86">
        <v>232400601</v>
      </c>
      <c r="C732" s="9">
        <v>45119</v>
      </c>
      <c r="D732" s="87" t="s">
        <v>257</v>
      </c>
      <c r="E732" s="10">
        <v>352000</v>
      </c>
      <c r="F732" s="10">
        <v>0.01</v>
      </c>
      <c r="G732" s="9">
        <v>45184</v>
      </c>
      <c r="H732" s="12">
        <f t="shared" si="11"/>
        <v>3520</v>
      </c>
      <c r="I732" s="12" t="s">
        <v>10</v>
      </c>
      <c r="J732" s="15"/>
    </row>
    <row r="733" hidden="1" spans="2:10">
      <c r="B733" s="86">
        <v>232400601</v>
      </c>
      <c r="C733" s="9">
        <v>45119</v>
      </c>
      <c r="D733" s="87" t="s">
        <v>257</v>
      </c>
      <c r="E733" s="10">
        <v>352000</v>
      </c>
      <c r="F733" s="10">
        <v>0.01</v>
      </c>
      <c r="G733" s="9">
        <v>45214</v>
      </c>
      <c r="H733" s="12">
        <f t="shared" si="11"/>
        <v>3520</v>
      </c>
      <c r="I733" s="12" t="s">
        <v>10</v>
      </c>
      <c r="J733" s="15"/>
    </row>
    <row r="734" hidden="1" spans="2:10">
      <c r="B734" s="86">
        <v>232400601</v>
      </c>
      <c r="C734" s="9">
        <v>45119</v>
      </c>
      <c r="D734" s="87" t="s">
        <v>257</v>
      </c>
      <c r="E734" s="10">
        <v>352000</v>
      </c>
      <c r="F734" s="10">
        <v>0.01</v>
      </c>
      <c r="G734" s="9">
        <v>45214</v>
      </c>
      <c r="H734" s="12">
        <f t="shared" si="11"/>
        <v>3520</v>
      </c>
      <c r="I734" s="12" t="s">
        <v>10</v>
      </c>
      <c r="J734" s="15"/>
    </row>
    <row r="735" hidden="1" spans="2:10">
      <c r="B735" s="86">
        <v>232400602</v>
      </c>
      <c r="C735" s="9">
        <v>45119</v>
      </c>
      <c r="D735" s="10" t="s">
        <v>163</v>
      </c>
      <c r="E735" s="10">
        <v>256000</v>
      </c>
      <c r="F735" s="10">
        <v>0.0025</v>
      </c>
      <c r="G735" s="9">
        <v>45153</v>
      </c>
      <c r="H735" s="12">
        <f t="shared" si="11"/>
        <v>640</v>
      </c>
      <c r="I735" s="12" t="s">
        <v>10</v>
      </c>
      <c r="J735" s="15"/>
    </row>
    <row r="736" hidden="1" spans="2:10">
      <c r="B736" s="86">
        <v>232400602</v>
      </c>
      <c r="C736" s="9">
        <v>45119</v>
      </c>
      <c r="D736" s="10" t="s">
        <v>163</v>
      </c>
      <c r="E736" s="10">
        <v>256000</v>
      </c>
      <c r="F736" s="10">
        <v>0.0025</v>
      </c>
      <c r="G736" s="9">
        <v>45184</v>
      </c>
      <c r="H736" s="12">
        <f t="shared" si="11"/>
        <v>640</v>
      </c>
      <c r="I736" s="12" t="s">
        <v>10</v>
      </c>
      <c r="J736" s="15"/>
    </row>
    <row r="737" hidden="1" spans="2:10">
      <c r="B737" s="86">
        <v>232400602</v>
      </c>
      <c r="C737" s="9">
        <v>45119</v>
      </c>
      <c r="D737" s="10" t="s">
        <v>163</v>
      </c>
      <c r="E737" s="10">
        <v>240000</v>
      </c>
      <c r="F737" s="10">
        <v>0.0025</v>
      </c>
      <c r="G737" s="9">
        <v>45184</v>
      </c>
      <c r="H737" s="12">
        <f t="shared" si="11"/>
        <v>600</v>
      </c>
      <c r="I737" s="12" t="s">
        <v>10</v>
      </c>
      <c r="J737" s="15"/>
    </row>
    <row r="738" hidden="1" spans="2:10">
      <c r="B738" s="86">
        <v>232400612</v>
      </c>
      <c r="C738" s="9">
        <v>45120</v>
      </c>
      <c r="D738" s="87" t="s">
        <v>275</v>
      </c>
      <c r="E738" s="10">
        <v>150000</v>
      </c>
      <c r="F738" s="10">
        <v>0.0145</v>
      </c>
      <c r="G738" s="9">
        <v>45148</v>
      </c>
      <c r="H738" s="12">
        <f t="shared" si="11"/>
        <v>2175</v>
      </c>
      <c r="I738" s="12" t="s">
        <v>10</v>
      </c>
      <c r="J738" s="15"/>
    </row>
    <row r="739" hidden="1" spans="2:10">
      <c r="B739" s="86">
        <v>232400612</v>
      </c>
      <c r="C739" s="9">
        <v>45120</v>
      </c>
      <c r="D739" s="87" t="s">
        <v>275</v>
      </c>
      <c r="E739" s="10">
        <v>150000</v>
      </c>
      <c r="F739" s="10">
        <v>0.0145</v>
      </c>
      <c r="G739" s="9">
        <v>45148</v>
      </c>
      <c r="H739" s="12">
        <f t="shared" si="11"/>
        <v>2175</v>
      </c>
      <c r="I739" s="12" t="s">
        <v>10</v>
      </c>
      <c r="J739" s="15"/>
    </row>
    <row r="740" hidden="1" spans="2:10">
      <c r="B740" s="86">
        <v>232400612</v>
      </c>
      <c r="C740" s="9">
        <v>45120</v>
      </c>
      <c r="D740" s="87" t="s">
        <v>275</v>
      </c>
      <c r="E740" s="10">
        <v>153000</v>
      </c>
      <c r="F740" s="10">
        <v>0.0145</v>
      </c>
      <c r="G740" s="9">
        <v>45179</v>
      </c>
      <c r="H740" s="12">
        <f t="shared" si="11"/>
        <v>2218.5</v>
      </c>
      <c r="I740" s="12" t="s">
        <v>10</v>
      </c>
      <c r="J740" s="15"/>
    </row>
    <row r="741" hidden="1" spans="2:10">
      <c r="B741" s="86">
        <v>232400612</v>
      </c>
      <c r="C741" s="9">
        <v>45120</v>
      </c>
      <c r="D741" s="87" t="s">
        <v>275</v>
      </c>
      <c r="E741" s="10">
        <v>153000</v>
      </c>
      <c r="F741" s="10">
        <v>0.0145</v>
      </c>
      <c r="G741" s="9">
        <v>45179</v>
      </c>
      <c r="H741" s="12">
        <f t="shared" si="11"/>
        <v>2218.5</v>
      </c>
      <c r="I741" s="12" t="s">
        <v>10</v>
      </c>
      <c r="J741" s="15"/>
    </row>
    <row r="742" hidden="1" spans="2:10">
      <c r="B742" s="86">
        <v>232400612</v>
      </c>
      <c r="C742" s="9">
        <v>45120</v>
      </c>
      <c r="D742" s="87" t="s">
        <v>275</v>
      </c>
      <c r="E742" s="10">
        <v>153000</v>
      </c>
      <c r="F742" s="10">
        <v>0.0145</v>
      </c>
      <c r="G742" s="9">
        <v>45209</v>
      </c>
      <c r="H742" s="12">
        <f t="shared" si="11"/>
        <v>2218.5</v>
      </c>
      <c r="I742" s="12" t="s">
        <v>10</v>
      </c>
      <c r="J742" s="15"/>
    </row>
    <row r="743" hidden="1" spans="2:10">
      <c r="B743" s="86">
        <v>232400612</v>
      </c>
      <c r="C743" s="9">
        <v>45120</v>
      </c>
      <c r="D743" s="87" t="s">
        <v>275</v>
      </c>
      <c r="E743" s="10">
        <v>153000</v>
      </c>
      <c r="F743" s="10">
        <v>0.0145</v>
      </c>
      <c r="G743" s="9">
        <v>45209</v>
      </c>
      <c r="H743" s="12">
        <f t="shared" si="11"/>
        <v>2218.5</v>
      </c>
      <c r="I743" s="12" t="s">
        <v>10</v>
      </c>
      <c r="J743" s="15"/>
    </row>
    <row r="744" hidden="1" spans="2:10">
      <c r="B744" s="86">
        <v>232400618</v>
      </c>
      <c r="C744" s="9">
        <v>45121</v>
      </c>
      <c r="D744" s="10" t="s">
        <v>25</v>
      </c>
      <c r="E744" s="10">
        <v>20000</v>
      </c>
      <c r="F744" s="10">
        <v>0.016</v>
      </c>
      <c r="G744" s="9">
        <v>45148</v>
      </c>
      <c r="H744" s="12">
        <f t="shared" si="11"/>
        <v>320</v>
      </c>
      <c r="I744" s="12" t="s">
        <v>10</v>
      </c>
      <c r="J744" s="15"/>
    </row>
    <row r="745" hidden="1" spans="2:10">
      <c r="B745" s="86">
        <v>232400636</v>
      </c>
      <c r="C745" s="9">
        <v>45125</v>
      </c>
      <c r="D745" s="10" t="s">
        <v>281</v>
      </c>
      <c r="E745" s="10">
        <v>30060</v>
      </c>
      <c r="F745" s="10">
        <v>0.08</v>
      </c>
      <c r="G745" s="9">
        <v>45132</v>
      </c>
      <c r="H745" s="12">
        <f t="shared" si="11"/>
        <v>2404.8</v>
      </c>
      <c r="I745" s="12" t="s">
        <v>10</v>
      </c>
      <c r="J745" s="15"/>
    </row>
    <row r="746" hidden="1" spans="2:10">
      <c r="B746" s="86">
        <v>232400636</v>
      </c>
      <c r="C746" s="9">
        <v>45125</v>
      </c>
      <c r="D746" s="10" t="s">
        <v>281</v>
      </c>
      <c r="E746" s="10">
        <v>30060</v>
      </c>
      <c r="F746" s="10">
        <v>0.08</v>
      </c>
      <c r="G746" s="9">
        <v>45137</v>
      </c>
      <c r="H746" s="12">
        <f t="shared" si="11"/>
        <v>2404.8</v>
      </c>
      <c r="I746" s="12" t="s">
        <v>10</v>
      </c>
      <c r="J746" s="15"/>
    </row>
    <row r="747" hidden="1" spans="2:10">
      <c r="B747" s="86">
        <v>232400636</v>
      </c>
      <c r="C747" s="9">
        <v>45125</v>
      </c>
      <c r="D747" s="10" t="s">
        <v>281</v>
      </c>
      <c r="E747" s="10">
        <v>30060</v>
      </c>
      <c r="F747" s="10">
        <v>0.08</v>
      </c>
      <c r="G747" s="9">
        <v>45143</v>
      </c>
      <c r="H747" s="12">
        <f t="shared" si="11"/>
        <v>2404.8</v>
      </c>
      <c r="I747" s="12" t="s">
        <v>10</v>
      </c>
      <c r="J747" s="15"/>
    </row>
    <row r="748" hidden="1" spans="2:10">
      <c r="B748" s="86">
        <v>232400636</v>
      </c>
      <c r="C748" s="9">
        <v>45125</v>
      </c>
      <c r="D748" s="10" t="s">
        <v>281</v>
      </c>
      <c r="E748" s="10">
        <v>30060</v>
      </c>
      <c r="F748" s="10">
        <v>0.08</v>
      </c>
      <c r="G748" s="9">
        <v>45174</v>
      </c>
      <c r="H748" s="12">
        <f t="shared" si="11"/>
        <v>2404.8</v>
      </c>
      <c r="I748" s="12" t="s">
        <v>10</v>
      </c>
      <c r="J748" s="15"/>
    </row>
    <row r="749" hidden="1" spans="2:10">
      <c r="B749" s="86">
        <v>232400636</v>
      </c>
      <c r="C749" s="9">
        <v>45125</v>
      </c>
      <c r="D749" s="10" t="s">
        <v>281</v>
      </c>
      <c r="E749" s="10">
        <v>30060</v>
      </c>
      <c r="F749" s="10">
        <v>0.08</v>
      </c>
      <c r="G749" s="9">
        <v>45181</v>
      </c>
      <c r="H749" s="12">
        <f t="shared" si="11"/>
        <v>2404.8</v>
      </c>
      <c r="I749" s="12" t="s">
        <v>10</v>
      </c>
      <c r="J749" s="15"/>
    </row>
    <row r="750" hidden="1" spans="2:10">
      <c r="B750" s="86">
        <v>232400636</v>
      </c>
      <c r="C750" s="9">
        <v>45125</v>
      </c>
      <c r="D750" s="10" t="s">
        <v>281</v>
      </c>
      <c r="E750" s="10">
        <v>30060</v>
      </c>
      <c r="F750" s="10">
        <v>0.08</v>
      </c>
      <c r="G750" s="9">
        <v>45189</v>
      </c>
      <c r="H750" s="12">
        <f t="shared" si="11"/>
        <v>2404.8</v>
      </c>
      <c r="I750" s="12" t="s">
        <v>10</v>
      </c>
      <c r="J750" s="15"/>
    </row>
    <row r="751" hidden="1" spans="2:10">
      <c r="B751" s="86">
        <v>232400636</v>
      </c>
      <c r="C751" s="9">
        <v>45125</v>
      </c>
      <c r="D751" s="10" t="s">
        <v>281</v>
      </c>
      <c r="E751" s="10">
        <v>30060</v>
      </c>
      <c r="F751" s="10">
        <v>0.08</v>
      </c>
      <c r="G751" s="9">
        <v>45204</v>
      </c>
      <c r="H751" s="12">
        <f t="shared" si="11"/>
        <v>2404.8</v>
      </c>
      <c r="I751" s="12" t="s">
        <v>10</v>
      </c>
      <c r="J751" s="15"/>
    </row>
    <row r="752" hidden="1" spans="2:10">
      <c r="B752" s="86">
        <v>232400636</v>
      </c>
      <c r="C752" s="9">
        <v>45125</v>
      </c>
      <c r="D752" s="10" t="s">
        <v>281</v>
      </c>
      <c r="E752" s="10">
        <v>30060</v>
      </c>
      <c r="F752" s="10">
        <v>0.08</v>
      </c>
      <c r="G752" s="9">
        <v>45211</v>
      </c>
      <c r="H752" s="12">
        <f t="shared" si="11"/>
        <v>2404.8</v>
      </c>
      <c r="I752" s="12" t="s">
        <v>10</v>
      </c>
      <c r="J752" s="15"/>
    </row>
    <row r="753" hidden="1" spans="2:11">
      <c r="B753" s="86">
        <v>232400636</v>
      </c>
      <c r="C753" s="9">
        <v>45125</v>
      </c>
      <c r="D753" s="10" t="s">
        <v>281</v>
      </c>
      <c r="E753" s="10">
        <v>30060</v>
      </c>
      <c r="F753" s="10">
        <v>0.08</v>
      </c>
      <c r="G753" s="9">
        <v>45219</v>
      </c>
      <c r="H753" s="12">
        <f t="shared" si="11"/>
        <v>2404.8</v>
      </c>
      <c r="I753" s="12" t="s">
        <v>10</v>
      </c>
      <c r="J753" s="15"/>
    </row>
    <row r="754" hidden="1" spans="2:11">
      <c r="B754" s="86">
        <v>232400637</v>
      </c>
      <c r="C754" s="9">
        <v>45125</v>
      </c>
      <c r="D754" s="87" t="s">
        <v>254</v>
      </c>
      <c r="E754" s="10">
        <v>1500000</v>
      </c>
      <c r="F754" s="10">
        <v>0.03</v>
      </c>
      <c r="G754" s="9">
        <v>45209</v>
      </c>
      <c r="H754" s="12">
        <f t="shared" si="11"/>
        <v>45000</v>
      </c>
      <c r="I754" s="12" t="s">
        <v>10</v>
      </c>
      <c r="J754" s="15"/>
    </row>
    <row r="755" hidden="1" spans="2:11">
      <c r="B755" s="86">
        <v>232400638</v>
      </c>
      <c r="C755" s="9">
        <v>45125</v>
      </c>
      <c r="D755" s="87" t="s">
        <v>210</v>
      </c>
      <c r="E755" s="10">
        <v>240000</v>
      </c>
      <c r="F755" s="10">
        <v>0.028</v>
      </c>
      <c r="G755" s="9">
        <v>45179</v>
      </c>
      <c r="H755" s="12">
        <f t="shared" si="11"/>
        <v>6720</v>
      </c>
      <c r="I755" s="12" t="s">
        <v>10</v>
      </c>
      <c r="J755" s="15"/>
    </row>
    <row r="756" hidden="1" spans="2:11">
      <c r="B756" s="86">
        <v>232400639</v>
      </c>
      <c r="C756" s="9">
        <v>45126</v>
      </c>
      <c r="D756" s="87" t="s">
        <v>210</v>
      </c>
      <c r="E756" s="10">
        <v>120000</v>
      </c>
      <c r="F756" s="10">
        <v>0.028</v>
      </c>
      <c r="G756" s="9">
        <v>45209</v>
      </c>
      <c r="H756" s="12">
        <f t="shared" si="11"/>
        <v>3360</v>
      </c>
      <c r="I756" s="12" t="s">
        <v>10</v>
      </c>
      <c r="J756" s="15"/>
    </row>
    <row r="757" hidden="1" spans="2:11">
      <c r="B757" s="86">
        <v>232400639</v>
      </c>
      <c r="C757" s="9">
        <v>45126</v>
      </c>
      <c r="D757" s="87" t="s">
        <v>243</v>
      </c>
      <c r="E757" s="10">
        <v>96000</v>
      </c>
      <c r="F757" s="10">
        <v>0.022</v>
      </c>
      <c r="G757" s="9">
        <v>45148</v>
      </c>
      <c r="H757" s="12">
        <f t="shared" si="11"/>
        <v>2112</v>
      </c>
      <c r="I757" s="12" t="s">
        <v>10</v>
      </c>
      <c r="J757" s="15"/>
    </row>
    <row r="758" hidden="1" spans="2:11">
      <c r="B758" s="86">
        <v>232400639</v>
      </c>
      <c r="C758" s="9">
        <v>45126</v>
      </c>
      <c r="D758" s="87" t="s">
        <v>243</v>
      </c>
      <c r="E758" s="10">
        <v>96000</v>
      </c>
      <c r="F758" s="10">
        <v>0.022</v>
      </c>
      <c r="G758" s="9">
        <v>45179</v>
      </c>
      <c r="H758" s="12">
        <f t="shared" si="11"/>
        <v>2112</v>
      </c>
      <c r="I758" s="12" t="s">
        <v>10</v>
      </c>
      <c r="J758" s="15"/>
    </row>
    <row r="759" hidden="1" spans="2:11">
      <c r="B759" s="86">
        <v>232400639</v>
      </c>
      <c r="C759" s="9">
        <v>45126</v>
      </c>
      <c r="D759" s="87" t="s">
        <v>243</v>
      </c>
      <c r="E759" s="10">
        <v>96000</v>
      </c>
      <c r="F759" s="10">
        <v>0.022</v>
      </c>
      <c r="G759" s="9">
        <v>45209</v>
      </c>
      <c r="H759" s="12">
        <f t="shared" si="11"/>
        <v>2112</v>
      </c>
      <c r="I759" s="12" t="s">
        <v>10</v>
      </c>
      <c r="J759" s="15"/>
    </row>
    <row r="760" hidden="1" spans="2:11">
      <c r="B760" s="86">
        <v>232400639</v>
      </c>
      <c r="C760" s="9">
        <v>45126</v>
      </c>
      <c r="D760" s="10" t="s">
        <v>236</v>
      </c>
      <c r="E760" s="10">
        <v>96000</v>
      </c>
      <c r="F760" s="10">
        <v>0.006</v>
      </c>
      <c r="G760" s="9">
        <v>45209</v>
      </c>
      <c r="H760" s="12">
        <f t="shared" si="11"/>
        <v>576</v>
      </c>
      <c r="I760" s="12" t="s">
        <v>10</v>
      </c>
      <c r="J760" s="15"/>
    </row>
    <row r="761" hidden="1" spans="2:11">
      <c r="B761" s="86">
        <v>232400639</v>
      </c>
      <c r="C761" s="9">
        <v>45126</v>
      </c>
      <c r="D761" s="10" t="s">
        <v>163</v>
      </c>
      <c r="E761" s="10">
        <v>208000</v>
      </c>
      <c r="F761" s="10">
        <v>0.0025</v>
      </c>
      <c r="G761" s="9">
        <v>45179</v>
      </c>
      <c r="H761" s="12">
        <f t="shared" si="11"/>
        <v>520</v>
      </c>
      <c r="I761" s="12" t="s">
        <v>10</v>
      </c>
      <c r="J761" s="15"/>
    </row>
    <row r="762" hidden="1" spans="2:11">
      <c r="B762" s="86">
        <v>232400639</v>
      </c>
      <c r="C762" s="9">
        <v>45126</v>
      </c>
      <c r="D762" s="10" t="s">
        <v>163</v>
      </c>
      <c r="E762" s="10">
        <v>208000</v>
      </c>
      <c r="F762" s="10">
        <v>0.0025</v>
      </c>
      <c r="G762" s="9">
        <v>45209</v>
      </c>
      <c r="H762" s="12">
        <f t="shared" si="11"/>
        <v>520</v>
      </c>
      <c r="I762" s="12" t="s">
        <v>10</v>
      </c>
      <c r="J762" s="15"/>
    </row>
    <row r="763" hidden="1" spans="2:11">
      <c r="B763" s="86">
        <v>232400640</v>
      </c>
      <c r="C763" s="9">
        <v>45126</v>
      </c>
      <c r="D763" s="87" t="s">
        <v>210</v>
      </c>
      <c r="E763" s="10">
        <v>120000</v>
      </c>
      <c r="F763" s="10">
        <v>0.028</v>
      </c>
      <c r="G763" s="9">
        <v>45148</v>
      </c>
      <c r="H763" s="12">
        <f t="shared" si="11"/>
        <v>3360</v>
      </c>
      <c r="I763" s="12" t="s">
        <v>10</v>
      </c>
      <c r="J763" s="15"/>
    </row>
    <row r="764" hidden="1" spans="2:11">
      <c r="B764" s="86">
        <v>232400640</v>
      </c>
      <c r="C764" s="9">
        <v>45126</v>
      </c>
      <c r="D764" s="87" t="s">
        <v>210</v>
      </c>
      <c r="E764" s="10">
        <v>240000</v>
      </c>
      <c r="F764" s="10">
        <v>0.028</v>
      </c>
      <c r="G764" s="9">
        <v>45179</v>
      </c>
      <c r="H764" s="12">
        <f t="shared" si="11"/>
        <v>6720</v>
      </c>
      <c r="I764" s="12" t="s">
        <v>10</v>
      </c>
      <c r="J764" s="15"/>
    </row>
    <row r="765" hidden="1" spans="2:11">
      <c r="B765" s="86">
        <v>232400658</v>
      </c>
      <c r="C765" s="133">
        <v>45128</v>
      </c>
      <c r="D765" s="10" t="s">
        <v>135</v>
      </c>
      <c r="E765" s="10">
        <v>434000</v>
      </c>
      <c r="F765" s="10">
        <v>0.035</v>
      </c>
      <c r="G765" s="9">
        <v>45137</v>
      </c>
      <c r="H765" s="12">
        <f t="shared" si="11"/>
        <v>15190</v>
      </c>
      <c r="I765" s="12" t="s">
        <v>10</v>
      </c>
      <c r="J765" s="15"/>
    </row>
    <row r="766" hidden="1" spans="2:11">
      <c r="B766" s="86">
        <v>232400658</v>
      </c>
      <c r="C766" s="133">
        <v>45128</v>
      </c>
      <c r="D766" s="87" t="s">
        <v>295</v>
      </c>
      <c r="E766" s="10">
        <v>20000</v>
      </c>
      <c r="F766" s="10">
        <v>0.04</v>
      </c>
      <c r="G766" s="9">
        <v>45137</v>
      </c>
      <c r="H766" s="12">
        <f t="shared" si="11"/>
        <v>800</v>
      </c>
      <c r="I766" s="12" t="s">
        <v>10</v>
      </c>
      <c r="J766" s="15"/>
    </row>
    <row r="767" hidden="1" spans="2:11">
      <c r="B767" s="86">
        <v>232400662</v>
      </c>
      <c r="C767" s="9">
        <v>45128</v>
      </c>
      <c r="D767" s="87" t="s">
        <v>256</v>
      </c>
      <c r="E767" s="10">
        <v>110000</v>
      </c>
      <c r="F767" s="10">
        <v>0.0292</v>
      </c>
      <c r="G767" s="9">
        <v>45189</v>
      </c>
      <c r="H767" s="12">
        <f t="shared" si="11"/>
        <v>3212</v>
      </c>
      <c r="I767" s="12" t="s">
        <v>10</v>
      </c>
      <c r="J767" s="15"/>
      <c r="K767" s="134"/>
    </row>
    <row r="768" hidden="1" spans="2:11">
      <c r="B768" s="86">
        <v>232400662</v>
      </c>
      <c r="C768" s="9">
        <v>45128</v>
      </c>
      <c r="D768" s="87" t="s">
        <v>256</v>
      </c>
      <c r="E768" s="10">
        <v>60000</v>
      </c>
      <c r="F768" s="10">
        <v>0.0292</v>
      </c>
      <c r="G768" s="9">
        <v>45219</v>
      </c>
      <c r="H768" s="12">
        <f t="shared" si="11"/>
        <v>1752</v>
      </c>
      <c r="I768" s="12" t="s">
        <v>10</v>
      </c>
      <c r="J768" s="15"/>
      <c r="K768" s="134"/>
    </row>
    <row r="769" hidden="1" spans="2:10">
      <c r="B769" s="86">
        <v>232400662</v>
      </c>
      <c r="C769" s="9">
        <v>45128</v>
      </c>
      <c r="D769" s="87" t="s">
        <v>256</v>
      </c>
      <c r="E769" s="10">
        <v>50000</v>
      </c>
      <c r="F769" s="10">
        <v>0.0292</v>
      </c>
      <c r="G769" s="9">
        <v>45219</v>
      </c>
      <c r="H769" s="12">
        <f t="shared" si="11"/>
        <v>1460</v>
      </c>
      <c r="I769" s="12" t="s">
        <v>10</v>
      </c>
      <c r="J769" s="15"/>
    </row>
    <row r="770" hidden="1" spans="2:10">
      <c r="B770" s="86">
        <v>232400662</v>
      </c>
      <c r="C770" s="9">
        <v>45128</v>
      </c>
      <c r="D770" s="87" t="s">
        <v>273</v>
      </c>
      <c r="E770" s="10">
        <v>60000</v>
      </c>
      <c r="F770" s="10">
        <v>0.028</v>
      </c>
      <c r="G770" s="9">
        <v>45153</v>
      </c>
      <c r="H770" s="12">
        <f t="shared" ref="H770:H833" si="12">E770*F770</f>
        <v>1680</v>
      </c>
      <c r="I770" s="12" t="s">
        <v>10</v>
      </c>
      <c r="J770" s="15"/>
    </row>
    <row r="771" hidden="1" spans="2:10">
      <c r="B771" s="86">
        <v>232400662</v>
      </c>
      <c r="C771" s="9">
        <v>45128</v>
      </c>
      <c r="D771" s="87" t="s">
        <v>273</v>
      </c>
      <c r="E771" s="10">
        <v>70000</v>
      </c>
      <c r="F771" s="10">
        <v>0.028</v>
      </c>
      <c r="G771" s="9">
        <v>45184</v>
      </c>
      <c r="H771" s="12">
        <f t="shared" si="12"/>
        <v>1960</v>
      </c>
      <c r="I771" s="12" t="s">
        <v>10</v>
      </c>
      <c r="J771" s="15"/>
    </row>
    <row r="772" hidden="1" spans="2:10">
      <c r="B772" s="86">
        <v>232400662</v>
      </c>
      <c r="C772" s="9">
        <v>45128</v>
      </c>
      <c r="D772" s="87" t="s">
        <v>273</v>
      </c>
      <c r="E772" s="10">
        <v>70000</v>
      </c>
      <c r="F772" s="10">
        <v>0.028</v>
      </c>
      <c r="G772" s="9">
        <v>45194</v>
      </c>
      <c r="H772" s="12">
        <f t="shared" si="12"/>
        <v>1960</v>
      </c>
      <c r="I772" s="12" t="s">
        <v>10</v>
      </c>
      <c r="J772" s="15"/>
    </row>
    <row r="773" hidden="1" spans="2:10">
      <c r="B773" s="86">
        <v>232400662</v>
      </c>
      <c r="C773" s="9">
        <v>45128</v>
      </c>
      <c r="D773" s="87" t="s">
        <v>273</v>
      </c>
      <c r="E773" s="10">
        <v>120000</v>
      </c>
      <c r="F773" s="10">
        <v>0.028</v>
      </c>
      <c r="G773" s="9">
        <v>45219</v>
      </c>
      <c r="H773" s="12">
        <f t="shared" si="12"/>
        <v>3360</v>
      </c>
      <c r="I773" s="12" t="s">
        <v>10</v>
      </c>
      <c r="J773" s="15"/>
    </row>
    <row r="774" hidden="1" spans="2:10">
      <c r="B774" s="86">
        <v>232400662</v>
      </c>
      <c r="C774" s="9">
        <v>45128</v>
      </c>
      <c r="D774" s="87" t="s">
        <v>273</v>
      </c>
      <c r="E774" s="10">
        <v>60000</v>
      </c>
      <c r="F774" s="10">
        <v>0.028</v>
      </c>
      <c r="G774" s="9">
        <v>45250</v>
      </c>
      <c r="H774" s="12">
        <f t="shared" si="12"/>
        <v>1680</v>
      </c>
      <c r="I774" s="12" t="s">
        <v>10</v>
      </c>
      <c r="J774" s="15"/>
    </row>
    <row r="775" hidden="1" spans="2:10">
      <c r="B775" s="86">
        <v>232400662</v>
      </c>
      <c r="C775" s="9">
        <v>45128</v>
      </c>
      <c r="D775" s="87" t="s">
        <v>274</v>
      </c>
      <c r="E775" s="10">
        <v>60000</v>
      </c>
      <c r="F775" s="10">
        <v>0.028</v>
      </c>
      <c r="G775" s="9">
        <v>45189</v>
      </c>
      <c r="H775" s="12">
        <f t="shared" si="12"/>
        <v>1680</v>
      </c>
      <c r="I775" s="12" t="s">
        <v>10</v>
      </c>
      <c r="J775" s="15"/>
    </row>
    <row r="776" hidden="1" spans="2:10">
      <c r="B776" s="86">
        <v>232400662</v>
      </c>
      <c r="C776" s="9">
        <v>45128</v>
      </c>
      <c r="D776" s="87" t="s">
        <v>274</v>
      </c>
      <c r="E776" s="10">
        <v>60000</v>
      </c>
      <c r="F776" s="10">
        <v>0.028</v>
      </c>
      <c r="G776" s="9">
        <v>45189</v>
      </c>
      <c r="H776" s="12">
        <f t="shared" si="12"/>
        <v>1680</v>
      </c>
      <c r="I776" s="12" t="s">
        <v>10</v>
      </c>
      <c r="J776" s="15"/>
    </row>
    <row r="777" hidden="1" spans="2:10">
      <c r="B777" s="86">
        <v>232400662</v>
      </c>
      <c r="C777" s="9">
        <v>45128</v>
      </c>
      <c r="D777" s="87" t="s">
        <v>259</v>
      </c>
      <c r="E777" s="10">
        <v>60000</v>
      </c>
      <c r="F777" s="10">
        <v>0.028</v>
      </c>
      <c r="G777" s="9">
        <v>45189</v>
      </c>
      <c r="H777" s="12">
        <f t="shared" si="12"/>
        <v>1680</v>
      </c>
      <c r="I777" s="12" t="s">
        <v>10</v>
      </c>
      <c r="J777" s="15"/>
    </row>
    <row r="778" hidden="1" spans="2:10">
      <c r="B778" s="86">
        <v>232400662</v>
      </c>
      <c r="C778" s="9">
        <v>45128</v>
      </c>
      <c r="D778" s="87" t="s">
        <v>259</v>
      </c>
      <c r="E778" s="10">
        <v>60000</v>
      </c>
      <c r="F778" s="10">
        <v>0.028</v>
      </c>
      <c r="G778" s="9">
        <v>45189</v>
      </c>
      <c r="H778" s="12">
        <f t="shared" si="12"/>
        <v>1680</v>
      </c>
      <c r="I778" s="12" t="s">
        <v>10</v>
      </c>
      <c r="J778" s="15"/>
    </row>
    <row r="779" hidden="1" spans="2:10">
      <c r="B779" s="86">
        <v>232400662</v>
      </c>
      <c r="C779" s="9">
        <v>45128</v>
      </c>
      <c r="D779" s="87" t="s">
        <v>231</v>
      </c>
      <c r="E779" s="10">
        <v>150000</v>
      </c>
      <c r="F779" s="10">
        <v>0.0082</v>
      </c>
      <c r="G779" s="9">
        <v>45189</v>
      </c>
      <c r="H779" s="12">
        <f t="shared" si="12"/>
        <v>1230</v>
      </c>
      <c r="I779" s="12" t="s">
        <v>10</v>
      </c>
      <c r="J779" s="15"/>
    </row>
    <row r="780" hidden="1" spans="2:10">
      <c r="B780" s="86">
        <v>232400662</v>
      </c>
      <c r="C780" s="9">
        <v>45128</v>
      </c>
      <c r="D780" s="87" t="s">
        <v>231</v>
      </c>
      <c r="E780" s="10">
        <v>102000</v>
      </c>
      <c r="F780" s="10">
        <v>0.0082</v>
      </c>
      <c r="G780" s="9">
        <v>45189</v>
      </c>
      <c r="H780" s="12">
        <f t="shared" si="12"/>
        <v>836.4</v>
      </c>
      <c r="I780" s="12" t="s">
        <v>10</v>
      </c>
      <c r="J780" s="15"/>
    </row>
    <row r="781" hidden="1" spans="2:10">
      <c r="B781" s="86">
        <v>232400662</v>
      </c>
      <c r="C781" s="9">
        <v>45128</v>
      </c>
      <c r="D781" s="87" t="s">
        <v>231</v>
      </c>
      <c r="E781" s="10">
        <v>102000</v>
      </c>
      <c r="F781" s="10">
        <v>0.0082</v>
      </c>
      <c r="G781" s="9">
        <v>45219</v>
      </c>
      <c r="H781" s="12">
        <f t="shared" si="12"/>
        <v>836.4</v>
      </c>
      <c r="I781" s="12" t="s">
        <v>10</v>
      </c>
      <c r="J781" s="15"/>
    </row>
    <row r="782" hidden="1" spans="2:10">
      <c r="B782" s="86">
        <v>232400662</v>
      </c>
      <c r="C782" s="9">
        <v>45128</v>
      </c>
      <c r="D782" s="87" t="s">
        <v>231</v>
      </c>
      <c r="E782" s="10">
        <v>102000</v>
      </c>
      <c r="F782" s="10">
        <v>0.0082</v>
      </c>
      <c r="G782" s="9">
        <v>45219</v>
      </c>
      <c r="H782" s="12">
        <f t="shared" si="12"/>
        <v>836.4</v>
      </c>
      <c r="I782" s="12" t="s">
        <v>10</v>
      </c>
      <c r="J782" s="15"/>
    </row>
    <row r="783" hidden="1" spans="2:10">
      <c r="B783" s="86">
        <v>232400662</v>
      </c>
      <c r="C783" s="9">
        <v>45128</v>
      </c>
      <c r="D783" s="87" t="s">
        <v>255</v>
      </c>
      <c r="E783" s="10">
        <v>200000</v>
      </c>
      <c r="F783" s="10">
        <v>0.0238</v>
      </c>
      <c r="G783" s="9">
        <v>45158</v>
      </c>
      <c r="H783" s="12">
        <f t="shared" si="12"/>
        <v>4760</v>
      </c>
      <c r="I783" s="12" t="s">
        <v>10</v>
      </c>
      <c r="J783" s="15"/>
    </row>
    <row r="784" hidden="1" spans="2:10">
      <c r="B784" s="86">
        <v>232400662</v>
      </c>
      <c r="C784" s="9">
        <v>45128</v>
      </c>
      <c r="D784" s="87" t="s">
        <v>255</v>
      </c>
      <c r="E784" s="10">
        <v>150000</v>
      </c>
      <c r="F784" s="10">
        <v>0.0238</v>
      </c>
      <c r="G784" s="9">
        <v>45158</v>
      </c>
      <c r="H784" s="12">
        <f t="shared" si="12"/>
        <v>3570</v>
      </c>
      <c r="I784" s="12" t="s">
        <v>10</v>
      </c>
      <c r="J784" s="15"/>
    </row>
    <row r="785" hidden="1" spans="2:10">
      <c r="B785" s="86">
        <v>232400662</v>
      </c>
      <c r="C785" s="9">
        <v>45128</v>
      </c>
      <c r="D785" s="87" t="s">
        <v>255</v>
      </c>
      <c r="E785" s="10">
        <v>200000</v>
      </c>
      <c r="F785" s="10">
        <v>0.0238</v>
      </c>
      <c r="G785" s="9">
        <v>45189</v>
      </c>
      <c r="H785" s="12">
        <f t="shared" si="12"/>
        <v>4760</v>
      </c>
      <c r="I785" s="12" t="s">
        <v>10</v>
      </c>
      <c r="J785" s="15"/>
    </row>
    <row r="786" hidden="1" spans="2:10">
      <c r="B786" s="86">
        <v>232400662</v>
      </c>
      <c r="C786" s="9">
        <v>45128</v>
      </c>
      <c r="D786" s="87" t="s">
        <v>255</v>
      </c>
      <c r="E786" s="10">
        <v>150000</v>
      </c>
      <c r="F786" s="10">
        <v>0.0238</v>
      </c>
      <c r="G786" s="9">
        <v>45219</v>
      </c>
      <c r="H786" s="12">
        <f t="shared" si="12"/>
        <v>3570</v>
      </c>
      <c r="I786" s="12" t="s">
        <v>10</v>
      </c>
      <c r="J786" s="15"/>
    </row>
    <row r="787" hidden="1" spans="2:10">
      <c r="B787" s="86">
        <v>232400663</v>
      </c>
      <c r="C787" s="9">
        <v>45128</v>
      </c>
      <c r="D787" s="87" t="s">
        <v>255</v>
      </c>
      <c r="E787" s="10">
        <v>100000</v>
      </c>
      <c r="F787" s="10">
        <v>0.0238</v>
      </c>
      <c r="G787" s="9">
        <v>45189</v>
      </c>
      <c r="H787" s="12">
        <f t="shared" si="12"/>
        <v>2380</v>
      </c>
      <c r="I787" s="12" t="s">
        <v>10</v>
      </c>
      <c r="J787" s="15"/>
    </row>
    <row r="788" hidden="1" spans="2:10">
      <c r="B788" s="86">
        <v>232400663</v>
      </c>
      <c r="C788" s="9">
        <v>45128</v>
      </c>
      <c r="D788" s="87" t="s">
        <v>238</v>
      </c>
      <c r="E788" s="10">
        <v>50000</v>
      </c>
      <c r="F788" s="10">
        <v>0.035</v>
      </c>
      <c r="G788" s="9">
        <v>45184</v>
      </c>
      <c r="H788" s="12">
        <f t="shared" si="12"/>
        <v>1750</v>
      </c>
      <c r="I788" s="12" t="s">
        <v>10</v>
      </c>
      <c r="J788" s="15"/>
    </row>
    <row r="789" hidden="1" spans="2:10">
      <c r="B789" s="86">
        <v>232400663</v>
      </c>
      <c r="C789" s="9">
        <v>45128</v>
      </c>
      <c r="D789" s="87" t="s">
        <v>238</v>
      </c>
      <c r="E789" s="10">
        <v>150000</v>
      </c>
      <c r="F789" s="10">
        <v>0.035</v>
      </c>
      <c r="G789" s="9">
        <v>45189</v>
      </c>
      <c r="H789" s="12">
        <f t="shared" si="12"/>
        <v>5250</v>
      </c>
      <c r="I789" s="12" t="s">
        <v>10</v>
      </c>
      <c r="J789" s="15"/>
    </row>
    <row r="790" hidden="1" spans="2:10">
      <c r="B790" s="86">
        <v>232400663</v>
      </c>
      <c r="C790" s="9">
        <v>45128</v>
      </c>
      <c r="D790" s="87" t="s">
        <v>238</v>
      </c>
      <c r="E790" s="10">
        <v>50000</v>
      </c>
      <c r="F790" s="10">
        <v>0.035</v>
      </c>
      <c r="G790" s="9">
        <v>45214</v>
      </c>
      <c r="H790" s="12">
        <f t="shared" si="12"/>
        <v>1750</v>
      </c>
      <c r="I790" s="12" t="s">
        <v>10</v>
      </c>
      <c r="J790" s="15"/>
    </row>
    <row r="791" hidden="1" spans="2:10">
      <c r="B791" s="86">
        <v>232400663</v>
      </c>
      <c r="C791" s="9">
        <v>45128</v>
      </c>
      <c r="D791" s="87" t="s">
        <v>238</v>
      </c>
      <c r="E791" s="10">
        <v>150000</v>
      </c>
      <c r="F791" s="10">
        <v>0.035</v>
      </c>
      <c r="G791" s="9">
        <v>45219</v>
      </c>
      <c r="H791" s="12">
        <f t="shared" si="12"/>
        <v>5250</v>
      </c>
      <c r="I791" s="12" t="s">
        <v>10</v>
      </c>
      <c r="J791" s="15"/>
    </row>
    <row r="792" hidden="1" spans="2:10">
      <c r="B792" s="86">
        <v>232400663</v>
      </c>
      <c r="C792" s="9">
        <v>45128</v>
      </c>
      <c r="D792" s="87" t="s">
        <v>129</v>
      </c>
      <c r="E792" s="10">
        <v>100000</v>
      </c>
      <c r="F792" s="10">
        <v>0.03</v>
      </c>
      <c r="G792" s="9">
        <v>45148</v>
      </c>
      <c r="H792" s="12">
        <f t="shared" si="12"/>
        <v>3000</v>
      </c>
      <c r="I792" s="12" t="s">
        <v>10</v>
      </c>
      <c r="J792" s="15"/>
    </row>
    <row r="793" hidden="1" spans="2:10">
      <c r="B793" s="86">
        <v>232400663</v>
      </c>
      <c r="C793" s="9">
        <v>45128</v>
      </c>
      <c r="D793" s="87" t="s">
        <v>240</v>
      </c>
      <c r="E793" s="10">
        <v>100000</v>
      </c>
      <c r="F793" s="10">
        <v>0.03</v>
      </c>
      <c r="G793" s="9">
        <v>45184</v>
      </c>
      <c r="H793" s="12">
        <f t="shared" si="12"/>
        <v>3000</v>
      </c>
      <c r="I793" s="12" t="s">
        <v>10</v>
      </c>
      <c r="J793" s="15"/>
    </row>
    <row r="794" hidden="1" spans="2:10">
      <c r="B794" s="86">
        <v>232400663</v>
      </c>
      <c r="C794" s="9">
        <v>45128</v>
      </c>
      <c r="D794" s="87" t="s">
        <v>240</v>
      </c>
      <c r="E794" s="10">
        <v>100000</v>
      </c>
      <c r="F794" s="10">
        <v>0.03</v>
      </c>
      <c r="G794" s="9">
        <v>45214</v>
      </c>
      <c r="H794" s="12">
        <f t="shared" si="12"/>
        <v>3000</v>
      </c>
      <c r="I794" s="12" t="s">
        <v>10</v>
      </c>
      <c r="J794" s="15"/>
    </row>
    <row r="795" hidden="1" spans="2:10">
      <c r="B795" s="86">
        <v>232400663</v>
      </c>
      <c r="C795" s="9">
        <v>45128</v>
      </c>
      <c r="D795" s="10" t="s">
        <v>25</v>
      </c>
      <c r="E795" s="10">
        <v>20000</v>
      </c>
      <c r="F795" s="10">
        <v>0.016</v>
      </c>
      <c r="G795" s="9">
        <v>45250</v>
      </c>
      <c r="H795" s="12">
        <f t="shared" si="12"/>
        <v>320</v>
      </c>
      <c r="I795" s="12" t="s">
        <v>10</v>
      </c>
      <c r="J795" s="15"/>
    </row>
    <row r="796" hidden="1" spans="2:10">
      <c r="B796" s="86">
        <v>232400663</v>
      </c>
      <c r="C796" s="9">
        <v>45128</v>
      </c>
      <c r="D796" s="10" t="s">
        <v>70</v>
      </c>
      <c r="E796" s="10">
        <v>20000</v>
      </c>
      <c r="F796" s="10">
        <v>0.028</v>
      </c>
      <c r="G796" s="9">
        <v>45153</v>
      </c>
      <c r="H796" s="12">
        <f t="shared" si="12"/>
        <v>560</v>
      </c>
      <c r="I796" s="12" t="s">
        <v>10</v>
      </c>
      <c r="J796" s="15"/>
    </row>
    <row r="797" hidden="1" spans="2:10">
      <c r="B797" s="86">
        <v>232400663</v>
      </c>
      <c r="C797" s="9">
        <v>45128</v>
      </c>
      <c r="D797" s="10" t="s">
        <v>213</v>
      </c>
      <c r="E797" s="10">
        <v>150000</v>
      </c>
      <c r="F797" s="10">
        <v>0.05</v>
      </c>
      <c r="G797" s="9">
        <v>45158</v>
      </c>
      <c r="H797" s="12">
        <f t="shared" si="12"/>
        <v>7500</v>
      </c>
      <c r="I797" s="12" t="s">
        <v>10</v>
      </c>
      <c r="J797" s="15"/>
    </row>
    <row r="798" hidden="1" spans="2:10">
      <c r="B798" s="86">
        <v>232400663</v>
      </c>
      <c r="C798" s="9">
        <v>45128</v>
      </c>
      <c r="D798" s="10" t="s">
        <v>213</v>
      </c>
      <c r="E798" s="10">
        <v>50000</v>
      </c>
      <c r="F798" s="10">
        <v>0.05</v>
      </c>
      <c r="G798" s="9">
        <v>45189</v>
      </c>
      <c r="H798" s="12">
        <f t="shared" si="12"/>
        <v>2500</v>
      </c>
      <c r="I798" s="12" t="s">
        <v>10</v>
      </c>
      <c r="J798" s="15"/>
    </row>
    <row r="799" hidden="1" spans="2:10">
      <c r="B799" s="86">
        <v>232400663</v>
      </c>
      <c r="C799" s="9">
        <v>45128</v>
      </c>
      <c r="D799" s="10" t="s">
        <v>213</v>
      </c>
      <c r="E799" s="10">
        <v>50000</v>
      </c>
      <c r="F799" s="10">
        <v>0.05</v>
      </c>
      <c r="G799" s="9">
        <v>45189</v>
      </c>
      <c r="H799" s="12">
        <f t="shared" si="12"/>
        <v>2500</v>
      </c>
      <c r="I799" s="12" t="s">
        <v>10</v>
      </c>
      <c r="J799" s="15"/>
    </row>
    <row r="800" hidden="1" spans="2:10">
      <c r="B800" s="86">
        <v>232400663</v>
      </c>
      <c r="C800" s="9">
        <v>45128</v>
      </c>
      <c r="D800" s="10" t="s">
        <v>213</v>
      </c>
      <c r="E800" s="10">
        <v>50000</v>
      </c>
      <c r="F800" s="10">
        <v>0.05</v>
      </c>
      <c r="G800" s="9">
        <v>45219</v>
      </c>
      <c r="H800" s="12">
        <f t="shared" si="12"/>
        <v>2500</v>
      </c>
      <c r="I800" s="12" t="s">
        <v>10</v>
      </c>
      <c r="J800" s="15"/>
    </row>
    <row r="801" hidden="1" spans="2:10">
      <c r="B801" s="86">
        <v>232400663</v>
      </c>
      <c r="C801" s="9">
        <v>45128</v>
      </c>
      <c r="D801" s="10" t="s">
        <v>213</v>
      </c>
      <c r="E801" s="10">
        <v>50000</v>
      </c>
      <c r="F801" s="10">
        <v>0.05</v>
      </c>
      <c r="G801" s="9">
        <v>45219</v>
      </c>
      <c r="H801" s="12">
        <f t="shared" si="12"/>
        <v>2500</v>
      </c>
      <c r="I801" s="12" t="s">
        <v>10</v>
      </c>
      <c r="J801" s="15"/>
    </row>
    <row r="802" hidden="1" spans="2:10">
      <c r="B802" s="86">
        <v>232400663</v>
      </c>
      <c r="C802" s="9">
        <v>45128</v>
      </c>
      <c r="D802" s="10" t="s">
        <v>108</v>
      </c>
      <c r="E802" s="10">
        <v>20000</v>
      </c>
      <c r="F802" s="10">
        <v>0.04</v>
      </c>
      <c r="G802" s="9">
        <v>45158</v>
      </c>
      <c r="H802" s="12">
        <f t="shared" si="12"/>
        <v>800</v>
      </c>
      <c r="I802" s="12" t="s">
        <v>10</v>
      </c>
      <c r="J802" s="15"/>
    </row>
    <row r="803" hidden="1" spans="2:10">
      <c r="B803" s="86">
        <v>232400663</v>
      </c>
      <c r="C803" s="9">
        <v>45128</v>
      </c>
      <c r="D803" s="10" t="s">
        <v>108</v>
      </c>
      <c r="E803" s="10">
        <v>20000</v>
      </c>
      <c r="F803" s="10">
        <v>0.04</v>
      </c>
      <c r="G803" s="9">
        <v>45189</v>
      </c>
      <c r="H803" s="12">
        <f t="shared" si="12"/>
        <v>800</v>
      </c>
      <c r="I803" s="12" t="s">
        <v>10</v>
      </c>
      <c r="J803" s="15"/>
    </row>
    <row r="804" hidden="1" spans="2:10">
      <c r="B804" s="86">
        <v>232400663</v>
      </c>
      <c r="C804" s="9">
        <v>45128</v>
      </c>
      <c r="D804" s="10" t="s">
        <v>108</v>
      </c>
      <c r="E804" s="10">
        <v>20000</v>
      </c>
      <c r="F804" s="10">
        <v>0.04</v>
      </c>
      <c r="G804" s="9">
        <v>45219</v>
      </c>
      <c r="H804" s="12">
        <f t="shared" si="12"/>
        <v>800</v>
      </c>
      <c r="I804" s="12" t="s">
        <v>10</v>
      </c>
      <c r="J804" s="15"/>
    </row>
    <row r="805" hidden="1" spans="2:10">
      <c r="B805" s="86">
        <v>232400663</v>
      </c>
      <c r="C805" s="9">
        <v>45128</v>
      </c>
      <c r="D805" s="87" t="s">
        <v>235</v>
      </c>
      <c r="E805" s="10">
        <v>150000</v>
      </c>
      <c r="F805" s="10">
        <v>0.04</v>
      </c>
      <c r="G805" s="9">
        <v>45158</v>
      </c>
      <c r="H805" s="12">
        <f t="shared" si="12"/>
        <v>6000</v>
      </c>
      <c r="I805" s="12" t="s">
        <v>10</v>
      </c>
      <c r="J805" s="15"/>
    </row>
    <row r="806" hidden="1" spans="2:10">
      <c r="B806" s="86">
        <v>232400663</v>
      </c>
      <c r="C806" s="9">
        <v>45128</v>
      </c>
      <c r="D806" s="87" t="s">
        <v>235</v>
      </c>
      <c r="E806" s="10">
        <v>120000</v>
      </c>
      <c r="F806" s="10">
        <v>0.04</v>
      </c>
      <c r="G806" s="9">
        <v>45189</v>
      </c>
      <c r="H806" s="12">
        <f t="shared" si="12"/>
        <v>4800</v>
      </c>
      <c r="I806" s="12" t="s">
        <v>10</v>
      </c>
      <c r="J806" s="15"/>
    </row>
    <row r="807" hidden="1" spans="2:10">
      <c r="B807" s="86">
        <v>232400664</v>
      </c>
      <c r="C807" s="9">
        <v>45128</v>
      </c>
      <c r="D807" s="87" t="s">
        <v>235</v>
      </c>
      <c r="E807" s="10">
        <v>100000</v>
      </c>
      <c r="F807" s="10">
        <v>0.04</v>
      </c>
      <c r="G807" s="9">
        <v>45250</v>
      </c>
      <c r="H807" s="12">
        <f t="shared" si="12"/>
        <v>4000</v>
      </c>
      <c r="I807" s="12" t="s">
        <v>10</v>
      </c>
      <c r="J807" s="15"/>
    </row>
    <row r="808" hidden="1" spans="2:10">
      <c r="B808" s="86">
        <v>232400664</v>
      </c>
      <c r="C808" s="9">
        <v>45128</v>
      </c>
      <c r="D808" s="87" t="s">
        <v>239</v>
      </c>
      <c r="E808" s="10">
        <v>50000</v>
      </c>
      <c r="F808" s="10">
        <v>0.03</v>
      </c>
      <c r="G808" s="9">
        <v>45158</v>
      </c>
      <c r="H808" s="12">
        <f t="shared" si="12"/>
        <v>1500</v>
      </c>
      <c r="I808" s="12" t="s">
        <v>10</v>
      </c>
      <c r="J808" s="15"/>
    </row>
    <row r="809" hidden="1" spans="2:10">
      <c r="B809" s="86">
        <v>232400664</v>
      </c>
      <c r="C809" s="9">
        <v>45128</v>
      </c>
      <c r="D809" s="87" t="s">
        <v>239</v>
      </c>
      <c r="E809" s="10">
        <v>50000</v>
      </c>
      <c r="F809" s="10">
        <v>0.03</v>
      </c>
      <c r="G809" s="9">
        <v>45158</v>
      </c>
      <c r="H809" s="12">
        <f t="shared" si="12"/>
        <v>1500</v>
      </c>
      <c r="I809" s="12" t="s">
        <v>10</v>
      </c>
      <c r="J809" s="15"/>
    </row>
    <row r="810" hidden="1" spans="2:10">
      <c r="B810" s="86">
        <v>232400664</v>
      </c>
      <c r="C810" s="9">
        <v>45128</v>
      </c>
      <c r="D810" s="87" t="s">
        <v>239</v>
      </c>
      <c r="E810" s="10">
        <v>100000</v>
      </c>
      <c r="F810" s="10">
        <v>0.03</v>
      </c>
      <c r="G810" s="9">
        <v>45189</v>
      </c>
      <c r="H810" s="12">
        <f t="shared" si="12"/>
        <v>3000</v>
      </c>
      <c r="I810" s="12" t="s">
        <v>10</v>
      </c>
      <c r="J810" s="15"/>
    </row>
    <row r="811" hidden="1" spans="2:10">
      <c r="B811" s="86">
        <v>232400664</v>
      </c>
      <c r="C811" s="9">
        <v>45128</v>
      </c>
      <c r="D811" s="87" t="s">
        <v>239</v>
      </c>
      <c r="E811" s="10">
        <v>100000</v>
      </c>
      <c r="F811" s="10">
        <v>0.03</v>
      </c>
      <c r="G811" s="9">
        <v>45219</v>
      </c>
      <c r="H811" s="12">
        <f t="shared" si="12"/>
        <v>3000</v>
      </c>
      <c r="I811" s="12" t="s">
        <v>10</v>
      </c>
      <c r="J811" s="15"/>
    </row>
    <row r="812" hidden="1" spans="2:10">
      <c r="B812" s="86">
        <v>232400664</v>
      </c>
      <c r="C812" s="9">
        <v>45128</v>
      </c>
      <c r="D812" s="87" t="s">
        <v>250</v>
      </c>
      <c r="E812" s="10">
        <v>40000</v>
      </c>
      <c r="F812" s="10">
        <v>0.04</v>
      </c>
      <c r="G812" s="9">
        <v>45219</v>
      </c>
      <c r="H812" s="12">
        <f t="shared" si="12"/>
        <v>1600</v>
      </c>
      <c r="I812" s="12" t="s">
        <v>10</v>
      </c>
      <c r="J812" s="15"/>
    </row>
    <row r="813" hidden="1" spans="2:10">
      <c r="B813" s="86">
        <v>232400664</v>
      </c>
      <c r="C813" s="9">
        <v>45128</v>
      </c>
      <c r="D813" s="87" t="s">
        <v>264</v>
      </c>
      <c r="E813" s="10">
        <v>30000</v>
      </c>
      <c r="F813" s="10">
        <v>0.03</v>
      </c>
      <c r="G813" s="9">
        <v>45219</v>
      </c>
      <c r="H813" s="12">
        <f t="shared" si="12"/>
        <v>900</v>
      </c>
      <c r="I813" s="12" t="s">
        <v>10</v>
      </c>
      <c r="J813" s="15"/>
    </row>
    <row r="814" hidden="1" spans="2:10">
      <c r="B814" s="86">
        <v>232400664</v>
      </c>
      <c r="C814" s="9">
        <v>45128</v>
      </c>
      <c r="D814" s="87" t="s">
        <v>252</v>
      </c>
      <c r="E814" s="10">
        <v>90000</v>
      </c>
      <c r="F814" s="10">
        <v>0.032</v>
      </c>
      <c r="G814" s="9">
        <v>45219</v>
      </c>
      <c r="H814" s="12">
        <f t="shared" si="12"/>
        <v>2880</v>
      </c>
      <c r="I814" s="12" t="s">
        <v>10</v>
      </c>
      <c r="J814" s="15"/>
    </row>
    <row r="815" hidden="1" spans="2:10">
      <c r="B815" s="86">
        <v>232400671</v>
      </c>
      <c r="C815" s="9">
        <v>45131</v>
      </c>
      <c r="D815" s="87" t="s">
        <v>254</v>
      </c>
      <c r="E815" s="10">
        <v>600000</v>
      </c>
      <c r="F815" s="10">
        <v>0.027</v>
      </c>
      <c r="G815" s="9">
        <v>45158</v>
      </c>
      <c r="H815" s="12">
        <f t="shared" si="12"/>
        <v>16200</v>
      </c>
      <c r="I815" s="12" t="s">
        <v>10</v>
      </c>
      <c r="J815" s="15"/>
    </row>
    <row r="816" hidden="1" spans="2:10">
      <c r="B816" s="86">
        <v>232400671</v>
      </c>
      <c r="C816" s="9">
        <v>45131</v>
      </c>
      <c r="D816" s="87" t="s">
        <v>254</v>
      </c>
      <c r="E816" s="10">
        <v>600000</v>
      </c>
      <c r="F816" s="10">
        <v>0.027</v>
      </c>
      <c r="G816" s="9">
        <v>45179</v>
      </c>
      <c r="H816" s="12">
        <f t="shared" si="12"/>
        <v>16200</v>
      </c>
      <c r="I816" s="12" t="s">
        <v>10</v>
      </c>
      <c r="J816" s="15"/>
    </row>
    <row r="817" hidden="1" spans="2:10">
      <c r="B817" s="86">
        <v>232400671</v>
      </c>
      <c r="C817" s="9">
        <v>45131</v>
      </c>
      <c r="D817" s="87" t="s">
        <v>254</v>
      </c>
      <c r="E817" s="10">
        <v>300000</v>
      </c>
      <c r="F817" s="10">
        <v>0.027</v>
      </c>
      <c r="G817" s="9">
        <v>45179</v>
      </c>
      <c r="H817" s="12">
        <f t="shared" si="12"/>
        <v>8100</v>
      </c>
      <c r="I817" s="12" t="s">
        <v>10</v>
      </c>
      <c r="J817" s="15"/>
    </row>
    <row r="818" hidden="1" spans="2:10">
      <c r="B818" s="86">
        <v>232400671</v>
      </c>
      <c r="C818" s="9">
        <v>45131</v>
      </c>
      <c r="D818" s="87" t="s">
        <v>254</v>
      </c>
      <c r="E818" s="10">
        <v>300000</v>
      </c>
      <c r="F818" s="10">
        <v>0.027</v>
      </c>
      <c r="G818" s="9">
        <v>45214</v>
      </c>
      <c r="H818" s="12">
        <f t="shared" si="12"/>
        <v>8100</v>
      </c>
      <c r="I818" s="12" t="s">
        <v>10</v>
      </c>
      <c r="J818" s="15"/>
    </row>
    <row r="819" hidden="1" spans="2:10">
      <c r="B819" s="86">
        <v>232400671</v>
      </c>
      <c r="C819" s="9">
        <v>45131</v>
      </c>
      <c r="D819" s="87" t="s">
        <v>254</v>
      </c>
      <c r="E819" s="10">
        <v>300000</v>
      </c>
      <c r="F819" s="10">
        <v>0.027</v>
      </c>
      <c r="G819" s="9">
        <v>45224</v>
      </c>
      <c r="H819" s="12">
        <f t="shared" si="12"/>
        <v>8100</v>
      </c>
      <c r="I819" s="12" t="s">
        <v>10</v>
      </c>
      <c r="J819" s="15"/>
    </row>
    <row r="820" hidden="1" spans="2:10">
      <c r="B820" s="86">
        <v>232400671</v>
      </c>
      <c r="C820" s="9">
        <v>45131</v>
      </c>
      <c r="D820" s="87" t="s">
        <v>254</v>
      </c>
      <c r="E820" s="10">
        <v>300000</v>
      </c>
      <c r="F820" s="10">
        <v>0.027</v>
      </c>
      <c r="G820" s="9">
        <v>45255</v>
      </c>
      <c r="H820" s="12">
        <f t="shared" si="12"/>
        <v>8100</v>
      </c>
      <c r="I820" s="12" t="s">
        <v>10</v>
      </c>
      <c r="J820" s="15"/>
    </row>
    <row r="821" hidden="1" spans="2:10">
      <c r="B821" s="86">
        <v>232400671</v>
      </c>
      <c r="C821" s="9">
        <v>45131</v>
      </c>
      <c r="D821" s="87" t="s">
        <v>254</v>
      </c>
      <c r="E821" s="10">
        <v>600000</v>
      </c>
      <c r="F821" s="10">
        <v>0.027</v>
      </c>
      <c r="G821" s="9">
        <v>45316</v>
      </c>
      <c r="H821" s="12">
        <f t="shared" si="12"/>
        <v>16200</v>
      </c>
      <c r="I821" s="12" t="s">
        <v>10</v>
      </c>
      <c r="J821" s="15"/>
    </row>
    <row r="822" hidden="1" spans="2:10">
      <c r="B822" s="86">
        <v>232400674</v>
      </c>
      <c r="C822" s="9">
        <v>45132</v>
      </c>
      <c r="D822" s="10" t="s">
        <v>9</v>
      </c>
      <c r="E822" s="10">
        <v>20000</v>
      </c>
      <c r="F822" s="10">
        <v>0.0254</v>
      </c>
      <c r="G822" s="9">
        <v>45153</v>
      </c>
      <c r="H822" s="12">
        <f t="shared" si="12"/>
        <v>508</v>
      </c>
      <c r="I822" s="12" t="s">
        <v>10</v>
      </c>
      <c r="J822" s="15"/>
    </row>
    <row r="823" hidden="1" spans="2:10">
      <c r="B823" s="86">
        <v>232400674</v>
      </c>
      <c r="C823" s="9">
        <v>45132</v>
      </c>
      <c r="D823" s="10" t="s">
        <v>9</v>
      </c>
      <c r="E823" s="10">
        <v>20000</v>
      </c>
      <c r="F823" s="10">
        <v>0.0254</v>
      </c>
      <c r="G823" s="9">
        <v>45184</v>
      </c>
      <c r="H823" s="12">
        <f t="shared" si="12"/>
        <v>508</v>
      </c>
      <c r="I823" s="12" t="s">
        <v>10</v>
      </c>
      <c r="J823" s="15"/>
    </row>
    <row r="824" hidden="1" spans="2:10">
      <c r="B824" s="86">
        <v>232400677</v>
      </c>
      <c r="C824" s="9">
        <v>45133</v>
      </c>
      <c r="D824" s="10" t="s">
        <v>26</v>
      </c>
      <c r="E824" s="10">
        <v>42000</v>
      </c>
      <c r="F824" s="10">
        <v>0.014</v>
      </c>
      <c r="G824" s="9">
        <v>45144</v>
      </c>
      <c r="H824" s="12">
        <f t="shared" si="12"/>
        <v>588</v>
      </c>
      <c r="I824" s="12" t="s">
        <v>10</v>
      </c>
      <c r="J824" s="15"/>
    </row>
    <row r="825" hidden="1" spans="2:10">
      <c r="B825" s="86">
        <v>232400687</v>
      </c>
      <c r="C825" s="9">
        <v>45135</v>
      </c>
      <c r="D825" s="87" t="s">
        <v>210</v>
      </c>
      <c r="E825" s="10">
        <v>60000</v>
      </c>
      <c r="F825" s="10">
        <v>0.028</v>
      </c>
      <c r="G825" s="9">
        <v>45148</v>
      </c>
      <c r="H825" s="12">
        <f t="shared" si="12"/>
        <v>1680</v>
      </c>
      <c r="I825" s="12" t="s">
        <v>10</v>
      </c>
      <c r="J825" s="15"/>
    </row>
    <row r="826" hidden="1" spans="2:10">
      <c r="B826" s="86">
        <v>232400687</v>
      </c>
      <c r="C826" s="9">
        <v>45135</v>
      </c>
      <c r="D826" s="87" t="s">
        <v>210</v>
      </c>
      <c r="E826" s="10">
        <v>60000</v>
      </c>
      <c r="F826" s="10">
        <v>0.028</v>
      </c>
      <c r="G826" s="9">
        <v>45179</v>
      </c>
      <c r="H826" s="12">
        <f t="shared" si="12"/>
        <v>1680</v>
      </c>
      <c r="I826" s="12" t="s">
        <v>10</v>
      </c>
      <c r="J826" s="15"/>
    </row>
    <row r="827" hidden="1" spans="2:10">
      <c r="B827" s="86">
        <v>232400687</v>
      </c>
      <c r="C827" s="9">
        <v>45135</v>
      </c>
      <c r="D827" s="87" t="s">
        <v>271</v>
      </c>
      <c r="E827" s="10">
        <v>100000</v>
      </c>
      <c r="F827" s="10">
        <v>0.024</v>
      </c>
      <c r="G827" s="9">
        <v>45148</v>
      </c>
      <c r="H827" s="12">
        <f t="shared" si="12"/>
        <v>2400</v>
      </c>
      <c r="I827" s="12" t="s">
        <v>10</v>
      </c>
      <c r="J827" s="15"/>
    </row>
    <row r="828" hidden="1" spans="2:10">
      <c r="B828" s="86">
        <v>232400687</v>
      </c>
      <c r="C828" s="9">
        <v>45135</v>
      </c>
      <c r="D828" s="87" t="s">
        <v>271</v>
      </c>
      <c r="E828" s="10">
        <v>52000</v>
      </c>
      <c r="F828" s="10">
        <v>0.024</v>
      </c>
      <c r="G828" s="9">
        <v>45179</v>
      </c>
      <c r="H828" s="12">
        <f t="shared" si="12"/>
        <v>1248</v>
      </c>
      <c r="I828" s="12" t="s">
        <v>10</v>
      </c>
      <c r="J828" s="15"/>
    </row>
    <row r="829" hidden="1" spans="2:10">
      <c r="B829" s="86">
        <v>232400687</v>
      </c>
      <c r="C829" s="9">
        <v>45135</v>
      </c>
      <c r="D829" s="87" t="s">
        <v>271</v>
      </c>
      <c r="E829" s="10">
        <v>100000</v>
      </c>
      <c r="F829" s="10">
        <v>0.024</v>
      </c>
      <c r="G829" s="9">
        <v>45209</v>
      </c>
      <c r="H829" s="12">
        <f t="shared" si="12"/>
        <v>2400</v>
      </c>
      <c r="I829" s="12" t="s">
        <v>10</v>
      </c>
      <c r="J829" s="15"/>
    </row>
    <row r="830" hidden="1" spans="2:10">
      <c r="B830" s="86">
        <v>232400687</v>
      </c>
      <c r="C830" s="9">
        <v>45135</v>
      </c>
      <c r="D830" s="87" t="s">
        <v>271</v>
      </c>
      <c r="E830" s="10">
        <v>52000</v>
      </c>
      <c r="F830" s="10">
        <v>0.024</v>
      </c>
      <c r="G830" s="9">
        <v>45229</v>
      </c>
      <c r="H830" s="12">
        <f t="shared" si="12"/>
        <v>1248</v>
      </c>
      <c r="I830" s="12" t="s">
        <v>10</v>
      </c>
      <c r="J830" s="15"/>
    </row>
    <row r="831" hidden="1" spans="2:10">
      <c r="B831" s="86">
        <v>232400687</v>
      </c>
      <c r="C831" s="9">
        <v>45135</v>
      </c>
      <c r="D831" s="87" t="s">
        <v>257</v>
      </c>
      <c r="E831" s="10">
        <v>60000</v>
      </c>
      <c r="F831" s="10">
        <v>0.01</v>
      </c>
      <c r="G831" s="9">
        <v>45148</v>
      </c>
      <c r="H831" s="12">
        <f t="shared" si="12"/>
        <v>600</v>
      </c>
      <c r="I831" s="12" t="s">
        <v>10</v>
      </c>
      <c r="J831" s="15"/>
    </row>
    <row r="832" hidden="1" spans="2:10">
      <c r="B832" s="86">
        <v>232400687</v>
      </c>
      <c r="C832" s="9">
        <v>45135</v>
      </c>
      <c r="D832" s="87" t="s">
        <v>257</v>
      </c>
      <c r="E832" s="10">
        <v>60000</v>
      </c>
      <c r="F832" s="10">
        <v>0.01</v>
      </c>
      <c r="G832" s="9">
        <v>45179</v>
      </c>
      <c r="H832" s="12">
        <f t="shared" si="12"/>
        <v>600</v>
      </c>
      <c r="I832" s="12" t="s">
        <v>10</v>
      </c>
      <c r="J832" s="15"/>
    </row>
    <row r="833" hidden="1" spans="2:10">
      <c r="B833" s="86">
        <v>232400694</v>
      </c>
      <c r="C833" s="9">
        <v>45138</v>
      </c>
      <c r="D833" s="87" t="s">
        <v>296</v>
      </c>
      <c r="E833" s="10">
        <v>20000</v>
      </c>
      <c r="F833" s="10">
        <v>0.04</v>
      </c>
      <c r="G833" s="9">
        <v>45143</v>
      </c>
      <c r="H833" s="12">
        <f t="shared" si="12"/>
        <v>800</v>
      </c>
      <c r="I833" s="12" t="s">
        <v>10</v>
      </c>
      <c r="J833" s="15"/>
    </row>
    <row r="834" hidden="1" spans="2:10">
      <c r="B834" s="86">
        <v>232400694</v>
      </c>
      <c r="C834" s="9">
        <v>45138</v>
      </c>
      <c r="D834" s="87" t="s">
        <v>296</v>
      </c>
      <c r="E834" s="10">
        <v>20000</v>
      </c>
      <c r="F834" s="10">
        <v>0.04</v>
      </c>
      <c r="G834" s="9">
        <v>45174</v>
      </c>
      <c r="H834" s="12">
        <f t="shared" ref="H834:H897" si="13">E834*F834</f>
        <v>800</v>
      </c>
      <c r="I834" s="12" t="s">
        <v>10</v>
      </c>
      <c r="J834" s="15"/>
    </row>
    <row r="835" hidden="1" spans="2:10">
      <c r="B835" s="86">
        <v>232400694</v>
      </c>
      <c r="C835" s="9">
        <v>45138</v>
      </c>
      <c r="D835" s="87" t="s">
        <v>296</v>
      </c>
      <c r="E835" s="10">
        <v>20000</v>
      </c>
      <c r="F835" s="10">
        <v>0.04</v>
      </c>
      <c r="G835" s="9">
        <v>45204</v>
      </c>
      <c r="H835" s="12">
        <f t="shared" si="13"/>
        <v>800</v>
      </c>
      <c r="I835" s="12" t="s">
        <v>10</v>
      </c>
      <c r="J835" s="15"/>
    </row>
    <row r="836" hidden="1" spans="2:10">
      <c r="B836" s="86">
        <v>232400695</v>
      </c>
      <c r="C836" s="9">
        <v>45138</v>
      </c>
      <c r="D836" s="87" t="s">
        <v>210</v>
      </c>
      <c r="E836" s="10">
        <v>100000</v>
      </c>
      <c r="F836" s="10">
        <v>0.028</v>
      </c>
      <c r="G836" s="9">
        <v>45158</v>
      </c>
      <c r="H836" s="12">
        <f t="shared" si="13"/>
        <v>2800</v>
      </c>
      <c r="I836" s="12" t="s">
        <v>10</v>
      </c>
      <c r="J836" s="15"/>
    </row>
    <row r="837" hidden="1" spans="2:10">
      <c r="B837" s="86">
        <v>232400695</v>
      </c>
      <c r="C837" s="9">
        <v>45138</v>
      </c>
      <c r="D837" s="87" t="s">
        <v>297</v>
      </c>
      <c r="E837" s="10">
        <v>200000</v>
      </c>
      <c r="F837" s="10">
        <v>0.15</v>
      </c>
      <c r="G837" s="9">
        <v>45158</v>
      </c>
      <c r="H837" s="12">
        <f t="shared" si="13"/>
        <v>30000</v>
      </c>
      <c r="I837" s="12" t="s">
        <v>10</v>
      </c>
      <c r="J837" s="15"/>
    </row>
    <row r="838" hidden="1" spans="2:10">
      <c r="B838" s="86">
        <v>232400695</v>
      </c>
      <c r="C838" s="9">
        <v>45138</v>
      </c>
      <c r="D838" s="87" t="s">
        <v>210</v>
      </c>
      <c r="E838" s="10">
        <v>100000</v>
      </c>
      <c r="F838" s="10">
        <v>0.028</v>
      </c>
      <c r="G838" s="9">
        <v>45179</v>
      </c>
      <c r="H838" s="12">
        <f t="shared" si="13"/>
        <v>2800</v>
      </c>
      <c r="I838" s="12" t="s">
        <v>10</v>
      </c>
      <c r="J838" s="15"/>
    </row>
    <row r="839" hidden="1" spans="2:10">
      <c r="B839" s="86">
        <v>232400695</v>
      </c>
      <c r="C839" s="9">
        <v>45138</v>
      </c>
      <c r="D839" s="87" t="s">
        <v>297</v>
      </c>
      <c r="E839" s="10">
        <v>200000</v>
      </c>
      <c r="F839" s="10">
        <v>0.15</v>
      </c>
      <c r="G839" s="9">
        <v>45179</v>
      </c>
      <c r="H839" s="12">
        <f t="shared" si="13"/>
        <v>30000</v>
      </c>
      <c r="I839" s="12" t="s">
        <v>10</v>
      </c>
      <c r="J839" s="15"/>
    </row>
    <row r="840" hidden="1" spans="2:10">
      <c r="B840" s="86">
        <v>232400704</v>
      </c>
      <c r="C840" s="9">
        <v>45139</v>
      </c>
      <c r="D840" s="10" t="s">
        <v>289</v>
      </c>
      <c r="E840" s="10">
        <v>36000</v>
      </c>
      <c r="F840" s="10">
        <v>0.033</v>
      </c>
      <c r="G840" s="9">
        <v>45168</v>
      </c>
      <c r="H840" s="12">
        <f t="shared" si="13"/>
        <v>1188</v>
      </c>
      <c r="I840" s="12" t="s">
        <v>10</v>
      </c>
      <c r="J840" s="15"/>
    </row>
    <row r="841" hidden="1" spans="2:10">
      <c r="B841" s="86">
        <v>232400704</v>
      </c>
      <c r="C841" s="9">
        <v>45139</v>
      </c>
      <c r="D841" s="87" t="s">
        <v>290</v>
      </c>
      <c r="E841" s="10">
        <v>48000</v>
      </c>
      <c r="F841" s="10">
        <v>0.03</v>
      </c>
      <c r="G841" s="9">
        <v>45168</v>
      </c>
      <c r="H841" s="12">
        <f t="shared" si="13"/>
        <v>1440</v>
      </c>
      <c r="I841" s="12" t="s">
        <v>10</v>
      </c>
      <c r="J841" s="15"/>
    </row>
    <row r="842" hidden="1" spans="2:10">
      <c r="B842" s="86">
        <v>232400704</v>
      </c>
      <c r="C842" s="9">
        <v>45139</v>
      </c>
      <c r="D842" s="87" t="s">
        <v>291</v>
      </c>
      <c r="E842" s="10">
        <v>20000</v>
      </c>
      <c r="F842" s="10">
        <v>0.03</v>
      </c>
      <c r="G842" s="9">
        <v>45168</v>
      </c>
      <c r="H842" s="12">
        <f t="shared" si="13"/>
        <v>600</v>
      </c>
      <c r="I842" s="12" t="s">
        <v>10</v>
      </c>
      <c r="J842" s="15"/>
    </row>
    <row r="843" hidden="1" spans="2:10">
      <c r="B843" s="86">
        <v>232400704</v>
      </c>
      <c r="C843" s="9">
        <v>45139</v>
      </c>
      <c r="D843" s="87" t="s">
        <v>292</v>
      </c>
      <c r="E843" s="10">
        <v>20000</v>
      </c>
      <c r="F843" s="10">
        <v>0.0205</v>
      </c>
      <c r="G843" s="9">
        <v>45168</v>
      </c>
      <c r="H843" s="12">
        <f t="shared" si="13"/>
        <v>410</v>
      </c>
      <c r="I843" s="12" t="s">
        <v>10</v>
      </c>
      <c r="J843" s="15"/>
    </row>
    <row r="844" hidden="1" spans="2:10">
      <c r="B844" s="86">
        <v>232400706</v>
      </c>
      <c r="C844" s="9">
        <v>45140</v>
      </c>
      <c r="D844" s="87" t="s">
        <v>211</v>
      </c>
      <c r="E844" s="10">
        <v>208000</v>
      </c>
      <c r="F844" s="10">
        <v>0.022</v>
      </c>
      <c r="G844" s="9">
        <v>45158</v>
      </c>
      <c r="H844" s="12">
        <f t="shared" si="13"/>
        <v>4576</v>
      </c>
      <c r="I844" s="12" t="s">
        <v>10</v>
      </c>
      <c r="J844" s="15"/>
    </row>
    <row r="845" hidden="1" spans="2:10">
      <c r="B845" s="86">
        <v>232400706</v>
      </c>
      <c r="C845" s="9">
        <v>45140</v>
      </c>
      <c r="D845" s="87" t="s">
        <v>211</v>
      </c>
      <c r="E845" s="10">
        <v>208000</v>
      </c>
      <c r="F845" s="10">
        <v>0.022</v>
      </c>
      <c r="G845" s="9">
        <v>45189</v>
      </c>
      <c r="H845" s="12">
        <f t="shared" si="13"/>
        <v>4576</v>
      </c>
      <c r="I845" s="12" t="s">
        <v>10</v>
      </c>
      <c r="J845" s="15"/>
    </row>
    <row r="846" hidden="1" spans="2:10">
      <c r="B846" s="86">
        <v>232400706</v>
      </c>
      <c r="C846" s="9">
        <v>45140</v>
      </c>
      <c r="D846" s="87" t="s">
        <v>211</v>
      </c>
      <c r="E846" s="10">
        <v>208000</v>
      </c>
      <c r="F846" s="10">
        <v>0.022</v>
      </c>
      <c r="G846" s="9">
        <v>45219</v>
      </c>
      <c r="H846" s="12">
        <f t="shared" si="13"/>
        <v>4576</v>
      </c>
      <c r="I846" s="12" t="s">
        <v>10</v>
      </c>
      <c r="J846" s="15"/>
    </row>
    <row r="847" hidden="1" spans="2:10">
      <c r="B847" s="86">
        <v>232400706</v>
      </c>
      <c r="C847" s="9">
        <v>45140</v>
      </c>
      <c r="D847" s="87" t="s">
        <v>257</v>
      </c>
      <c r="E847" s="10">
        <v>60000</v>
      </c>
      <c r="F847" s="10">
        <v>0.01</v>
      </c>
      <c r="G847" s="9">
        <v>45189</v>
      </c>
      <c r="H847" s="12">
        <f t="shared" si="13"/>
        <v>600</v>
      </c>
      <c r="I847" s="12" t="s">
        <v>10</v>
      </c>
      <c r="J847" s="15"/>
    </row>
    <row r="848" hidden="1" spans="2:10">
      <c r="B848" s="86">
        <v>232400706</v>
      </c>
      <c r="C848" s="9">
        <v>45140</v>
      </c>
      <c r="D848" s="87" t="s">
        <v>257</v>
      </c>
      <c r="E848" s="10">
        <v>60000</v>
      </c>
      <c r="F848" s="10">
        <v>0.01</v>
      </c>
      <c r="G848" s="9">
        <v>45219</v>
      </c>
      <c r="H848" s="12">
        <f t="shared" si="13"/>
        <v>600</v>
      </c>
      <c r="I848" s="12" t="s">
        <v>10</v>
      </c>
      <c r="J848" s="15"/>
    </row>
    <row r="849" hidden="1" spans="2:10">
      <c r="B849" s="86">
        <v>232400712</v>
      </c>
      <c r="C849" s="9">
        <v>45140</v>
      </c>
      <c r="D849" s="87" t="s">
        <v>254</v>
      </c>
      <c r="E849" s="10">
        <v>900000</v>
      </c>
      <c r="F849" s="10">
        <v>0.027</v>
      </c>
      <c r="G849" s="9">
        <v>45219</v>
      </c>
      <c r="H849" s="12">
        <f t="shared" si="13"/>
        <v>24300</v>
      </c>
      <c r="I849" s="12" t="s">
        <v>10</v>
      </c>
      <c r="J849" s="15"/>
    </row>
    <row r="850" hidden="1" spans="2:10">
      <c r="B850" s="86">
        <v>232400712</v>
      </c>
      <c r="C850" s="9">
        <v>45140</v>
      </c>
      <c r="D850" s="87" t="s">
        <v>222</v>
      </c>
      <c r="E850" s="10">
        <v>30000</v>
      </c>
      <c r="F850" s="10">
        <v>0.285</v>
      </c>
      <c r="G850" s="9">
        <v>45189</v>
      </c>
      <c r="H850" s="12">
        <f t="shared" si="13"/>
        <v>8550</v>
      </c>
      <c r="I850" s="12" t="s">
        <v>10</v>
      </c>
      <c r="J850" s="15"/>
    </row>
    <row r="851" hidden="1" spans="2:10">
      <c r="B851" s="86">
        <v>232400712</v>
      </c>
      <c r="C851" s="9">
        <v>45140</v>
      </c>
      <c r="D851" s="87" t="s">
        <v>222</v>
      </c>
      <c r="E851" s="10">
        <v>30000</v>
      </c>
      <c r="F851" s="10">
        <v>0.285</v>
      </c>
      <c r="G851" s="9">
        <v>45219</v>
      </c>
      <c r="H851" s="12">
        <f t="shared" si="13"/>
        <v>8550</v>
      </c>
      <c r="I851" s="12" t="s">
        <v>10</v>
      </c>
      <c r="J851" s="15"/>
    </row>
    <row r="852" hidden="1" spans="2:10">
      <c r="B852" s="127">
        <v>232400718</v>
      </c>
      <c r="C852" s="54">
        <v>45141</v>
      </c>
      <c r="D852" s="93" t="s">
        <v>298</v>
      </c>
      <c r="E852" s="56">
        <v>7248</v>
      </c>
      <c r="F852" s="56">
        <v>0.17</v>
      </c>
      <c r="G852" s="54">
        <v>45141</v>
      </c>
      <c r="H852" s="58">
        <f t="shared" si="13"/>
        <v>1232.16</v>
      </c>
      <c r="I852" s="56"/>
      <c r="J852" s="15"/>
    </row>
    <row r="853" hidden="1" spans="2:10">
      <c r="B853" s="86">
        <v>232400740</v>
      </c>
      <c r="C853" s="9">
        <v>45146</v>
      </c>
      <c r="D853" s="87" t="s">
        <v>254</v>
      </c>
      <c r="E853" s="10">
        <v>1000000</v>
      </c>
      <c r="F853" s="10">
        <v>0.027</v>
      </c>
      <c r="G853" s="9">
        <v>45347</v>
      </c>
      <c r="H853" s="12">
        <f t="shared" si="13"/>
        <v>27000</v>
      </c>
      <c r="I853" s="12" t="s">
        <v>10</v>
      </c>
      <c r="J853" s="15"/>
    </row>
    <row r="854" hidden="1" spans="2:10">
      <c r="B854" s="86">
        <v>232400742</v>
      </c>
      <c r="C854" s="9">
        <v>45147</v>
      </c>
      <c r="D854" s="10" t="s">
        <v>182</v>
      </c>
      <c r="E854" s="10">
        <v>100000</v>
      </c>
      <c r="F854" s="10">
        <v>0.025</v>
      </c>
      <c r="G854" s="9">
        <v>45194</v>
      </c>
      <c r="H854" s="12">
        <f t="shared" si="13"/>
        <v>2500</v>
      </c>
      <c r="I854" s="12" t="s">
        <v>10</v>
      </c>
      <c r="J854" s="15"/>
    </row>
    <row r="855" hidden="1" spans="2:10">
      <c r="B855" s="86">
        <v>232400742</v>
      </c>
      <c r="C855" s="9">
        <v>45147</v>
      </c>
      <c r="D855" s="10" t="s">
        <v>182</v>
      </c>
      <c r="E855" s="10">
        <v>100000</v>
      </c>
      <c r="F855" s="10">
        <v>0.025</v>
      </c>
      <c r="G855" s="9">
        <v>45224</v>
      </c>
      <c r="H855" s="12">
        <f t="shared" si="13"/>
        <v>2500</v>
      </c>
      <c r="I855" s="12" t="s">
        <v>10</v>
      </c>
      <c r="J855" s="15"/>
    </row>
    <row r="856" hidden="1" spans="2:10">
      <c r="B856" s="86">
        <v>232400757</v>
      </c>
      <c r="C856" s="9">
        <v>45152</v>
      </c>
      <c r="D856" s="10" t="s">
        <v>282</v>
      </c>
      <c r="E856" s="10">
        <v>300000</v>
      </c>
      <c r="F856" s="10">
        <v>0.032</v>
      </c>
      <c r="G856" s="9">
        <v>45189</v>
      </c>
      <c r="H856" s="12">
        <f t="shared" si="13"/>
        <v>9600</v>
      </c>
      <c r="I856" s="12" t="s">
        <v>10</v>
      </c>
      <c r="J856" s="15"/>
    </row>
    <row r="857" hidden="1" spans="2:10">
      <c r="B857" s="86">
        <v>232400757</v>
      </c>
      <c r="C857" s="9">
        <v>45152</v>
      </c>
      <c r="D857" s="10" t="s">
        <v>282</v>
      </c>
      <c r="E857" s="10">
        <v>300000</v>
      </c>
      <c r="F857" s="10">
        <v>0.032</v>
      </c>
      <c r="G857" s="9">
        <v>45219</v>
      </c>
      <c r="H857" s="12">
        <f t="shared" si="13"/>
        <v>9600</v>
      </c>
      <c r="I857" s="12" t="s">
        <v>10</v>
      </c>
      <c r="J857" s="15"/>
    </row>
    <row r="858" hidden="1" spans="2:10">
      <c r="B858" s="86">
        <v>232400763</v>
      </c>
      <c r="C858" s="9">
        <v>45154</v>
      </c>
      <c r="D858" s="10" t="s">
        <v>287</v>
      </c>
      <c r="E858" s="10">
        <v>20000</v>
      </c>
      <c r="F858" s="10">
        <v>0.018</v>
      </c>
      <c r="G858" s="9">
        <v>45209</v>
      </c>
      <c r="H858" s="12">
        <f t="shared" si="13"/>
        <v>360</v>
      </c>
      <c r="I858" s="12" t="s">
        <v>10</v>
      </c>
      <c r="J858" s="15"/>
    </row>
    <row r="859" hidden="1" spans="2:10">
      <c r="B859" s="86">
        <v>232400763</v>
      </c>
      <c r="C859" s="9">
        <v>45154</v>
      </c>
      <c r="D859" s="10" t="s">
        <v>288</v>
      </c>
      <c r="E859" s="10">
        <v>24000</v>
      </c>
      <c r="F859" s="10">
        <v>0.022</v>
      </c>
      <c r="G859" s="9">
        <v>45209</v>
      </c>
      <c r="H859" s="12">
        <f t="shared" si="13"/>
        <v>528</v>
      </c>
      <c r="I859" s="12" t="s">
        <v>10</v>
      </c>
      <c r="J859" s="15"/>
    </row>
    <row r="860" hidden="1" spans="2:10">
      <c r="B860" s="86">
        <v>232400772</v>
      </c>
      <c r="C860" s="9">
        <v>45155</v>
      </c>
      <c r="D860" s="87" t="s">
        <v>271</v>
      </c>
      <c r="E860" s="10">
        <v>120000</v>
      </c>
      <c r="F860" s="10">
        <v>0.024</v>
      </c>
      <c r="G860" s="9">
        <v>45250</v>
      </c>
      <c r="H860" s="12">
        <f t="shared" si="13"/>
        <v>2880</v>
      </c>
      <c r="I860" s="12" t="s">
        <v>10</v>
      </c>
      <c r="J860" s="15"/>
    </row>
    <row r="861" hidden="1" spans="2:10">
      <c r="B861" s="86">
        <v>232400775</v>
      </c>
      <c r="C861" s="9">
        <v>45155</v>
      </c>
      <c r="D861" s="87" t="s">
        <v>210</v>
      </c>
      <c r="E861" s="10">
        <v>200000</v>
      </c>
      <c r="F861" s="10">
        <v>0.028</v>
      </c>
      <c r="G861" s="9">
        <v>45219</v>
      </c>
      <c r="H861" s="12">
        <f t="shared" si="13"/>
        <v>5600</v>
      </c>
      <c r="I861" s="12" t="s">
        <v>10</v>
      </c>
      <c r="J861" s="15"/>
    </row>
    <row r="862" hidden="1" spans="2:10">
      <c r="B862" s="86">
        <v>232400775</v>
      </c>
      <c r="C862" s="9">
        <v>45155</v>
      </c>
      <c r="D862" s="87" t="s">
        <v>210</v>
      </c>
      <c r="E862" s="10">
        <v>200000</v>
      </c>
      <c r="F862" s="10">
        <v>0.028</v>
      </c>
      <c r="G862" s="9">
        <v>45250</v>
      </c>
      <c r="H862" s="12">
        <f t="shared" si="13"/>
        <v>5600</v>
      </c>
      <c r="I862" s="12" t="s">
        <v>10</v>
      </c>
      <c r="J862" s="15"/>
    </row>
    <row r="863" hidden="1" spans="2:10">
      <c r="B863" s="86">
        <v>232400775</v>
      </c>
      <c r="C863" s="9">
        <v>45155</v>
      </c>
      <c r="D863" s="87" t="s">
        <v>200</v>
      </c>
      <c r="E863" s="10">
        <v>400000</v>
      </c>
      <c r="F863" s="10">
        <v>0.05</v>
      </c>
      <c r="G863" s="9">
        <v>45209</v>
      </c>
      <c r="H863" s="12">
        <f t="shared" si="13"/>
        <v>20000</v>
      </c>
      <c r="I863" s="12" t="s">
        <v>10</v>
      </c>
      <c r="J863" s="15"/>
    </row>
    <row r="864" hidden="1" spans="2:10">
      <c r="B864" s="86">
        <v>232400775</v>
      </c>
      <c r="C864" s="9">
        <v>45155</v>
      </c>
      <c r="D864" s="87" t="s">
        <v>200</v>
      </c>
      <c r="E864" s="10">
        <v>200000</v>
      </c>
      <c r="F864" s="10">
        <v>0.05</v>
      </c>
      <c r="G864" s="9">
        <v>45231</v>
      </c>
      <c r="H864" s="12">
        <f t="shared" si="13"/>
        <v>10000</v>
      </c>
      <c r="I864" s="12" t="s">
        <v>10</v>
      </c>
      <c r="J864" s="15"/>
    </row>
    <row r="865" hidden="1" spans="2:10">
      <c r="B865" s="86">
        <v>232400775</v>
      </c>
      <c r="C865" s="9">
        <v>45155</v>
      </c>
      <c r="D865" s="87" t="s">
        <v>200</v>
      </c>
      <c r="E865" s="10">
        <v>200000</v>
      </c>
      <c r="F865" s="10">
        <v>0.05</v>
      </c>
      <c r="G865" s="9">
        <v>45250</v>
      </c>
      <c r="H865" s="12">
        <f t="shared" si="13"/>
        <v>10000</v>
      </c>
      <c r="I865" s="12" t="s">
        <v>10</v>
      </c>
      <c r="J865" s="15"/>
    </row>
    <row r="866" hidden="1" spans="2:10">
      <c r="B866" s="86">
        <v>232400775</v>
      </c>
      <c r="C866" s="9">
        <v>45155</v>
      </c>
      <c r="D866" s="87" t="s">
        <v>243</v>
      </c>
      <c r="E866" s="10">
        <v>96000</v>
      </c>
      <c r="F866" s="10">
        <v>0.022</v>
      </c>
      <c r="G866" s="9">
        <v>45260</v>
      </c>
      <c r="H866" s="12">
        <f t="shared" si="13"/>
        <v>2112</v>
      </c>
      <c r="I866" s="12" t="s">
        <v>10</v>
      </c>
      <c r="J866" s="15"/>
    </row>
    <row r="867" hidden="1" spans="2:10">
      <c r="B867" s="86">
        <v>232400775</v>
      </c>
      <c r="C867" s="9">
        <v>45155</v>
      </c>
      <c r="D867" s="10" t="s">
        <v>245</v>
      </c>
      <c r="E867" s="10">
        <v>96000</v>
      </c>
      <c r="F867" s="10">
        <v>0.006</v>
      </c>
      <c r="G867" s="9">
        <v>45250</v>
      </c>
      <c r="H867" s="12">
        <f t="shared" si="13"/>
        <v>576</v>
      </c>
      <c r="I867" s="12" t="s">
        <v>10</v>
      </c>
      <c r="J867" s="15"/>
    </row>
    <row r="868" hidden="1" spans="2:10">
      <c r="B868" s="86">
        <v>232400775</v>
      </c>
      <c r="C868" s="9">
        <v>45155</v>
      </c>
      <c r="D868" s="10" t="s">
        <v>163</v>
      </c>
      <c r="E868" s="10">
        <v>208000</v>
      </c>
      <c r="F868" s="10">
        <v>0.0025</v>
      </c>
      <c r="G868" s="9">
        <v>45280</v>
      </c>
      <c r="H868" s="12">
        <f t="shared" si="13"/>
        <v>520</v>
      </c>
      <c r="I868" s="12" t="s">
        <v>10</v>
      </c>
      <c r="J868" s="15"/>
    </row>
    <row r="869" hidden="1" spans="2:10">
      <c r="B869" s="86">
        <v>232400784</v>
      </c>
      <c r="C869" s="9">
        <v>45156</v>
      </c>
      <c r="D869" s="87" t="s">
        <v>298</v>
      </c>
      <c r="E869" s="10">
        <v>20000</v>
      </c>
      <c r="F869" s="10">
        <v>0.16</v>
      </c>
      <c r="G869" s="9">
        <v>45156</v>
      </c>
      <c r="H869" s="12">
        <f t="shared" si="13"/>
        <v>3200</v>
      </c>
      <c r="I869" s="12" t="s">
        <v>10</v>
      </c>
      <c r="J869" s="15"/>
    </row>
    <row r="870" hidden="1" spans="2:10">
      <c r="B870" s="86">
        <v>232400791</v>
      </c>
      <c r="C870" s="9">
        <v>45159</v>
      </c>
      <c r="D870" s="10" t="s">
        <v>281</v>
      </c>
      <c r="E870" s="10">
        <v>30060</v>
      </c>
      <c r="F870" s="10">
        <v>0.08</v>
      </c>
      <c r="G870" s="9">
        <v>45240</v>
      </c>
      <c r="H870" s="12">
        <f t="shared" si="13"/>
        <v>2404.8</v>
      </c>
      <c r="I870" s="12" t="s">
        <v>10</v>
      </c>
      <c r="J870" s="15"/>
    </row>
    <row r="871" hidden="1" spans="2:10">
      <c r="B871" s="86">
        <v>232400791</v>
      </c>
      <c r="C871" s="9">
        <v>45159</v>
      </c>
      <c r="D871" s="10" t="s">
        <v>281</v>
      </c>
      <c r="E871" s="10">
        <v>30060</v>
      </c>
      <c r="F871" s="10">
        <v>0.08</v>
      </c>
      <c r="G871" s="9">
        <v>45250</v>
      </c>
      <c r="H871" s="12">
        <f t="shared" si="13"/>
        <v>2404.8</v>
      </c>
      <c r="I871" s="12" t="s">
        <v>10</v>
      </c>
      <c r="J871" s="15"/>
    </row>
    <row r="872" hidden="1" spans="2:10">
      <c r="B872" s="86">
        <v>232400791</v>
      </c>
      <c r="C872" s="9">
        <v>45159</v>
      </c>
      <c r="D872" s="10" t="s">
        <v>281</v>
      </c>
      <c r="E872" s="10">
        <v>30060</v>
      </c>
      <c r="F872" s="10">
        <v>0.08</v>
      </c>
      <c r="G872" s="9">
        <v>45260</v>
      </c>
      <c r="H872" s="12">
        <f t="shared" si="13"/>
        <v>2404.8</v>
      </c>
      <c r="I872" s="12" t="s">
        <v>10</v>
      </c>
      <c r="J872" s="15"/>
    </row>
    <row r="873" hidden="1" spans="2:10">
      <c r="B873" s="86">
        <v>232400791</v>
      </c>
      <c r="C873" s="9">
        <v>45159</v>
      </c>
      <c r="D873" s="10" t="s">
        <v>281</v>
      </c>
      <c r="E873" s="10">
        <v>30060</v>
      </c>
      <c r="F873" s="10">
        <v>0.08</v>
      </c>
      <c r="G873" s="9">
        <v>45270</v>
      </c>
      <c r="H873" s="12">
        <f t="shared" si="13"/>
        <v>2404.8</v>
      </c>
      <c r="I873" s="12" t="s">
        <v>10</v>
      </c>
      <c r="J873" s="15"/>
    </row>
    <row r="874" hidden="1" spans="2:10">
      <c r="B874" s="86">
        <v>232400791</v>
      </c>
      <c r="C874" s="9">
        <v>45159</v>
      </c>
      <c r="D874" s="10" t="s">
        <v>281</v>
      </c>
      <c r="E874" s="10">
        <v>30060</v>
      </c>
      <c r="F874" s="10">
        <v>0.08</v>
      </c>
      <c r="G874" s="9">
        <v>45280</v>
      </c>
      <c r="H874" s="12">
        <f t="shared" si="13"/>
        <v>2404.8</v>
      </c>
      <c r="I874" s="12" t="s">
        <v>10</v>
      </c>
      <c r="J874" s="15"/>
    </row>
    <row r="875" hidden="1" spans="2:10">
      <c r="B875" s="86">
        <v>232400791</v>
      </c>
      <c r="C875" s="9">
        <v>45159</v>
      </c>
      <c r="D875" s="10" t="s">
        <v>281</v>
      </c>
      <c r="E875" s="10">
        <v>30060</v>
      </c>
      <c r="F875" s="10">
        <v>0.08</v>
      </c>
      <c r="G875" s="9">
        <v>45290</v>
      </c>
      <c r="H875" s="12">
        <f t="shared" si="13"/>
        <v>2404.8</v>
      </c>
      <c r="I875" s="12" t="s">
        <v>10</v>
      </c>
      <c r="J875" s="15"/>
    </row>
    <row r="876" hidden="1" spans="2:10">
      <c r="B876" s="86">
        <v>232400791</v>
      </c>
      <c r="C876" s="9">
        <v>45159</v>
      </c>
      <c r="D876" s="10" t="s">
        <v>281</v>
      </c>
      <c r="E876" s="10">
        <v>30060</v>
      </c>
      <c r="F876" s="10">
        <v>0.08</v>
      </c>
      <c r="G876" s="9">
        <v>45301</v>
      </c>
      <c r="H876" s="12">
        <f t="shared" si="13"/>
        <v>2404.8</v>
      </c>
      <c r="I876" s="12" t="s">
        <v>10</v>
      </c>
      <c r="J876" s="15"/>
    </row>
    <row r="877" hidden="1" spans="2:10">
      <c r="B877" s="86">
        <v>232400791</v>
      </c>
      <c r="C877" s="9">
        <v>45159</v>
      </c>
      <c r="D877" s="10" t="s">
        <v>281</v>
      </c>
      <c r="E877" s="10">
        <v>30060</v>
      </c>
      <c r="F877" s="10">
        <v>0.08</v>
      </c>
      <c r="G877" s="9">
        <v>45311</v>
      </c>
      <c r="H877" s="12">
        <f t="shared" si="13"/>
        <v>2404.8</v>
      </c>
      <c r="I877" s="12" t="s">
        <v>10</v>
      </c>
      <c r="J877" s="15"/>
    </row>
    <row r="878" hidden="1" spans="2:10">
      <c r="B878" s="86">
        <v>232400791</v>
      </c>
      <c r="C878" s="9">
        <v>45159</v>
      </c>
      <c r="D878" s="10" t="s">
        <v>281</v>
      </c>
      <c r="E878" s="10">
        <v>30060</v>
      </c>
      <c r="F878" s="10">
        <v>0.08</v>
      </c>
      <c r="G878" s="9">
        <v>45321</v>
      </c>
      <c r="H878" s="12">
        <f t="shared" si="13"/>
        <v>2404.8</v>
      </c>
      <c r="I878" s="12" t="s">
        <v>10</v>
      </c>
      <c r="J878" s="15"/>
    </row>
    <row r="879" hidden="1" spans="2:10">
      <c r="B879" s="86">
        <v>232400792</v>
      </c>
      <c r="C879" s="9">
        <v>45159</v>
      </c>
      <c r="D879" s="10" t="s">
        <v>241</v>
      </c>
      <c r="E879" s="10">
        <v>3192</v>
      </c>
      <c r="F879" s="10">
        <v>0.12</v>
      </c>
      <c r="G879" s="9">
        <v>45260</v>
      </c>
      <c r="H879" s="12">
        <f t="shared" si="13"/>
        <v>383.04</v>
      </c>
      <c r="I879" s="12" t="s">
        <v>10</v>
      </c>
      <c r="J879" s="15"/>
    </row>
    <row r="880" hidden="1" spans="2:10">
      <c r="B880" s="86">
        <v>232400795</v>
      </c>
      <c r="C880" s="9">
        <v>45159</v>
      </c>
      <c r="D880" s="87" t="s">
        <v>207</v>
      </c>
      <c r="E880" s="10">
        <v>300000</v>
      </c>
      <c r="F880" s="10">
        <v>0.03</v>
      </c>
      <c r="G880" s="9">
        <v>45179</v>
      </c>
      <c r="H880" s="12">
        <f t="shared" si="13"/>
        <v>9000</v>
      </c>
      <c r="I880" s="12" t="s">
        <v>10</v>
      </c>
      <c r="J880" s="15"/>
    </row>
    <row r="881" hidden="1" spans="2:10">
      <c r="B881" s="86">
        <v>232400796</v>
      </c>
      <c r="C881" s="9">
        <v>45159</v>
      </c>
      <c r="D881" s="87" t="s">
        <v>207</v>
      </c>
      <c r="E881" s="10">
        <v>200000</v>
      </c>
      <c r="F881" s="10">
        <v>0.03</v>
      </c>
      <c r="G881" s="9">
        <v>45199</v>
      </c>
      <c r="H881" s="12">
        <f t="shared" si="13"/>
        <v>6000</v>
      </c>
      <c r="I881" s="12" t="s">
        <v>10</v>
      </c>
      <c r="J881" s="15"/>
    </row>
    <row r="882" hidden="1" spans="2:10">
      <c r="B882" s="86">
        <v>232400796</v>
      </c>
      <c r="C882" s="9">
        <v>45159</v>
      </c>
      <c r="D882" s="87" t="s">
        <v>207</v>
      </c>
      <c r="E882" s="10">
        <v>200000</v>
      </c>
      <c r="F882" s="10">
        <v>0.03</v>
      </c>
      <c r="G882" s="9">
        <v>45229</v>
      </c>
      <c r="H882" s="12">
        <f t="shared" si="13"/>
        <v>6000</v>
      </c>
      <c r="I882" s="12" t="s">
        <v>10</v>
      </c>
      <c r="J882" s="15"/>
    </row>
    <row r="883" hidden="1" spans="2:10">
      <c r="B883" s="86">
        <v>232400796</v>
      </c>
      <c r="C883" s="9">
        <v>45159</v>
      </c>
      <c r="D883" s="87" t="s">
        <v>207</v>
      </c>
      <c r="E883" s="10">
        <v>200000</v>
      </c>
      <c r="F883" s="10">
        <v>0.03</v>
      </c>
      <c r="G883" s="9">
        <v>45260</v>
      </c>
      <c r="H883" s="12">
        <f t="shared" si="13"/>
        <v>6000</v>
      </c>
      <c r="I883" s="12" t="s">
        <v>10</v>
      </c>
      <c r="J883" s="15"/>
    </row>
    <row r="884" hidden="1" spans="2:10">
      <c r="B884" s="86">
        <v>232400797</v>
      </c>
      <c r="C884" s="9">
        <v>45159</v>
      </c>
      <c r="D884" s="87" t="s">
        <v>207</v>
      </c>
      <c r="E884" s="10">
        <v>60000</v>
      </c>
      <c r="F884" s="10">
        <v>0.03</v>
      </c>
      <c r="G884" s="9">
        <v>45179</v>
      </c>
      <c r="H884" s="12">
        <f t="shared" si="13"/>
        <v>1800</v>
      </c>
      <c r="I884" s="12" t="s">
        <v>10</v>
      </c>
      <c r="J884" s="15"/>
    </row>
    <row r="885" hidden="1" spans="2:10">
      <c r="B885" s="86">
        <v>232400797</v>
      </c>
      <c r="C885" s="9">
        <v>45159</v>
      </c>
      <c r="D885" s="87" t="s">
        <v>207</v>
      </c>
      <c r="E885" s="10">
        <v>60000</v>
      </c>
      <c r="F885" s="10">
        <v>0.03</v>
      </c>
      <c r="G885" s="9">
        <v>45199</v>
      </c>
      <c r="H885" s="12">
        <f t="shared" si="13"/>
        <v>1800</v>
      </c>
      <c r="I885" s="12" t="s">
        <v>10</v>
      </c>
      <c r="J885" s="15"/>
    </row>
    <row r="886" hidden="1" spans="2:10">
      <c r="B886" s="86">
        <v>232400797</v>
      </c>
      <c r="C886" s="9">
        <v>45159</v>
      </c>
      <c r="D886" s="87" t="s">
        <v>207</v>
      </c>
      <c r="E886" s="10">
        <v>60000</v>
      </c>
      <c r="F886" s="10">
        <v>0.03</v>
      </c>
      <c r="G886" s="9">
        <v>45229</v>
      </c>
      <c r="H886" s="12">
        <f t="shared" si="13"/>
        <v>1800</v>
      </c>
      <c r="I886" s="12" t="s">
        <v>10</v>
      </c>
      <c r="J886" s="15"/>
    </row>
    <row r="887" hidden="1" spans="2:10">
      <c r="B887" s="86">
        <v>232400812</v>
      </c>
      <c r="C887" s="9">
        <v>45161</v>
      </c>
      <c r="D887" s="87" t="s">
        <v>248</v>
      </c>
      <c r="E887" s="10">
        <v>200000</v>
      </c>
      <c r="F887" s="10">
        <v>0.065</v>
      </c>
      <c r="G887" s="9">
        <v>45194</v>
      </c>
      <c r="H887" s="12">
        <f t="shared" si="13"/>
        <v>13000</v>
      </c>
      <c r="I887" s="12" t="s">
        <v>10</v>
      </c>
      <c r="J887" s="15"/>
    </row>
    <row r="888" hidden="1" spans="2:10">
      <c r="B888" s="86">
        <v>232400813</v>
      </c>
      <c r="C888" s="9">
        <v>45161</v>
      </c>
      <c r="D888" s="87" t="s">
        <v>297</v>
      </c>
      <c r="E888" s="10">
        <v>100000</v>
      </c>
      <c r="F888" s="10">
        <v>0.15</v>
      </c>
      <c r="G888" s="9">
        <v>45209</v>
      </c>
      <c r="H888" s="12">
        <f t="shared" si="13"/>
        <v>15000</v>
      </c>
      <c r="I888" s="12" t="s">
        <v>10</v>
      </c>
      <c r="J888" s="15"/>
    </row>
    <row r="889" hidden="1" spans="2:10">
      <c r="B889" s="86">
        <v>232400813</v>
      </c>
      <c r="C889" s="9">
        <v>45161</v>
      </c>
      <c r="D889" s="87" t="s">
        <v>297</v>
      </c>
      <c r="E889" s="10">
        <v>100000</v>
      </c>
      <c r="F889" s="10">
        <v>0.15</v>
      </c>
      <c r="G889" s="9">
        <v>45219</v>
      </c>
      <c r="H889" s="12">
        <f t="shared" si="13"/>
        <v>15000</v>
      </c>
      <c r="I889" s="12" t="s">
        <v>10</v>
      </c>
      <c r="J889" s="15"/>
    </row>
    <row r="890" hidden="1" spans="2:10">
      <c r="B890" s="86">
        <v>232400813</v>
      </c>
      <c r="C890" s="9">
        <v>45161</v>
      </c>
      <c r="D890" s="87" t="s">
        <v>210</v>
      </c>
      <c r="E890" s="10">
        <v>100000</v>
      </c>
      <c r="F890" s="10">
        <v>0.028</v>
      </c>
      <c r="G890" s="9">
        <v>45209</v>
      </c>
      <c r="H890" s="12">
        <f t="shared" si="13"/>
        <v>2800</v>
      </c>
      <c r="I890" s="12" t="s">
        <v>10</v>
      </c>
      <c r="J890" s="15"/>
    </row>
    <row r="891" hidden="1" spans="2:10">
      <c r="B891" s="86">
        <v>232400813</v>
      </c>
      <c r="C891" s="9">
        <v>45161</v>
      </c>
      <c r="D891" s="87" t="s">
        <v>210</v>
      </c>
      <c r="E891" s="10">
        <v>100000</v>
      </c>
      <c r="F891" s="10">
        <v>0.028</v>
      </c>
      <c r="G891" s="9">
        <v>45209</v>
      </c>
      <c r="H891" s="12">
        <f t="shared" si="13"/>
        <v>2800</v>
      </c>
      <c r="I891" s="12" t="s">
        <v>10</v>
      </c>
      <c r="J891" s="15"/>
    </row>
    <row r="892" hidden="1" spans="2:10">
      <c r="B892" s="86">
        <v>232400815</v>
      </c>
      <c r="C892" s="9">
        <v>45161</v>
      </c>
      <c r="D892" s="10" t="s">
        <v>299</v>
      </c>
      <c r="E892" s="10">
        <v>32000</v>
      </c>
      <c r="F892" s="10">
        <v>0.003</v>
      </c>
      <c r="G892" s="9">
        <v>45179</v>
      </c>
      <c r="H892" s="12">
        <f t="shared" si="13"/>
        <v>96</v>
      </c>
      <c r="I892" s="12" t="s">
        <v>10</v>
      </c>
      <c r="J892" s="15"/>
    </row>
    <row r="893" hidden="1" spans="2:10">
      <c r="B893" s="86">
        <v>232400815</v>
      </c>
      <c r="C893" s="9">
        <v>45161</v>
      </c>
      <c r="D893" s="10" t="s">
        <v>299</v>
      </c>
      <c r="E893" s="10">
        <v>32000</v>
      </c>
      <c r="F893" s="10">
        <v>0.003</v>
      </c>
      <c r="G893" s="9">
        <v>45250</v>
      </c>
      <c r="H893" s="12">
        <f t="shared" si="13"/>
        <v>96</v>
      </c>
      <c r="I893" s="12" t="s">
        <v>10</v>
      </c>
      <c r="J893" s="15"/>
    </row>
    <row r="894" hidden="1" spans="2:10">
      <c r="B894" s="86">
        <v>232400815</v>
      </c>
      <c r="C894" s="9">
        <v>45161</v>
      </c>
      <c r="D894" s="87" t="s">
        <v>300</v>
      </c>
      <c r="E894" s="10">
        <v>32000</v>
      </c>
      <c r="F894" s="10">
        <v>0.015</v>
      </c>
      <c r="G894" s="9">
        <v>45179</v>
      </c>
      <c r="H894" s="12">
        <f t="shared" si="13"/>
        <v>480</v>
      </c>
      <c r="I894" s="12" t="s">
        <v>10</v>
      </c>
      <c r="J894" s="15"/>
    </row>
    <row r="895" hidden="1" spans="2:10">
      <c r="B895" s="86">
        <v>232400815</v>
      </c>
      <c r="C895" s="9">
        <v>45161</v>
      </c>
      <c r="D895" s="87" t="s">
        <v>300</v>
      </c>
      <c r="E895" s="10">
        <v>32000</v>
      </c>
      <c r="F895" s="10">
        <v>0.015</v>
      </c>
      <c r="G895" s="9">
        <v>45250</v>
      </c>
      <c r="H895" s="12">
        <f t="shared" si="13"/>
        <v>480</v>
      </c>
      <c r="I895" s="12" t="s">
        <v>10</v>
      </c>
      <c r="J895" s="15"/>
    </row>
    <row r="896" hidden="1" spans="2:10">
      <c r="B896" s="86">
        <v>232400841</v>
      </c>
      <c r="C896" s="9">
        <v>45169</v>
      </c>
      <c r="D896" s="87" t="s">
        <v>204</v>
      </c>
      <c r="E896" s="10">
        <v>200000</v>
      </c>
      <c r="F896" s="10">
        <v>0.036</v>
      </c>
      <c r="G896" s="9">
        <v>45250</v>
      </c>
      <c r="H896" s="12">
        <f t="shared" si="13"/>
        <v>7200</v>
      </c>
      <c r="I896" s="12" t="s">
        <v>10</v>
      </c>
      <c r="J896" s="15"/>
    </row>
    <row r="897" hidden="1" spans="2:10">
      <c r="B897" s="86">
        <v>232400841</v>
      </c>
      <c r="C897" s="9">
        <v>45169</v>
      </c>
      <c r="D897" s="87" t="s">
        <v>204</v>
      </c>
      <c r="E897" s="10">
        <v>100000</v>
      </c>
      <c r="F897" s="10">
        <v>0.036</v>
      </c>
      <c r="G897" s="9">
        <v>45280</v>
      </c>
      <c r="H897" s="12">
        <f t="shared" si="13"/>
        <v>3600</v>
      </c>
      <c r="I897" s="12" t="s">
        <v>10</v>
      </c>
      <c r="J897" s="15"/>
    </row>
    <row r="898" hidden="1" spans="2:10">
      <c r="B898" s="86">
        <v>232400841</v>
      </c>
      <c r="C898" s="9">
        <v>45169</v>
      </c>
      <c r="D898" s="87" t="s">
        <v>207</v>
      </c>
      <c r="E898" s="10">
        <v>300000</v>
      </c>
      <c r="F898" s="10">
        <v>0.03</v>
      </c>
      <c r="G898" s="9">
        <v>45219</v>
      </c>
      <c r="H898" s="12">
        <f t="shared" ref="H898:H961" si="14">E898*F898</f>
        <v>9000</v>
      </c>
      <c r="I898" s="12" t="s">
        <v>10</v>
      </c>
      <c r="J898" s="15"/>
    </row>
    <row r="899" hidden="1" spans="2:10">
      <c r="B899" s="86">
        <v>232400841</v>
      </c>
      <c r="C899" s="9">
        <v>45169</v>
      </c>
      <c r="D899" s="87" t="s">
        <v>207</v>
      </c>
      <c r="E899" s="10">
        <v>300000</v>
      </c>
      <c r="F899" s="10">
        <v>0.03</v>
      </c>
      <c r="G899" s="9">
        <v>45250</v>
      </c>
      <c r="H899" s="12">
        <f t="shared" si="14"/>
        <v>9000</v>
      </c>
      <c r="I899" s="12" t="s">
        <v>10</v>
      </c>
      <c r="J899" s="15"/>
    </row>
    <row r="900" hidden="1" spans="2:10">
      <c r="B900" s="86">
        <v>232400841</v>
      </c>
      <c r="C900" s="9">
        <v>45169</v>
      </c>
      <c r="D900" s="87" t="s">
        <v>207</v>
      </c>
      <c r="E900" s="10">
        <v>300000</v>
      </c>
      <c r="F900" s="10">
        <v>0.03</v>
      </c>
      <c r="G900" s="9">
        <v>45280</v>
      </c>
      <c r="H900" s="12">
        <f t="shared" si="14"/>
        <v>9000</v>
      </c>
      <c r="I900" s="12" t="s">
        <v>10</v>
      </c>
      <c r="J900" s="15"/>
    </row>
    <row r="901" hidden="1" spans="2:10">
      <c r="B901" s="86">
        <v>232400841</v>
      </c>
      <c r="C901" s="9">
        <v>45169</v>
      </c>
      <c r="D901" s="87" t="s">
        <v>238</v>
      </c>
      <c r="E901" s="10">
        <v>100000</v>
      </c>
      <c r="F901" s="10">
        <v>0.035</v>
      </c>
      <c r="G901" s="9">
        <v>45219</v>
      </c>
      <c r="H901" s="12">
        <f t="shared" si="14"/>
        <v>3500</v>
      </c>
      <c r="I901" s="12" t="s">
        <v>10</v>
      </c>
      <c r="J901" s="15"/>
    </row>
    <row r="902" hidden="1" spans="2:10">
      <c r="B902" s="86">
        <v>232400841</v>
      </c>
      <c r="C902" s="9">
        <v>45169</v>
      </c>
      <c r="D902" s="87" t="s">
        <v>238</v>
      </c>
      <c r="E902" s="10">
        <v>200000</v>
      </c>
      <c r="F902" s="10">
        <v>0.035</v>
      </c>
      <c r="G902" s="9">
        <v>45250</v>
      </c>
      <c r="H902" s="12">
        <f t="shared" si="14"/>
        <v>7000</v>
      </c>
      <c r="I902" s="12" t="s">
        <v>10</v>
      </c>
      <c r="J902" s="15"/>
    </row>
    <row r="903" hidden="1" spans="2:10">
      <c r="B903" s="86">
        <v>232400841</v>
      </c>
      <c r="C903" s="9">
        <v>45169</v>
      </c>
      <c r="D903" s="87" t="s">
        <v>238</v>
      </c>
      <c r="E903" s="10">
        <v>200000</v>
      </c>
      <c r="F903" s="10">
        <v>0.035</v>
      </c>
      <c r="G903" s="9">
        <v>45280</v>
      </c>
      <c r="H903" s="12">
        <f t="shared" si="14"/>
        <v>7000</v>
      </c>
      <c r="I903" s="12" t="s">
        <v>10</v>
      </c>
      <c r="J903" s="15"/>
    </row>
    <row r="904" hidden="1" spans="2:10">
      <c r="B904" s="86">
        <v>232400841</v>
      </c>
      <c r="C904" s="9">
        <v>45169</v>
      </c>
      <c r="D904" s="87" t="s">
        <v>240</v>
      </c>
      <c r="E904" s="10">
        <v>120000</v>
      </c>
      <c r="F904" s="10">
        <v>0.03</v>
      </c>
      <c r="G904" s="9">
        <v>45219</v>
      </c>
      <c r="H904" s="12">
        <f t="shared" si="14"/>
        <v>3600</v>
      </c>
      <c r="I904" s="12" t="s">
        <v>10</v>
      </c>
      <c r="J904" s="15"/>
    </row>
    <row r="905" hidden="1" spans="2:10">
      <c r="B905" s="86">
        <v>232400841</v>
      </c>
      <c r="C905" s="9">
        <v>45169</v>
      </c>
      <c r="D905" s="87" t="s">
        <v>240</v>
      </c>
      <c r="E905" s="10">
        <v>120000</v>
      </c>
      <c r="F905" s="10">
        <v>0.03</v>
      </c>
      <c r="G905" s="9">
        <v>45250</v>
      </c>
      <c r="H905" s="12">
        <f t="shared" si="14"/>
        <v>3600</v>
      </c>
      <c r="I905" s="12" t="s">
        <v>10</v>
      </c>
      <c r="J905" s="15"/>
    </row>
    <row r="906" hidden="1" spans="2:10">
      <c r="B906" s="86">
        <v>232400841</v>
      </c>
      <c r="C906" s="9">
        <v>45169</v>
      </c>
      <c r="D906" s="87" t="s">
        <v>240</v>
      </c>
      <c r="E906" s="10">
        <v>120000</v>
      </c>
      <c r="F906" s="10">
        <v>0.03</v>
      </c>
      <c r="G906" s="9">
        <v>45280</v>
      </c>
      <c r="H906" s="12">
        <f t="shared" si="14"/>
        <v>3600</v>
      </c>
      <c r="I906" s="12" t="s">
        <v>10</v>
      </c>
      <c r="J906" s="15"/>
    </row>
    <row r="907" hidden="1" spans="2:10">
      <c r="B907" s="86">
        <v>232400841</v>
      </c>
      <c r="C907" s="9">
        <v>45169</v>
      </c>
      <c r="D907" s="87" t="s">
        <v>255</v>
      </c>
      <c r="E907" s="10">
        <v>150000</v>
      </c>
      <c r="F907" s="10">
        <v>0.0238</v>
      </c>
      <c r="G907" s="9">
        <v>45219</v>
      </c>
      <c r="H907" s="12">
        <f t="shared" si="14"/>
        <v>3570</v>
      </c>
      <c r="I907" s="12" t="s">
        <v>10</v>
      </c>
      <c r="J907" s="15"/>
    </row>
    <row r="908" hidden="1" spans="2:10">
      <c r="B908" s="86">
        <v>232400841</v>
      </c>
      <c r="C908" s="9">
        <v>45169</v>
      </c>
      <c r="D908" s="87" t="s">
        <v>255</v>
      </c>
      <c r="E908" s="10">
        <v>150000</v>
      </c>
      <c r="F908" s="10">
        <v>0.0238</v>
      </c>
      <c r="G908" s="9">
        <v>45250</v>
      </c>
      <c r="H908" s="12">
        <f t="shared" si="14"/>
        <v>3570</v>
      </c>
      <c r="I908" s="12" t="s">
        <v>10</v>
      </c>
      <c r="J908" s="15"/>
    </row>
    <row r="909" hidden="1" spans="2:10">
      <c r="B909" s="86">
        <v>232400841</v>
      </c>
      <c r="C909" s="9">
        <v>45169</v>
      </c>
      <c r="D909" s="87" t="s">
        <v>255</v>
      </c>
      <c r="E909" s="10">
        <v>150000</v>
      </c>
      <c r="F909" s="10">
        <v>0.0238</v>
      </c>
      <c r="G909" s="9">
        <v>45280</v>
      </c>
      <c r="H909" s="12">
        <f t="shared" si="14"/>
        <v>3570</v>
      </c>
      <c r="I909" s="12" t="s">
        <v>10</v>
      </c>
      <c r="J909" s="15"/>
    </row>
    <row r="910" hidden="1" spans="2:10">
      <c r="B910" s="86">
        <v>232400841</v>
      </c>
      <c r="C910" s="9">
        <v>45169</v>
      </c>
      <c r="D910" s="10" t="s">
        <v>32</v>
      </c>
      <c r="E910" s="10">
        <v>100000</v>
      </c>
      <c r="F910" s="10">
        <v>0.02</v>
      </c>
      <c r="G910" s="9">
        <v>45280</v>
      </c>
      <c r="H910" s="12">
        <f t="shared" si="14"/>
        <v>2000</v>
      </c>
      <c r="I910" s="12" t="s">
        <v>10</v>
      </c>
      <c r="J910" s="15"/>
    </row>
    <row r="911" hidden="1" spans="2:10">
      <c r="B911" s="86">
        <v>232400842</v>
      </c>
      <c r="C911" s="9">
        <v>45169</v>
      </c>
      <c r="D911" s="10" t="s">
        <v>213</v>
      </c>
      <c r="E911" s="10">
        <v>150000</v>
      </c>
      <c r="F911" s="10">
        <v>0.05</v>
      </c>
      <c r="G911" s="9">
        <v>45250</v>
      </c>
      <c r="H911" s="12">
        <f t="shared" si="14"/>
        <v>7500</v>
      </c>
      <c r="I911" s="12" t="s">
        <v>10</v>
      </c>
      <c r="J911" s="15"/>
    </row>
    <row r="912" hidden="1" spans="2:10">
      <c r="B912" s="86">
        <v>232400842</v>
      </c>
      <c r="C912" s="9">
        <v>45169</v>
      </c>
      <c r="D912" s="10" t="s">
        <v>213</v>
      </c>
      <c r="E912" s="10">
        <v>100000</v>
      </c>
      <c r="F912" s="10">
        <v>0.05</v>
      </c>
      <c r="G912" s="9">
        <v>45280</v>
      </c>
      <c r="H912" s="12">
        <f t="shared" si="14"/>
        <v>5000</v>
      </c>
      <c r="I912" s="12" t="s">
        <v>10</v>
      </c>
      <c r="J912" s="15"/>
    </row>
    <row r="913" hidden="1" spans="2:10">
      <c r="B913" s="86">
        <v>232400842</v>
      </c>
      <c r="C913" s="9">
        <v>45169</v>
      </c>
      <c r="D913" s="87" t="s">
        <v>214</v>
      </c>
      <c r="E913" s="10">
        <v>100000</v>
      </c>
      <c r="F913" s="10">
        <v>0.035</v>
      </c>
      <c r="G913" s="9">
        <v>45280</v>
      </c>
      <c r="H913" s="12">
        <f t="shared" si="14"/>
        <v>3500</v>
      </c>
      <c r="I913" s="12" t="s">
        <v>10</v>
      </c>
      <c r="J913" s="15"/>
    </row>
    <row r="914" hidden="1" spans="2:10">
      <c r="B914" s="86">
        <v>232400842</v>
      </c>
      <c r="C914" s="9">
        <v>45169</v>
      </c>
      <c r="D914" s="87" t="s">
        <v>239</v>
      </c>
      <c r="E914" s="10">
        <v>100000</v>
      </c>
      <c r="F914" s="10">
        <v>0.03</v>
      </c>
      <c r="G914" s="9">
        <v>45219</v>
      </c>
      <c r="H914" s="12">
        <f t="shared" si="14"/>
        <v>3000</v>
      </c>
      <c r="I914" s="12" t="s">
        <v>10</v>
      </c>
      <c r="J914" s="15"/>
    </row>
    <row r="915" hidden="1" spans="2:10">
      <c r="B915" s="86">
        <v>232400842</v>
      </c>
      <c r="C915" s="9">
        <v>45169</v>
      </c>
      <c r="D915" s="87" t="s">
        <v>239</v>
      </c>
      <c r="E915" s="10">
        <v>120000</v>
      </c>
      <c r="F915" s="10">
        <v>0.03</v>
      </c>
      <c r="G915" s="9">
        <v>45250</v>
      </c>
      <c r="H915" s="12">
        <f t="shared" si="14"/>
        <v>3600</v>
      </c>
      <c r="I915" s="12" t="s">
        <v>10</v>
      </c>
      <c r="J915" s="15"/>
    </row>
    <row r="916" hidden="1" spans="2:10">
      <c r="B916" s="86">
        <v>232400842</v>
      </c>
      <c r="C916" s="9">
        <v>45169</v>
      </c>
      <c r="D916" s="87" t="s">
        <v>239</v>
      </c>
      <c r="E916" s="10">
        <v>120000</v>
      </c>
      <c r="F916" s="10">
        <v>0.03</v>
      </c>
      <c r="G916" s="9">
        <v>45280</v>
      </c>
      <c r="H916" s="12">
        <f t="shared" si="14"/>
        <v>3600</v>
      </c>
      <c r="I916" s="12" t="s">
        <v>10</v>
      </c>
      <c r="J916" s="15"/>
    </row>
    <row r="917" hidden="1" spans="2:10">
      <c r="B917" s="86">
        <v>232400842</v>
      </c>
      <c r="C917" s="9">
        <v>45169</v>
      </c>
      <c r="D917" s="87" t="s">
        <v>250</v>
      </c>
      <c r="E917" s="10">
        <v>20000</v>
      </c>
      <c r="F917" s="10">
        <v>0.04</v>
      </c>
      <c r="G917" s="9">
        <v>45250</v>
      </c>
      <c r="H917" s="12">
        <f t="shared" si="14"/>
        <v>800</v>
      </c>
      <c r="I917" s="12" t="s">
        <v>10</v>
      </c>
      <c r="J917" s="15"/>
    </row>
    <row r="918" hidden="1" spans="2:10">
      <c r="B918" s="86">
        <v>232400842</v>
      </c>
      <c r="C918" s="9">
        <v>45169</v>
      </c>
      <c r="D918" s="87" t="s">
        <v>250</v>
      </c>
      <c r="E918" s="10">
        <v>40000</v>
      </c>
      <c r="F918" s="10">
        <v>0.04</v>
      </c>
      <c r="G918" s="9">
        <v>45280</v>
      </c>
      <c r="H918" s="12">
        <f t="shared" si="14"/>
        <v>1600</v>
      </c>
      <c r="I918" s="12" t="s">
        <v>10</v>
      </c>
      <c r="J918" s="15"/>
    </row>
    <row r="919" hidden="1" spans="2:10">
      <c r="B919" s="86">
        <v>232400842</v>
      </c>
      <c r="C919" s="9">
        <v>45169</v>
      </c>
      <c r="D919" s="87" t="s">
        <v>264</v>
      </c>
      <c r="E919" s="10">
        <v>30000</v>
      </c>
      <c r="F919" s="10">
        <v>0.03</v>
      </c>
      <c r="G919" s="9">
        <v>45250</v>
      </c>
      <c r="H919" s="12">
        <f t="shared" si="14"/>
        <v>900</v>
      </c>
      <c r="I919" s="12" t="s">
        <v>10</v>
      </c>
      <c r="J919" s="15"/>
    </row>
    <row r="920" hidden="1" spans="2:10">
      <c r="B920" s="86">
        <v>232400842</v>
      </c>
      <c r="C920" s="9">
        <v>45169</v>
      </c>
      <c r="D920" s="87" t="s">
        <v>264</v>
      </c>
      <c r="E920" s="10">
        <v>50000</v>
      </c>
      <c r="F920" s="10">
        <v>0.03</v>
      </c>
      <c r="G920" s="9">
        <v>45280</v>
      </c>
      <c r="H920" s="12">
        <f t="shared" si="14"/>
        <v>1500</v>
      </c>
      <c r="I920" s="12" t="s">
        <v>10</v>
      </c>
      <c r="J920" s="15"/>
    </row>
    <row r="921" hidden="1" spans="2:10">
      <c r="B921" s="86">
        <v>232400845</v>
      </c>
      <c r="C921" s="9">
        <v>45169</v>
      </c>
      <c r="D921" s="10" t="s">
        <v>242</v>
      </c>
      <c r="E921" s="10">
        <v>20000</v>
      </c>
      <c r="F921" s="10">
        <v>0.043</v>
      </c>
      <c r="G921" s="9">
        <v>45194</v>
      </c>
      <c r="H921" s="12">
        <f t="shared" si="14"/>
        <v>860</v>
      </c>
      <c r="I921" s="12" t="s">
        <v>10</v>
      </c>
      <c r="J921" s="15"/>
    </row>
    <row r="922" hidden="1" spans="2:10">
      <c r="B922" s="86">
        <v>232400852</v>
      </c>
      <c r="C922" s="9">
        <v>45170</v>
      </c>
      <c r="D922" s="10" t="s">
        <v>150</v>
      </c>
      <c r="E922" s="10">
        <v>120000</v>
      </c>
      <c r="F922" s="10">
        <v>0.022</v>
      </c>
      <c r="G922" s="9">
        <v>45204</v>
      </c>
      <c r="H922" s="12">
        <f t="shared" si="14"/>
        <v>2640</v>
      </c>
      <c r="I922" s="12" t="s">
        <v>10</v>
      </c>
      <c r="J922" s="15"/>
    </row>
    <row r="923" hidden="1" spans="2:10">
      <c r="B923" s="86">
        <v>232400852</v>
      </c>
      <c r="C923" s="9">
        <v>45170</v>
      </c>
      <c r="D923" s="10" t="s">
        <v>150</v>
      </c>
      <c r="E923" s="10">
        <v>80000</v>
      </c>
      <c r="F923" s="10">
        <v>0.022</v>
      </c>
      <c r="G923" s="9">
        <v>45235</v>
      </c>
      <c r="H923" s="12">
        <f t="shared" si="14"/>
        <v>1760</v>
      </c>
      <c r="I923" s="12" t="s">
        <v>10</v>
      </c>
      <c r="J923" s="15"/>
    </row>
    <row r="924" hidden="1" spans="2:10">
      <c r="B924" s="86">
        <v>232400852</v>
      </c>
      <c r="C924" s="9">
        <v>45170</v>
      </c>
      <c r="D924" s="10" t="s">
        <v>150</v>
      </c>
      <c r="E924" s="10">
        <v>80000</v>
      </c>
      <c r="F924" s="10">
        <v>0.022</v>
      </c>
      <c r="G924" s="9">
        <v>45265</v>
      </c>
      <c r="H924" s="12">
        <f t="shared" si="14"/>
        <v>1760</v>
      </c>
      <c r="I924" s="12" t="s">
        <v>10</v>
      </c>
      <c r="J924" s="15"/>
    </row>
    <row r="925" hidden="1" spans="2:10">
      <c r="B925" s="86">
        <v>232400852</v>
      </c>
      <c r="C925" s="9">
        <v>45170</v>
      </c>
      <c r="D925" s="10" t="s">
        <v>83</v>
      </c>
      <c r="E925" s="10">
        <v>30000</v>
      </c>
      <c r="F925" s="10">
        <v>0.023</v>
      </c>
      <c r="G925" s="9">
        <v>45204</v>
      </c>
      <c r="H925" s="12">
        <f t="shared" si="14"/>
        <v>690</v>
      </c>
      <c r="I925" s="12" t="s">
        <v>10</v>
      </c>
      <c r="J925" s="15"/>
    </row>
    <row r="926" hidden="1" spans="2:10">
      <c r="B926" s="86">
        <v>232400852</v>
      </c>
      <c r="C926" s="9">
        <v>45170</v>
      </c>
      <c r="D926" s="10" t="s">
        <v>83</v>
      </c>
      <c r="E926" s="10">
        <v>20000</v>
      </c>
      <c r="F926" s="10">
        <v>0.023</v>
      </c>
      <c r="G926" s="9">
        <v>45235</v>
      </c>
      <c r="H926" s="12">
        <f t="shared" si="14"/>
        <v>460</v>
      </c>
      <c r="I926" s="12" t="s">
        <v>10</v>
      </c>
      <c r="J926" s="15"/>
    </row>
    <row r="927" hidden="1" spans="2:10">
      <c r="B927" s="86">
        <v>232400852</v>
      </c>
      <c r="C927" s="9">
        <v>45170</v>
      </c>
      <c r="D927" s="10" t="s">
        <v>83</v>
      </c>
      <c r="E927" s="10">
        <v>20000</v>
      </c>
      <c r="F927" s="10">
        <v>0.023</v>
      </c>
      <c r="G927" s="9">
        <v>45265</v>
      </c>
      <c r="H927" s="12">
        <f t="shared" si="14"/>
        <v>460</v>
      </c>
      <c r="I927" s="12" t="s">
        <v>10</v>
      </c>
      <c r="J927" s="15"/>
    </row>
    <row r="928" hidden="1" spans="2:10">
      <c r="B928" s="86">
        <v>232400871</v>
      </c>
      <c r="C928" s="9">
        <v>45175</v>
      </c>
      <c r="D928" s="87" t="s">
        <v>202</v>
      </c>
      <c r="E928" s="10">
        <v>100000</v>
      </c>
      <c r="F928" s="10">
        <v>0.04</v>
      </c>
      <c r="G928" s="9">
        <v>45199</v>
      </c>
      <c r="H928" s="12">
        <f t="shared" si="14"/>
        <v>4000</v>
      </c>
      <c r="I928" s="12" t="s">
        <v>10</v>
      </c>
      <c r="J928" s="15"/>
    </row>
    <row r="929" hidden="1" spans="2:10">
      <c r="B929" s="86">
        <v>232400871</v>
      </c>
      <c r="C929" s="9">
        <v>45175</v>
      </c>
      <c r="D929" s="87" t="s">
        <v>202</v>
      </c>
      <c r="E929" s="10">
        <v>152000</v>
      </c>
      <c r="F929" s="10">
        <v>0.04</v>
      </c>
      <c r="G929" s="9">
        <v>45219</v>
      </c>
      <c r="H929" s="12">
        <f t="shared" si="14"/>
        <v>6080</v>
      </c>
      <c r="I929" s="12" t="s">
        <v>10</v>
      </c>
      <c r="J929" s="15"/>
    </row>
    <row r="930" hidden="1" spans="2:10">
      <c r="B930" s="86">
        <v>232400871</v>
      </c>
      <c r="C930" s="9">
        <v>45175</v>
      </c>
      <c r="D930" s="87" t="s">
        <v>202</v>
      </c>
      <c r="E930" s="10">
        <v>152000</v>
      </c>
      <c r="F930" s="10">
        <v>0.04</v>
      </c>
      <c r="G930" s="9">
        <v>45250</v>
      </c>
      <c r="H930" s="12">
        <f t="shared" si="14"/>
        <v>6080</v>
      </c>
      <c r="I930" s="12" t="s">
        <v>10</v>
      </c>
      <c r="J930" s="15"/>
    </row>
    <row r="931" hidden="1" spans="2:10">
      <c r="B931" s="86">
        <v>232400872</v>
      </c>
      <c r="C931" s="9">
        <v>45175</v>
      </c>
      <c r="D931" s="87" t="s">
        <v>202</v>
      </c>
      <c r="E931" s="10">
        <v>100000</v>
      </c>
      <c r="F931" s="10">
        <v>0.04</v>
      </c>
      <c r="G931" s="9">
        <v>45199</v>
      </c>
      <c r="H931" s="12">
        <f t="shared" si="14"/>
        <v>4000</v>
      </c>
      <c r="I931" s="12" t="s">
        <v>10</v>
      </c>
      <c r="J931" s="15"/>
    </row>
    <row r="932" hidden="1" spans="2:10">
      <c r="B932" s="86">
        <v>232400872</v>
      </c>
      <c r="C932" s="9">
        <v>45175</v>
      </c>
      <c r="D932" s="87" t="s">
        <v>202</v>
      </c>
      <c r="E932" s="10">
        <v>152000</v>
      </c>
      <c r="F932" s="10">
        <v>0.04</v>
      </c>
      <c r="G932" s="9">
        <v>45219</v>
      </c>
      <c r="H932" s="12">
        <f t="shared" si="14"/>
        <v>6080</v>
      </c>
      <c r="I932" s="12" t="s">
        <v>10</v>
      </c>
      <c r="J932" s="15"/>
    </row>
    <row r="933" hidden="1" spans="2:10">
      <c r="B933" s="86">
        <v>232400872</v>
      </c>
      <c r="C933" s="9">
        <v>45175</v>
      </c>
      <c r="D933" s="87" t="s">
        <v>202</v>
      </c>
      <c r="E933" s="10">
        <v>152000</v>
      </c>
      <c r="F933" s="10">
        <v>0.04</v>
      </c>
      <c r="G933" s="9">
        <v>45250</v>
      </c>
      <c r="H933" s="12">
        <f t="shared" si="14"/>
        <v>6080</v>
      </c>
      <c r="I933" s="12" t="s">
        <v>10</v>
      </c>
      <c r="J933" s="15"/>
    </row>
    <row r="934" hidden="1" spans="2:10">
      <c r="B934" s="86">
        <v>232400872</v>
      </c>
      <c r="C934" s="9">
        <v>45175</v>
      </c>
      <c r="D934" s="10" t="s">
        <v>33</v>
      </c>
      <c r="E934" s="10">
        <v>200000</v>
      </c>
      <c r="F934" s="10">
        <v>0.02</v>
      </c>
      <c r="G934" s="9">
        <v>45219</v>
      </c>
      <c r="H934" s="12">
        <f t="shared" si="14"/>
        <v>4000</v>
      </c>
      <c r="I934" s="12" t="s">
        <v>10</v>
      </c>
      <c r="J934" s="15"/>
    </row>
    <row r="935" hidden="1" spans="2:10">
      <c r="B935" s="86">
        <v>232400872</v>
      </c>
      <c r="C935" s="9">
        <v>45175</v>
      </c>
      <c r="D935" s="10" t="s">
        <v>33</v>
      </c>
      <c r="E935" s="10">
        <v>200000</v>
      </c>
      <c r="F935" s="10">
        <v>0.02</v>
      </c>
      <c r="G935" s="9">
        <v>45219</v>
      </c>
      <c r="H935" s="12">
        <f t="shared" si="14"/>
        <v>4000</v>
      </c>
      <c r="I935" s="12" t="s">
        <v>10</v>
      </c>
      <c r="J935" s="15"/>
    </row>
    <row r="936" hidden="1" spans="2:10">
      <c r="B936" s="86">
        <v>232400872</v>
      </c>
      <c r="C936" s="9">
        <v>45175</v>
      </c>
      <c r="D936" s="10" t="s">
        <v>33</v>
      </c>
      <c r="E936" s="10">
        <v>200000</v>
      </c>
      <c r="F936" s="10">
        <v>0.02</v>
      </c>
      <c r="G936" s="9">
        <v>45240</v>
      </c>
      <c r="H936" s="12">
        <f t="shared" si="14"/>
        <v>4000</v>
      </c>
      <c r="I936" s="12" t="s">
        <v>10</v>
      </c>
      <c r="J936" s="15"/>
    </row>
    <row r="937" hidden="1" spans="2:10">
      <c r="B937" s="86">
        <v>232400872</v>
      </c>
      <c r="C937" s="9">
        <v>45175</v>
      </c>
      <c r="D937" s="10" t="s">
        <v>33</v>
      </c>
      <c r="E937" s="10">
        <v>200000</v>
      </c>
      <c r="F937" s="10">
        <v>0.02</v>
      </c>
      <c r="G937" s="9">
        <v>45240</v>
      </c>
      <c r="H937" s="12">
        <f t="shared" si="14"/>
        <v>4000</v>
      </c>
      <c r="I937" s="12" t="s">
        <v>10</v>
      </c>
      <c r="J937" s="15"/>
    </row>
    <row r="938" hidden="1" spans="2:10">
      <c r="B938" s="86">
        <v>232400873</v>
      </c>
      <c r="C938" s="9">
        <v>45175</v>
      </c>
      <c r="D938" s="10" t="s">
        <v>33</v>
      </c>
      <c r="E938" s="10">
        <v>50000</v>
      </c>
      <c r="F938" s="10">
        <v>0.02</v>
      </c>
      <c r="G938" s="9">
        <v>45219</v>
      </c>
      <c r="H938" s="12">
        <f t="shared" si="14"/>
        <v>1000</v>
      </c>
      <c r="I938" s="12" t="s">
        <v>10</v>
      </c>
      <c r="J938" s="15"/>
    </row>
    <row r="939" hidden="1" spans="2:10">
      <c r="B939" s="86">
        <v>232400873</v>
      </c>
      <c r="C939" s="9">
        <v>45175</v>
      </c>
      <c r="D939" s="10" t="s">
        <v>33</v>
      </c>
      <c r="E939" s="10">
        <v>50000</v>
      </c>
      <c r="F939" s="10">
        <v>0.02</v>
      </c>
      <c r="G939" s="9">
        <v>45240</v>
      </c>
      <c r="H939" s="12">
        <f t="shared" si="14"/>
        <v>1000</v>
      </c>
      <c r="I939" s="12" t="s">
        <v>10</v>
      </c>
      <c r="J939" s="15"/>
    </row>
    <row r="940" hidden="1" spans="2:10">
      <c r="B940" s="86">
        <v>232400874</v>
      </c>
      <c r="C940" s="9">
        <v>45175</v>
      </c>
      <c r="D940" s="10" t="s">
        <v>33</v>
      </c>
      <c r="E940" s="10">
        <v>100000</v>
      </c>
      <c r="F940" s="10">
        <v>0.02</v>
      </c>
      <c r="G940" s="9">
        <v>45219</v>
      </c>
      <c r="H940" s="12">
        <f t="shared" si="14"/>
        <v>2000</v>
      </c>
      <c r="I940" s="12" t="s">
        <v>10</v>
      </c>
      <c r="J940" s="15"/>
    </row>
    <row r="941" hidden="1" spans="2:10">
      <c r="B941" s="86">
        <v>232400874</v>
      </c>
      <c r="C941" s="9">
        <v>45175</v>
      </c>
      <c r="D941" s="10" t="s">
        <v>33</v>
      </c>
      <c r="E941" s="10">
        <v>100000</v>
      </c>
      <c r="F941" s="10">
        <v>0.02</v>
      </c>
      <c r="G941" s="9">
        <v>45240</v>
      </c>
      <c r="H941" s="12">
        <f t="shared" si="14"/>
        <v>2000</v>
      </c>
      <c r="I941" s="12" t="s">
        <v>10</v>
      </c>
      <c r="J941" s="15"/>
    </row>
    <row r="942" hidden="1" spans="2:10">
      <c r="B942" s="86">
        <v>232400875</v>
      </c>
      <c r="C942" s="9">
        <v>45175</v>
      </c>
      <c r="D942" s="87" t="s">
        <v>274</v>
      </c>
      <c r="E942" s="10">
        <v>50000</v>
      </c>
      <c r="F942" s="10">
        <v>0.028</v>
      </c>
      <c r="G942" s="9">
        <v>45219</v>
      </c>
      <c r="H942" s="12">
        <f t="shared" si="14"/>
        <v>1400</v>
      </c>
      <c r="I942" s="12" t="s">
        <v>10</v>
      </c>
      <c r="J942" s="15"/>
    </row>
    <row r="943" hidden="1" spans="2:10">
      <c r="B943" s="86">
        <v>232400875</v>
      </c>
      <c r="C943" s="9">
        <v>45175</v>
      </c>
      <c r="D943" s="87" t="s">
        <v>274</v>
      </c>
      <c r="E943" s="10">
        <v>50000</v>
      </c>
      <c r="F943" s="10">
        <v>0.028</v>
      </c>
      <c r="G943" s="9">
        <v>45219</v>
      </c>
      <c r="H943" s="12">
        <f t="shared" si="14"/>
        <v>1400</v>
      </c>
      <c r="I943" s="12" t="s">
        <v>10</v>
      </c>
      <c r="J943" s="15"/>
    </row>
    <row r="944" hidden="1" spans="2:10">
      <c r="B944" s="86">
        <v>232400875</v>
      </c>
      <c r="C944" s="9">
        <v>45175</v>
      </c>
      <c r="D944" s="87" t="s">
        <v>259</v>
      </c>
      <c r="E944" s="10">
        <v>50000</v>
      </c>
      <c r="F944" s="10">
        <v>0.028</v>
      </c>
      <c r="G944" s="9">
        <v>45219</v>
      </c>
      <c r="H944" s="12">
        <f t="shared" si="14"/>
        <v>1400</v>
      </c>
      <c r="I944" s="12" t="s">
        <v>10</v>
      </c>
      <c r="J944" s="15"/>
    </row>
    <row r="945" hidden="1" spans="2:10">
      <c r="B945" s="86">
        <v>232400875</v>
      </c>
      <c r="C945" s="9">
        <v>45175</v>
      </c>
      <c r="D945" s="87" t="s">
        <v>259</v>
      </c>
      <c r="E945" s="10">
        <v>50000</v>
      </c>
      <c r="F945" s="10">
        <v>0.028</v>
      </c>
      <c r="G945" s="9">
        <v>45219</v>
      </c>
      <c r="H945" s="12">
        <f t="shared" si="14"/>
        <v>1400</v>
      </c>
      <c r="I945" s="12" t="s">
        <v>10</v>
      </c>
      <c r="J945" s="15"/>
    </row>
    <row r="946" hidden="1" spans="2:10">
      <c r="B946" s="86">
        <v>232400875</v>
      </c>
      <c r="C946" s="9">
        <v>45175</v>
      </c>
      <c r="D946" s="87" t="s">
        <v>272</v>
      </c>
      <c r="E946" s="10">
        <v>50000</v>
      </c>
      <c r="F946" s="10">
        <v>0.034</v>
      </c>
      <c r="G946" s="9">
        <v>45199</v>
      </c>
      <c r="H946" s="12">
        <f t="shared" si="14"/>
        <v>1700</v>
      </c>
      <c r="I946" s="12" t="s">
        <v>10</v>
      </c>
      <c r="J946" s="15"/>
    </row>
    <row r="947" hidden="1" spans="2:10">
      <c r="B947" s="86">
        <v>232400875</v>
      </c>
      <c r="C947" s="9">
        <v>45175</v>
      </c>
      <c r="D947" s="87" t="s">
        <v>272</v>
      </c>
      <c r="E947" s="10">
        <v>50000</v>
      </c>
      <c r="F947" s="10">
        <v>0.034</v>
      </c>
      <c r="G947" s="9">
        <v>45219</v>
      </c>
      <c r="H947" s="12">
        <f t="shared" si="14"/>
        <v>1700</v>
      </c>
      <c r="I947" s="12" t="s">
        <v>10</v>
      </c>
      <c r="J947" s="15"/>
    </row>
    <row r="948" hidden="1" spans="2:10">
      <c r="B948" s="86">
        <v>232400875</v>
      </c>
      <c r="C948" s="9">
        <v>45175</v>
      </c>
      <c r="D948" s="87" t="s">
        <v>272</v>
      </c>
      <c r="E948" s="10">
        <v>50000</v>
      </c>
      <c r="F948" s="10">
        <v>0.034</v>
      </c>
      <c r="G948" s="9">
        <v>45250</v>
      </c>
      <c r="H948" s="12">
        <f t="shared" si="14"/>
        <v>1700</v>
      </c>
      <c r="I948" s="12" t="s">
        <v>10</v>
      </c>
      <c r="J948" s="15"/>
    </row>
    <row r="949" hidden="1" spans="2:10">
      <c r="B949" s="86">
        <v>232400876</v>
      </c>
      <c r="C949" s="9">
        <v>45175</v>
      </c>
      <c r="D949" s="87" t="s">
        <v>202</v>
      </c>
      <c r="E949" s="10">
        <v>100000</v>
      </c>
      <c r="F949" s="10">
        <v>0.04</v>
      </c>
      <c r="G949" s="9">
        <v>45199</v>
      </c>
      <c r="H949" s="12">
        <f t="shared" si="14"/>
        <v>4000</v>
      </c>
      <c r="I949" s="12" t="s">
        <v>10</v>
      </c>
      <c r="J949" s="15"/>
    </row>
    <row r="950" hidden="1" spans="2:10">
      <c r="B950" s="86">
        <v>232400876</v>
      </c>
      <c r="C950" s="9">
        <v>45175</v>
      </c>
      <c r="D950" s="87" t="s">
        <v>202</v>
      </c>
      <c r="E950" s="10">
        <v>300000</v>
      </c>
      <c r="F950" s="10">
        <v>0.04</v>
      </c>
      <c r="G950" s="9">
        <v>45219</v>
      </c>
      <c r="H950" s="12">
        <f t="shared" si="14"/>
        <v>12000</v>
      </c>
      <c r="I950" s="12" t="s">
        <v>10</v>
      </c>
      <c r="J950" s="15"/>
    </row>
    <row r="951" hidden="1" spans="2:10">
      <c r="B951" s="86">
        <v>232400876</v>
      </c>
      <c r="C951" s="9">
        <v>45175</v>
      </c>
      <c r="D951" s="87" t="s">
        <v>202</v>
      </c>
      <c r="E951" s="10">
        <v>300000</v>
      </c>
      <c r="F951" s="10">
        <v>0.04</v>
      </c>
      <c r="G951" s="9">
        <v>45250</v>
      </c>
      <c r="H951" s="12">
        <f t="shared" si="14"/>
        <v>12000</v>
      </c>
      <c r="I951" s="12" t="s">
        <v>10</v>
      </c>
      <c r="J951" s="15"/>
    </row>
    <row r="952" hidden="1" spans="2:10">
      <c r="B952" s="86">
        <v>232400876</v>
      </c>
      <c r="C952" s="9">
        <v>45175</v>
      </c>
      <c r="D952" s="87" t="s">
        <v>215</v>
      </c>
      <c r="E952" s="10">
        <v>300000</v>
      </c>
      <c r="F952" s="10">
        <v>0.028</v>
      </c>
      <c r="G952" s="9">
        <v>45209</v>
      </c>
      <c r="H952" s="12">
        <f t="shared" si="14"/>
        <v>8400</v>
      </c>
      <c r="I952" s="12" t="s">
        <v>10</v>
      </c>
      <c r="J952" s="15"/>
    </row>
    <row r="953" hidden="1" spans="2:10">
      <c r="B953" s="86">
        <v>232400876</v>
      </c>
      <c r="C953" s="9">
        <v>45175</v>
      </c>
      <c r="D953" s="87" t="s">
        <v>215</v>
      </c>
      <c r="E953" s="10">
        <v>300000</v>
      </c>
      <c r="F953" s="10">
        <v>0.028</v>
      </c>
      <c r="G953" s="9">
        <v>45209</v>
      </c>
      <c r="H953" s="12">
        <f t="shared" si="14"/>
        <v>8400</v>
      </c>
      <c r="I953" s="12" t="s">
        <v>10</v>
      </c>
      <c r="J953" s="15"/>
    </row>
    <row r="954" hidden="1" spans="2:10">
      <c r="B954" s="86">
        <v>232400876</v>
      </c>
      <c r="C954" s="9">
        <v>45175</v>
      </c>
      <c r="D954" s="87" t="s">
        <v>215</v>
      </c>
      <c r="E954" s="10">
        <v>300000</v>
      </c>
      <c r="F954" s="10">
        <v>0.028</v>
      </c>
      <c r="G954" s="9">
        <v>45240</v>
      </c>
      <c r="H954" s="12">
        <f t="shared" si="14"/>
        <v>8400</v>
      </c>
      <c r="I954" s="12" t="s">
        <v>10</v>
      </c>
      <c r="J954" s="15"/>
    </row>
    <row r="955" hidden="1" spans="2:10">
      <c r="B955" s="86">
        <v>232400876</v>
      </c>
      <c r="C955" s="9">
        <v>45175</v>
      </c>
      <c r="D955" s="87" t="s">
        <v>215</v>
      </c>
      <c r="E955" s="10">
        <v>300000</v>
      </c>
      <c r="F955" s="10">
        <v>0.028</v>
      </c>
      <c r="G955" s="9">
        <v>45240</v>
      </c>
      <c r="H955" s="12">
        <f t="shared" si="14"/>
        <v>8400</v>
      </c>
      <c r="I955" s="12" t="s">
        <v>10</v>
      </c>
      <c r="J955" s="15"/>
    </row>
    <row r="956" hidden="1" spans="2:10">
      <c r="B956" s="86">
        <v>232400876</v>
      </c>
      <c r="C956" s="9">
        <v>45175</v>
      </c>
      <c r="D956" s="87" t="s">
        <v>215</v>
      </c>
      <c r="E956" s="10">
        <v>300000</v>
      </c>
      <c r="F956" s="10">
        <v>0.028</v>
      </c>
      <c r="G956" s="9">
        <v>45270</v>
      </c>
      <c r="H956" s="12">
        <f t="shared" si="14"/>
        <v>8400</v>
      </c>
      <c r="I956" s="12" t="s">
        <v>10</v>
      </c>
      <c r="J956" s="15"/>
    </row>
    <row r="957" hidden="1" spans="2:10">
      <c r="B957" s="86">
        <v>232400876</v>
      </c>
      <c r="C957" s="9">
        <v>45175</v>
      </c>
      <c r="D957" s="87" t="s">
        <v>215</v>
      </c>
      <c r="E957" s="10">
        <v>200000</v>
      </c>
      <c r="F957" s="10">
        <v>0.028</v>
      </c>
      <c r="G957" s="9">
        <v>45270</v>
      </c>
      <c r="H957" s="12">
        <f t="shared" si="14"/>
        <v>5600</v>
      </c>
      <c r="I957" s="12" t="s">
        <v>10</v>
      </c>
      <c r="J957" s="15"/>
    </row>
    <row r="958" hidden="1" spans="2:10">
      <c r="B958" s="86">
        <v>232400876</v>
      </c>
      <c r="C958" s="9">
        <v>45175</v>
      </c>
      <c r="D958" s="87" t="s">
        <v>119</v>
      </c>
      <c r="E958" s="10">
        <v>30000</v>
      </c>
      <c r="F958" s="10">
        <v>0.07</v>
      </c>
      <c r="G958" s="9">
        <v>45219</v>
      </c>
      <c r="H958" s="12">
        <f t="shared" si="14"/>
        <v>2100</v>
      </c>
      <c r="I958" s="12" t="s">
        <v>10</v>
      </c>
      <c r="J958" s="15"/>
    </row>
    <row r="959" hidden="1" spans="2:10">
      <c r="B959" s="86">
        <v>232400876</v>
      </c>
      <c r="C959" s="9">
        <v>45175</v>
      </c>
      <c r="D959" s="87" t="s">
        <v>119</v>
      </c>
      <c r="E959" s="10">
        <v>30000</v>
      </c>
      <c r="F959" s="10">
        <v>0.07</v>
      </c>
      <c r="G959" s="9">
        <v>45250</v>
      </c>
      <c r="H959" s="12">
        <f t="shared" si="14"/>
        <v>2100</v>
      </c>
      <c r="I959" s="12" t="s">
        <v>10</v>
      </c>
      <c r="J959" s="15"/>
    </row>
    <row r="960" hidden="1" spans="2:10">
      <c r="B960" s="86">
        <v>232400876</v>
      </c>
      <c r="C960" s="9">
        <v>45175</v>
      </c>
      <c r="D960" s="87" t="s">
        <v>12</v>
      </c>
      <c r="E960" s="10">
        <v>20000</v>
      </c>
      <c r="F960" s="10">
        <v>0.06</v>
      </c>
      <c r="G960" s="9">
        <v>45250</v>
      </c>
      <c r="H960" s="12">
        <f t="shared" si="14"/>
        <v>1200</v>
      </c>
      <c r="I960" s="12" t="s">
        <v>10</v>
      </c>
      <c r="J960" s="15"/>
    </row>
    <row r="961" hidden="1" spans="2:10">
      <c r="B961" s="86">
        <v>232400887</v>
      </c>
      <c r="C961" s="9">
        <v>45175</v>
      </c>
      <c r="D961" s="87" t="s">
        <v>254</v>
      </c>
      <c r="E961" s="10">
        <v>1000000</v>
      </c>
      <c r="F961" s="10">
        <v>0.027</v>
      </c>
      <c r="G961" s="9">
        <v>45255</v>
      </c>
      <c r="H961" s="12">
        <f t="shared" si="14"/>
        <v>27000</v>
      </c>
      <c r="I961" s="12" t="s">
        <v>10</v>
      </c>
      <c r="J961" s="15"/>
    </row>
    <row r="962" hidden="1" spans="2:10">
      <c r="B962" s="86">
        <v>232400887</v>
      </c>
      <c r="C962" s="9">
        <v>45175</v>
      </c>
      <c r="D962" s="87" t="s">
        <v>254</v>
      </c>
      <c r="E962" s="10">
        <v>1000000</v>
      </c>
      <c r="F962" s="10">
        <v>0.027</v>
      </c>
      <c r="G962" s="9">
        <v>45280</v>
      </c>
      <c r="H962" s="12">
        <f t="shared" ref="H962:H1025" si="15">E962*F962</f>
        <v>27000</v>
      </c>
      <c r="I962" s="12" t="s">
        <v>10</v>
      </c>
      <c r="J962" s="15"/>
    </row>
    <row r="963" hidden="1" spans="2:10">
      <c r="B963" s="86">
        <v>232400887</v>
      </c>
      <c r="C963" s="9">
        <v>45175</v>
      </c>
      <c r="D963" s="87" t="s">
        <v>248</v>
      </c>
      <c r="E963" s="10">
        <v>100000</v>
      </c>
      <c r="F963" s="10">
        <v>0.065</v>
      </c>
      <c r="G963" s="9">
        <v>45229</v>
      </c>
      <c r="H963" s="12">
        <f t="shared" si="15"/>
        <v>6500</v>
      </c>
      <c r="I963" s="12" t="s">
        <v>10</v>
      </c>
      <c r="J963" s="15"/>
    </row>
    <row r="964" hidden="1" spans="2:10">
      <c r="B964" s="86">
        <v>232400887</v>
      </c>
      <c r="C964" s="9">
        <v>45175</v>
      </c>
      <c r="D964" s="87" t="s">
        <v>200</v>
      </c>
      <c r="E964" s="10">
        <v>100000</v>
      </c>
      <c r="F964" s="10">
        <v>0.05</v>
      </c>
      <c r="G964" s="9">
        <v>45229</v>
      </c>
      <c r="H964" s="12">
        <f t="shared" si="15"/>
        <v>5000</v>
      </c>
      <c r="I964" s="12" t="s">
        <v>10</v>
      </c>
      <c r="J964" s="15"/>
    </row>
    <row r="965" hidden="1" spans="2:10">
      <c r="B965" s="86">
        <v>232400887</v>
      </c>
      <c r="C965" s="9">
        <v>45175</v>
      </c>
      <c r="D965" s="87" t="s">
        <v>222</v>
      </c>
      <c r="E965" s="10">
        <v>36000</v>
      </c>
      <c r="F965" s="10">
        <v>0.285</v>
      </c>
      <c r="G965" s="9">
        <v>45209</v>
      </c>
      <c r="H965" s="12">
        <f t="shared" si="15"/>
        <v>10260</v>
      </c>
      <c r="I965" s="12" t="s">
        <v>10</v>
      </c>
      <c r="J965" s="15"/>
    </row>
    <row r="966" hidden="1" spans="2:10">
      <c r="B966" s="86">
        <v>232400887</v>
      </c>
      <c r="C966" s="9">
        <v>45175</v>
      </c>
      <c r="D966" s="10" t="s">
        <v>226</v>
      </c>
      <c r="E966" s="10">
        <v>100000</v>
      </c>
      <c r="F966" s="10">
        <v>0.08</v>
      </c>
      <c r="G966" s="9">
        <v>45194</v>
      </c>
      <c r="H966" s="12">
        <f t="shared" si="15"/>
        <v>8000</v>
      </c>
      <c r="I966" s="12" t="s">
        <v>10</v>
      </c>
      <c r="J966" s="15"/>
    </row>
    <row r="967" hidden="1" spans="2:10">
      <c r="B967" s="86">
        <v>232400887</v>
      </c>
      <c r="C967" s="9">
        <v>45175</v>
      </c>
      <c r="D967" s="87" t="s">
        <v>210</v>
      </c>
      <c r="E967" s="10">
        <v>148000</v>
      </c>
      <c r="F967" s="10">
        <v>0.028</v>
      </c>
      <c r="G967" s="9">
        <v>45229</v>
      </c>
      <c r="H967" s="12">
        <f t="shared" si="15"/>
        <v>4144</v>
      </c>
      <c r="I967" s="12" t="s">
        <v>10</v>
      </c>
      <c r="J967" s="15"/>
    </row>
    <row r="968" hidden="1" spans="2:10">
      <c r="B968" s="86">
        <v>232400888</v>
      </c>
      <c r="C968" s="9">
        <v>45175</v>
      </c>
      <c r="D968" s="87" t="s">
        <v>215</v>
      </c>
      <c r="E968" s="10">
        <v>150000</v>
      </c>
      <c r="F968" s="10">
        <v>0.028</v>
      </c>
      <c r="G968" s="9">
        <v>45199</v>
      </c>
      <c r="H968" s="12">
        <f t="shared" si="15"/>
        <v>4200</v>
      </c>
      <c r="I968" s="12" t="s">
        <v>10</v>
      </c>
      <c r="J968" s="15"/>
    </row>
    <row r="969" hidden="1" spans="2:10">
      <c r="B969" s="86">
        <v>232400888</v>
      </c>
      <c r="C969" s="9">
        <v>45175</v>
      </c>
      <c r="D969" s="87" t="s">
        <v>215</v>
      </c>
      <c r="E969" s="10">
        <v>150000</v>
      </c>
      <c r="F969" s="10">
        <v>0.028</v>
      </c>
      <c r="G969" s="9">
        <v>45229</v>
      </c>
      <c r="H969" s="12">
        <f t="shared" si="15"/>
        <v>4200</v>
      </c>
      <c r="I969" s="12" t="s">
        <v>10</v>
      </c>
      <c r="J969" s="15"/>
    </row>
    <row r="970" hidden="1" spans="2:10">
      <c r="B970" s="86">
        <v>232400889</v>
      </c>
      <c r="C970" s="9">
        <v>45175</v>
      </c>
      <c r="D970" s="10" t="s">
        <v>301</v>
      </c>
      <c r="E970" s="10">
        <v>28000</v>
      </c>
      <c r="F970" s="10">
        <v>0.028</v>
      </c>
      <c r="G970" s="9">
        <v>45209</v>
      </c>
      <c r="H970" s="12">
        <f t="shared" si="15"/>
        <v>784</v>
      </c>
      <c r="I970" s="12" t="s">
        <v>10</v>
      </c>
      <c r="J970" s="15"/>
    </row>
    <row r="971" hidden="1" spans="2:10">
      <c r="B971" s="86">
        <v>232400889</v>
      </c>
      <c r="C971" s="9">
        <v>45175</v>
      </c>
      <c r="D971" s="10" t="s">
        <v>302</v>
      </c>
      <c r="E971" s="10">
        <v>148000</v>
      </c>
      <c r="F971" s="10">
        <v>0.024</v>
      </c>
      <c r="G971" s="9">
        <v>45209</v>
      </c>
      <c r="H971" s="12">
        <f t="shared" si="15"/>
        <v>3552</v>
      </c>
      <c r="I971" s="12" t="s">
        <v>10</v>
      </c>
      <c r="J971" s="15"/>
    </row>
    <row r="972" hidden="1" spans="2:10">
      <c r="B972" s="86">
        <v>232400898</v>
      </c>
      <c r="C972" s="9">
        <v>45180</v>
      </c>
      <c r="D972" s="10" t="s">
        <v>289</v>
      </c>
      <c r="E972" s="10">
        <v>36000</v>
      </c>
      <c r="F972" s="10">
        <v>0.033</v>
      </c>
      <c r="G972" s="9">
        <v>45199</v>
      </c>
      <c r="H972" s="12">
        <f t="shared" si="15"/>
        <v>1188</v>
      </c>
      <c r="I972" s="12" t="s">
        <v>10</v>
      </c>
      <c r="J972" s="15"/>
    </row>
    <row r="973" hidden="1" spans="2:10">
      <c r="B973" s="86">
        <v>232400898</v>
      </c>
      <c r="C973" s="9">
        <v>45180</v>
      </c>
      <c r="D973" s="87" t="s">
        <v>290</v>
      </c>
      <c r="E973" s="10">
        <v>48000</v>
      </c>
      <c r="F973" s="10">
        <v>0.03</v>
      </c>
      <c r="G973" s="9">
        <v>45199</v>
      </c>
      <c r="H973" s="12">
        <f t="shared" si="15"/>
        <v>1440</v>
      </c>
      <c r="I973" s="12" t="s">
        <v>10</v>
      </c>
      <c r="J973" s="15"/>
    </row>
    <row r="974" hidden="1" spans="2:10">
      <c r="B974" s="86">
        <v>232400898</v>
      </c>
      <c r="C974" s="9">
        <v>45180</v>
      </c>
      <c r="D974" s="87" t="s">
        <v>291</v>
      </c>
      <c r="E974" s="10">
        <v>20000</v>
      </c>
      <c r="F974" s="10">
        <v>0.03</v>
      </c>
      <c r="G974" s="9">
        <v>45199</v>
      </c>
      <c r="H974" s="12">
        <f t="shared" si="15"/>
        <v>600</v>
      </c>
      <c r="I974" s="12" t="s">
        <v>10</v>
      </c>
      <c r="J974" s="15"/>
    </row>
    <row r="975" hidden="1" spans="2:10">
      <c r="B975" s="86">
        <v>232400898</v>
      </c>
      <c r="C975" s="9">
        <v>45180</v>
      </c>
      <c r="D975" s="87" t="s">
        <v>303</v>
      </c>
      <c r="E975" s="10">
        <v>20000</v>
      </c>
      <c r="F975" s="10">
        <v>0.0205</v>
      </c>
      <c r="G975" s="9">
        <v>45199</v>
      </c>
      <c r="H975" s="12">
        <f t="shared" si="15"/>
        <v>410</v>
      </c>
      <c r="I975" s="12" t="s">
        <v>10</v>
      </c>
      <c r="J975" s="15"/>
    </row>
    <row r="976" hidden="1" spans="2:10">
      <c r="B976" s="86">
        <v>232400913</v>
      </c>
      <c r="C976" s="9">
        <v>45182</v>
      </c>
      <c r="D976" s="10" t="s">
        <v>163</v>
      </c>
      <c r="E976" s="10">
        <v>112000</v>
      </c>
      <c r="F976" s="10">
        <v>0.0025</v>
      </c>
      <c r="G976" s="9">
        <v>45219</v>
      </c>
      <c r="H976" s="12">
        <f t="shared" si="15"/>
        <v>280</v>
      </c>
      <c r="I976" s="12" t="s">
        <v>10</v>
      </c>
      <c r="J976" s="15"/>
    </row>
    <row r="977" hidden="1" spans="2:10">
      <c r="B977" s="86">
        <v>232400913</v>
      </c>
      <c r="C977" s="9">
        <v>45182</v>
      </c>
      <c r="D977" s="10" t="s">
        <v>163</v>
      </c>
      <c r="E977" s="10">
        <v>592000</v>
      </c>
      <c r="F977" s="10">
        <v>0.0025</v>
      </c>
      <c r="G977" s="9">
        <v>45224</v>
      </c>
      <c r="H977" s="12">
        <f t="shared" si="15"/>
        <v>1480</v>
      </c>
      <c r="I977" s="12" t="s">
        <v>10</v>
      </c>
      <c r="J977" s="15"/>
    </row>
    <row r="978" hidden="1" spans="2:10">
      <c r="B978" s="86">
        <v>232400915</v>
      </c>
      <c r="C978" s="9">
        <v>45182</v>
      </c>
      <c r="D978" s="87" t="s">
        <v>210</v>
      </c>
      <c r="E978" s="10">
        <v>120000</v>
      </c>
      <c r="F978" s="10">
        <v>0.028</v>
      </c>
      <c r="G978" s="9">
        <v>45250</v>
      </c>
      <c r="H978" s="12">
        <f t="shared" si="15"/>
        <v>3360</v>
      </c>
      <c r="I978" s="12" t="s">
        <v>10</v>
      </c>
      <c r="J978" s="15"/>
    </row>
    <row r="979" hidden="1" spans="2:10">
      <c r="B979" s="86">
        <v>232400915</v>
      </c>
      <c r="C979" s="9">
        <v>45182</v>
      </c>
      <c r="D979" s="87" t="s">
        <v>210</v>
      </c>
      <c r="E979" s="10">
        <v>120000</v>
      </c>
      <c r="F979" s="10">
        <v>0.028</v>
      </c>
      <c r="G979" s="9">
        <v>45260</v>
      </c>
      <c r="H979" s="12">
        <f t="shared" si="15"/>
        <v>3360</v>
      </c>
      <c r="I979" s="12" t="s">
        <v>10</v>
      </c>
      <c r="J979" s="15"/>
    </row>
    <row r="980" hidden="1" spans="2:10">
      <c r="B980" s="86">
        <v>232400916</v>
      </c>
      <c r="C980" s="9">
        <v>45182</v>
      </c>
      <c r="D980" s="87" t="s">
        <v>210</v>
      </c>
      <c r="E980" s="10">
        <v>120000</v>
      </c>
      <c r="F980" s="10">
        <v>0.028</v>
      </c>
      <c r="G980" s="9">
        <v>45270</v>
      </c>
      <c r="H980" s="12">
        <f t="shared" si="15"/>
        <v>3360</v>
      </c>
      <c r="I980" s="12" t="s">
        <v>10</v>
      </c>
      <c r="J980" s="15"/>
    </row>
    <row r="981" hidden="1" spans="2:10">
      <c r="B981" s="86">
        <v>232400916</v>
      </c>
      <c r="C981" s="9">
        <v>45182</v>
      </c>
      <c r="D981" s="87" t="s">
        <v>210</v>
      </c>
      <c r="E981" s="10">
        <v>120000</v>
      </c>
      <c r="F981" s="10">
        <v>0.028</v>
      </c>
      <c r="G981" s="9">
        <v>45280</v>
      </c>
      <c r="H981" s="12">
        <f t="shared" si="15"/>
        <v>3360</v>
      </c>
      <c r="I981" s="12" t="s">
        <v>10</v>
      </c>
      <c r="J981" s="15"/>
    </row>
    <row r="982" hidden="1" spans="2:10">
      <c r="B982" s="86">
        <v>232400927</v>
      </c>
      <c r="C982" s="9">
        <v>45188</v>
      </c>
      <c r="D982" s="87" t="s">
        <v>210</v>
      </c>
      <c r="E982" s="10">
        <v>300000</v>
      </c>
      <c r="F982" s="10">
        <v>0.028</v>
      </c>
      <c r="G982" s="9">
        <v>45219</v>
      </c>
      <c r="H982" s="12">
        <f t="shared" si="15"/>
        <v>8400</v>
      </c>
      <c r="I982" s="12" t="s">
        <v>10</v>
      </c>
      <c r="J982" s="15"/>
    </row>
    <row r="983" hidden="1" spans="2:10">
      <c r="B983" s="86">
        <v>232400927</v>
      </c>
      <c r="C983" s="9">
        <v>45188</v>
      </c>
      <c r="D983" s="87" t="s">
        <v>210</v>
      </c>
      <c r="E983" s="10">
        <v>300000</v>
      </c>
      <c r="F983" s="10">
        <v>0.028</v>
      </c>
      <c r="G983" s="9">
        <v>45250</v>
      </c>
      <c r="H983" s="12">
        <f t="shared" si="15"/>
        <v>8400</v>
      </c>
      <c r="I983" s="12" t="s">
        <v>10</v>
      </c>
      <c r="J983" s="15"/>
    </row>
    <row r="984" hidden="1" spans="2:10">
      <c r="B984" s="86">
        <v>232400927</v>
      </c>
      <c r="C984" s="9">
        <v>45188</v>
      </c>
      <c r="D984" s="10" t="s">
        <v>226</v>
      </c>
      <c r="E984" s="10">
        <v>300000</v>
      </c>
      <c r="F984" s="10">
        <v>0.08</v>
      </c>
      <c r="G984" s="9">
        <v>45219</v>
      </c>
      <c r="H984" s="12">
        <f t="shared" si="15"/>
        <v>24000</v>
      </c>
      <c r="I984" s="12" t="s">
        <v>10</v>
      </c>
      <c r="J984" s="15"/>
    </row>
    <row r="985" hidden="1" spans="2:10">
      <c r="B985" s="86">
        <v>232400927</v>
      </c>
      <c r="C985" s="9">
        <v>45188</v>
      </c>
      <c r="D985" s="10" t="s">
        <v>226</v>
      </c>
      <c r="E985" s="10">
        <v>300000</v>
      </c>
      <c r="F985" s="10">
        <v>0.08</v>
      </c>
      <c r="G985" s="9">
        <v>45250</v>
      </c>
      <c r="H985" s="12">
        <f t="shared" si="15"/>
        <v>24000</v>
      </c>
      <c r="I985" s="12" t="s">
        <v>10</v>
      </c>
      <c r="J985" s="15"/>
    </row>
    <row r="986" hidden="1" spans="2:10">
      <c r="B986" s="86">
        <v>232400927</v>
      </c>
      <c r="C986" s="9">
        <v>45188</v>
      </c>
      <c r="D986" s="87" t="s">
        <v>297</v>
      </c>
      <c r="E986" s="10">
        <v>300000</v>
      </c>
      <c r="F986" s="10">
        <v>0.15</v>
      </c>
      <c r="G986" s="9">
        <v>45219</v>
      </c>
      <c r="H986" s="12">
        <f t="shared" si="15"/>
        <v>45000</v>
      </c>
      <c r="I986" s="12" t="s">
        <v>10</v>
      </c>
      <c r="J986" s="15"/>
    </row>
    <row r="987" hidden="1" spans="2:10">
      <c r="B987" s="86">
        <v>232400927</v>
      </c>
      <c r="C987" s="9">
        <v>45188</v>
      </c>
      <c r="D987" s="87" t="s">
        <v>297</v>
      </c>
      <c r="E987" s="10">
        <v>300000</v>
      </c>
      <c r="F987" s="10">
        <v>0.15</v>
      </c>
      <c r="G987" s="9">
        <v>45224</v>
      </c>
      <c r="H987" s="12">
        <f t="shared" si="15"/>
        <v>45000</v>
      </c>
      <c r="I987" s="12" t="s">
        <v>10</v>
      </c>
      <c r="J987" s="15"/>
    </row>
    <row r="988" ht="29" hidden="1" spans="2:10">
      <c r="B988" s="86">
        <v>232400927</v>
      </c>
      <c r="C988" s="9">
        <v>45188</v>
      </c>
      <c r="D988" s="88" t="s">
        <v>297</v>
      </c>
      <c r="E988" s="10">
        <v>300000</v>
      </c>
      <c r="F988" s="10">
        <v>0.15</v>
      </c>
      <c r="G988" s="9">
        <v>45250</v>
      </c>
      <c r="H988" s="12">
        <f t="shared" si="15"/>
        <v>45000</v>
      </c>
      <c r="I988" s="12" t="s">
        <v>10</v>
      </c>
      <c r="J988" s="15"/>
    </row>
    <row r="989" hidden="1" spans="2:10">
      <c r="B989" s="86">
        <v>232400927</v>
      </c>
      <c r="C989" s="9">
        <v>45188</v>
      </c>
      <c r="D989" s="87" t="s">
        <v>297</v>
      </c>
      <c r="E989" s="10">
        <v>300000</v>
      </c>
      <c r="F989" s="10">
        <v>0.15</v>
      </c>
      <c r="G989" s="9">
        <v>45255</v>
      </c>
      <c r="H989" s="12">
        <f t="shared" si="15"/>
        <v>45000</v>
      </c>
      <c r="I989" s="12" t="s">
        <v>10</v>
      </c>
      <c r="J989" s="15"/>
    </row>
    <row r="990" hidden="1" spans="2:10">
      <c r="B990" s="86">
        <v>232400930</v>
      </c>
      <c r="C990" s="9">
        <v>45189</v>
      </c>
      <c r="D990" s="87" t="s">
        <v>258</v>
      </c>
      <c r="E990" s="10">
        <v>20000</v>
      </c>
      <c r="F990" s="10">
        <v>0.065</v>
      </c>
      <c r="G990" s="9">
        <v>45191</v>
      </c>
      <c r="H990" s="12">
        <f t="shared" si="15"/>
        <v>1300</v>
      </c>
      <c r="I990" s="12" t="s">
        <v>10</v>
      </c>
      <c r="J990" s="15"/>
    </row>
    <row r="991" hidden="1" spans="2:10">
      <c r="B991" s="86">
        <v>232400932</v>
      </c>
      <c r="C991" s="9">
        <v>45189</v>
      </c>
      <c r="D991" s="87" t="s">
        <v>304</v>
      </c>
      <c r="E991" s="10">
        <v>24000</v>
      </c>
      <c r="F991" s="10">
        <v>0.03</v>
      </c>
      <c r="G991" s="9">
        <v>45190</v>
      </c>
      <c r="H991" s="12">
        <f t="shared" si="15"/>
        <v>720</v>
      </c>
      <c r="I991" s="12" t="s">
        <v>10</v>
      </c>
      <c r="J991" s="15"/>
    </row>
    <row r="992" hidden="1" spans="2:10">
      <c r="B992" s="86">
        <v>232400932</v>
      </c>
      <c r="C992" s="9">
        <v>45189</v>
      </c>
      <c r="D992" s="87" t="s">
        <v>304</v>
      </c>
      <c r="E992" s="10">
        <v>36000</v>
      </c>
      <c r="F992" s="10">
        <v>0.03</v>
      </c>
      <c r="G992" s="9">
        <v>45209</v>
      </c>
      <c r="H992" s="12">
        <f t="shared" si="15"/>
        <v>1080</v>
      </c>
      <c r="I992" s="12" t="s">
        <v>10</v>
      </c>
      <c r="J992" s="15"/>
    </row>
    <row r="993" hidden="1" spans="2:10">
      <c r="B993" s="86">
        <v>232400944</v>
      </c>
      <c r="C993" s="9">
        <v>45191</v>
      </c>
      <c r="D993" s="87" t="s">
        <v>271</v>
      </c>
      <c r="E993" s="10">
        <v>100000</v>
      </c>
      <c r="F993" s="10">
        <v>0.024</v>
      </c>
      <c r="G993" s="9">
        <v>45219</v>
      </c>
      <c r="H993" s="12">
        <f t="shared" si="15"/>
        <v>2400</v>
      </c>
      <c r="I993" s="12" t="s">
        <v>10</v>
      </c>
      <c r="J993" s="15"/>
    </row>
    <row r="994" hidden="1" spans="2:10">
      <c r="B994" s="86">
        <v>232400944</v>
      </c>
      <c r="C994" s="9">
        <v>45191</v>
      </c>
      <c r="D994" s="87" t="s">
        <v>271</v>
      </c>
      <c r="E994" s="10">
        <v>52000</v>
      </c>
      <c r="F994" s="10">
        <v>0.024</v>
      </c>
      <c r="G994" s="9">
        <v>45250</v>
      </c>
      <c r="H994" s="12">
        <f t="shared" si="15"/>
        <v>1248</v>
      </c>
      <c r="I994" s="12" t="s">
        <v>10</v>
      </c>
      <c r="J994" s="15"/>
    </row>
    <row r="995" hidden="1" spans="2:10">
      <c r="B995" s="86">
        <v>232400944</v>
      </c>
      <c r="C995" s="9">
        <v>45191</v>
      </c>
      <c r="D995" s="87" t="s">
        <v>210</v>
      </c>
      <c r="E995" s="10">
        <v>96000</v>
      </c>
      <c r="F995" s="10">
        <v>0.028</v>
      </c>
      <c r="G995" s="9">
        <v>45219</v>
      </c>
      <c r="H995" s="12">
        <f t="shared" si="15"/>
        <v>2688</v>
      </c>
      <c r="I995" s="12" t="s">
        <v>10</v>
      </c>
      <c r="J995" s="15"/>
    </row>
    <row r="996" hidden="1" spans="2:10">
      <c r="B996" s="86">
        <v>232400944</v>
      </c>
      <c r="C996" s="9">
        <v>45191</v>
      </c>
      <c r="D996" s="87" t="s">
        <v>210</v>
      </c>
      <c r="E996" s="10">
        <v>52000</v>
      </c>
      <c r="F996" s="10">
        <v>0.028</v>
      </c>
      <c r="G996" s="9">
        <v>45229</v>
      </c>
      <c r="H996" s="12">
        <f t="shared" si="15"/>
        <v>1456</v>
      </c>
      <c r="I996" s="12" t="s">
        <v>10</v>
      </c>
      <c r="J996" s="15"/>
    </row>
    <row r="997" hidden="1" spans="2:10">
      <c r="B997" s="86">
        <v>232400947</v>
      </c>
      <c r="C997" s="9">
        <v>45191</v>
      </c>
      <c r="D997" s="87" t="s">
        <v>258</v>
      </c>
      <c r="E997" s="10">
        <v>20000</v>
      </c>
      <c r="F997" s="10">
        <v>0.065</v>
      </c>
      <c r="G997" s="9">
        <v>45209</v>
      </c>
      <c r="H997" s="12">
        <f t="shared" si="15"/>
        <v>1300</v>
      </c>
      <c r="I997" s="12" t="s">
        <v>10</v>
      </c>
      <c r="J997" s="15"/>
    </row>
    <row r="998" hidden="1" spans="2:10">
      <c r="B998" s="86">
        <v>232400952</v>
      </c>
      <c r="C998" s="9">
        <v>45194</v>
      </c>
      <c r="D998" s="10" t="s">
        <v>213</v>
      </c>
      <c r="E998" s="10">
        <v>150000</v>
      </c>
      <c r="F998" s="10">
        <v>0.05</v>
      </c>
      <c r="G998" s="9">
        <v>45224</v>
      </c>
      <c r="H998" s="12">
        <f t="shared" si="15"/>
        <v>7500</v>
      </c>
      <c r="I998" s="12" t="s">
        <v>10</v>
      </c>
      <c r="J998" s="15"/>
    </row>
    <row r="999" hidden="1" spans="2:10">
      <c r="B999" s="86">
        <v>232400952</v>
      </c>
      <c r="C999" s="9">
        <v>45194</v>
      </c>
      <c r="D999" s="10" t="s">
        <v>213</v>
      </c>
      <c r="E999" s="10">
        <v>100000</v>
      </c>
      <c r="F999" s="10">
        <v>0.05</v>
      </c>
      <c r="G999" s="9">
        <v>45250</v>
      </c>
      <c r="H999" s="12">
        <f t="shared" si="15"/>
        <v>5000</v>
      </c>
      <c r="I999" s="12" t="s">
        <v>10</v>
      </c>
      <c r="J999" s="15"/>
    </row>
    <row r="1000" hidden="1" spans="2:10">
      <c r="B1000" s="86">
        <v>232400952</v>
      </c>
      <c r="C1000" s="9">
        <v>45194</v>
      </c>
      <c r="D1000" s="10" t="s">
        <v>213</v>
      </c>
      <c r="E1000" s="10">
        <v>100000</v>
      </c>
      <c r="F1000" s="10">
        <v>0.05</v>
      </c>
      <c r="G1000" s="9">
        <v>45280</v>
      </c>
      <c r="H1000" s="12">
        <f t="shared" si="15"/>
        <v>5000</v>
      </c>
      <c r="I1000" s="12" t="s">
        <v>10</v>
      </c>
      <c r="J1000" s="15"/>
    </row>
    <row r="1001" hidden="1" spans="2:10">
      <c r="B1001" s="86">
        <v>232400952</v>
      </c>
      <c r="C1001" s="9">
        <v>45194</v>
      </c>
      <c r="D1001" s="87" t="s">
        <v>240</v>
      </c>
      <c r="E1001" s="10">
        <v>50000</v>
      </c>
      <c r="F1001" s="10">
        <v>0.03</v>
      </c>
      <c r="G1001" s="9">
        <v>45219</v>
      </c>
      <c r="H1001" s="12">
        <f t="shared" si="15"/>
        <v>1500</v>
      </c>
      <c r="I1001" s="12" t="s">
        <v>10</v>
      </c>
      <c r="J1001" s="15"/>
    </row>
    <row r="1002" hidden="1" spans="2:10">
      <c r="B1002" s="86">
        <v>232400952</v>
      </c>
      <c r="C1002" s="9">
        <v>45194</v>
      </c>
      <c r="D1002" s="87" t="s">
        <v>240</v>
      </c>
      <c r="E1002" s="10">
        <v>50000</v>
      </c>
      <c r="F1002" s="10">
        <v>0.03</v>
      </c>
      <c r="G1002" s="9">
        <v>45250</v>
      </c>
      <c r="H1002" s="12">
        <f t="shared" si="15"/>
        <v>1500</v>
      </c>
      <c r="I1002" s="12" t="s">
        <v>10</v>
      </c>
      <c r="J1002" s="15"/>
    </row>
    <row r="1003" hidden="1" spans="2:10">
      <c r="B1003" s="86">
        <v>232400952</v>
      </c>
      <c r="C1003" s="9">
        <v>45194</v>
      </c>
      <c r="D1003" s="87" t="s">
        <v>239</v>
      </c>
      <c r="E1003" s="10">
        <v>50000</v>
      </c>
      <c r="F1003" s="10">
        <v>0.03</v>
      </c>
      <c r="G1003" s="9">
        <v>45250</v>
      </c>
      <c r="H1003" s="12">
        <f t="shared" si="15"/>
        <v>1500</v>
      </c>
      <c r="I1003" s="12" t="s">
        <v>10</v>
      </c>
      <c r="J1003" s="15"/>
    </row>
    <row r="1004" hidden="1" spans="2:10">
      <c r="B1004" s="86">
        <v>232400953</v>
      </c>
      <c r="C1004" s="9">
        <v>45194</v>
      </c>
      <c r="D1004" s="10" t="s">
        <v>282</v>
      </c>
      <c r="E1004" s="10">
        <v>300000</v>
      </c>
      <c r="F1004" s="10">
        <v>0.032</v>
      </c>
      <c r="G1004" s="9">
        <v>45250</v>
      </c>
      <c r="H1004" s="12">
        <f t="shared" si="15"/>
        <v>9600</v>
      </c>
      <c r="I1004" s="12" t="s">
        <v>10</v>
      </c>
      <c r="J1004" s="15"/>
    </row>
    <row r="1005" hidden="1" spans="2:10">
      <c r="B1005" s="86">
        <v>232400953</v>
      </c>
      <c r="C1005" s="9">
        <v>45194</v>
      </c>
      <c r="D1005" s="10" t="s">
        <v>282</v>
      </c>
      <c r="E1005" s="10">
        <v>300000</v>
      </c>
      <c r="F1005" s="10">
        <v>0.032</v>
      </c>
      <c r="G1005" s="9">
        <v>45280</v>
      </c>
      <c r="H1005" s="12">
        <f t="shared" si="15"/>
        <v>9600</v>
      </c>
      <c r="I1005" s="12" t="s">
        <v>10</v>
      </c>
      <c r="J1005" s="15"/>
    </row>
    <row r="1006" hidden="1" spans="2:10">
      <c r="B1006" s="86">
        <v>232400953</v>
      </c>
      <c r="C1006" s="9">
        <v>45194</v>
      </c>
      <c r="D1006" s="87" t="s">
        <v>231</v>
      </c>
      <c r="E1006" s="10">
        <v>201000</v>
      </c>
      <c r="F1006" s="10">
        <v>0.0082</v>
      </c>
      <c r="G1006" s="9">
        <v>45250</v>
      </c>
      <c r="H1006" s="12">
        <f t="shared" si="15"/>
        <v>1648.2</v>
      </c>
      <c r="I1006" s="12" t="s">
        <v>10</v>
      </c>
      <c r="J1006" s="15"/>
    </row>
    <row r="1007" hidden="1" spans="2:10">
      <c r="B1007" s="86">
        <v>232400953</v>
      </c>
      <c r="C1007" s="9">
        <v>45194</v>
      </c>
      <c r="D1007" s="87" t="s">
        <v>231</v>
      </c>
      <c r="E1007" s="10">
        <v>201000</v>
      </c>
      <c r="F1007" s="10">
        <v>0.0082</v>
      </c>
      <c r="G1007" s="9">
        <v>45280</v>
      </c>
      <c r="H1007" s="12">
        <f t="shared" si="15"/>
        <v>1648.2</v>
      </c>
      <c r="I1007" s="12" t="s">
        <v>10</v>
      </c>
      <c r="J1007" s="15"/>
    </row>
    <row r="1008" hidden="1" spans="2:10">
      <c r="B1008" s="86">
        <v>232400953</v>
      </c>
      <c r="C1008" s="9">
        <v>45194</v>
      </c>
      <c r="D1008" s="87" t="s">
        <v>231</v>
      </c>
      <c r="E1008" s="10">
        <v>150000</v>
      </c>
      <c r="F1008" s="10">
        <v>0.0082</v>
      </c>
      <c r="G1008" s="9">
        <v>45311</v>
      </c>
      <c r="H1008" s="12">
        <f t="shared" si="15"/>
        <v>1230</v>
      </c>
      <c r="I1008" s="12" t="s">
        <v>10</v>
      </c>
      <c r="J1008" s="15"/>
    </row>
    <row r="1009" hidden="1" spans="2:10">
      <c r="B1009" s="86">
        <v>232400953</v>
      </c>
      <c r="C1009" s="9">
        <v>45194</v>
      </c>
      <c r="D1009" s="87" t="s">
        <v>202</v>
      </c>
      <c r="E1009" s="10">
        <v>100000</v>
      </c>
      <c r="F1009" s="10">
        <v>0.04</v>
      </c>
      <c r="G1009" s="9">
        <v>45219</v>
      </c>
      <c r="H1009" s="12">
        <f t="shared" si="15"/>
        <v>4000</v>
      </c>
      <c r="I1009" s="12" t="s">
        <v>10</v>
      </c>
      <c r="J1009" s="15"/>
    </row>
    <row r="1010" hidden="1" spans="2:10">
      <c r="B1010" s="86">
        <v>232400953</v>
      </c>
      <c r="C1010" s="9">
        <v>45194</v>
      </c>
      <c r="D1010" s="87" t="s">
        <v>202</v>
      </c>
      <c r="E1010" s="10">
        <v>100000</v>
      </c>
      <c r="F1010" s="10">
        <v>0.04</v>
      </c>
      <c r="G1010" s="9">
        <v>45250</v>
      </c>
      <c r="H1010" s="12">
        <f t="shared" si="15"/>
        <v>4000</v>
      </c>
      <c r="I1010" s="12" t="s">
        <v>10</v>
      </c>
      <c r="J1010" s="15"/>
    </row>
    <row r="1011" ht="29" hidden="1" spans="2:10">
      <c r="B1011" s="86">
        <v>232400953</v>
      </c>
      <c r="C1011" s="9">
        <v>45194</v>
      </c>
      <c r="D1011" s="88" t="s">
        <v>202</v>
      </c>
      <c r="E1011" s="10">
        <v>100000</v>
      </c>
      <c r="F1011" s="10">
        <v>0.04</v>
      </c>
      <c r="G1011" s="9">
        <v>45280</v>
      </c>
      <c r="H1011" s="12">
        <f t="shared" si="15"/>
        <v>4000</v>
      </c>
      <c r="I1011" s="12" t="s">
        <v>10</v>
      </c>
      <c r="J1011" s="15"/>
    </row>
    <row r="1012" hidden="1" spans="2:10">
      <c r="B1012" s="86">
        <v>232400953</v>
      </c>
      <c r="C1012" s="9">
        <v>45194</v>
      </c>
      <c r="D1012" s="87" t="s">
        <v>204</v>
      </c>
      <c r="E1012" s="10">
        <v>100000</v>
      </c>
      <c r="F1012" s="10">
        <v>0.036</v>
      </c>
      <c r="G1012" s="9">
        <v>45219</v>
      </c>
      <c r="H1012" s="12">
        <f t="shared" si="15"/>
        <v>3600</v>
      </c>
      <c r="I1012" s="12" t="s">
        <v>10</v>
      </c>
      <c r="J1012" s="15"/>
    </row>
    <row r="1013" hidden="1" spans="2:10">
      <c r="B1013" s="86">
        <v>232400953</v>
      </c>
      <c r="C1013" s="9">
        <v>45194</v>
      </c>
      <c r="D1013" s="87" t="s">
        <v>204</v>
      </c>
      <c r="E1013" s="10">
        <v>100000</v>
      </c>
      <c r="F1013" s="10">
        <v>0.036</v>
      </c>
      <c r="G1013" s="9">
        <v>45250</v>
      </c>
      <c r="H1013" s="12">
        <f t="shared" si="15"/>
        <v>3600</v>
      </c>
      <c r="I1013" s="12" t="s">
        <v>10</v>
      </c>
      <c r="J1013" s="15"/>
    </row>
    <row r="1014" hidden="1" spans="2:10">
      <c r="B1014" s="86">
        <v>232400953</v>
      </c>
      <c r="C1014" s="9">
        <v>45194</v>
      </c>
      <c r="D1014" s="87" t="s">
        <v>204</v>
      </c>
      <c r="E1014" s="10">
        <v>100000</v>
      </c>
      <c r="F1014" s="10">
        <v>0.036</v>
      </c>
      <c r="G1014" s="9">
        <v>45280</v>
      </c>
      <c r="H1014" s="12">
        <f t="shared" si="15"/>
        <v>3600</v>
      </c>
      <c r="I1014" s="12" t="s">
        <v>10</v>
      </c>
      <c r="J1014" s="15"/>
    </row>
    <row r="1015" hidden="1" spans="2:10">
      <c r="B1015" s="86">
        <v>232400953</v>
      </c>
      <c r="C1015" s="9">
        <v>45194</v>
      </c>
      <c r="D1015" s="10" t="s">
        <v>78</v>
      </c>
      <c r="E1015" s="10">
        <v>100000</v>
      </c>
      <c r="F1015" s="10">
        <v>0.02</v>
      </c>
      <c r="G1015" s="9">
        <v>45219</v>
      </c>
      <c r="H1015" s="12">
        <f t="shared" si="15"/>
        <v>2000</v>
      </c>
      <c r="I1015" s="12" t="s">
        <v>10</v>
      </c>
      <c r="J1015" s="15"/>
    </row>
    <row r="1016" hidden="1" spans="2:10">
      <c r="B1016" s="86">
        <v>232400953</v>
      </c>
      <c r="C1016" s="9">
        <v>45194</v>
      </c>
      <c r="D1016" s="10" t="s">
        <v>78</v>
      </c>
      <c r="E1016" s="10">
        <v>100000</v>
      </c>
      <c r="F1016" s="10">
        <v>0.02</v>
      </c>
      <c r="G1016" s="9">
        <v>45250</v>
      </c>
      <c r="H1016" s="12">
        <f t="shared" si="15"/>
        <v>2000</v>
      </c>
      <c r="I1016" s="12" t="s">
        <v>10</v>
      </c>
      <c r="J1016" s="15"/>
    </row>
    <row r="1017" hidden="1" spans="2:10">
      <c r="B1017" s="86">
        <v>232400953</v>
      </c>
      <c r="C1017" s="9">
        <v>45194</v>
      </c>
      <c r="D1017" s="10" t="s">
        <v>78</v>
      </c>
      <c r="E1017" s="10">
        <v>100000</v>
      </c>
      <c r="F1017" s="10">
        <v>0.02</v>
      </c>
      <c r="G1017" s="9">
        <v>45280</v>
      </c>
      <c r="H1017" s="12">
        <f t="shared" si="15"/>
        <v>2000</v>
      </c>
      <c r="I1017" s="12" t="s">
        <v>10</v>
      </c>
      <c r="J1017" s="15"/>
    </row>
    <row r="1018" hidden="1" spans="2:10">
      <c r="B1018" s="86">
        <v>232400953</v>
      </c>
      <c r="C1018" s="9">
        <v>45194</v>
      </c>
      <c r="D1018" s="10" t="s">
        <v>33</v>
      </c>
      <c r="E1018" s="10">
        <v>100000</v>
      </c>
      <c r="F1018" s="10">
        <v>0.02</v>
      </c>
      <c r="G1018" s="9">
        <v>45219</v>
      </c>
      <c r="H1018" s="12">
        <f t="shared" si="15"/>
        <v>2000</v>
      </c>
      <c r="I1018" s="12" t="s">
        <v>10</v>
      </c>
      <c r="J1018" s="15"/>
    </row>
    <row r="1019" hidden="1" spans="2:10">
      <c r="B1019" s="86">
        <v>232400953</v>
      </c>
      <c r="C1019" s="9">
        <v>45194</v>
      </c>
      <c r="D1019" s="10" t="s">
        <v>33</v>
      </c>
      <c r="E1019" s="10">
        <v>100000</v>
      </c>
      <c r="F1019" s="10">
        <v>0.02</v>
      </c>
      <c r="G1019" s="9">
        <v>45250</v>
      </c>
      <c r="H1019" s="12">
        <f t="shared" si="15"/>
        <v>2000</v>
      </c>
      <c r="I1019" s="12" t="s">
        <v>10</v>
      </c>
      <c r="J1019" s="15"/>
    </row>
    <row r="1020" hidden="1" spans="2:10">
      <c r="B1020" s="86">
        <v>232400953</v>
      </c>
      <c r="C1020" s="9">
        <v>45194</v>
      </c>
      <c r="D1020" s="10" t="s">
        <v>33</v>
      </c>
      <c r="E1020" s="10">
        <v>100000</v>
      </c>
      <c r="F1020" s="10">
        <v>0.02</v>
      </c>
      <c r="G1020" s="9">
        <v>45280</v>
      </c>
      <c r="H1020" s="12">
        <f t="shared" si="15"/>
        <v>2000</v>
      </c>
      <c r="I1020" s="12" t="s">
        <v>10</v>
      </c>
      <c r="J1020" s="15"/>
    </row>
    <row r="1021" hidden="1" spans="2:10">
      <c r="B1021" s="86">
        <v>232400957</v>
      </c>
      <c r="C1021" s="9">
        <v>45195</v>
      </c>
      <c r="D1021" s="10" t="s">
        <v>58</v>
      </c>
      <c r="E1021" s="10">
        <v>500000</v>
      </c>
      <c r="F1021" s="10">
        <v>0.019</v>
      </c>
      <c r="G1021" s="9">
        <v>45224</v>
      </c>
      <c r="H1021" s="12">
        <f t="shared" si="15"/>
        <v>9500</v>
      </c>
      <c r="I1021" s="12" t="s">
        <v>10</v>
      </c>
      <c r="J1021" s="15"/>
    </row>
    <row r="1022" hidden="1" spans="2:10">
      <c r="B1022" s="86">
        <v>232400957</v>
      </c>
      <c r="C1022" s="9">
        <v>45195</v>
      </c>
      <c r="D1022" s="10" t="s">
        <v>58</v>
      </c>
      <c r="E1022" s="10">
        <v>400000</v>
      </c>
      <c r="F1022" s="10">
        <v>0.019</v>
      </c>
      <c r="G1022" s="9">
        <v>45255</v>
      </c>
      <c r="H1022" s="12">
        <f t="shared" si="15"/>
        <v>7600</v>
      </c>
      <c r="I1022" s="12" t="s">
        <v>10</v>
      </c>
      <c r="J1022" s="15"/>
    </row>
    <row r="1023" hidden="1" spans="2:10">
      <c r="B1023" s="86">
        <v>232400957</v>
      </c>
      <c r="C1023" s="9">
        <v>45195</v>
      </c>
      <c r="D1023" s="10" t="s">
        <v>58</v>
      </c>
      <c r="E1023" s="10">
        <v>400000</v>
      </c>
      <c r="F1023" s="10">
        <v>0.019</v>
      </c>
      <c r="G1023" s="9">
        <v>45285</v>
      </c>
      <c r="H1023" s="12">
        <f t="shared" si="15"/>
        <v>7600</v>
      </c>
      <c r="I1023" s="12" t="s">
        <v>10</v>
      </c>
      <c r="J1023" s="15"/>
    </row>
    <row r="1024" hidden="1" spans="2:10">
      <c r="B1024" s="86">
        <v>232400958</v>
      </c>
      <c r="C1024" s="9">
        <v>45195</v>
      </c>
      <c r="D1024" s="10" t="s">
        <v>58</v>
      </c>
      <c r="E1024" s="10">
        <v>250000</v>
      </c>
      <c r="F1024" s="10">
        <v>0.019</v>
      </c>
      <c r="G1024" s="9">
        <v>45224</v>
      </c>
      <c r="H1024" s="12">
        <f t="shared" si="15"/>
        <v>4750</v>
      </c>
      <c r="I1024" s="12" t="s">
        <v>10</v>
      </c>
      <c r="J1024" s="15"/>
    </row>
    <row r="1025" hidden="1" spans="2:10">
      <c r="B1025" s="86">
        <v>232400958</v>
      </c>
      <c r="C1025" s="9">
        <v>45195</v>
      </c>
      <c r="D1025" s="10" t="s">
        <v>58</v>
      </c>
      <c r="E1025" s="10">
        <v>200000</v>
      </c>
      <c r="F1025" s="10">
        <v>0.019</v>
      </c>
      <c r="G1025" s="9">
        <v>45255</v>
      </c>
      <c r="H1025" s="12">
        <f t="shared" si="15"/>
        <v>3800</v>
      </c>
      <c r="I1025" s="12" t="s">
        <v>10</v>
      </c>
      <c r="J1025" s="15"/>
    </row>
    <row r="1026" hidden="1" spans="2:10">
      <c r="B1026" s="86">
        <v>232400958</v>
      </c>
      <c r="C1026" s="9">
        <v>45195</v>
      </c>
      <c r="D1026" s="10" t="s">
        <v>58</v>
      </c>
      <c r="E1026" s="10">
        <v>200000</v>
      </c>
      <c r="F1026" s="10">
        <v>0.019</v>
      </c>
      <c r="G1026" s="9">
        <v>45285</v>
      </c>
      <c r="H1026" s="12">
        <f t="shared" ref="H1026:H1089" si="16">E1026*F1026</f>
        <v>3800</v>
      </c>
      <c r="I1026" s="12" t="s">
        <v>10</v>
      </c>
      <c r="J1026" s="15"/>
    </row>
    <row r="1027" hidden="1" spans="2:10">
      <c r="B1027" s="86">
        <v>232400959</v>
      </c>
      <c r="C1027" s="9">
        <v>45195</v>
      </c>
      <c r="D1027" s="10" t="s">
        <v>58</v>
      </c>
      <c r="E1027" s="10">
        <v>50000</v>
      </c>
      <c r="F1027" s="10">
        <v>0.019</v>
      </c>
      <c r="G1027" s="9">
        <v>45224</v>
      </c>
      <c r="H1027" s="12">
        <f t="shared" si="16"/>
        <v>950</v>
      </c>
      <c r="I1027" s="12" t="s">
        <v>10</v>
      </c>
      <c r="J1027" s="15"/>
    </row>
    <row r="1028" hidden="1" spans="2:10">
      <c r="B1028" s="86">
        <v>232400959</v>
      </c>
      <c r="C1028" s="9">
        <v>45195</v>
      </c>
      <c r="D1028" s="10" t="s">
        <v>58</v>
      </c>
      <c r="E1028" s="10">
        <v>50000</v>
      </c>
      <c r="F1028" s="10">
        <v>0.019</v>
      </c>
      <c r="G1028" s="9">
        <v>45255</v>
      </c>
      <c r="H1028" s="12">
        <f t="shared" si="16"/>
        <v>950</v>
      </c>
      <c r="I1028" s="12" t="s">
        <v>10</v>
      </c>
      <c r="J1028" s="15"/>
    </row>
    <row r="1029" hidden="1" spans="2:10">
      <c r="B1029" s="86">
        <v>232400959</v>
      </c>
      <c r="C1029" s="9">
        <v>45195</v>
      </c>
      <c r="D1029" s="10" t="s">
        <v>58</v>
      </c>
      <c r="E1029" s="10">
        <v>50000</v>
      </c>
      <c r="F1029" s="10">
        <v>0.019</v>
      </c>
      <c r="G1029" s="9">
        <v>45285</v>
      </c>
      <c r="H1029" s="12">
        <f t="shared" si="16"/>
        <v>950</v>
      </c>
      <c r="I1029" s="12" t="s">
        <v>10</v>
      </c>
      <c r="J1029" s="15"/>
    </row>
    <row r="1030" hidden="1" spans="2:10">
      <c r="B1030" s="86">
        <v>232400968</v>
      </c>
      <c r="C1030" s="9">
        <v>45198</v>
      </c>
      <c r="D1030" s="87" t="s">
        <v>255</v>
      </c>
      <c r="E1030" s="10">
        <v>150000</v>
      </c>
      <c r="F1030" s="10">
        <v>0.0238</v>
      </c>
      <c r="G1030" s="9">
        <v>45250</v>
      </c>
      <c r="H1030" s="12">
        <f t="shared" si="16"/>
        <v>3570</v>
      </c>
      <c r="I1030" s="12" t="s">
        <v>10</v>
      </c>
      <c r="J1030" s="15"/>
    </row>
    <row r="1031" hidden="1" spans="2:10">
      <c r="B1031" s="86">
        <v>232400968</v>
      </c>
      <c r="C1031" s="9">
        <v>45198</v>
      </c>
      <c r="D1031" s="87" t="s">
        <v>255</v>
      </c>
      <c r="E1031" s="10">
        <v>150000</v>
      </c>
      <c r="F1031" s="10">
        <v>0.0238</v>
      </c>
      <c r="G1031" s="9">
        <v>45280</v>
      </c>
      <c r="H1031" s="12">
        <f t="shared" si="16"/>
        <v>3570</v>
      </c>
      <c r="I1031" s="12" t="s">
        <v>10</v>
      </c>
      <c r="J1031" s="15"/>
    </row>
    <row r="1032" hidden="1" spans="2:10">
      <c r="B1032" s="86">
        <v>232400968</v>
      </c>
      <c r="C1032" s="9">
        <v>45198</v>
      </c>
      <c r="D1032" s="87" t="s">
        <v>255</v>
      </c>
      <c r="E1032" s="10">
        <v>150000</v>
      </c>
      <c r="F1032" s="10">
        <v>0.0238</v>
      </c>
      <c r="G1032" s="9">
        <v>45311</v>
      </c>
      <c r="H1032" s="12">
        <f t="shared" si="16"/>
        <v>3570</v>
      </c>
      <c r="I1032" s="12" t="s">
        <v>10</v>
      </c>
      <c r="J1032" s="15"/>
    </row>
    <row r="1033" hidden="1" spans="2:10">
      <c r="B1033" s="86">
        <v>232400969</v>
      </c>
      <c r="C1033" s="9">
        <v>45198</v>
      </c>
      <c r="D1033" s="10" t="s">
        <v>285</v>
      </c>
      <c r="E1033" s="10">
        <v>24000</v>
      </c>
      <c r="F1033" s="10">
        <v>0.02</v>
      </c>
      <c r="G1033" s="9">
        <v>45224</v>
      </c>
      <c r="H1033" s="12">
        <f t="shared" si="16"/>
        <v>480</v>
      </c>
      <c r="I1033" s="12" t="s">
        <v>10</v>
      </c>
      <c r="J1033" s="15"/>
    </row>
    <row r="1034" hidden="1" spans="2:10">
      <c r="B1034" s="86">
        <v>232400969</v>
      </c>
      <c r="C1034" s="9">
        <v>45198</v>
      </c>
      <c r="D1034" s="10" t="s">
        <v>285</v>
      </c>
      <c r="E1034" s="10">
        <v>24000</v>
      </c>
      <c r="F1034" s="10">
        <v>0.02</v>
      </c>
      <c r="G1034" s="9">
        <v>45245</v>
      </c>
      <c r="H1034" s="12">
        <f t="shared" si="16"/>
        <v>480</v>
      </c>
      <c r="I1034" s="12" t="s">
        <v>10</v>
      </c>
      <c r="J1034" s="15"/>
    </row>
    <row r="1035" hidden="1" spans="2:10">
      <c r="B1035" s="86">
        <v>232400969</v>
      </c>
      <c r="C1035" s="9">
        <v>45198</v>
      </c>
      <c r="D1035" s="10" t="s">
        <v>285</v>
      </c>
      <c r="E1035" s="10">
        <v>24000</v>
      </c>
      <c r="F1035" s="10">
        <v>0.02</v>
      </c>
      <c r="G1035" s="9">
        <v>45275</v>
      </c>
      <c r="H1035" s="12">
        <f t="shared" si="16"/>
        <v>480</v>
      </c>
      <c r="I1035" s="12" t="s">
        <v>10</v>
      </c>
      <c r="J1035" s="15"/>
    </row>
    <row r="1036" hidden="1" spans="2:10">
      <c r="B1036" s="86">
        <v>232400969</v>
      </c>
      <c r="C1036" s="9">
        <v>45198</v>
      </c>
      <c r="D1036" s="10" t="s">
        <v>286</v>
      </c>
      <c r="E1036" s="10">
        <v>24000</v>
      </c>
      <c r="F1036" s="10">
        <v>0.0235</v>
      </c>
      <c r="G1036" s="9">
        <v>45224</v>
      </c>
      <c r="H1036" s="12">
        <f t="shared" si="16"/>
        <v>564</v>
      </c>
      <c r="I1036" s="12" t="s">
        <v>10</v>
      </c>
      <c r="J1036" s="15"/>
    </row>
    <row r="1037" hidden="1" spans="2:10">
      <c r="B1037" s="86">
        <v>232400969</v>
      </c>
      <c r="C1037" s="9">
        <v>45198</v>
      </c>
      <c r="D1037" s="10" t="s">
        <v>286</v>
      </c>
      <c r="E1037" s="10">
        <v>24000</v>
      </c>
      <c r="F1037" s="10">
        <v>0.0235</v>
      </c>
      <c r="G1037" s="9">
        <v>45245</v>
      </c>
      <c r="H1037" s="12">
        <f t="shared" si="16"/>
        <v>564</v>
      </c>
      <c r="I1037" s="12" t="s">
        <v>10</v>
      </c>
      <c r="J1037" s="15"/>
    </row>
    <row r="1038" hidden="1" spans="2:10">
      <c r="B1038" s="86">
        <v>232400969</v>
      </c>
      <c r="C1038" s="9">
        <v>45198</v>
      </c>
      <c r="D1038" s="10" t="s">
        <v>286</v>
      </c>
      <c r="E1038" s="10">
        <v>24000</v>
      </c>
      <c r="F1038" s="10">
        <v>0.0235</v>
      </c>
      <c r="G1038" s="9">
        <v>45275</v>
      </c>
      <c r="H1038" s="12">
        <f t="shared" si="16"/>
        <v>564</v>
      </c>
      <c r="I1038" s="12" t="s">
        <v>10</v>
      </c>
      <c r="J1038" s="15"/>
    </row>
    <row r="1039" hidden="1" spans="2:10">
      <c r="B1039" s="86">
        <v>232400969</v>
      </c>
      <c r="C1039" s="9">
        <v>45198</v>
      </c>
      <c r="D1039" s="10" t="s">
        <v>287</v>
      </c>
      <c r="E1039" s="10">
        <v>25000</v>
      </c>
      <c r="F1039" s="10">
        <v>0.018</v>
      </c>
      <c r="G1039" s="9">
        <v>45224</v>
      </c>
      <c r="H1039" s="12">
        <f t="shared" si="16"/>
        <v>450</v>
      </c>
      <c r="I1039" s="12" t="s">
        <v>10</v>
      </c>
      <c r="J1039" s="15"/>
    </row>
    <row r="1040" hidden="1" spans="2:10">
      <c r="B1040" s="86">
        <v>232400969</v>
      </c>
      <c r="C1040" s="9">
        <v>45198</v>
      </c>
      <c r="D1040" s="10" t="s">
        <v>287</v>
      </c>
      <c r="E1040" s="10">
        <v>25000</v>
      </c>
      <c r="F1040" s="10">
        <v>0.018</v>
      </c>
      <c r="G1040" s="9">
        <v>45245</v>
      </c>
      <c r="H1040" s="12">
        <f t="shared" si="16"/>
        <v>450</v>
      </c>
      <c r="I1040" s="12" t="s">
        <v>10</v>
      </c>
      <c r="J1040" s="15"/>
    </row>
    <row r="1041" hidden="1" spans="2:10">
      <c r="B1041" s="86">
        <v>232400969</v>
      </c>
      <c r="C1041" s="9">
        <v>45198</v>
      </c>
      <c r="D1041" s="10" t="s">
        <v>287</v>
      </c>
      <c r="E1041" s="10">
        <v>25000</v>
      </c>
      <c r="F1041" s="10">
        <v>0.018</v>
      </c>
      <c r="G1041" s="9">
        <v>45275</v>
      </c>
      <c r="H1041" s="12">
        <f t="shared" si="16"/>
        <v>450</v>
      </c>
      <c r="I1041" s="12" t="s">
        <v>10</v>
      </c>
      <c r="J1041" s="15"/>
    </row>
    <row r="1042" hidden="1" spans="2:10">
      <c r="B1042" s="86">
        <v>232400969</v>
      </c>
      <c r="C1042" s="9">
        <v>45198</v>
      </c>
      <c r="D1042" s="10" t="s">
        <v>288</v>
      </c>
      <c r="E1042" s="10">
        <v>24000</v>
      </c>
      <c r="F1042" s="10">
        <v>0.022</v>
      </c>
      <c r="G1042" s="9">
        <v>45224</v>
      </c>
      <c r="H1042" s="12">
        <f t="shared" si="16"/>
        <v>528</v>
      </c>
      <c r="I1042" s="12" t="s">
        <v>10</v>
      </c>
      <c r="J1042" s="15"/>
    </row>
    <row r="1043" hidden="1" spans="2:10">
      <c r="B1043" s="86">
        <v>232400969</v>
      </c>
      <c r="C1043" s="9">
        <v>45198</v>
      </c>
      <c r="D1043" s="10" t="s">
        <v>288</v>
      </c>
      <c r="E1043" s="10">
        <v>24000</v>
      </c>
      <c r="F1043" s="10">
        <v>0.022</v>
      </c>
      <c r="G1043" s="9">
        <v>45245</v>
      </c>
      <c r="H1043" s="12">
        <f t="shared" si="16"/>
        <v>528</v>
      </c>
      <c r="I1043" s="12" t="s">
        <v>10</v>
      </c>
      <c r="J1043" s="15"/>
    </row>
    <row r="1044" hidden="1" spans="2:10">
      <c r="B1044" s="86">
        <v>232400969</v>
      </c>
      <c r="C1044" s="9">
        <v>45198</v>
      </c>
      <c r="D1044" s="10" t="s">
        <v>288</v>
      </c>
      <c r="E1044" s="10">
        <v>24000</v>
      </c>
      <c r="F1044" s="10">
        <v>0.022</v>
      </c>
      <c r="G1044" s="9">
        <v>45275</v>
      </c>
      <c r="H1044" s="12">
        <f t="shared" si="16"/>
        <v>528</v>
      </c>
      <c r="I1044" s="12" t="s">
        <v>10</v>
      </c>
      <c r="J1044" s="15"/>
    </row>
    <row r="1045" hidden="1" spans="2:10">
      <c r="B1045" s="86">
        <v>232400982</v>
      </c>
      <c r="C1045" s="9">
        <v>45199</v>
      </c>
      <c r="D1045" s="10" t="s">
        <v>57</v>
      </c>
      <c r="E1045" s="10">
        <v>20000</v>
      </c>
      <c r="F1045" s="10">
        <v>0.15</v>
      </c>
      <c r="G1045" s="9">
        <v>45250</v>
      </c>
      <c r="H1045" s="12">
        <f t="shared" si="16"/>
        <v>3000</v>
      </c>
      <c r="I1045" s="12" t="s">
        <v>10</v>
      </c>
      <c r="J1045" s="15"/>
    </row>
    <row r="1046" hidden="1" spans="2:10">
      <c r="B1046" s="86">
        <v>232400982</v>
      </c>
      <c r="C1046" s="9">
        <v>45199</v>
      </c>
      <c r="D1046" s="87" t="s">
        <v>255</v>
      </c>
      <c r="E1046" s="10">
        <v>150000</v>
      </c>
      <c r="F1046" s="10">
        <v>0.0238</v>
      </c>
      <c r="G1046" s="9">
        <v>45311</v>
      </c>
      <c r="H1046" s="12">
        <f t="shared" si="16"/>
        <v>3570</v>
      </c>
      <c r="I1046" s="12" t="s">
        <v>10</v>
      </c>
      <c r="J1046" s="15"/>
    </row>
    <row r="1047" hidden="1" spans="2:10">
      <c r="B1047" s="86">
        <v>232400982</v>
      </c>
      <c r="C1047" s="9">
        <v>45199</v>
      </c>
      <c r="D1047" s="10" t="s">
        <v>58</v>
      </c>
      <c r="E1047" s="10">
        <v>20000</v>
      </c>
      <c r="F1047" s="10">
        <v>0.019</v>
      </c>
      <c r="G1047" s="9">
        <v>45250</v>
      </c>
      <c r="H1047" s="12">
        <f t="shared" si="16"/>
        <v>380</v>
      </c>
      <c r="I1047" s="12" t="s">
        <v>10</v>
      </c>
      <c r="J1047" s="15"/>
    </row>
    <row r="1048" hidden="1" spans="2:10">
      <c r="B1048" s="86">
        <v>232400982</v>
      </c>
      <c r="C1048" s="9">
        <v>45199</v>
      </c>
      <c r="D1048" s="10" t="s">
        <v>58</v>
      </c>
      <c r="E1048" s="10">
        <v>20000</v>
      </c>
      <c r="F1048" s="10">
        <v>0.019</v>
      </c>
      <c r="G1048" s="9">
        <v>45280</v>
      </c>
      <c r="H1048" s="12">
        <f t="shared" si="16"/>
        <v>380</v>
      </c>
      <c r="I1048" s="12" t="s">
        <v>10</v>
      </c>
      <c r="J1048" s="15"/>
    </row>
    <row r="1049" hidden="1" spans="2:10">
      <c r="B1049" s="86">
        <v>232400982</v>
      </c>
      <c r="C1049" s="9">
        <v>45199</v>
      </c>
      <c r="D1049" s="10" t="s">
        <v>58</v>
      </c>
      <c r="E1049" s="10">
        <v>20000</v>
      </c>
      <c r="F1049" s="10">
        <v>0.019</v>
      </c>
      <c r="G1049" s="9">
        <v>45311</v>
      </c>
      <c r="H1049" s="12">
        <f t="shared" si="16"/>
        <v>380</v>
      </c>
      <c r="I1049" s="12" t="s">
        <v>10</v>
      </c>
      <c r="J1049" s="15"/>
    </row>
    <row r="1050" hidden="1" spans="2:10">
      <c r="B1050" s="86">
        <v>232400982</v>
      </c>
      <c r="C1050" s="9">
        <v>45199</v>
      </c>
      <c r="D1050" s="10" t="s">
        <v>213</v>
      </c>
      <c r="E1050" s="10">
        <v>150000</v>
      </c>
      <c r="F1050" s="10">
        <v>0.05</v>
      </c>
      <c r="G1050" s="9">
        <v>45311</v>
      </c>
      <c r="H1050" s="12">
        <f t="shared" si="16"/>
        <v>7500</v>
      </c>
      <c r="I1050" s="12" t="s">
        <v>10</v>
      </c>
      <c r="J1050" s="15"/>
    </row>
    <row r="1051" hidden="1" spans="2:10">
      <c r="B1051" s="86">
        <v>232400982</v>
      </c>
      <c r="C1051" s="9">
        <v>45199</v>
      </c>
      <c r="D1051" s="10" t="s">
        <v>108</v>
      </c>
      <c r="E1051" s="10">
        <v>20000</v>
      </c>
      <c r="F1051" s="10">
        <v>0.04</v>
      </c>
      <c r="G1051" s="9">
        <v>45250</v>
      </c>
      <c r="H1051" s="12">
        <f t="shared" si="16"/>
        <v>800</v>
      </c>
      <c r="I1051" s="12" t="s">
        <v>10</v>
      </c>
      <c r="J1051" s="15"/>
    </row>
    <row r="1052" hidden="1" spans="2:10">
      <c r="B1052" s="86">
        <v>232400982</v>
      </c>
      <c r="C1052" s="9">
        <v>45199</v>
      </c>
      <c r="D1052" s="10" t="s">
        <v>108</v>
      </c>
      <c r="E1052" s="10">
        <v>20000</v>
      </c>
      <c r="F1052" s="10">
        <v>0.04</v>
      </c>
      <c r="G1052" s="9">
        <v>45280</v>
      </c>
      <c r="H1052" s="12">
        <f t="shared" si="16"/>
        <v>800</v>
      </c>
      <c r="I1052" s="12" t="s">
        <v>10</v>
      </c>
      <c r="J1052" s="15"/>
    </row>
    <row r="1053" hidden="1" spans="2:10">
      <c r="B1053" s="86">
        <v>232400982</v>
      </c>
      <c r="C1053" s="9">
        <v>45199</v>
      </c>
      <c r="D1053" s="87" t="s">
        <v>235</v>
      </c>
      <c r="E1053" s="10">
        <v>100000</v>
      </c>
      <c r="F1053" s="10">
        <v>0.04</v>
      </c>
      <c r="G1053" s="9">
        <v>45280</v>
      </c>
      <c r="H1053" s="12">
        <f t="shared" si="16"/>
        <v>4000</v>
      </c>
      <c r="I1053" s="12" t="s">
        <v>10</v>
      </c>
      <c r="J1053" s="15"/>
    </row>
    <row r="1054" hidden="1" spans="2:10">
      <c r="B1054" s="86">
        <v>232400982</v>
      </c>
      <c r="C1054" s="9">
        <v>45199</v>
      </c>
      <c r="D1054" s="87" t="s">
        <v>235</v>
      </c>
      <c r="E1054" s="10">
        <v>100000</v>
      </c>
      <c r="F1054" s="10">
        <v>0.04</v>
      </c>
      <c r="G1054" s="9">
        <v>45311</v>
      </c>
      <c r="H1054" s="12">
        <f t="shared" si="16"/>
        <v>4000</v>
      </c>
      <c r="I1054" s="12" t="s">
        <v>10</v>
      </c>
      <c r="J1054" s="15"/>
    </row>
    <row r="1055" hidden="1" spans="2:10">
      <c r="B1055" s="86">
        <v>232400982</v>
      </c>
      <c r="C1055" s="9">
        <v>45199</v>
      </c>
      <c r="D1055" s="87" t="s">
        <v>214</v>
      </c>
      <c r="E1055" s="10">
        <v>150000</v>
      </c>
      <c r="F1055" s="10">
        <v>0.035</v>
      </c>
      <c r="G1055" s="9">
        <v>45219</v>
      </c>
      <c r="H1055" s="12">
        <f t="shared" si="16"/>
        <v>5250</v>
      </c>
      <c r="I1055" s="12" t="s">
        <v>10</v>
      </c>
      <c r="J1055" s="15"/>
    </row>
    <row r="1056" hidden="1" spans="2:10">
      <c r="B1056" s="86">
        <v>232400982</v>
      </c>
      <c r="C1056" s="9">
        <v>45199</v>
      </c>
      <c r="D1056" s="87" t="s">
        <v>214</v>
      </c>
      <c r="E1056" s="10">
        <v>100000</v>
      </c>
      <c r="F1056" s="10">
        <v>0.035</v>
      </c>
      <c r="G1056" s="9">
        <v>45250</v>
      </c>
      <c r="H1056" s="12">
        <f t="shared" si="16"/>
        <v>3500</v>
      </c>
      <c r="I1056" s="12" t="s">
        <v>10</v>
      </c>
      <c r="J1056" s="15"/>
    </row>
    <row r="1057" hidden="1" spans="2:10">
      <c r="B1057" s="86">
        <v>232400982</v>
      </c>
      <c r="C1057" s="9">
        <v>45199</v>
      </c>
      <c r="D1057" s="87" t="s">
        <v>252</v>
      </c>
      <c r="E1057" s="10">
        <v>90000</v>
      </c>
      <c r="F1057" s="10">
        <v>0.032</v>
      </c>
      <c r="G1057" s="9">
        <v>45311</v>
      </c>
      <c r="H1057" s="12">
        <f t="shared" si="16"/>
        <v>2880</v>
      </c>
      <c r="I1057" s="12" t="s">
        <v>10</v>
      </c>
      <c r="J1057" s="15"/>
    </row>
    <row r="1058" hidden="1" spans="2:10">
      <c r="B1058" s="86">
        <v>232400990</v>
      </c>
      <c r="C1058" s="9">
        <v>45199</v>
      </c>
      <c r="D1058" s="87" t="s">
        <v>253</v>
      </c>
      <c r="E1058" s="88">
        <v>60000</v>
      </c>
      <c r="F1058" s="10">
        <v>0.08</v>
      </c>
      <c r="G1058" s="9">
        <v>45229</v>
      </c>
      <c r="H1058" s="12">
        <f t="shared" si="16"/>
        <v>4800</v>
      </c>
      <c r="I1058" s="12" t="s">
        <v>10</v>
      </c>
      <c r="J1058" s="15"/>
    </row>
    <row r="1059" hidden="1" spans="2:10">
      <c r="B1059" s="86">
        <v>232400992</v>
      </c>
      <c r="C1059" s="9">
        <v>45199</v>
      </c>
      <c r="D1059" s="10" t="s">
        <v>58</v>
      </c>
      <c r="E1059" s="10">
        <v>300000</v>
      </c>
      <c r="F1059" s="10">
        <v>0.019</v>
      </c>
      <c r="G1059" s="9">
        <v>45250</v>
      </c>
      <c r="H1059" s="12">
        <f t="shared" si="16"/>
        <v>5700</v>
      </c>
      <c r="I1059" s="12" t="s">
        <v>10</v>
      </c>
      <c r="J1059" s="15"/>
    </row>
    <row r="1060" hidden="1" spans="2:10">
      <c r="B1060" s="86">
        <v>232400992</v>
      </c>
      <c r="C1060" s="9">
        <v>45199</v>
      </c>
      <c r="D1060" s="10" t="s">
        <v>58</v>
      </c>
      <c r="E1060" s="10">
        <v>400000</v>
      </c>
      <c r="F1060" s="10">
        <v>0.019</v>
      </c>
      <c r="G1060" s="9">
        <v>45280</v>
      </c>
      <c r="H1060" s="12">
        <f t="shared" si="16"/>
        <v>7600</v>
      </c>
      <c r="I1060" s="12" t="s">
        <v>10</v>
      </c>
      <c r="J1060" s="15"/>
    </row>
    <row r="1061" hidden="1" spans="2:10">
      <c r="B1061" s="86">
        <v>232400992</v>
      </c>
      <c r="C1061" s="9">
        <v>45199</v>
      </c>
      <c r="D1061" s="10" t="s">
        <v>58</v>
      </c>
      <c r="E1061" s="10">
        <v>200000</v>
      </c>
      <c r="F1061" s="10">
        <v>0.019</v>
      </c>
      <c r="G1061" s="9">
        <v>45311</v>
      </c>
      <c r="H1061" s="12">
        <f t="shared" si="16"/>
        <v>3800</v>
      </c>
      <c r="I1061" s="12" t="s">
        <v>10</v>
      </c>
      <c r="J1061" s="15"/>
    </row>
    <row r="1062" hidden="1" spans="2:10">
      <c r="B1062" s="86">
        <v>232400993</v>
      </c>
      <c r="C1062" s="9">
        <v>45199</v>
      </c>
      <c r="D1062" s="87" t="s">
        <v>210</v>
      </c>
      <c r="E1062" s="10">
        <v>20000</v>
      </c>
      <c r="F1062" s="10">
        <v>0.028</v>
      </c>
      <c r="G1062" s="9">
        <v>45224</v>
      </c>
      <c r="H1062" s="12">
        <f t="shared" si="16"/>
        <v>560</v>
      </c>
      <c r="I1062" s="12" t="s">
        <v>10</v>
      </c>
      <c r="J1062" s="15"/>
    </row>
    <row r="1063" hidden="1" spans="2:10">
      <c r="B1063" s="86">
        <v>232400993</v>
      </c>
      <c r="C1063" s="9">
        <v>45199</v>
      </c>
      <c r="D1063" s="87" t="s">
        <v>210</v>
      </c>
      <c r="E1063" s="10">
        <v>20000</v>
      </c>
      <c r="F1063" s="10">
        <v>0.028</v>
      </c>
      <c r="G1063" s="9">
        <v>45255</v>
      </c>
      <c r="H1063" s="12">
        <f t="shared" si="16"/>
        <v>560</v>
      </c>
      <c r="I1063" s="12" t="s">
        <v>10</v>
      </c>
      <c r="J1063" s="15"/>
    </row>
    <row r="1064" hidden="1" spans="2:10">
      <c r="B1064" s="86">
        <v>232400994</v>
      </c>
      <c r="C1064" s="9">
        <v>45199</v>
      </c>
      <c r="D1064" s="10" t="s">
        <v>34</v>
      </c>
      <c r="E1064" s="10">
        <v>200000</v>
      </c>
      <c r="F1064" s="10">
        <v>0.051</v>
      </c>
      <c r="G1064" s="9">
        <v>45250</v>
      </c>
      <c r="H1064" s="12">
        <f t="shared" si="16"/>
        <v>10200</v>
      </c>
      <c r="I1064" s="12" t="s">
        <v>10</v>
      </c>
      <c r="J1064" s="15"/>
    </row>
    <row r="1065" hidden="1" spans="2:10">
      <c r="B1065" s="86">
        <v>232400994</v>
      </c>
      <c r="C1065" s="9">
        <v>45199</v>
      </c>
      <c r="D1065" s="10" t="s">
        <v>34</v>
      </c>
      <c r="E1065" s="10">
        <v>150000</v>
      </c>
      <c r="F1065" s="10">
        <v>0.051</v>
      </c>
      <c r="G1065" s="9">
        <v>45280</v>
      </c>
      <c r="H1065" s="12">
        <f t="shared" si="16"/>
        <v>7650</v>
      </c>
      <c r="I1065" s="12" t="s">
        <v>10</v>
      </c>
      <c r="J1065" s="15"/>
    </row>
    <row r="1066" hidden="1" spans="2:10">
      <c r="B1066" s="86">
        <v>232400994</v>
      </c>
      <c r="C1066" s="9">
        <v>45199</v>
      </c>
      <c r="D1066" s="10" t="s">
        <v>58</v>
      </c>
      <c r="E1066" s="10">
        <v>200000</v>
      </c>
      <c r="F1066" s="10">
        <v>0.019</v>
      </c>
      <c r="G1066" s="9">
        <v>45311</v>
      </c>
      <c r="H1066" s="12">
        <f t="shared" si="16"/>
        <v>3800</v>
      </c>
      <c r="I1066" s="12" t="s">
        <v>10</v>
      </c>
      <c r="J1066" s="15"/>
    </row>
    <row r="1067" hidden="1" spans="2:10">
      <c r="B1067" s="127">
        <v>232401000</v>
      </c>
      <c r="C1067" s="54">
        <v>45199</v>
      </c>
      <c r="D1067" s="93" t="s">
        <v>305</v>
      </c>
      <c r="E1067" s="56">
        <v>6000</v>
      </c>
      <c r="F1067" s="56">
        <v>0.06</v>
      </c>
      <c r="G1067" s="54">
        <v>45199</v>
      </c>
      <c r="H1067" s="58">
        <f t="shared" si="16"/>
        <v>360</v>
      </c>
      <c r="I1067" s="56" t="s">
        <v>51</v>
      </c>
      <c r="J1067" s="15" t="s">
        <v>306</v>
      </c>
    </row>
    <row r="1068" hidden="1" spans="2:10">
      <c r="B1068" s="86">
        <v>232401003</v>
      </c>
      <c r="C1068" s="9">
        <v>45202</v>
      </c>
      <c r="D1068" s="87" t="s">
        <v>215</v>
      </c>
      <c r="E1068" s="10">
        <v>150000</v>
      </c>
      <c r="F1068" s="10">
        <v>0.028</v>
      </c>
      <c r="G1068" s="9">
        <v>45240</v>
      </c>
      <c r="H1068" s="12">
        <f t="shared" si="16"/>
        <v>4200</v>
      </c>
      <c r="I1068" s="12" t="s">
        <v>10</v>
      </c>
      <c r="J1068" s="15"/>
    </row>
    <row r="1069" hidden="1" spans="2:10">
      <c r="B1069" s="86">
        <v>232401016</v>
      </c>
      <c r="C1069" s="9">
        <v>45203</v>
      </c>
      <c r="D1069" s="87" t="s">
        <v>254</v>
      </c>
      <c r="E1069" s="10">
        <v>2000000</v>
      </c>
      <c r="F1069" s="10">
        <v>0.027</v>
      </c>
      <c r="G1069" s="9">
        <v>45290</v>
      </c>
      <c r="H1069" s="12">
        <f t="shared" si="16"/>
        <v>54000</v>
      </c>
      <c r="I1069" s="12" t="s">
        <v>10</v>
      </c>
      <c r="J1069" s="15"/>
    </row>
    <row r="1070" hidden="1" spans="2:10">
      <c r="B1070" s="86">
        <v>232401018</v>
      </c>
      <c r="C1070" s="9">
        <v>45203</v>
      </c>
      <c r="D1070" s="87" t="s">
        <v>307</v>
      </c>
      <c r="E1070" s="10">
        <v>32000</v>
      </c>
      <c r="F1070" s="10">
        <v>0.0055</v>
      </c>
      <c r="G1070" s="9">
        <v>45203</v>
      </c>
      <c r="H1070" s="12">
        <f t="shared" si="16"/>
        <v>176</v>
      </c>
      <c r="I1070" s="12" t="s">
        <v>10</v>
      </c>
      <c r="J1070" s="15"/>
    </row>
    <row r="1071" hidden="1" spans="2:10">
      <c r="B1071" s="86">
        <v>232401019</v>
      </c>
      <c r="C1071" s="9">
        <v>45203</v>
      </c>
      <c r="D1071" s="87" t="s">
        <v>254</v>
      </c>
      <c r="E1071" s="10">
        <v>800000</v>
      </c>
      <c r="F1071" s="10">
        <v>0.027</v>
      </c>
      <c r="G1071" s="9">
        <v>45280</v>
      </c>
      <c r="H1071" s="12">
        <f t="shared" si="16"/>
        <v>21600</v>
      </c>
      <c r="I1071" s="12" t="s">
        <v>10</v>
      </c>
      <c r="J1071" s="15"/>
    </row>
    <row r="1072" hidden="1" spans="2:10">
      <c r="B1072" s="86">
        <v>232401019</v>
      </c>
      <c r="C1072" s="9">
        <v>45203</v>
      </c>
      <c r="D1072" s="87" t="s">
        <v>254</v>
      </c>
      <c r="E1072" s="10">
        <v>800000</v>
      </c>
      <c r="F1072" s="10">
        <v>0.027</v>
      </c>
      <c r="G1072" s="9">
        <v>45311</v>
      </c>
      <c r="H1072" s="12">
        <f t="shared" si="16"/>
        <v>21600</v>
      </c>
      <c r="I1072" s="12" t="s">
        <v>10</v>
      </c>
      <c r="J1072" s="15"/>
    </row>
    <row r="1073" hidden="1" spans="2:10">
      <c r="B1073" s="86">
        <v>232401019</v>
      </c>
      <c r="C1073" s="9">
        <v>45203</v>
      </c>
      <c r="D1073" s="87" t="s">
        <v>254</v>
      </c>
      <c r="E1073" s="10">
        <v>600000</v>
      </c>
      <c r="F1073" s="10">
        <v>0.027</v>
      </c>
      <c r="G1073" s="9">
        <v>45342</v>
      </c>
      <c r="H1073" s="12">
        <f t="shared" si="16"/>
        <v>16200</v>
      </c>
      <c r="I1073" s="12" t="s">
        <v>10</v>
      </c>
      <c r="J1073" s="15"/>
    </row>
    <row r="1074" hidden="1" spans="2:10">
      <c r="B1074" s="86">
        <v>232401020</v>
      </c>
      <c r="C1074" s="9">
        <v>45203</v>
      </c>
      <c r="D1074" s="87" t="s">
        <v>254</v>
      </c>
      <c r="E1074" s="10">
        <v>1000000</v>
      </c>
      <c r="F1074" s="10">
        <v>0.027</v>
      </c>
      <c r="G1074" s="9">
        <v>45311</v>
      </c>
      <c r="H1074" s="12">
        <f t="shared" si="16"/>
        <v>27000</v>
      </c>
      <c r="I1074" s="12" t="s">
        <v>10</v>
      </c>
      <c r="J1074" s="15"/>
    </row>
    <row r="1075" hidden="1" spans="2:10">
      <c r="B1075" s="86">
        <v>232401020</v>
      </c>
      <c r="C1075" s="9">
        <v>45203</v>
      </c>
      <c r="D1075" s="87" t="s">
        <v>254</v>
      </c>
      <c r="E1075" s="10">
        <v>1000000</v>
      </c>
      <c r="F1075" s="10">
        <v>0.027</v>
      </c>
      <c r="G1075" s="9">
        <v>45342</v>
      </c>
      <c r="H1075" s="12">
        <f t="shared" si="16"/>
        <v>27000</v>
      </c>
      <c r="I1075" s="12" t="s">
        <v>10</v>
      </c>
      <c r="J1075" s="15"/>
    </row>
    <row r="1076" hidden="1" spans="2:10">
      <c r="B1076" s="86">
        <v>232401021</v>
      </c>
      <c r="C1076" s="9">
        <v>45203</v>
      </c>
      <c r="D1076" s="10" t="s">
        <v>100</v>
      </c>
      <c r="E1076" s="10">
        <v>20000</v>
      </c>
      <c r="F1076" s="10">
        <v>0.03</v>
      </c>
      <c r="G1076" s="9">
        <v>45250</v>
      </c>
      <c r="H1076" s="12">
        <f t="shared" si="16"/>
        <v>600</v>
      </c>
      <c r="I1076" s="12" t="s">
        <v>10</v>
      </c>
      <c r="J1076" s="15"/>
    </row>
    <row r="1077" hidden="1" spans="2:10">
      <c r="B1077" s="86">
        <v>232401021</v>
      </c>
      <c r="C1077" s="9">
        <v>45203</v>
      </c>
      <c r="D1077" s="10" t="s">
        <v>100</v>
      </c>
      <c r="E1077" s="10">
        <v>20000</v>
      </c>
      <c r="F1077" s="10">
        <v>0.03</v>
      </c>
      <c r="G1077" s="9">
        <v>45280</v>
      </c>
      <c r="H1077" s="12">
        <f t="shared" si="16"/>
        <v>600</v>
      </c>
      <c r="I1077" s="12" t="s">
        <v>10</v>
      </c>
      <c r="J1077" s="15"/>
    </row>
    <row r="1078" hidden="1" spans="2:10">
      <c r="B1078" s="86">
        <v>232401022</v>
      </c>
      <c r="C1078" s="9">
        <v>45203</v>
      </c>
      <c r="D1078" s="10" t="s">
        <v>100</v>
      </c>
      <c r="E1078" s="10">
        <v>300000</v>
      </c>
      <c r="F1078" s="10">
        <v>0.03</v>
      </c>
      <c r="G1078" s="9">
        <v>45250</v>
      </c>
      <c r="H1078" s="12">
        <f t="shared" si="16"/>
        <v>9000</v>
      </c>
      <c r="I1078" s="12" t="s">
        <v>10</v>
      </c>
      <c r="J1078" s="15"/>
    </row>
    <row r="1079" hidden="1" spans="2:10">
      <c r="B1079" s="86">
        <v>232401022</v>
      </c>
      <c r="C1079" s="9">
        <v>45203</v>
      </c>
      <c r="D1079" s="10" t="s">
        <v>100</v>
      </c>
      <c r="E1079" s="10">
        <v>300000</v>
      </c>
      <c r="F1079" s="10">
        <v>0.03</v>
      </c>
      <c r="G1079" s="9">
        <v>45280</v>
      </c>
      <c r="H1079" s="12">
        <f t="shared" si="16"/>
        <v>9000</v>
      </c>
      <c r="I1079" s="12" t="s">
        <v>10</v>
      </c>
      <c r="J1079" s="15"/>
    </row>
    <row r="1080" hidden="1" spans="2:10">
      <c r="B1080" s="86">
        <v>232401022</v>
      </c>
      <c r="C1080" s="9">
        <v>45203</v>
      </c>
      <c r="D1080" s="10" t="s">
        <v>100</v>
      </c>
      <c r="E1080" s="10">
        <v>200000</v>
      </c>
      <c r="F1080" s="10">
        <v>0.03</v>
      </c>
      <c r="G1080" s="9">
        <v>45311</v>
      </c>
      <c r="H1080" s="12">
        <f t="shared" si="16"/>
        <v>6000</v>
      </c>
      <c r="I1080" s="12" t="s">
        <v>10</v>
      </c>
      <c r="J1080" s="15"/>
    </row>
    <row r="1081" hidden="1" spans="2:10">
      <c r="B1081" s="86">
        <v>232401022</v>
      </c>
      <c r="C1081" s="9">
        <v>45203</v>
      </c>
      <c r="D1081" s="10" t="s">
        <v>100</v>
      </c>
      <c r="E1081" s="10">
        <v>200000</v>
      </c>
      <c r="F1081" s="10">
        <v>0.03</v>
      </c>
      <c r="G1081" s="9">
        <v>45342</v>
      </c>
      <c r="H1081" s="12">
        <f t="shared" si="16"/>
        <v>6000</v>
      </c>
      <c r="I1081" s="12" t="s">
        <v>10</v>
      </c>
      <c r="J1081" s="15"/>
    </row>
    <row r="1082" hidden="1" spans="2:10">
      <c r="B1082" s="86">
        <v>232401023</v>
      </c>
      <c r="C1082" s="9">
        <v>45203</v>
      </c>
      <c r="D1082" s="10" t="s">
        <v>100</v>
      </c>
      <c r="E1082" s="10">
        <v>50000</v>
      </c>
      <c r="F1082" s="10">
        <v>0.03</v>
      </c>
      <c r="G1082" s="9">
        <v>45250</v>
      </c>
      <c r="H1082" s="12">
        <f t="shared" si="16"/>
        <v>1500</v>
      </c>
      <c r="I1082" s="12" t="s">
        <v>10</v>
      </c>
      <c r="J1082" s="15"/>
    </row>
    <row r="1083" hidden="1" spans="2:10">
      <c r="B1083" s="86">
        <v>232401023</v>
      </c>
      <c r="C1083" s="9">
        <v>45203</v>
      </c>
      <c r="D1083" s="10" t="s">
        <v>100</v>
      </c>
      <c r="E1083" s="10">
        <v>50000</v>
      </c>
      <c r="F1083" s="10">
        <v>0.03</v>
      </c>
      <c r="G1083" s="9">
        <v>45280</v>
      </c>
      <c r="H1083" s="12">
        <f t="shared" si="16"/>
        <v>1500</v>
      </c>
      <c r="I1083" s="12" t="s">
        <v>10</v>
      </c>
      <c r="J1083" s="15"/>
    </row>
    <row r="1084" hidden="1" spans="2:10">
      <c r="B1084" s="86">
        <v>232401023</v>
      </c>
      <c r="C1084" s="9">
        <v>45203</v>
      </c>
      <c r="D1084" s="10" t="s">
        <v>100</v>
      </c>
      <c r="E1084" s="10">
        <v>50000</v>
      </c>
      <c r="F1084" s="10">
        <v>0.03</v>
      </c>
      <c r="G1084" s="9">
        <v>45311</v>
      </c>
      <c r="H1084" s="12">
        <f t="shared" si="16"/>
        <v>1500</v>
      </c>
      <c r="I1084" s="12" t="s">
        <v>10</v>
      </c>
      <c r="J1084" s="15"/>
    </row>
    <row r="1085" hidden="1" spans="2:10">
      <c r="B1085" s="86">
        <v>232401023</v>
      </c>
      <c r="C1085" s="9">
        <v>45203</v>
      </c>
      <c r="D1085" s="10" t="s">
        <v>100</v>
      </c>
      <c r="E1085" s="10">
        <v>50000</v>
      </c>
      <c r="F1085" s="10">
        <v>0.03</v>
      </c>
      <c r="G1085" s="9">
        <v>45342</v>
      </c>
      <c r="H1085" s="12">
        <f t="shared" si="16"/>
        <v>1500</v>
      </c>
      <c r="I1085" s="12" t="s">
        <v>10</v>
      </c>
      <c r="J1085" s="15"/>
    </row>
    <row r="1086" hidden="1" spans="2:10">
      <c r="B1086" s="86">
        <v>232401034</v>
      </c>
      <c r="C1086" s="9">
        <v>45205</v>
      </c>
      <c r="D1086" s="10" t="s">
        <v>308</v>
      </c>
      <c r="E1086" s="10">
        <v>20000</v>
      </c>
      <c r="F1086" s="10">
        <v>0.018</v>
      </c>
      <c r="G1086" s="9">
        <v>45205</v>
      </c>
      <c r="H1086" s="12">
        <f t="shared" si="16"/>
        <v>360</v>
      </c>
      <c r="I1086" s="12" t="s">
        <v>10</v>
      </c>
      <c r="J1086" s="15"/>
    </row>
    <row r="1087" hidden="1" spans="2:10">
      <c r="B1087" s="86">
        <v>232401034</v>
      </c>
      <c r="C1087" s="9">
        <v>45205</v>
      </c>
      <c r="D1087" s="10" t="s">
        <v>309</v>
      </c>
      <c r="E1087" s="10">
        <v>20000</v>
      </c>
      <c r="F1087" s="10">
        <v>0.018</v>
      </c>
      <c r="G1087" s="9">
        <v>45205</v>
      </c>
      <c r="H1087" s="12">
        <f t="shared" si="16"/>
        <v>360</v>
      </c>
      <c r="I1087" s="12" t="s">
        <v>10</v>
      </c>
      <c r="J1087" s="15"/>
    </row>
    <row r="1088" hidden="1" spans="2:10">
      <c r="B1088" s="86">
        <v>232401034</v>
      </c>
      <c r="C1088" s="9">
        <v>45205</v>
      </c>
      <c r="D1088" s="10" t="s">
        <v>310</v>
      </c>
      <c r="E1088" s="10">
        <v>20000</v>
      </c>
      <c r="F1088" s="10">
        <v>0.018</v>
      </c>
      <c r="G1088" s="9">
        <v>45205</v>
      </c>
      <c r="H1088" s="12">
        <f t="shared" si="16"/>
        <v>360</v>
      </c>
      <c r="I1088" s="12" t="s">
        <v>10</v>
      </c>
      <c r="J1088" s="15"/>
    </row>
    <row r="1089" hidden="1" spans="2:10">
      <c r="B1089" s="86">
        <v>232401040</v>
      </c>
      <c r="C1089" s="9">
        <v>45208</v>
      </c>
      <c r="D1089" s="10" t="s">
        <v>148</v>
      </c>
      <c r="E1089" s="10">
        <v>20000</v>
      </c>
      <c r="F1089" s="10">
        <v>0.016</v>
      </c>
      <c r="G1089" s="9">
        <v>45280</v>
      </c>
      <c r="H1089" s="12">
        <f t="shared" si="16"/>
        <v>320</v>
      </c>
      <c r="I1089" s="12" t="s">
        <v>10</v>
      </c>
      <c r="J1089" s="15"/>
    </row>
    <row r="1090" hidden="1" spans="2:10">
      <c r="B1090" s="86">
        <v>232401059</v>
      </c>
      <c r="C1090" s="9">
        <v>45210</v>
      </c>
      <c r="D1090" s="87" t="s">
        <v>307</v>
      </c>
      <c r="E1090" s="10">
        <v>208000</v>
      </c>
      <c r="F1090" s="10">
        <v>0.0055</v>
      </c>
      <c r="G1090" s="9">
        <v>45224</v>
      </c>
      <c r="H1090" s="12">
        <f t="shared" ref="H1090:H1145" si="17">E1090*F1090</f>
        <v>1144</v>
      </c>
      <c r="I1090" s="12" t="s">
        <v>10</v>
      </c>
      <c r="J1090" s="15"/>
    </row>
    <row r="1091" hidden="1" spans="2:10">
      <c r="B1091" s="86">
        <v>232401062</v>
      </c>
      <c r="C1091" s="9">
        <v>45211</v>
      </c>
      <c r="D1091" s="87" t="s">
        <v>255</v>
      </c>
      <c r="E1091" s="10">
        <v>150000</v>
      </c>
      <c r="F1091" s="10">
        <v>0.0238</v>
      </c>
      <c r="G1091" s="9">
        <v>45250</v>
      </c>
      <c r="H1091" s="12">
        <f t="shared" si="17"/>
        <v>3570</v>
      </c>
      <c r="I1091" s="12" t="s">
        <v>10</v>
      </c>
      <c r="J1091" s="15"/>
    </row>
    <row r="1092" hidden="1" spans="2:10">
      <c r="B1092" s="86">
        <v>232401062</v>
      </c>
      <c r="C1092" s="9">
        <v>45211</v>
      </c>
      <c r="D1092" s="87" t="s">
        <v>255</v>
      </c>
      <c r="E1092" s="10">
        <v>200000</v>
      </c>
      <c r="F1092" s="10">
        <v>0.0238</v>
      </c>
      <c r="G1092" s="9">
        <v>45280</v>
      </c>
      <c r="H1092" s="12">
        <f t="shared" si="17"/>
        <v>4760</v>
      </c>
      <c r="I1092" s="12" t="s">
        <v>10</v>
      </c>
      <c r="J1092" s="15"/>
    </row>
    <row r="1093" hidden="1" spans="2:10">
      <c r="B1093" s="86">
        <v>232401062</v>
      </c>
      <c r="C1093" s="9">
        <v>45211</v>
      </c>
      <c r="D1093" s="87" t="s">
        <v>255</v>
      </c>
      <c r="E1093" s="10">
        <v>200000</v>
      </c>
      <c r="F1093" s="10">
        <v>0.0238</v>
      </c>
      <c r="G1093" s="9">
        <v>45311</v>
      </c>
      <c r="H1093" s="12">
        <f t="shared" si="17"/>
        <v>4760</v>
      </c>
      <c r="I1093" s="12" t="s">
        <v>10</v>
      </c>
      <c r="J1093" s="15"/>
    </row>
    <row r="1094" hidden="1" spans="2:10">
      <c r="B1094" s="86">
        <v>232401062</v>
      </c>
      <c r="C1094" s="9">
        <v>45211</v>
      </c>
      <c r="D1094" s="87" t="s">
        <v>255</v>
      </c>
      <c r="E1094" s="10">
        <v>200000</v>
      </c>
      <c r="F1094" s="10">
        <v>0.0238</v>
      </c>
      <c r="G1094" s="9">
        <v>45342</v>
      </c>
      <c r="H1094" s="12">
        <f t="shared" si="17"/>
        <v>4760</v>
      </c>
      <c r="I1094" s="12" t="s">
        <v>10</v>
      </c>
      <c r="J1094" s="15"/>
    </row>
    <row r="1095" hidden="1" spans="2:10">
      <c r="B1095" s="86">
        <v>232401063</v>
      </c>
      <c r="C1095" s="9">
        <v>45211</v>
      </c>
      <c r="D1095" s="87" t="s">
        <v>255</v>
      </c>
      <c r="E1095" s="10">
        <v>150000</v>
      </c>
      <c r="F1095" s="10">
        <v>0.0238</v>
      </c>
      <c r="G1095" s="9">
        <v>45250</v>
      </c>
      <c r="H1095" s="12">
        <f t="shared" si="17"/>
        <v>3570</v>
      </c>
      <c r="I1095" s="12" t="s">
        <v>10</v>
      </c>
      <c r="J1095" s="15"/>
    </row>
    <row r="1096" hidden="1" spans="2:10">
      <c r="B1096" s="86">
        <v>232401063</v>
      </c>
      <c r="C1096" s="9">
        <v>45211</v>
      </c>
      <c r="D1096" s="87" t="s">
        <v>255</v>
      </c>
      <c r="E1096" s="10">
        <v>100000</v>
      </c>
      <c r="F1096" s="10">
        <v>0.0238</v>
      </c>
      <c r="G1096" s="9">
        <v>45280</v>
      </c>
      <c r="H1096" s="12">
        <f t="shared" si="17"/>
        <v>2380</v>
      </c>
      <c r="I1096" s="12" t="s">
        <v>10</v>
      </c>
      <c r="J1096" s="15"/>
    </row>
    <row r="1097" hidden="1" spans="2:10">
      <c r="B1097" s="86">
        <v>232401063</v>
      </c>
      <c r="C1097" s="9">
        <v>45211</v>
      </c>
      <c r="D1097" s="87" t="s">
        <v>255</v>
      </c>
      <c r="E1097" s="10">
        <v>120000</v>
      </c>
      <c r="F1097" s="10">
        <v>0.0238</v>
      </c>
      <c r="G1097" s="9">
        <v>45342</v>
      </c>
      <c r="H1097" s="12">
        <f t="shared" si="17"/>
        <v>2856</v>
      </c>
      <c r="I1097" s="12" t="s">
        <v>10</v>
      </c>
      <c r="J1097" s="15"/>
    </row>
    <row r="1098" hidden="1" spans="2:10">
      <c r="B1098" s="86">
        <v>232401077</v>
      </c>
      <c r="C1098" s="9">
        <v>45212</v>
      </c>
      <c r="D1098" s="87" t="s">
        <v>215</v>
      </c>
      <c r="E1098" s="10">
        <v>100000</v>
      </c>
      <c r="F1098" s="10">
        <v>0.028</v>
      </c>
      <c r="G1098" s="9">
        <v>45255</v>
      </c>
      <c r="H1098" s="12">
        <f t="shared" si="17"/>
        <v>2800</v>
      </c>
      <c r="I1098" s="12" t="s">
        <v>10</v>
      </c>
      <c r="J1098" s="15"/>
    </row>
    <row r="1099" hidden="1" spans="2:10">
      <c r="B1099" s="86">
        <v>232401077</v>
      </c>
      <c r="C1099" s="9">
        <v>45212</v>
      </c>
      <c r="D1099" s="87" t="s">
        <v>215</v>
      </c>
      <c r="E1099" s="10">
        <v>100000</v>
      </c>
      <c r="F1099" s="10">
        <v>0.028</v>
      </c>
      <c r="G1099" s="9">
        <v>45285</v>
      </c>
      <c r="H1099" s="12">
        <f t="shared" si="17"/>
        <v>2800</v>
      </c>
      <c r="I1099" s="12" t="s">
        <v>10</v>
      </c>
      <c r="J1099" s="15"/>
    </row>
    <row r="1100" hidden="1" spans="2:10">
      <c r="B1100" s="86">
        <v>232401077</v>
      </c>
      <c r="C1100" s="9">
        <v>45212</v>
      </c>
      <c r="D1100" s="87" t="s">
        <v>215</v>
      </c>
      <c r="E1100" s="10">
        <v>100000</v>
      </c>
      <c r="F1100" s="10">
        <v>0.028</v>
      </c>
      <c r="G1100" s="9">
        <v>45316</v>
      </c>
      <c r="H1100" s="12">
        <f t="shared" si="17"/>
        <v>2800</v>
      </c>
      <c r="I1100" s="12" t="s">
        <v>10</v>
      </c>
      <c r="J1100" s="15"/>
    </row>
    <row r="1101" hidden="1" spans="2:10">
      <c r="B1101" s="86">
        <v>232401110</v>
      </c>
      <c r="C1101" s="9">
        <v>45218</v>
      </c>
      <c r="D1101" s="87" t="s">
        <v>231</v>
      </c>
      <c r="E1101" s="10">
        <v>402000</v>
      </c>
      <c r="F1101" s="10">
        <v>0.0082</v>
      </c>
      <c r="G1101" s="9">
        <v>45275</v>
      </c>
      <c r="H1101" s="12">
        <f t="shared" si="17"/>
        <v>3296.4</v>
      </c>
      <c r="I1101" s="12" t="s">
        <v>10</v>
      </c>
      <c r="J1101" s="15"/>
    </row>
    <row r="1102" hidden="1" spans="2:10">
      <c r="B1102" s="86">
        <v>232401110</v>
      </c>
      <c r="C1102" s="9">
        <v>45218</v>
      </c>
      <c r="D1102" s="87" t="s">
        <v>231</v>
      </c>
      <c r="E1102" s="10">
        <v>252000</v>
      </c>
      <c r="F1102" s="10">
        <v>0.0082</v>
      </c>
      <c r="G1102" s="9">
        <v>45306</v>
      </c>
      <c r="H1102" s="12">
        <f t="shared" si="17"/>
        <v>2066.4</v>
      </c>
      <c r="I1102" s="12" t="s">
        <v>10</v>
      </c>
      <c r="J1102" s="15"/>
    </row>
    <row r="1103" hidden="1" spans="2:10">
      <c r="B1103" s="86">
        <v>232401110</v>
      </c>
      <c r="C1103" s="9">
        <v>45218</v>
      </c>
      <c r="D1103" s="87" t="s">
        <v>231</v>
      </c>
      <c r="E1103" s="10">
        <v>252000</v>
      </c>
      <c r="F1103" s="10">
        <v>0.0082</v>
      </c>
      <c r="G1103" s="9">
        <v>45337</v>
      </c>
      <c r="H1103" s="12">
        <f t="shared" si="17"/>
        <v>2066.4</v>
      </c>
      <c r="I1103" s="12" t="s">
        <v>10</v>
      </c>
      <c r="J1103" s="15"/>
    </row>
    <row r="1104" hidden="1" spans="2:10">
      <c r="B1104" s="86">
        <v>232401110</v>
      </c>
      <c r="C1104" s="9">
        <v>45218</v>
      </c>
      <c r="D1104" s="87" t="s">
        <v>231</v>
      </c>
      <c r="E1104" s="10">
        <v>252000</v>
      </c>
      <c r="F1104" s="10">
        <v>0.0082</v>
      </c>
      <c r="G1104" s="9">
        <v>45337</v>
      </c>
      <c r="H1104" s="12">
        <f t="shared" si="17"/>
        <v>2066.4</v>
      </c>
      <c r="I1104" s="12" t="s">
        <v>10</v>
      </c>
      <c r="J1104" s="15"/>
    </row>
    <row r="1105" hidden="1" spans="2:10">
      <c r="B1105" s="86">
        <v>232401110</v>
      </c>
      <c r="C1105" s="9">
        <v>45218</v>
      </c>
      <c r="D1105" s="87" t="s">
        <v>255</v>
      </c>
      <c r="E1105" s="10">
        <v>252000</v>
      </c>
      <c r="F1105" s="10">
        <v>0.0238</v>
      </c>
      <c r="G1105" s="9">
        <v>45337</v>
      </c>
      <c r="H1105" s="12">
        <f t="shared" si="17"/>
        <v>5997.6</v>
      </c>
      <c r="I1105" s="12" t="s">
        <v>10</v>
      </c>
      <c r="J1105" s="15"/>
    </row>
    <row r="1106" hidden="1" spans="2:10">
      <c r="B1106" s="86">
        <v>232401110</v>
      </c>
      <c r="C1106" s="9">
        <v>45218</v>
      </c>
      <c r="D1106" s="87" t="s">
        <v>255</v>
      </c>
      <c r="E1106" s="10">
        <v>100000</v>
      </c>
      <c r="F1106" s="10">
        <v>0.0238</v>
      </c>
      <c r="G1106" s="9">
        <v>45366</v>
      </c>
      <c r="H1106" s="12">
        <f t="shared" si="17"/>
        <v>2380</v>
      </c>
      <c r="I1106" s="12" t="s">
        <v>10</v>
      </c>
      <c r="J1106" s="15"/>
    </row>
    <row r="1107" hidden="1" spans="2:10">
      <c r="B1107" s="86">
        <v>232401110</v>
      </c>
      <c r="C1107" s="9">
        <v>45218</v>
      </c>
      <c r="D1107" s="87" t="s">
        <v>274</v>
      </c>
      <c r="E1107" s="10">
        <v>200000</v>
      </c>
      <c r="F1107" s="10">
        <v>0.028</v>
      </c>
      <c r="G1107" s="9">
        <v>45245</v>
      </c>
      <c r="H1107" s="12">
        <f t="shared" si="17"/>
        <v>5600</v>
      </c>
      <c r="I1107" s="12" t="s">
        <v>10</v>
      </c>
      <c r="J1107" s="15"/>
    </row>
    <row r="1108" hidden="1" spans="2:10">
      <c r="B1108" s="86">
        <v>232401110</v>
      </c>
      <c r="C1108" s="9">
        <v>45218</v>
      </c>
      <c r="D1108" s="87" t="s">
        <v>274</v>
      </c>
      <c r="E1108" s="10">
        <v>100000</v>
      </c>
      <c r="F1108" s="10">
        <v>0.028</v>
      </c>
      <c r="G1108" s="9">
        <v>45275</v>
      </c>
      <c r="H1108" s="12">
        <f t="shared" si="17"/>
        <v>2800</v>
      </c>
      <c r="I1108" s="12" t="s">
        <v>10</v>
      </c>
      <c r="J1108" s="15"/>
    </row>
    <row r="1109" hidden="1" spans="2:10">
      <c r="B1109" s="86">
        <v>232401110</v>
      </c>
      <c r="C1109" s="9">
        <v>45218</v>
      </c>
      <c r="D1109" s="87" t="s">
        <v>274</v>
      </c>
      <c r="E1109" s="10">
        <v>100000</v>
      </c>
      <c r="F1109" s="10">
        <v>0.028</v>
      </c>
      <c r="G1109" s="9">
        <v>45306</v>
      </c>
      <c r="H1109" s="12">
        <f t="shared" si="17"/>
        <v>2800</v>
      </c>
      <c r="I1109" s="12" t="s">
        <v>10</v>
      </c>
      <c r="J1109" s="15"/>
    </row>
    <row r="1110" hidden="1" spans="2:10">
      <c r="B1110" s="86">
        <v>232401110</v>
      </c>
      <c r="C1110" s="9">
        <v>45218</v>
      </c>
      <c r="D1110" s="87" t="s">
        <v>274</v>
      </c>
      <c r="E1110" s="10">
        <v>100000</v>
      </c>
      <c r="F1110" s="10">
        <v>0.028</v>
      </c>
      <c r="G1110" s="9">
        <v>45337</v>
      </c>
      <c r="H1110" s="12">
        <f t="shared" si="17"/>
        <v>2800</v>
      </c>
      <c r="I1110" s="12" t="s">
        <v>10</v>
      </c>
      <c r="J1110" s="15"/>
    </row>
    <row r="1111" hidden="1" spans="2:10">
      <c r="B1111" s="86">
        <v>232401110</v>
      </c>
      <c r="C1111" s="9">
        <v>45218</v>
      </c>
      <c r="D1111" s="87" t="s">
        <v>311</v>
      </c>
      <c r="E1111" s="10">
        <v>120000</v>
      </c>
      <c r="F1111" s="10">
        <v>0.028</v>
      </c>
      <c r="G1111" s="9">
        <v>45245</v>
      </c>
      <c r="H1111" s="12">
        <f t="shared" si="17"/>
        <v>3360</v>
      </c>
      <c r="I1111" s="12" t="s">
        <v>10</v>
      </c>
      <c r="J1111" s="15"/>
    </row>
    <row r="1112" hidden="1" spans="2:10">
      <c r="B1112" s="86">
        <v>232401110</v>
      </c>
      <c r="C1112" s="9">
        <v>45218</v>
      </c>
      <c r="D1112" s="87" t="s">
        <v>311</v>
      </c>
      <c r="E1112" s="10">
        <v>80000</v>
      </c>
      <c r="F1112" s="10">
        <v>0.028</v>
      </c>
      <c r="G1112" s="9">
        <v>45275</v>
      </c>
      <c r="H1112" s="12">
        <f t="shared" si="17"/>
        <v>2240</v>
      </c>
      <c r="I1112" s="12" t="s">
        <v>10</v>
      </c>
      <c r="J1112" s="15"/>
    </row>
    <row r="1113" hidden="1" spans="2:10">
      <c r="B1113" s="86">
        <v>232401110</v>
      </c>
      <c r="C1113" s="9">
        <v>45218</v>
      </c>
      <c r="D1113" s="87" t="s">
        <v>311</v>
      </c>
      <c r="E1113" s="10">
        <v>80000</v>
      </c>
      <c r="F1113" s="10">
        <v>0.028</v>
      </c>
      <c r="G1113" s="9">
        <v>45306</v>
      </c>
      <c r="H1113" s="12">
        <f t="shared" si="17"/>
        <v>2240</v>
      </c>
      <c r="I1113" s="12" t="s">
        <v>10</v>
      </c>
      <c r="J1113" s="15"/>
    </row>
    <row r="1114" hidden="1" spans="2:10">
      <c r="B1114" s="86">
        <v>232401110</v>
      </c>
      <c r="C1114" s="9">
        <v>45218</v>
      </c>
      <c r="D1114" s="87" t="s">
        <v>311</v>
      </c>
      <c r="E1114" s="10">
        <v>80000</v>
      </c>
      <c r="F1114" s="10">
        <v>0.028</v>
      </c>
      <c r="G1114" s="9">
        <v>45337</v>
      </c>
      <c r="H1114" s="12">
        <f t="shared" si="17"/>
        <v>2240</v>
      </c>
      <c r="I1114" s="12" t="s">
        <v>10</v>
      </c>
      <c r="J1114" s="15"/>
    </row>
    <row r="1115" hidden="1" spans="2:10">
      <c r="B1115" s="86">
        <v>232401110</v>
      </c>
      <c r="C1115" s="9">
        <v>45218</v>
      </c>
      <c r="D1115" s="87" t="s">
        <v>259</v>
      </c>
      <c r="E1115" s="10">
        <v>120000</v>
      </c>
      <c r="F1115" s="10">
        <v>0.028</v>
      </c>
      <c r="G1115" s="9">
        <v>45245</v>
      </c>
      <c r="H1115" s="12">
        <f t="shared" si="17"/>
        <v>3360</v>
      </c>
      <c r="I1115" s="12" t="s">
        <v>10</v>
      </c>
      <c r="J1115" s="15"/>
    </row>
    <row r="1116" hidden="1" spans="2:10">
      <c r="B1116" s="86">
        <v>232401110</v>
      </c>
      <c r="C1116" s="9">
        <v>45218</v>
      </c>
      <c r="D1116" s="87" t="s">
        <v>259</v>
      </c>
      <c r="E1116" s="10">
        <v>100000</v>
      </c>
      <c r="F1116" s="10">
        <v>0.028</v>
      </c>
      <c r="G1116" s="9">
        <v>45275</v>
      </c>
      <c r="H1116" s="12">
        <f t="shared" si="17"/>
        <v>2800</v>
      </c>
      <c r="I1116" s="12" t="s">
        <v>10</v>
      </c>
      <c r="J1116" s="15"/>
    </row>
    <row r="1117" hidden="1" spans="2:10">
      <c r="B1117" s="86">
        <v>232401110</v>
      </c>
      <c r="C1117" s="9">
        <v>45218</v>
      </c>
      <c r="D1117" s="87" t="s">
        <v>259</v>
      </c>
      <c r="E1117" s="10">
        <v>60000</v>
      </c>
      <c r="F1117" s="10">
        <v>0.028</v>
      </c>
      <c r="G1117" s="9">
        <v>45306</v>
      </c>
      <c r="H1117" s="12">
        <f t="shared" si="17"/>
        <v>1680</v>
      </c>
      <c r="I1117" s="12" t="s">
        <v>10</v>
      </c>
      <c r="J1117" s="15"/>
    </row>
    <row r="1118" hidden="1" spans="2:10">
      <c r="B1118" s="86">
        <v>232401110</v>
      </c>
      <c r="C1118" s="9">
        <v>45218</v>
      </c>
      <c r="D1118" s="87" t="s">
        <v>259</v>
      </c>
      <c r="E1118" s="10">
        <v>60000</v>
      </c>
      <c r="F1118" s="10">
        <v>0.028</v>
      </c>
      <c r="G1118" s="9">
        <v>45337</v>
      </c>
      <c r="H1118" s="12">
        <f t="shared" si="17"/>
        <v>1680</v>
      </c>
      <c r="I1118" s="12" t="s">
        <v>10</v>
      </c>
      <c r="J1118" s="15"/>
    </row>
    <row r="1119" hidden="1" spans="2:10">
      <c r="B1119" s="86">
        <v>232401111</v>
      </c>
      <c r="C1119" s="9">
        <v>45219</v>
      </c>
      <c r="D1119" s="87" t="s">
        <v>256</v>
      </c>
      <c r="E1119" s="10">
        <v>120000</v>
      </c>
      <c r="F1119" s="10">
        <v>0.0292</v>
      </c>
      <c r="G1119" s="9">
        <v>45275</v>
      </c>
      <c r="H1119" s="12">
        <f t="shared" si="17"/>
        <v>3504</v>
      </c>
      <c r="I1119" s="12" t="s">
        <v>10</v>
      </c>
      <c r="J1119" s="15"/>
    </row>
    <row r="1120" hidden="1" spans="2:10">
      <c r="B1120" s="86">
        <v>232401111</v>
      </c>
      <c r="C1120" s="9">
        <v>45219</v>
      </c>
      <c r="D1120" s="87" t="s">
        <v>256</v>
      </c>
      <c r="E1120" s="10">
        <v>60000</v>
      </c>
      <c r="F1120" s="10">
        <v>0.0292</v>
      </c>
      <c r="G1120" s="9">
        <v>45306</v>
      </c>
      <c r="H1120" s="12">
        <f t="shared" si="17"/>
        <v>1752</v>
      </c>
      <c r="I1120" s="12" t="s">
        <v>10</v>
      </c>
      <c r="J1120" s="15"/>
    </row>
    <row r="1121" hidden="1" spans="2:10">
      <c r="B1121" s="86">
        <v>232401111</v>
      </c>
      <c r="C1121" s="9">
        <v>45219</v>
      </c>
      <c r="D1121" s="87" t="s">
        <v>256</v>
      </c>
      <c r="E1121" s="10">
        <v>60000</v>
      </c>
      <c r="F1121" s="10">
        <v>0.0292</v>
      </c>
      <c r="G1121" s="9">
        <v>45337</v>
      </c>
      <c r="H1121" s="12">
        <f t="shared" si="17"/>
        <v>1752</v>
      </c>
      <c r="I1121" s="12" t="s">
        <v>10</v>
      </c>
      <c r="J1121" s="15"/>
    </row>
    <row r="1122" hidden="1" spans="2:10">
      <c r="B1122" s="86">
        <v>232401111</v>
      </c>
      <c r="C1122" s="9">
        <v>45219</v>
      </c>
      <c r="D1122" s="87" t="s">
        <v>256</v>
      </c>
      <c r="E1122" s="10">
        <v>60000</v>
      </c>
      <c r="F1122" s="10">
        <v>0.0292</v>
      </c>
      <c r="G1122" s="9">
        <v>45366</v>
      </c>
      <c r="H1122" s="12">
        <f t="shared" si="17"/>
        <v>1752</v>
      </c>
      <c r="I1122" s="12" t="s">
        <v>10</v>
      </c>
      <c r="J1122" s="15"/>
    </row>
    <row r="1123" hidden="1" spans="2:10">
      <c r="B1123" s="86">
        <v>232401119</v>
      </c>
      <c r="C1123" s="9">
        <v>45219</v>
      </c>
      <c r="D1123" s="87" t="s">
        <v>204</v>
      </c>
      <c r="E1123" s="10">
        <v>200000</v>
      </c>
      <c r="F1123" s="10">
        <v>0.036</v>
      </c>
      <c r="G1123" s="9">
        <v>45275</v>
      </c>
      <c r="H1123" s="12">
        <f t="shared" si="17"/>
        <v>7200</v>
      </c>
      <c r="I1123" s="12" t="s">
        <v>10</v>
      </c>
      <c r="J1123" s="15"/>
    </row>
    <row r="1124" hidden="1" spans="2:10">
      <c r="B1124" s="86">
        <v>232401119</v>
      </c>
      <c r="C1124" s="9">
        <v>45219</v>
      </c>
      <c r="D1124" s="87" t="s">
        <v>204</v>
      </c>
      <c r="E1124" s="10">
        <v>200000</v>
      </c>
      <c r="F1124" s="10">
        <v>0.036</v>
      </c>
      <c r="G1124" s="9">
        <v>45306</v>
      </c>
      <c r="H1124" s="12">
        <f t="shared" si="17"/>
        <v>7200</v>
      </c>
      <c r="I1124" s="12" t="s">
        <v>10</v>
      </c>
      <c r="J1124" s="15"/>
    </row>
    <row r="1125" hidden="1" spans="2:10">
      <c r="B1125" s="86">
        <v>232401119</v>
      </c>
      <c r="C1125" s="9">
        <v>45219</v>
      </c>
      <c r="D1125" s="87" t="s">
        <v>204</v>
      </c>
      <c r="E1125" s="10">
        <v>200000</v>
      </c>
      <c r="F1125" s="10">
        <v>0.036</v>
      </c>
      <c r="G1125" s="9">
        <v>45337</v>
      </c>
      <c r="H1125" s="12">
        <f t="shared" si="17"/>
        <v>7200</v>
      </c>
      <c r="I1125" s="12" t="s">
        <v>10</v>
      </c>
      <c r="J1125" s="15"/>
    </row>
    <row r="1126" hidden="1" spans="2:10">
      <c r="B1126" s="86">
        <v>232401119</v>
      </c>
      <c r="C1126" s="9">
        <v>45219</v>
      </c>
      <c r="D1126" s="87" t="s">
        <v>204</v>
      </c>
      <c r="E1126" s="10">
        <v>200000</v>
      </c>
      <c r="F1126" s="10">
        <v>0.036</v>
      </c>
      <c r="G1126" s="9">
        <v>45366</v>
      </c>
      <c r="H1126" s="12">
        <f t="shared" si="17"/>
        <v>7200</v>
      </c>
      <c r="I1126" s="12" t="s">
        <v>10</v>
      </c>
      <c r="J1126" s="15"/>
    </row>
    <row r="1127" hidden="1" spans="2:10">
      <c r="B1127" s="86">
        <v>232401119</v>
      </c>
      <c r="C1127" s="9">
        <v>45219</v>
      </c>
      <c r="D1127" s="10" t="s">
        <v>56</v>
      </c>
      <c r="E1127" s="10">
        <v>40000</v>
      </c>
      <c r="F1127" s="10">
        <v>0.035</v>
      </c>
      <c r="G1127" s="9">
        <v>45306</v>
      </c>
      <c r="H1127" s="12">
        <f t="shared" si="17"/>
        <v>1400</v>
      </c>
      <c r="I1127" s="12" t="s">
        <v>10</v>
      </c>
      <c r="J1127" s="15"/>
    </row>
    <row r="1128" hidden="1" spans="2:10">
      <c r="B1128" s="86">
        <v>232401119</v>
      </c>
      <c r="C1128" s="9">
        <v>45219</v>
      </c>
      <c r="D1128" s="10" t="s">
        <v>56</v>
      </c>
      <c r="E1128" s="10">
        <v>40000</v>
      </c>
      <c r="F1128" s="10">
        <v>0.035</v>
      </c>
      <c r="G1128" s="9">
        <v>45337</v>
      </c>
      <c r="H1128" s="12">
        <f t="shared" si="17"/>
        <v>1400</v>
      </c>
      <c r="I1128" s="12" t="s">
        <v>10</v>
      </c>
      <c r="J1128" s="15"/>
    </row>
    <row r="1129" hidden="1" spans="2:10">
      <c r="B1129" s="86">
        <v>232401119</v>
      </c>
      <c r="C1129" s="9">
        <v>45219</v>
      </c>
      <c r="D1129" s="10" t="s">
        <v>56</v>
      </c>
      <c r="E1129" s="10">
        <v>40000</v>
      </c>
      <c r="F1129" s="10">
        <v>0.035</v>
      </c>
      <c r="G1129" s="9">
        <v>45366</v>
      </c>
      <c r="H1129" s="12">
        <f t="shared" si="17"/>
        <v>1400</v>
      </c>
      <c r="I1129" s="12" t="s">
        <v>10</v>
      </c>
      <c r="J1129" s="15"/>
    </row>
    <row r="1130" hidden="1" spans="2:10">
      <c r="B1130" s="86">
        <v>232401119</v>
      </c>
      <c r="C1130" s="9">
        <v>45219</v>
      </c>
      <c r="D1130" s="87" t="s">
        <v>238</v>
      </c>
      <c r="E1130" s="10">
        <v>240000</v>
      </c>
      <c r="F1130" s="10">
        <v>0.035</v>
      </c>
      <c r="G1130" s="9">
        <v>45306</v>
      </c>
      <c r="H1130" s="12">
        <f t="shared" si="17"/>
        <v>8400</v>
      </c>
      <c r="I1130" s="12" t="s">
        <v>10</v>
      </c>
      <c r="J1130" s="15"/>
    </row>
    <row r="1131" hidden="1" spans="2:10">
      <c r="B1131" s="86">
        <v>232401119</v>
      </c>
      <c r="C1131" s="9">
        <v>45219</v>
      </c>
      <c r="D1131" s="87" t="s">
        <v>238</v>
      </c>
      <c r="E1131" s="10">
        <v>200000</v>
      </c>
      <c r="F1131" s="10">
        <v>0.035</v>
      </c>
      <c r="G1131" s="9">
        <v>45337</v>
      </c>
      <c r="H1131" s="12">
        <f t="shared" si="17"/>
        <v>7000</v>
      </c>
      <c r="I1131" s="12" t="s">
        <v>10</v>
      </c>
      <c r="J1131" s="15"/>
    </row>
    <row r="1132" hidden="1" spans="2:10">
      <c r="B1132" s="86">
        <v>232401119</v>
      </c>
      <c r="C1132" s="9">
        <v>45219</v>
      </c>
      <c r="D1132" s="87" t="s">
        <v>238</v>
      </c>
      <c r="E1132" s="10">
        <v>200000</v>
      </c>
      <c r="F1132" s="10">
        <v>0.035</v>
      </c>
      <c r="G1132" s="9">
        <v>45366</v>
      </c>
      <c r="H1132" s="12">
        <f t="shared" si="17"/>
        <v>7000</v>
      </c>
      <c r="I1132" s="12" t="s">
        <v>10</v>
      </c>
      <c r="J1132" s="15"/>
    </row>
    <row r="1133" hidden="1" spans="2:10">
      <c r="B1133" s="86">
        <v>232401119</v>
      </c>
      <c r="C1133" s="9">
        <v>45219</v>
      </c>
      <c r="D1133" s="87" t="s">
        <v>240</v>
      </c>
      <c r="E1133" s="10">
        <v>120000</v>
      </c>
      <c r="F1133" s="10">
        <v>0.03</v>
      </c>
      <c r="G1133" s="9">
        <v>45275</v>
      </c>
      <c r="H1133" s="12">
        <f t="shared" si="17"/>
        <v>3600</v>
      </c>
      <c r="I1133" s="12" t="s">
        <v>10</v>
      </c>
      <c r="J1133" s="15"/>
    </row>
    <row r="1134" hidden="1" spans="2:10">
      <c r="B1134" s="86">
        <v>232401119</v>
      </c>
      <c r="C1134" s="9">
        <v>45219</v>
      </c>
      <c r="D1134" s="87" t="s">
        <v>240</v>
      </c>
      <c r="E1134" s="10">
        <v>120000</v>
      </c>
      <c r="F1134" s="10">
        <v>0.03</v>
      </c>
      <c r="G1134" s="9">
        <v>45306</v>
      </c>
      <c r="H1134" s="12">
        <f t="shared" si="17"/>
        <v>3600</v>
      </c>
      <c r="I1134" s="12" t="s">
        <v>10</v>
      </c>
      <c r="J1134" s="15"/>
    </row>
    <row r="1135" hidden="1" spans="2:10">
      <c r="B1135" s="86">
        <v>232401119</v>
      </c>
      <c r="C1135" s="9">
        <v>45219</v>
      </c>
      <c r="D1135" s="87" t="s">
        <v>240</v>
      </c>
      <c r="E1135" s="10">
        <v>120000</v>
      </c>
      <c r="F1135" s="10">
        <v>0.03</v>
      </c>
      <c r="G1135" s="9">
        <v>45337</v>
      </c>
      <c r="H1135" s="12">
        <f t="shared" si="17"/>
        <v>3600</v>
      </c>
      <c r="I1135" s="12" t="s">
        <v>10</v>
      </c>
      <c r="J1135" s="15"/>
    </row>
    <row r="1136" hidden="1" spans="2:10">
      <c r="B1136" s="86">
        <v>232401119</v>
      </c>
      <c r="C1136" s="9">
        <v>45219</v>
      </c>
      <c r="D1136" s="87" t="s">
        <v>240</v>
      </c>
      <c r="E1136" s="10">
        <v>120000</v>
      </c>
      <c r="F1136" s="10">
        <v>0.03</v>
      </c>
      <c r="G1136" s="9">
        <v>45366</v>
      </c>
      <c r="H1136" s="12">
        <f t="shared" si="17"/>
        <v>3600</v>
      </c>
      <c r="I1136" s="12" t="s">
        <v>10</v>
      </c>
      <c r="J1136" s="15"/>
    </row>
    <row r="1137" hidden="1" spans="2:10">
      <c r="B1137" s="86">
        <v>232401119</v>
      </c>
      <c r="C1137" s="9">
        <v>45219</v>
      </c>
      <c r="D1137" s="10" t="s">
        <v>25</v>
      </c>
      <c r="E1137" s="10">
        <v>20000</v>
      </c>
      <c r="F1137" s="10">
        <v>0.016</v>
      </c>
      <c r="G1137" s="9">
        <v>45306</v>
      </c>
      <c r="H1137" s="12">
        <f t="shared" si="17"/>
        <v>320</v>
      </c>
      <c r="I1137" s="12" t="s">
        <v>10</v>
      </c>
      <c r="J1137" s="15"/>
    </row>
    <row r="1138" hidden="1" spans="2:10">
      <c r="B1138" s="86">
        <v>232401119</v>
      </c>
      <c r="C1138" s="9">
        <v>45219</v>
      </c>
      <c r="D1138" s="10" t="s">
        <v>25</v>
      </c>
      <c r="E1138" s="10">
        <v>20000</v>
      </c>
      <c r="F1138" s="10">
        <v>0.016</v>
      </c>
      <c r="G1138" s="9">
        <v>45337</v>
      </c>
      <c r="H1138" s="12">
        <f t="shared" si="17"/>
        <v>320</v>
      </c>
      <c r="I1138" s="12" t="s">
        <v>10</v>
      </c>
      <c r="J1138" s="15"/>
    </row>
    <row r="1139" hidden="1" spans="2:10">
      <c r="B1139" s="86">
        <v>232401119</v>
      </c>
      <c r="C1139" s="9">
        <v>45219</v>
      </c>
      <c r="D1139" s="87" t="s">
        <v>255</v>
      </c>
      <c r="E1139" s="10">
        <v>180000</v>
      </c>
      <c r="F1139" s="10">
        <v>0.0238</v>
      </c>
      <c r="G1139" s="9">
        <v>45306</v>
      </c>
      <c r="H1139" s="12">
        <f t="shared" si="17"/>
        <v>4284</v>
      </c>
      <c r="I1139" s="12" t="s">
        <v>10</v>
      </c>
      <c r="J1139" s="15"/>
    </row>
    <row r="1140" hidden="1" spans="2:10">
      <c r="B1140" s="86">
        <v>232401119</v>
      </c>
      <c r="C1140" s="9">
        <v>45219</v>
      </c>
      <c r="D1140" s="87" t="s">
        <v>255</v>
      </c>
      <c r="E1140" s="10">
        <v>180000</v>
      </c>
      <c r="F1140" s="10">
        <v>0.0238</v>
      </c>
      <c r="G1140" s="9">
        <v>45337</v>
      </c>
      <c r="H1140" s="12">
        <f t="shared" si="17"/>
        <v>4284</v>
      </c>
      <c r="I1140" s="12" t="s">
        <v>10</v>
      </c>
      <c r="J1140" s="15"/>
    </row>
    <row r="1141" hidden="1" spans="2:10">
      <c r="B1141" s="86">
        <v>232401119</v>
      </c>
      <c r="C1141" s="9">
        <v>45219</v>
      </c>
      <c r="D1141" s="87" t="s">
        <v>255</v>
      </c>
      <c r="E1141" s="10">
        <v>180000</v>
      </c>
      <c r="F1141" s="10">
        <v>0.0238</v>
      </c>
      <c r="G1141" s="9">
        <v>45366</v>
      </c>
      <c r="H1141" s="12">
        <f t="shared" si="17"/>
        <v>4284</v>
      </c>
      <c r="I1141" s="12" t="s">
        <v>10</v>
      </c>
      <c r="J1141" s="15"/>
    </row>
    <row r="1142" hidden="1" spans="2:10">
      <c r="B1142" s="86">
        <v>232401120</v>
      </c>
      <c r="C1142" s="9">
        <v>45219</v>
      </c>
      <c r="D1142" s="10" t="s">
        <v>32</v>
      </c>
      <c r="E1142" s="10">
        <v>100000</v>
      </c>
      <c r="F1142" s="10">
        <v>0.02</v>
      </c>
      <c r="G1142" s="9">
        <v>45275</v>
      </c>
      <c r="H1142" s="12">
        <f t="shared" si="17"/>
        <v>2000</v>
      </c>
      <c r="I1142" s="12" t="s">
        <v>10</v>
      </c>
      <c r="J1142" s="15"/>
    </row>
    <row r="1143" hidden="1" spans="2:10">
      <c r="B1143" s="86">
        <v>232401120</v>
      </c>
      <c r="C1143" s="9">
        <v>45219</v>
      </c>
      <c r="D1143" s="10" t="s">
        <v>32</v>
      </c>
      <c r="E1143" s="10">
        <v>100000</v>
      </c>
      <c r="F1143" s="10">
        <v>0.02</v>
      </c>
      <c r="G1143" s="9">
        <v>45306</v>
      </c>
      <c r="H1143" s="12">
        <f t="shared" si="17"/>
        <v>2000</v>
      </c>
      <c r="I1143" s="12" t="s">
        <v>10</v>
      </c>
      <c r="J1143" s="15"/>
    </row>
    <row r="1144" hidden="1" spans="2:10">
      <c r="B1144" s="86">
        <v>232401120</v>
      </c>
      <c r="C1144" s="9">
        <v>45219</v>
      </c>
      <c r="D1144" s="10" t="s">
        <v>32</v>
      </c>
      <c r="E1144" s="10">
        <v>100000</v>
      </c>
      <c r="F1144" s="10">
        <v>0.02</v>
      </c>
      <c r="G1144" s="9">
        <v>45337</v>
      </c>
      <c r="H1144" s="12">
        <f t="shared" si="17"/>
        <v>2000</v>
      </c>
      <c r="I1144" s="12" t="s">
        <v>10</v>
      </c>
      <c r="J1144" s="15"/>
    </row>
    <row r="1145" hidden="1" spans="2:10">
      <c r="B1145" s="86">
        <v>232401120</v>
      </c>
      <c r="C1145" s="9">
        <v>45219</v>
      </c>
      <c r="D1145" s="10" t="s">
        <v>32</v>
      </c>
      <c r="E1145" s="10">
        <v>100000</v>
      </c>
      <c r="F1145" s="10">
        <v>0.02</v>
      </c>
      <c r="G1145" s="9">
        <v>45366</v>
      </c>
      <c r="H1145" s="12">
        <f t="shared" si="17"/>
        <v>2000</v>
      </c>
      <c r="I1145" s="12" t="s">
        <v>10</v>
      </c>
      <c r="J1145" s="15"/>
    </row>
    <row r="1146" hidden="1" spans="2:10">
      <c r="B1146" s="86">
        <v>232401120</v>
      </c>
      <c r="C1146" s="9">
        <v>45219</v>
      </c>
      <c r="D1146" s="10" t="s">
        <v>58</v>
      </c>
      <c r="E1146" s="10">
        <v>20000</v>
      </c>
      <c r="F1146" s="10">
        <v>0.019</v>
      </c>
      <c r="G1146" s="9">
        <v>45306</v>
      </c>
      <c r="H1146" s="12">
        <f>E1146*F1147</f>
        <v>380</v>
      </c>
      <c r="I1146" s="12" t="s">
        <v>10</v>
      </c>
      <c r="J1146" s="15"/>
    </row>
    <row r="1147" hidden="1" spans="2:10">
      <c r="B1147" s="86">
        <v>232401120</v>
      </c>
      <c r="C1147" s="9">
        <v>45219</v>
      </c>
      <c r="D1147" s="10" t="s">
        <v>58</v>
      </c>
      <c r="E1147" s="10">
        <v>20000</v>
      </c>
      <c r="F1147" s="10">
        <v>0.019</v>
      </c>
      <c r="G1147" s="9">
        <v>45337</v>
      </c>
      <c r="H1147" s="12">
        <f>E1147*F1148</f>
        <v>380</v>
      </c>
      <c r="I1147" s="12" t="s">
        <v>10</v>
      </c>
      <c r="J1147" s="15"/>
    </row>
    <row r="1148" hidden="1" spans="2:10">
      <c r="B1148" s="86">
        <v>232401120</v>
      </c>
      <c r="C1148" s="9">
        <v>45219</v>
      </c>
      <c r="D1148" s="10" t="s">
        <v>58</v>
      </c>
      <c r="E1148" s="10">
        <v>20000</v>
      </c>
      <c r="F1148" s="10">
        <v>0.019</v>
      </c>
      <c r="G1148" s="9">
        <v>45366</v>
      </c>
      <c r="H1148" s="12">
        <f t="shared" ref="H1148:H1211" si="18">E1148*F1148</f>
        <v>380</v>
      </c>
      <c r="I1148" s="12" t="s">
        <v>10</v>
      </c>
      <c r="J1148" s="15"/>
    </row>
    <row r="1149" hidden="1" spans="2:10">
      <c r="B1149" s="86">
        <v>232401120</v>
      </c>
      <c r="C1149" s="9">
        <v>45219</v>
      </c>
      <c r="D1149" s="10" t="s">
        <v>70</v>
      </c>
      <c r="E1149" s="10">
        <v>20000</v>
      </c>
      <c r="F1149" s="10">
        <v>0.028</v>
      </c>
      <c r="G1149" s="9">
        <v>45245</v>
      </c>
      <c r="H1149" s="12">
        <f t="shared" si="18"/>
        <v>560</v>
      </c>
      <c r="I1149" s="12" t="s">
        <v>10</v>
      </c>
      <c r="J1149" s="15"/>
    </row>
    <row r="1150" hidden="1" spans="2:10">
      <c r="B1150" s="86">
        <v>232401120</v>
      </c>
      <c r="C1150" s="9">
        <v>45219</v>
      </c>
      <c r="D1150" s="10" t="s">
        <v>70</v>
      </c>
      <c r="E1150" s="10">
        <v>20000</v>
      </c>
      <c r="F1150" s="10">
        <v>0.028</v>
      </c>
      <c r="G1150" s="9">
        <v>45337</v>
      </c>
      <c r="H1150" s="12">
        <f t="shared" si="18"/>
        <v>560</v>
      </c>
      <c r="I1150" s="12" t="s">
        <v>10</v>
      </c>
      <c r="J1150" s="15"/>
    </row>
    <row r="1151" hidden="1" spans="2:10">
      <c r="B1151" s="86">
        <v>232401120</v>
      </c>
      <c r="C1151" s="9">
        <v>45219</v>
      </c>
      <c r="D1151" s="10" t="s">
        <v>100</v>
      </c>
      <c r="E1151" s="10">
        <v>20000</v>
      </c>
      <c r="F1151" s="10">
        <v>0.03</v>
      </c>
      <c r="G1151" s="9">
        <v>45337</v>
      </c>
      <c r="H1151" s="12">
        <f t="shared" si="18"/>
        <v>600</v>
      </c>
      <c r="I1151" s="12" t="s">
        <v>10</v>
      </c>
      <c r="J1151" s="15"/>
    </row>
    <row r="1152" hidden="1" spans="2:10">
      <c r="B1152" s="86">
        <v>232401120</v>
      </c>
      <c r="C1152" s="9">
        <v>45219</v>
      </c>
      <c r="D1152" s="10" t="s">
        <v>213</v>
      </c>
      <c r="E1152" s="10">
        <v>180000</v>
      </c>
      <c r="F1152" s="10">
        <v>0.05</v>
      </c>
      <c r="G1152" s="9">
        <v>45306</v>
      </c>
      <c r="H1152" s="12">
        <f t="shared" si="18"/>
        <v>9000</v>
      </c>
      <c r="I1152" s="12" t="s">
        <v>10</v>
      </c>
      <c r="J1152" s="15"/>
    </row>
    <row r="1153" hidden="1" spans="2:10">
      <c r="B1153" s="86">
        <v>232401120</v>
      </c>
      <c r="C1153" s="9">
        <v>45219</v>
      </c>
      <c r="D1153" s="10" t="s">
        <v>213</v>
      </c>
      <c r="E1153" s="10">
        <v>180000</v>
      </c>
      <c r="F1153" s="10">
        <v>0.05</v>
      </c>
      <c r="G1153" s="9">
        <v>45337</v>
      </c>
      <c r="H1153" s="12">
        <f t="shared" si="18"/>
        <v>9000</v>
      </c>
      <c r="I1153" s="12" t="s">
        <v>10</v>
      </c>
      <c r="J1153" s="15"/>
    </row>
    <row r="1154" hidden="1" spans="2:10">
      <c r="B1154" s="86">
        <v>232401120</v>
      </c>
      <c r="C1154" s="9">
        <v>45219</v>
      </c>
      <c r="D1154" s="10" t="s">
        <v>213</v>
      </c>
      <c r="E1154" s="10">
        <v>180000</v>
      </c>
      <c r="F1154" s="10">
        <v>0.05</v>
      </c>
      <c r="G1154" s="9">
        <v>45366</v>
      </c>
      <c r="H1154" s="12">
        <f t="shared" si="18"/>
        <v>9000</v>
      </c>
      <c r="I1154" s="12" t="s">
        <v>10</v>
      </c>
      <c r="J1154" s="15"/>
    </row>
    <row r="1155" hidden="1" spans="2:10">
      <c r="B1155" s="86">
        <v>232401120</v>
      </c>
      <c r="C1155" s="9">
        <v>45219</v>
      </c>
      <c r="D1155" s="10" t="s">
        <v>108</v>
      </c>
      <c r="E1155" s="10">
        <v>20000</v>
      </c>
      <c r="F1155" s="10">
        <v>0.04</v>
      </c>
      <c r="G1155" s="9">
        <v>45306</v>
      </c>
      <c r="H1155" s="12">
        <f t="shared" si="18"/>
        <v>800</v>
      </c>
      <c r="I1155" s="12" t="s">
        <v>10</v>
      </c>
      <c r="J1155" s="15"/>
    </row>
    <row r="1156" hidden="1" spans="2:10">
      <c r="B1156" s="86">
        <v>232401120</v>
      </c>
      <c r="C1156" s="9">
        <v>45219</v>
      </c>
      <c r="D1156" s="10" t="s">
        <v>108</v>
      </c>
      <c r="E1156" s="10">
        <v>20000</v>
      </c>
      <c r="F1156" s="10">
        <v>0.04</v>
      </c>
      <c r="G1156" s="9">
        <v>45337</v>
      </c>
      <c r="H1156" s="12">
        <f t="shared" si="18"/>
        <v>800</v>
      </c>
      <c r="I1156" s="12" t="s">
        <v>10</v>
      </c>
      <c r="J1156" s="15"/>
    </row>
    <row r="1157" hidden="1" spans="2:10">
      <c r="B1157" s="86">
        <v>232401120</v>
      </c>
      <c r="C1157" s="9">
        <v>45219</v>
      </c>
      <c r="D1157" s="87" t="s">
        <v>235</v>
      </c>
      <c r="E1157" s="10">
        <v>140000</v>
      </c>
      <c r="F1157" s="10">
        <v>0.04</v>
      </c>
      <c r="G1157" s="9">
        <v>45275</v>
      </c>
      <c r="H1157" s="12">
        <f t="shared" si="18"/>
        <v>5600</v>
      </c>
      <c r="I1157" s="12" t="s">
        <v>10</v>
      </c>
      <c r="J1157" s="15"/>
    </row>
    <row r="1158" hidden="1" spans="2:10">
      <c r="B1158" s="86">
        <v>232401120</v>
      </c>
      <c r="C1158" s="9">
        <v>45219</v>
      </c>
      <c r="D1158" s="87" t="s">
        <v>235</v>
      </c>
      <c r="E1158" s="10">
        <v>140000</v>
      </c>
      <c r="F1158" s="10">
        <v>0.04</v>
      </c>
      <c r="G1158" s="9">
        <v>45306</v>
      </c>
      <c r="H1158" s="12">
        <f t="shared" si="18"/>
        <v>5600</v>
      </c>
      <c r="I1158" s="12" t="s">
        <v>10</v>
      </c>
      <c r="J1158" s="15"/>
    </row>
    <row r="1159" hidden="1" spans="2:10">
      <c r="B1159" s="86">
        <v>232401120</v>
      </c>
      <c r="C1159" s="9">
        <v>45219</v>
      </c>
      <c r="D1159" s="87" t="s">
        <v>235</v>
      </c>
      <c r="E1159" s="10">
        <v>140000</v>
      </c>
      <c r="F1159" s="10">
        <v>0.04</v>
      </c>
      <c r="G1159" s="9">
        <v>45337</v>
      </c>
      <c r="H1159" s="12">
        <f t="shared" si="18"/>
        <v>5600</v>
      </c>
      <c r="I1159" s="12" t="s">
        <v>10</v>
      </c>
      <c r="J1159" s="15"/>
    </row>
    <row r="1160" hidden="1" spans="2:10">
      <c r="B1160" s="86">
        <v>232401120</v>
      </c>
      <c r="C1160" s="9">
        <v>45219</v>
      </c>
      <c r="D1160" s="87" t="s">
        <v>235</v>
      </c>
      <c r="E1160" s="10">
        <v>140000</v>
      </c>
      <c r="F1160" s="10">
        <v>0.04</v>
      </c>
      <c r="G1160" s="9">
        <v>45366</v>
      </c>
      <c r="H1160" s="12">
        <f t="shared" si="18"/>
        <v>5600</v>
      </c>
      <c r="I1160" s="12" t="s">
        <v>10</v>
      </c>
      <c r="J1160" s="15"/>
    </row>
    <row r="1161" hidden="1" spans="2:10">
      <c r="B1161" s="86">
        <v>232401121</v>
      </c>
      <c r="C1161" s="9">
        <v>45219</v>
      </c>
      <c r="D1161" s="87" t="s">
        <v>214</v>
      </c>
      <c r="E1161" s="10">
        <v>150000</v>
      </c>
      <c r="F1161" s="10">
        <v>0.035</v>
      </c>
      <c r="G1161" s="9">
        <v>45306</v>
      </c>
      <c r="H1161" s="12">
        <f t="shared" si="18"/>
        <v>5250</v>
      </c>
      <c r="I1161" s="12" t="s">
        <v>10</v>
      </c>
      <c r="J1161" s="15"/>
    </row>
    <row r="1162" hidden="1" spans="2:10">
      <c r="B1162" s="86">
        <v>232401121</v>
      </c>
      <c r="C1162" s="9">
        <v>45219</v>
      </c>
      <c r="D1162" s="87" t="s">
        <v>214</v>
      </c>
      <c r="E1162" s="10">
        <v>150000</v>
      </c>
      <c r="F1162" s="10">
        <v>0.035</v>
      </c>
      <c r="G1162" s="9">
        <v>45337</v>
      </c>
      <c r="H1162" s="12">
        <f t="shared" si="18"/>
        <v>5250</v>
      </c>
      <c r="I1162" s="12" t="s">
        <v>10</v>
      </c>
      <c r="J1162" s="15"/>
    </row>
    <row r="1163" hidden="1" spans="2:10">
      <c r="B1163" s="86">
        <v>232401121</v>
      </c>
      <c r="C1163" s="9">
        <v>45219</v>
      </c>
      <c r="D1163" s="87" t="s">
        <v>214</v>
      </c>
      <c r="E1163" s="10">
        <v>120000</v>
      </c>
      <c r="F1163" s="10">
        <v>0.035</v>
      </c>
      <c r="G1163" s="9">
        <v>45366</v>
      </c>
      <c r="H1163" s="12">
        <f t="shared" si="18"/>
        <v>4200</v>
      </c>
      <c r="I1163" s="12" t="s">
        <v>10</v>
      </c>
      <c r="J1163" s="15"/>
    </row>
    <row r="1164" hidden="1" spans="2:10">
      <c r="B1164" s="86">
        <v>232401121</v>
      </c>
      <c r="C1164" s="9">
        <v>45219</v>
      </c>
      <c r="D1164" s="87" t="s">
        <v>239</v>
      </c>
      <c r="E1164" s="10">
        <v>120000</v>
      </c>
      <c r="F1164" s="10">
        <v>0.03</v>
      </c>
      <c r="G1164" s="9">
        <v>45275</v>
      </c>
      <c r="H1164" s="12">
        <f t="shared" si="18"/>
        <v>3600</v>
      </c>
      <c r="I1164" s="12" t="s">
        <v>10</v>
      </c>
      <c r="J1164" s="15"/>
    </row>
    <row r="1165" hidden="1" spans="2:10">
      <c r="B1165" s="86">
        <v>232401121</v>
      </c>
      <c r="C1165" s="9">
        <v>45219</v>
      </c>
      <c r="D1165" s="87" t="s">
        <v>239</v>
      </c>
      <c r="E1165" s="10">
        <v>120000</v>
      </c>
      <c r="F1165" s="10">
        <v>0.03</v>
      </c>
      <c r="G1165" s="9">
        <v>45306</v>
      </c>
      <c r="H1165" s="12">
        <f t="shared" si="18"/>
        <v>3600</v>
      </c>
      <c r="I1165" s="12" t="s">
        <v>10</v>
      </c>
      <c r="J1165" s="15"/>
    </row>
    <row r="1166" hidden="1" spans="2:10">
      <c r="B1166" s="86">
        <v>232401121</v>
      </c>
      <c r="C1166" s="9">
        <v>45219</v>
      </c>
      <c r="D1166" s="87" t="s">
        <v>239</v>
      </c>
      <c r="E1166" s="10">
        <v>120000</v>
      </c>
      <c r="F1166" s="10">
        <v>0.03</v>
      </c>
      <c r="G1166" s="9">
        <v>45337</v>
      </c>
      <c r="H1166" s="12">
        <f t="shared" si="18"/>
        <v>3600</v>
      </c>
      <c r="I1166" s="12" t="s">
        <v>10</v>
      </c>
      <c r="J1166" s="15"/>
    </row>
    <row r="1167" hidden="1" spans="2:10">
      <c r="B1167" s="86">
        <v>232401121</v>
      </c>
      <c r="C1167" s="9">
        <v>45219</v>
      </c>
      <c r="D1167" s="87" t="s">
        <v>239</v>
      </c>
      <c r="E1167" s="10">
        <v>120000</v>
      </c>
      <c r="F1167" s="10">
        <v>0.03</v>
      </c>
      <c r="G1167" s="9">
        <v>45366</v>
      </c>
      <c r="H1167" s="12">
        <f t="shared" si="18"/>
        <v>3600</v>
      </c>
      <c r="I1167" s="12" t="s">
        <v>10</v>
      </c>
      <c r="J1167" s="15"/>
    </row>
    <row r="1168" hidden="1" spans="2:10">
      <c r="B1168" s="86">
        <v>232401121</v>
      </c>
      <c r="C1168" s="9">
        <v>45219</v>
      </c>
      <c r="D1168" s="87" t="s">
        <v>250</v>
      </c>
      <c r="E1168" s="10">
        <v>50000</v>
      </c>
      <c r="F1168" s="10">
        <v>0.04</v>
      </c>
      <c r="G1168" s="9">
        <v>45337</v>
      </c>
      <c r="H1168" s="12">
        <f t="shared" si="18"/>
        <v>2000</v>
      </c>
      <c r="I1168" s="12" t="s">
        <v>10</v>
      </c>
      <c r="J1168" s="15"/>
    </row>
    <row r="1169" hidden="1" spans="2:10">
      <c r="B1169" s="86">
        <v>232401121</v>
      </c>
      <c r="C1169" s="9">
        <v>45219</v>
      </c>
      <c r="D1169" s="87" t="s">
        <v>250</v>
      </c>
      <c r="E1169" s="10">
        <v>30000</v>
      </c>
      <c r="F1169" s="10">
        <v>0.04</v>
      </c>
      <c r="G1169" s="9">
        <v>45366</v>
      </c>
      <c r="H1169" s="12">
        <f t="shared" si="18"/>
        <v>1200</v>
      </c>
      <c r="I1169" s="12" t="s">
        <v>10</v>
      </c>
      <c r="J1169" s="15"/>
    </row>
    <row r="1170" hidden="1" spans="2:10">
      <c r="B1170" s="86">
        <v>232401121</v>
      </c>
      <c r="C1170" s="9">
        <v>45219</v>
      </c>
      <c r="D1170" s="87" t="s">
        <v>264</v>
      </c>
      <c r="E1170" s="10">
        <v>50000</v>
      </c>
      <c r="F1170" s="10">
        <v>0.03</v>
      </c>
      <c r="G1170" s="9">
        <v>45337</v>
      </c>
      <c r="H1170" s="12">
        <f t="shared" si="18"/>
        <v>1500</v>
      </c>
      <c r="I1170" s="12" t="s">
        <v>10</v>
      </c>
      <c r="J1170" s="15"/>
    </row>
    <row r="1171" hidden="1" spans="2:10">
      <c r="B1171" s="86">
        <v>232401121</v>
      </c>
      <c r="C1171" s="9">
        <v>45219</v>
      </c>
      <c r="D1171" s="87" t="s">
        <v>264</v>
      </c>
      <c r="E1171" s="10">
        <v>30000</v>
      </c>
      <c r="F1171" s="10">
        <v>0.03</v>
      </c>
      <c r="G1171" s="9">
        <v>45366</v>
      </c>
      <c r="H1171" s="12">
        <f t="shared" si="18"/>
        <v>900</v>
      </c>
      <c r="I1171" s="12" t="s">
        <v>10</v>
      </c>
      <c r="J1171" s="15"/>
    </row>
    <row r="1172" hidden="1" spans="2:10">
      <c r="B1172" s="86">
        <v>232401142</v>
      </c>
      <c r="C1172" s="9">
        <v>45225</v>
      </c>
      <c r="D1172" s="87" t="s">
        <v>202</v>
      </c>
      <c r="E1172" s="10">
        <v>300000</v>
      </c>
      <c r="F1172" s="10">
        <v>0.04</v>
      </c>
      <c r="G1172" s="9">
        <v>45250</v>
      </c>
      <c r="H1172" s="12">
        <f t="shared" si="18"/>
        <v>12000</v>
      </c>
      <c r="I1172" s="12" t="s">
        <v>10</v>
      </c>
      <c r="J1172" s="15"/>
    </row>
    <row r="1173" hidden="1" spans="2:10">
      <c r="B1173" s="86">
        <v>232401142</v>
      </c>
      <c r="C1173" s="9">
        <v>45225</v>
      </c>
      <c r="D1173" s="87" t="s">
        <v>202</v>
      </c>
      <c r="E1173" s="10">
        <v>300000</v>
      </c>
      <c r="F1173" s="10">
        <v>0.04</v>
      </c>
      <c r="G1173" s="9">
        <v>45250</v>
      </c>
      <c r="H1173" s="12">
        <f t="shared" si="18"/>
        <v>12000</v>
      </c>
      <c r="I1173" s="12" t="s">
        <v>10</v>
      </c>
      <c r="J1173" s="15"/>
    </row>
    <row r="1174" hidden="1" spans="2:10">
      <c r="B1174" s="86">
        <v>232401142</v>
      </c>
      <c r="C1174" s="9">
        <v>45225</v>
      </c>
      <c r="D1174" s="87" t="s">
        <v>202</v>
      </c>
      <c r="E1174" s="10">
        <v>300000</v>
      </c>
      <c r="F1174" s="10">
        <v>0.04</v>
      </c>
      <c r="G1174" s="9">
        <v>45270</v>
      </c>
      <c r="H1174" s="12">
        <f t="shared" si="18"/>
        <v>12000</v>
      </c>
      <c r="I1174" s="12" t="s">
        <v>10</v>
      </c>
      <c r="J1174" s="15"/>
    </row>
    <row r="1175" hidden="1" spans="2:10">
      <c r="B1175" s="86">
        <v>232401142</v>
      </c>
      <c r="C1175" s="9">
        <v>45225</v>
      </c>
      <c r="D1175" s="87" t="s">
        <v>202</v>
      </c>
      <c r="E1175" s="10">
        <v>200000</v>
      </c>
      <c r="F1175" s="10">
        <v>0.04</v>
      </c>
      <c r="G1175" s="9">
        <v>45280</v>
      </c>
      <c r="H1175" s="12">
        <f t="shared" si="18"/>
        <v>8000</v>
      </c>
      <c r="I1175" s="12" t="s">
        <v>10</v>
      </c>
      <c r="J1175" s="15"/>
    </row>
    <row r="1176" hidden="1" spans="2:10">
      <c r="B1176" s="86">
        <v>232401142</v>
      </c>
      <c r="C1176" s="9">
        <v>45225</v>
      </c>
      <c r="D1176" s="87" t="s">
        <v>202</v>
      </c>
      <c r="E1176" s="10">
        <v>300000</v>
      </c>
      <c r="F1176" s="10">
        <v>0.04</v>
      </c>
      <c r="G1176" s="9">
        <v>45311</v>
      </c>
      <c r="H1176" s="12">
        <f t="shared" si="18"/>
        <v>12000</v>
      </c>
      <c r="I1176" s="12" t="s">
        <v>10</v>
      </c>
      <c r="J1176" s="15"/>
    </row>
    <row r="1177" hidden="1" spans="2:10">
      <c r="B1177" s="86">
        <v>232401142</v>
      </c>
      <c r="C1177" s="9">
        <v>45225</v>
      </c>
      <c r="D1177" s="87" t="s">
        <v>202</v>
      </c>
      <c r="E1177" s="10">
        <v>300000</v>
      </c>
      <c r="F1177" s="10">
        <v>0.04</v>
      </c>
      <c r="G1177" s="9">
        <v>45311</v>
      </c>
      <c r="H1177" s="12">
        <f t="shared" si="18"/>
        <v>12000</v>
      </c>
      <c r="I1177" s="12" t="s">
        <v>10</v>
      </c>
      <c r="J1177" s="15"/>
    </row>
    <row r="1178" hidden="1" spans="2:10">
      <c r="B1178" s="86">
        <v>232401143</v>
      </c>
      <c r="C1178" s="9">
        <v>45225</v>
      </c>
      <c r="D1178" s="87" t="s">
        <v>202</v>
      </c>
      <c r="E1178" s="10">
        <v>200000</v>
      </c>
      <c r="F1178" s="10">
        <v>0.04</v>
      </c>
      <c r="G1178" s="9">
        <v>45311</v>
      </c>
      <c r="H1178" s="12">
        <f t="shared" si="18"/>
        <v>8000</v>
      </c>
      <c r="I1178" s="12" t="s">
        <v>10</v>
      </c>
      <c r="J1178" s="15"/>
    </row>
    <row r="1179" hidden="1" spans="2:10">
      <c r="B1179" s="86">
        <v>232401144</v>
      </c>
      <c r="C1179" s="9">
        <v>45225</v>
      </c>
      <c r="D1179" s="87" t="s">
        <v>202</v>
      </c>
      <c r="E1179" s="10">
        <v>100000</v>
      </c>
      <c r="F1179" s="10">
        <v>0.04</v>
      </c>
      <c r="G1179" s="9">
        <v>45311</v>
      </c>
      <c r="H1179" s="12">
        <f t="shared" si="18"/>
        <v>4000</v>
      </c>
      <c r="I1179" s="12" t="s">
        <v>10</v>
      </c>
      <c r="J1179" s="15"/>
    </row>
    <row r="1180" hidden="1" spans="2:10">
      <c r="B1180" s="86">
        <v>232401144</v>
      </c>
      <c r="C1180" s="9">
        <v>45225</v>
      </c>
      <c r="D1180" s="87" t="s">
        <v>202</v>
      </c>
      <c r="E1180" s="10">
        <v>100000</v>
      </c>
      <c r="F1180" s="10">
        <v>0.04</v>
      </c>
      <c r="G1180" s="9">
        <v>45311</v>
      </c>
      <c r="H1180" s="12">
        <f t="shared" si="18"/>
        <v>4000</v>
      </c>
      <c r="I1180" s="12" t="s">
        <v>10</v>
      </c>
      <c r="J1180" s="15"/>
    </row>
    <row r="1181" hidden="1" spans="2:10">
      <c r="B1181" s="86">
        <v>232401150</v>
      </c>
      <c r="C1181" s="9">
        <v>45229</v>
      </c>
      <c r="D1181" s="10" t="s">
        <v>163</v>
      </c>
      <c r="E1181" s="10">
        <v>592000</v>
      </c>
      <c r="F1181" s="10">
        <v>0.0025</v>
      </c>
      <c r="G1181" s="9">
        <v>45240</v>
      </c>
      <c r="H1181" s="12">
        <f t="shared" si="18"/>
        <v>1480</v>
      </c>
      <c r="I1181" s="12" t="s">
        <v>10</v>
      </c>
      <c r="J1181" s="15"/>
    </row>
    <row r="1182" hidden="1" spans="2:10">
      <c r="B1182" s="86">
        <v>232401150</v>
      </c>
      <c r="C1182" s="9">
        <v>45229</v>
      </c>
      <c r="D1182" s="10" t="s">
        <v>163</v>
      </c>
      <c r="E1182" s="10">
        <v>592000</v>
      </c>
      <c r="F1182" s="10">
        <v>0.0025</v>
      </c>
      <c r="G1182" s="9">
        <v>45270</v>
      </c>
      <c r="H1182" s="12">
        <f t="shared" si="18"/>
        <v>1480</v>
      </c>
      <c r="I1182" s="12" t="s">
        <v>10</v>
      </c>
      <c r="J1182" s="15"/>
    </row>
    <row r="1183" hidden="1" spans="2:10">
      <c r="B1183" s="86">
        <v>232401150</v>
      </c>
      <c r="C1183" s="9">
        <v>45229</v>
      </c>
      <c r="D1183" s="10" t="s">
        <v>163</v>
      </c>
      <c r="E1183" s="10">
        <v>592000</v>
      </c>
      <c r="F1183" s="10">
        <v>0.0025</v>
      </c>
      <c r="G1183" s="9">
        <v>45301</v>
      </c>
      <c r="H1183" s="12">
        <f t="shared" si="18"/>
        <v>1480</v>
      </c>
      <c r="I1183" s="12" t="s">
        <v>10</v>
      </c>
      <c r="J1183" s="15"/>
    </row>
    <row r="1184" hidden="1" spans="2:10">
      <c r="B1184" s="86">
        <v>232401157</v>
      </c>
      <c r="C1184" s="9">
        <v>45229</v>
      </c>
      <c r="D1184" s="10" t="s">
        <v>82</v>
      </c>
      <c r="E1184" s="10">
        <v>160000</v>
      </c>
      <c r="F1184" s="10">
        <v>0.022</v>
      </c>
      <c r="G1184" s="9">
        <v>45270</v>
      </c>
      <c r="H1184" s="12">
        <f t="shared" si="18"/>
        <v>3520</v>
      </c>
      <c r="I1184" s="12" t="s">
        <v>10</v>
      </c>
      <c r="J1184" s="15"/>
    </row>
    <row r="1185" hidden="1" spans="2:10">
      <c r="B1185" s="86">
        <v>232401157</v>
      </c>
      <c r="C1185" s="9">
        <v>45229</v>
      </c>
      <c r="D1185" s="10" t="s">
        <v>82</v>
      </c>
      <c r="E1185" s="10">
        <v>160000</v>
      </c>
      <c r="F1185" s="10">
        <v>0.022</v>
      </c>
      <c r="G1185" s="9">
        <v>45301</v>
      </c>
      <c r="H1185" s="12">
        <f t="shared" si="18"/>
        <v>3520</v>
      </c>
      <c r="I1185" s="12" t="s">
        <v>10</v>
      </c>
      <c r="J1185" s="15"/>
    </row>
    <row r="1186" hidden="1" spans="2:10">
      <c r="B1186" s="86">
        <v>232401157</v>
      </c>
      <c r="C1186" s="9">
        <v>45229</v>
      </c>
      <c r="D1186" s="10" t="s">
        <v>82</v>
      </c>
      <c r="E1186" s="10">
        <v>160000</v>
      </c>
      <c r="F1186" s="10">
        <v>0.022</v>
      </c>
      <c r="G1186" s="9">
        <v>45332</v>
      </c>
      <c r="H1186" s="12">
        <f t="shared" si="18"/>
        <v>3520</v>
      </c>
      <c r="I1186" s="12" t="s">
        <v>10</v>
      </c>
      <c r="J1186" s="15"/>
    </row>
    <row r="1187" hidden="1" spans="2:10">
      <c r="B1187" s="86">
        <v>232401157</v>
      </c>
      <c r="C1187" s="9">
        <v>45229</v>
      </c>
      <c r="D1187" s="10" t="s">
        <v>212</v>
      </c>
      <c r="E1187" s="10">
        <v>40000</v>
      </c>
      <c r="F1187" s="10">
        <v>0.023</v>
      </c>
      <c r="G1187" s="9">
        <v>45270</v>
      </c>
      <c r="H1187" s="12">
        <f t="shared" si="18"/>
        <v>920</v>
      </c>
      <c r="I1187" s="12" t="s">
        <v>10</v>
      </c>
      <c r="J1187" s="15"/>
    </row>
    <row r="1188" hidden="1" spans="2:10">
      <c r="B1188" s="86">
        <v>232401157</v>
      </c>
      <c r="C1188" s="9">
        <v>45229</v>
      </c>
      <c r="D1188" s="10" t="s">
        <v>212</v>
      </c>
      <c r="E1188" s="10">
        <v>40000</v>
      </c>
      <c r="F1188" s="10">
        <v>0.023</v>
      </c>
      <c r="G1188" s="9">
        <v>45301</v>
      </c>
      <c r="H1188" s="12">
        <f t="shared" si="18"/>
        <v>920</v>
      </c>
      <c r="I1188" s="12" t="s">
        <v>10</v>
      </c>
      <c r="J1188" s="15"/>
    </row>
    <row r="1189" hidden="1" spans="2:10">
      <c r="B1189" s="86">
        <v>232401157</v>
      </c>
      <c r="C1189" s="9">
        <v>45229</v>
      </c>
      <c r="D1189" s="10" t="s">
        <v>212</v>
      </c>
      <c r="E1189" s="10">
        <v>40000</v>
      </c>
      <c r="F1189" s="10">
        <v>0.023</v>
      </c>
      <c r="G1189" s="9">
        <v>45332</v>
      </c>
      <c r="H1189" s="12">
        <f t="shared" si="18"/>
        <v>920</v>
      </c>
      <c r="I1189" s="12" t="s">
        <v>10</v>
      </c>
      <c r="J1189" s="15"/>
    </row>
    <row r="1190" hidden="1" spans="2:10">
      <c r="B1190" s="86">
        <v>232401166</v>
      </c>
      <c r="C1190" s="9">
        <v>45230</v>
      </c>
      <c r="D1190" s="10" t="s">
        <v>282</v>
      </c>
      <c r="E1190" s="10">
        <v>200000</v>
      </c>
      <c r="F1190" s="10">
        <v>0.032</v>
      </c>
      <c r="G1190" s="9">
        <v>45275</v>
      </c>
      <c r="H1190" s="12">
        <f t="shared" si="18"/>
        <v>6400</v>
      </c>
      <c r="I1190" s="12" t="s">
        <v>10</v>
      </c>
      <c r="J1190" s="15"/>
    </row>
    <row r="1191" hidden="1" spans="2:10">
      <c r="B1191" s="86">
        <v>232401166</v>
      </c>
      <c r="C1191" s="9">
        <v>45230</v>
      </c>
      <c r="D1191" s="10" t="s">
        <v>282</v>
      </c>
      <c r="E1191" s="10">
        <v>200000</v>
      </c>
      <c r="F1191" s="10">
        <v>0.032</v>
      </c>
      <c r="G1191" s="9">
        <v>45306</v>
      </c>
      <c r="H1191" s="12">
        <f t="shared" si="18"/>
        <v>6400</v>
      </c>
      <c r="I1191" s="12" t="s">
        <v>10</v>
      </c>
      <c r="J1191" s="15"/>
    </row>
    <row r="1192" hidden="1" spans="2:10">
      <c r="B1192" s="86">
        <v>232401166</v>
      </c>
      <c r="C1192" s="9">
        <v>45230</v>
      </c>
      <c r="D1192" s="10" t="s">
        <v>282</v>
      </c>
      <c r="E1192" s="10">
        <v>200000</v>
      </c>
      <c r="F1192" s="10">
        <v>0.032</v>
      </c>
      <c r="G1192" s="9">
        <v>45337</v>
      </c>
      <c r="H1192" s="12">
        <f t="shared" si="18"/>
        <v>6400</v>
      </c>
      <c r="I1192" s="12" t="s">
        <v>10</v>
      </c>
      <c r="J1192" s="15"/>
    </row>
    <row r="1193" hidden="1" spans="2:10">
      <c r="B1193" s="86">
        <v>232401170</v>
      </c>
      <c r="C1193" s="9">
        <v>45230</v>
      </c>
      <c r="D1193" s="10" t="s">
        <v>95</v>
      </c>
      <c r="E1193" s="10">
        <v>20640</v>
      </c>
      <c r="F1193" s="10">
        <v>0.063</v>
      </c>
      <c r="G1193" s="9">
        <v>45230</v>
      </c>
      <c r="H1193" s="12">
        <f t="shared" si="18"/>
        <v>1300.32</v>
      </c>
      <c r="I1193" s="12" t="s">
        <v>10</v>
      </c>
      <c r="J1193" s="15"/>
    </row>
    <row r="1194" hidden="1" spans="2:10">
      <c r="B1194" s="86">
        <v>232401187</v>
      </c>
      <c r="C1194" s="9">
        <v>45232</v>
      </c>
      <c r="D1194" s="10" t="s">
        <v>64</v>
      </c>
      <c r="E1194" s="10">
        <v>20000</v>
      </c>
      <c r="F1194" s="10">
        <v>0.052</v>
      </c>
      <c r="G1194" s="9">
        <v>45232</v>
      </c>
      <c r="H1194" s="12">
        <f t="shared" si="18"/>
        <v>1040</v>
      </c>
      <c r="I1194" s="12" t="s">
        <v>10</v>
      </c>
      <c r="J1194" s="15"/>
    </row>
    <row r="1195" hidden="1" spans="2:10">
      <c r="B1195" s="86">
        <v>232401188</v>
      </c>
      <c r="C1195" s="9">
        <v>45233</v>
      </c>
      <c r="D1195" s="87" t="s">
        <v>204</v>
      </c>
      <c r="E1195" s="10">
        <v>300000</v>
      </c>
      <c r="F1195" s="10">
        <v>0.036</v>
      </c>
      <c r="G1195" s="9">
        <v>45275</v>
      </c>
      <c r="H1195" s="12">
        <f t="shared" si="18"/>
        <v>10800</v>
      </c>
      <c r="I1195" s="12" t="s">
        <v>10</v>
      </c>
      <c r="J1195" s="15"/>
    </row>
    <row r="1196" hidden="1" spans="2:10">
      <c r="B1196" s="86">
        <v>232401188</v>
      </c>
      <c r="C1196" s="9">
        <v>45233</v>
      </c>
      <c r="D1196" s="87" t="s">
        <v>204</v>
      </c>
      <c r="E1196" s="10">
        <v>300000</v>
      </c>
      <c r="F1196" s="10">
        <v>0.036</v>
      </c>
      <c r="G1196" s="9">
        <v>45306</v>
      </c>
      <c r="H1196" s="12">
        <f t="shared" si="18"/>
        <v>10800</v>
      </c>
      <c r="I1196" s="12" t="s">
        <v>10</v>
      </c>
      <c r="J1196" s="15"/>
    </row>
    <row r="1197" hidden="1" spans="2:10">
      <c r="B1197" s="86">
        <v>232401188</v>
      </c>
      <c r="C1197" s="9">
        <v>45233</v>
      </c>
      <c r="D1197" s="87" t="s">
        <v>204</v>
      </c>
      <c r="E1197" s="10">
        <v>300000</v>
      </c>
      <c r="F1197" s="10">
        <v>0.036</v>
      </c>
      <c r="G1197" s="9">
        <v>45337</v>
      </c>
      <c r="H1197" s="12">
        <f t="shared" si="18"/>
        <v>10800</v>
      </c>
      <c r="I1197" s="12" t="s">
        <v>10</v>
      </c>
      <c r="J1197" s="15"/>
    </row>
    <row r="1198" hidden="1" spans="2:10">
      <c r="B1198" s="86">
        <v>232401189</v>
      </c>
      <c r="C1198" s="9">
        <v>45233</v>
      </c>
      <c r="D1198" s="87" t="s">
        <v>204</v>
      </c>
      <c r="E1198" s="10">
        <v>300000</v>
      </c>
      <c r="F1198" s="10">
        <v>0.036</v>
      </c>
      <c r="G1198" s="9">
        <v>45275</v>
      </c>
      <c r="H1198" s="12">
        <f t="shared" si="18"/>
        <v>10800</v>
      </c>
      <c r="I1198" s="12" t="s">
        <v>10</v>
      </c>
      <c r="J1198" s="15"/>
    </row>
    <row r="1199" hidden="1" spans="2:10">
      <c r="B1199" s="86">
        <v>232401189</v>
      </c>
      <c r="C1199" s="9">
        <v>45233</v>
      </c>
      <c r="D1199" s="87" t="s">
        <v>204</v>
      </c>
      <c r="E1199" s="10">
        <v>300000</v>
      </c>
      <c r="F1199" s="10">
        <v>0.036</v>
      </c>
      <c r="G1199" s="9">
        <v>45306</v>
      </c>
      <c r="H1199" s="12">
        <f t="shared" si="18"/>
        <v>10800</v>
      </c>
      <c r="I1199" s="12" t="s">
        <v>10</v>
      </c>
      <c r="J1199" s="15"/>
    </row>
    <row r="1200" hidden="1" spans="2:10">
      <c r="B1200" s="86">
        <v>232401189</v>
      </c>
      <c r="C1200" s="9">
        <v>45233</v>
      </c>
      <c r="D1200" s="87" t="s">
        <v>204</v>
      </c>
      <c r="E1200" s="10">
        <v>300000</v>
      </c>
      <c r="F1200" s="10">
        <v>0.036</v>
      </c>
      <c r="G1200" s="9">
        <v>45337</v>
      </c>
      <c r="H1200" s="12">
        <f t="shared" si="18"/>
        <v>10800</v>
      </c>
      <c r="I1200" s="12" t="s">
        <v>10</v>
      </c>
      <c r="J1200" s="15"/>
    </row>
    <row r="1201" hidden="1" spans="2:10">
      <c r="B1201" s="86">
        <v>232401193</v>
      </c>
      <c r="C1201" s="9">
        <v>45233</v>
      </c>
      <c r="D1201" s="87" t="s">
        <v>215</v>
      </c>
      <c r="E1201" s="10">
        <v>500000</v>
      </c>
      <c r="F1201" s="10">
        <v>0.028</v>
      </c>
      <c r="G1201" s="9">
        <v>45270</v>
      </c>
      <c r="H1201" s="12">
        <f t="shared" si="18"/>
        <v>14000</v>
      </c>
      <c r="I1201" s="12" t="s">
        <v>10</v>
      </c>
      <c r="J1201" s="15"/>
    </row>
    <row r="1202" hidden="1" spans="2:10">
      <c r="B1202" s="86">
        <v>232401193</v>
      </c>
      <c r="C1202" s="9">
        <v>45233</v>
      </c>
      <c r="D1202" s="87" t="s">
        <v>215</v>
      </c>
      <c r="E1202" s="10">
        <v>400000</v>
      </c>
      <c r="F1202" s="10">
        <v>0.028</v>
      </c>
      <c r="G1202" s="9">
        <v>45301</v>
      </c>
      <c r="H1202" s="12">
        <f t="shared" si="18"/>
        <v>11200</v>
      </c>
      <c r="I1202" s="12" t="s">
        <v>10</v>
      </c>
      <c r="J1202" s="15"/>
    </row>
    <row r="1203" hidden="1" spans="2:10">
      <c r="B1203" s="86">
        <v>232401193</v>
      </c>
      <c r="C1203" s="9">
        <v>45233</v>
      </c>
      <c r="D1203" s="87" t="s">
        <v>215</v>
      </c>
      <c r="E1203" s="10">
        <v>400000</v>
      </c>
      <c r="F1203" s="10">
        <v>0.028</v>
      </c>
      <c r="G1203" s="9">
        <v>45301</v>
      </c>
      <c r="H1203" s="12">
        <f t="shared" si="18"/>
        <v>11200</v>
      </c>
      <c r="I1203" s="12" t="s">
        <v>10</v>
      </c>
      <c r="J1203" s="15"/>
    </row>
    <row r="1204" hidden="1" spans="2:10">
      <c r="B1204" s="86">
        <v>232401193</v>
      </c>
      <c r="C1204" s="9">
        <v>45233</v>
      </c>
      <c r="D1204" s="87" t="s">
        <v>215</v>
      </c>
      <c r="E1204" s="10">
        <v>400000</v>
      </c>
      <c r="F1204" s="10">
        <v>0.028</v>
      </c>
      <c r="G1204" s="9">
        <v>45332</v>
      </c>
      <c r="H1204" s="12">
        <f t="shared" si="18"/>
        <v>11200</v>
      </c>
      <c r="I1204" s="12" t="s">
        <v>10</v>
      </c>
      <c r="J1204" s="15"/>
    </row>
    <row r="1205" hidden="1" spans="2:10">
      <c r="B1205" s="86">
        <v>232401193</v>
      </c>
      <c r="C1205" s="9">
        <v>45233</v>
      </c>
      <c r="D1205" s="87" t="s">
        <v>215</v>
      </c>
      <c r="E1205" s="10">
        <v>400000</v>
      </c>
      <c r="F1205" s="10">
        <v>0.028</v>
      </c>
      <c r="G1205" s="9">
        <v>45332</v>
      </c>
      <c r="H1205" s="12">
        <f t="shared" si="18"/>
        <v>11200</v>
      </c>
      <c r="I1205" s="12" t="s">
        <v>10</v>
      </c>
      <c r="J1205" s="15"/>
    </row>
    <row r="1206" hidden="1" spans="2:10">
      <c r="B1206" s="86">
        <v>232401194</v>
      </c>
      <c r="C1206" s="9">
        <v>45233</v>
      </c>
      <c r="D1206" s="10" t="s">
        <v>9</v>
      </c>
      <c r="E1206" s="10">
        <v>20000</v>
      </c>
      <c r="F1206" s="10">
        <v>0.0254</v>
      </c>
      <c r="G1206" s="9">
        <v>45270</v>
      </c>
      <c r="H1206" s="12">
        <f t="shared" si="18"/>
        <v>508</v>
      </c>
      <c r="I1206" s="12" t="s">
        <v>10</v>
      </c>
      <c r="J1206" s="15"/>
    </row>
    <row r="1207" hidden="1" spans="2:10">
      <c r="B1207" s="86">
        <v>232401194</v>
      </c>
      <c r="C1207" s="9">
        <v>45233</v>
      </c>
      <c r="D1207" s="10" t="s">
        <v>9</v>
      </c>
      <c r="E1207" s="10">
        <v>20000</v>
      </c>
      <c r="F1207" s="10">
        <v>0.0254</v>
      </c>
      <c r="G1207" s="9">
        <v>45332</v>
      </c>
      <c r="H1207" s="12">
        <f t="shared" si="18"/>
        <v>508</v>
      </c>
      <c r="I1207" s="12" t="s">
        <v>10</v>
      </c>
      <c r="J1207" s="15"/>
    </row>
    <row r="1208" hidden="1" spans="2:10">
      <c r="B1208" s="86">
        <v>232401196</v>
      </c>
      <c r="C1208" s="9">
        <v>45233</v>
      </c>
      <c r="D1208" s="10" t="s">
        <v>281</v>
      </c>
      <c r="E1208" s="10">
        <v>30060</v>
      </c>
      <c r="F1208" s="10">
        <v>0.08</v>
      </c>
      <c r="G1208" s="9">
        <v>45301</v>
      </c>
      <c r="H1208" s="12">
        <f t="shared" si="18"/>
        <v>2404.8</v>
      </c>
      <c r="I1208" s="12" t="s">
        <v>10</v>
      </c>
      <c r="J1208" s="15"/>
    </row>
    <row r="1209" hidden="1" spans="2:10">
      <c r="B1209" s="86">
        <v>232401196</v>
      </c>
      <c r="C1209" s="9">
        <v>45233</v>
      </c>
      <c r="D1209" s="10" t="s">
        <v>281</v>
      </c>
      <c r="E1209" s="10">
        <v>30060</v>
      </c>
      <c r="F1209" s="10">
        <v>0.08</v>
      </c>
      <c r="G1209" s="9">
        <v>45311</v>
      </c>
      <c r="H1209" s="12">
        <f t="shared" si="18"/>
        <v>2404.8</v>
      </c>
      <c r="I1209" s="12" t="s">
        <v>10</v>
      </c>
      <c r="J1209" s="15"/>
    </row>
    <row r="1210" hidden="1" spans="2:10">
      <c r="B1210" s="86">
        <v>232401215</v>
      </c>
      <c r="C1210" s="9">
        <v>45238</v>
      </c>
      <c r="D1210" s="87" t="s">
        <v>223</v>
      </c>
      <c r="E1210" s="10">
        <v>40000</v>
      </c>
      <c r="F1210" s="10">
        <v>0.08</v>
      </c>
      <c r="G1210" s="9">
        <v>45250</v>
      </c>
      <c r="H1210" s="12">
        <f t="shared" si="18"/>
        <v>3200</v>
      </c>
      <c r="I1210" s="12" t="s">
        <v>10</v>
      </c>
      <c r="J1210" s="15"/>
    </row>
    <row r="1211" hidden="1" spans="2:10">
      <c r="B1211" s="86">
        <v>232401215</v>
      </c>
      <c r="C1211" s="9">
        <v>45238</v>
      </c>
      <c r="D1211" s="87" t="s">
        <v>227</v>
      </c>
      <c r="E1211" s="10">
        <v>6000</v>
      </c>
      <c r="F1211" s="10">
        <v>0.5</v>
      </c>
      <c r="G1211" s="9">
        <v>45255</v>
      </c>
      <c r="H1211" s="12">
        <f t="shared" si="18"/>
        <v>3000</v>
      </c>
      <c r="I1211" s="12" t="s">
        <v>10</v>
      </c>
      <c r="J1211" s="15"/>
    </row>
    <row r="1212" hidden="1" spans="2:10">
      <c r="B1212" s="86">
        <v>232401215</v>
      </c>
      <c r="C1212" s="9">
        <v>45238</v>
      </c>
      <c r="D1212" s="87" t="s">
        <v>237</v>
      </c>
      <c r="E1212" s="10">
        <v>20000</v>
      </c>
      <c r="F1212" s="10">
        <v>0.18</v>
      </c>
      <c r="G1212" s="9">
        <v>45255</v>
      </c>
      <c r="H1212" s="12">
        <f t="shared" ref="H1212:H1275" si="19">E1212*F1212</f>
        <v>3600</v>
      </c>
      <c r="I1212" s="12" t="s">
        <v>10</v>
      </c>
      <c r="J1212" s="15"/>
    </row>
    <row r="1213" hidden="1" spans="2:10">
      <c r="B1213" s="86">
        <v>232401215</v>
      </c>
      <c r="C1213" s="9">
        <v>45238</v>
      </c>
      <c r="D1213" s="87" t="s">
        <v>312</v>
      </c>
      <c r="E1213" s="10">
        <v>50000</v>
      </c>
      <c r="F1213" s="10">
        <v>0.065</v>
      </c>
      <c r="G1213" s="9">
        <v>45250</v>
      </c>
      <c r="H1213" s="12">
        <f t="shared" si="19"/>
        <v>3250</v>
      </c>
      <c r="I1213" s="12" t="s">
        <v>10</v>
      </c>
      <c r="J1213" s="15"/>
    </row>
    <row r="1214" hidden="1" spans="2:10">
      <c r="B1214" s="86">
        <v>232401215</v>
      </c>
      <c r="C1214" s="9">
        <v>45238</v>
      </c>
      <c r="D1214" s="87" t="s">
        <v>206</v>
      </c>
      <c r="E1214" s="10">
        <v>150000</v>
      </c>
      <c r="F1214" s="10">
        <v>0.065</v>
      </c>
      <c r="G1214" s="9">
        <v>45250</v>
      </c>
      <c r="H1214" s="12">
        <f t="shared" si="19"/>
        <v>9750</v>
      </c>
      <c r="I1214" s="12" t="s">
        <v>10</v>
      </c>
      <c r="J1214" s="15"/>
    </row>
    <row r="1215" hidden="1" spans="2:10">
      <c r="B1215" s="86">
        <v>232401215</v>
      </c>
      <c r="C1215" s="9">
        <v>45238</v>
      </c>
      <c r="D1215" s="87" t="s">
        <v>206</v>
      </c>
      <c r="E1215" s="10">
        <v>150000</v>
      </c>
      <c r="F1215" s="10">
        <v>0.065</v>
      </c>
      <c r="G1215" s="9">
        <v>45270</v>
      </c>
      <c r="H1215" s="12">
        <f t="shared" si="19"/>
        <v>9750</v>
      </c>
      <c r="I1215" s="12" t="s">
        <v>10</v>
      </c>
      <c r="J1215" s="15"/>
    </row>
    <row r="1216" hidden="1" spans="2:10">
      <c r="B1216" s="86">
        <v>232401215</v>
      </c>
      <c r="C1216" s="9">
        <v>45238</v>
      </c>
      <c r="D1216" s="87" t="s">
        <v>206</v>
      </c>
      <c r="E1216" s="10">
        <v>150000</v>
      </c>
      <c r="F1216" s="10">
        <v>0.065</v>
      </c>
      <c r="G1216" s="9">
        <v>45316</v>
      </c>
      <c r="H1216" s="12">
        <f t="shared" si="19"/>
        <v>9750</v>
      </c>
      <c r="I1216" s="12" t="s">
        <v>10</v>
      </c>
      <c r="J1216" s="15"/>
    </row>
    <row r="1217" hidden="1" spans="2:10">
      <c r="B1217" s="86">
        <v>232401217</v>
      </c>
      <c r="C1217" s="9">
        <v>45238</v>
      </c>
      <c r="D1217" s="87" t="s">
        <v>215</v>
      </c>
      <c r="E1217" s="10">
        <v>150000</v>
      </c>
      <c r="F1217" s="10">
        <v>0.028</v>
      </c>
      <c r="G1217" s="9">
        <v>45250</v>
      </c>
      <c r="H1217" s="12">
        <f t="shared" si="19"/>
        <v>4200</v>
      </c>
      <c r="I1217" s="12" t="s">
        <v>10</v>
      </c>
      <c r="J1217" s="15"/>
    </row>
    <row r="1218" hidden="1" spans="2:10">
      <c r="B1218" s="86">
        <v>232401217</v>
      </c>
      <c r="C1218" s="9">
        <v>45238</v>
      </c>
      <c r="D1218" s="87" t="s">
        <v>215</v>
      </c>
      <c r="E1218" s="10">
        <v>150000</v>
      </c>
      <c r="F1218" s="10">
        <v>0.028</v>
      </c>
      <c r="G1218" s="9">
        <v>45250</v>
      </c>
      <c r="H1218" s="12">
        <f t="shared" si="19"/>
        <v>4200</v>
      </c>
      <c r="I1218" s="12" t="s">
        <v>10</v>
      </c>
      <c r="J1218" s="15"/>
    </row>
    <row r="1219" hidden="1" spans="2:10">
      <c r="B1219" s="135">
        <v>232401229</v>
      </c>
      <c r="C1219" s="13">
        <v>45239</v>
      </c>
      <c r="D1219" s="33" t="s">
        <v>313</v>
      </c>
      <c r="E1219" s="15">
        <v>2000</v>
      </c>
      <c r="F1219" s="15">
        <v>0.052</v>
      </c>
      <c r="G1219" s="13">
        <v>45239</v>
      </c>
      <c r="H1219" s="17">
        <f t="shared" si="19"/>
        <v>104</v>
      </c>
      <c r="I1219" s="15" t="s">
        <v>51</v>
      </c>
      <c r="J1219" s="15"/>
    </row>
    <row r="1220" hidden="1" spans="2:10">
      <c r="B1220" s="86">
        <v>232401236</v>
      </c>
      <c r="C1220" s="9">
        <v>45239</v>
      </c>
      <c r="D1220" s="87" t="s">
        <v>257</v>
      </c>
      <c r="E1220" s="10">
        <v>500000</v>
      </c>
      <c r="F1220" s="10">
        <v>0.01</v>
      </c>
      <c r="G1220" s="9">
        <v>45301</v>
      </c>
      <c r="H1220" s="12">
        <f t="shared" si="19"/>
        <v>5000</v>
      </c>
      <c r="I1220" s="12" t="s">
        <v>10</v>
      </c>
      <c r="J1220" s="15"/>
    </row>
    <row r="1221" hidden="1" spans="2:10">
      <c r="B1221" s="86">
        <v>232401236</v>
      </c>
      <c r="C1221" s="9">
        <v>45239</v>
      </c>
      <c r="D1221" s="87" t="s">
        <v>257</v>
      </c>
      <c r="E1221" s="10">
        <v>500000</v>
      </c>
      <c r="F1221" s="10">
        <v>0.01</v>
      </c>
      <c r="G1221" s="9">
        <v>45332</v>
      </c>
      <c r="H1221" s="12">
        <f t="shared" si="19"/>
        <v>5000</v>
      </c>
      <c r="I1221" s="12" t="s">
        <v>10</v>
      </c>
      <c r="J1221" s="15"/>
    </row>
    <row r="1222" hidden="1" spans="2:10">
      <c r="B1222" s="86">
        <v>232401236</v>
      </c>
      <c r="C1222" s="9">
        <v>45239</v>
      </c>
      <c r="D1222" s="87" t="s">
        <v>257</v>
      </c>
      <c r="E1222" s="10">
        <v>500000</v>
      </c>
      <c r="F1222" s="10">
        <v>0.01</v>
      </c>
      <c r="G1222" s="9">
        <v>45392</v>
      </c>
      <c r="H1222" s="12">
        <f t="shared" si="19"/>
        <v>5000</v>
      </c>
      <c r="I1222" s="12" t="s">
        <v>10</v>
      </c>
      <c r="J1222" s="15"/>
    </row>
    <row r="1223" hidden="1" spans="2:10">
      <c r="B1223" s="86">
        <v>232401236</v>
      </c>
      <c r="C1223" s="9">
        <v>45239</v>
      </c>
      <c r="D1223" s="87" t="s">
        <v>257</v>
      </c>
      <c r="E1223" s="10">
        <v>500000</v>
      </c>
      <c r="F1223" s="10">
        <v>0.01</v>
      </c>
      <c r="G1223" s="9">
        <v>45422</v>
      </c>
      <c r="H1223" s="12">
        <f t="shared" si="19"/>
        <v>5000</v>
      </c>
      <c r="I1223" s="12" t="s">
        <v>10</v>
      </c>
      <c r="J1223" s="15"/>
    </row>
    <row r="1224" hidden="1" spans="2:10">
      <c r="B1224" s="86">
        <v>232401237</v>
      </c>
      <c r="C1224" s="9">
        <v>45240</v>
      </c>
      <c r="D1224" s="87" t="s">
        <v>223</v>
      </c>
      <c r="E1224" s="10">
        <v>40000</v>
      </c>
      <c r="F1224" s="10">
        <v>0.08</v>
      </c>
      <c r="G1224" s="9">
        <v>45311</v>
      </c>
      <c r="H1224" s="12">
        <f t="shared" si="19"/>
        <v>3200</v>
      </c>
      <c r="I1224" s="12" t="s">
        <v>10</v>
      </c>
      <c r="J1224" s="15"/>
    </row>
    <row r="1225" hidden="1" spans="2:10">
      <c r="B1225" s="86">
        <v>232401237</v>
      </c>
      <c r="C1225" s="9">
        <v>45240</v>
      </c>
      <c r="D1225" s="87" t="s">
        <v>312</v>
      </c>
      <c r="E1225" s="10">
        <v>50000</v>
      </c>
      <c r="F1225" s="10">
        <v>0.065</v>
      </c>
      <c r="G1225" s="9">
        <v>45311</v>
      </c>
      <c r="H1225" s="12">
        <f t="shared" si="19"/>
        <v>3250</v>
      </c>
      <c r="I1225" s="12" t="s">
        <v>10</v>
      </c>
      <c r="J1225" s="15"/>
    </row>
    <row r="1226" hidden="1" spans="2:10">
      <c r="B1226" s="86">
        <v>232401246</v>
      </c>
      <c r="C1226" s="9">
        <v>45246</v>
      </c>
      <c r="D1226" s="87" t="s">
        <v>210</v>
      </c>
      <c r="E1226" s="10">
        <v>120000</v>
      </c>
      <c r="F1226" s="10">
        <v>0.028</v>
      </c>
      <c r="G1226" s="9">
        <v>45280</v>
      </c>
      <c r="H1226" s="12">
        <f t="shared" si="19"/>
        <v>3360</v>
      </c>
      <c r="I1226" s="12" t="s">
        <v>10</v>
      </c>
      <c r="J1226" s="15"/>
    </row>
    <row r="1227" hidden="1" spans="2:10">
      <c r="B1227" s="86">
        <v>232401246</v>
      </c>
      <c r="C1227" s="9">
        <v>45246</v>
      </c>
      <c r="D1227" s="87" t="s">
        <v>210</v>
      </c>
      <c r="E1227" s="10">
        <v>120000</v>
      </c>
      <c r="F1227" s="10">
        <v>0.028</v>
      </c>
      <c r="G1227" s="9">
        <v>45296</v>
      </c>
      <c r="H1227" s="12">
        <f t="shared" si="19"/>
        <v>3360</v>
      </c>
      <c r="I1227" s="12" t="s">
        <v>10</v>
      </c>
      <c r="J1227" s="15"/>
    </row>
    <row r="1228" hidden="1" spans="2:10">
      <c r="B1228" s="86">
        <v>232401246</v>
      </c>
      <c r="C1228" s="9">
        <v>45246</v>
      </c>
      <c r="D1228" s="87" t="s">
        <v>210</v>
      </c>
      <c r="E1228" s="10">
        <v>120000</v>
      </c>
      <c r="F1228" s="10">
        <v>0.028</v>
      </c>
      <c r="G1228" s="9">
        <v>45311</v>
      </c>
      <c r="H1228" s="12">
        <f t="shared" si="19"/>
        <v>3360</v>
      </c>
      <c r="I1228" s="12" t="s">
        <v>10</v>
      </c>
      <c r="J1228" s="15"/>
    </row>
    <row r="1229" hidden="1" spans="2:10">
      <c r="B1229" s="86">
        <v>232401246</v>
      </c>
      <c r="C1229" s="9">
        <v>45246</v>
      </c>
      <c r="D1229" s="87" t="s">
        <v>210</v>
      </c>
      <c r="E1229" s="10">
        <v>120000</v>
      </c>
      <c r="F1229" s="10">
        <v>0.028</v>
      </c>
      <c r="G1229" s="9">
        <v>45311</v>
      </c>
      <c r="H1229" s="12">
        <f t="shared" si="19"/>
        <v>3360</v>
      </c>
      <c r="I1229" s="12" t="s">
        <v>10</v>
      </c>
      <c r="J1229" s="15"/>
    </row>
    <row r="1230" hidden="1" spans="2:10">
      <c r="B1230" s="86">
        <v>232401246</v>
      </c>
      <c r="C1230" s="9">
        <v>45246</v>
      </c>
      <c r="D1230" s="87" t="s">
        <v>210</v>
      </c>
      <c r="E1230" s="10">
        <v>120000</v>
      </c>
      <c r="F1230" s="10">
        <v>0.028</v>
      </c>
      <c r="G1230" s="9">
        <v>45327</v>
      </c>
      <c r="H1230" s="12">
        <f t="shared" si="19"/>
        <v>3360</v>
      </c>
      <c r="I1230" s="12" t="s">
        <v>10</v>
      </c>
      <c r="J1230" s="15"/>
    </row>
    <row r="1231" hidden="1" spans="2:10">
      <c r="B1231" s="86">
        <v>232401246</v>
      </c>
      <c r="C1231" s="9">
        <v>45246</v>
      </c>
      <c r="D1231" s="87" t="s">
        <v>210</v>
      </c>
      <c r="E1231" s="10">
        <v>120000</v>
      </c>
      <c r="F1231" s="10">
        <v>0.028</v>
      </c>
      <c r="G1231" s="9">
        <v>45342</v>
      </c>
      <c r="H1231" s="12">
        <f t="shared" si="19"/>
        <v>3360</v>
      </c>
      <c r="I1231" s="12" t="s">
        <v>10</v>
      </c>
      <c r="J1231" s="15"/>
    </row>
    <row r="1232" hidden="1" spans="2:10">
      <c r="B1232" s="86">
        <v>232401246</v>
      </c>
      <c r="C1232" s="9">
        <v>45246</v>
      </c>
      <c r="D1232" s="87" t="s">
        <v>210</v>
      </c>
      <c r="E1232" s="10">
        <v>120000</v>
      </c>
      <c r="F1232" s="10">
        <v>0.028</v>
      </c>
      <c r="G1232" s="9">
        <v>45371</v>
      </c>
      <c r="H1232" s="12">
        <f t="shared" si="19"/>
        <v>3360</v>
      </c>
      <c r="I1232" s="12" t="s">
        <v>10</v>
      </c>
      <c r="J1232" s="15"/>
    </row>
    <row r="1233" hidden="1" spans="2:10">
      <c r="B1233" s="86">
        <v>232401252</v>
      </c>
      <c r="C1233" s="9">
        <v>45246</v>
      </c>
      <c r="D1233" s="87" t="s">
        <v>200</v>
      </c>
      <c r="E1233" s="10">
        <v>200000</v>
      </c>
      <c r="F1233" s="10">
        <v>0.05</v>
      </c>
      <c r="G1233" s="9">
        <v>45327</v>
      </c>
      <c r="H1233" s="12">
        <f t="shared" si="19"/>
        <v>10000</v>
      </c>
      <c r="I1233" s="12" t="s">
        <v>10</v>
      </c>
      <c r="J1233" s="15"/>
    </row>
    <row r="1234" hidden="1" spans="2:10">
      <c r="B1234" s="86">
        <v>232401252</v>
      </c>
      <c r="C1234" s="9">
        <v>45246</v>
      </c>
      <c r="D1234" s="87" t="s">
        <v>200</v>
      </c>
      <c r="E1234" s="10">
        <v>200000</v>
      </c>
      <c r="F1234" s="10">
        <v>0.05</v>
      </c>
      <c r="G1234" s="9">
        <v>45342</v>
      </c>
      <c r="H1234" s="12">
        <f t="shared" si="19"/>
        <v>10000</v>
      </c>
      <c r="I1234" s="12" t="s">
        <v>10</v>
      </c>
      <c r="J1234" s="15"/>
    </row>
    <row r="1235" hidden="1" spans="2:10">
      <c r="B1235" s="86">
        <v>232401268</v>
      </c>
      <c r="C1235" s="9">
        <v>45250</v>
      </c>
      <c r="D1235" s="10" t="s">
        <v>34</v>
      </c>
      <c r="E1235" s="10">
        <v>200000</v>
      </c>
      <c r="F1235" s="10">
        <v>0.051</v>
      </c>
      <c r="G1235" s="9">
        <v>45337</v>
      </c>
      <c r="H1235" s="12">
        <f t="shared" si="19"/>
        <v>10200</v>
      </c>
      <c r="I1235" s="12" t="s">
        <v>10</v>
      </c>
      <c r="J1235" s="15"/>
    </row>
    <row r="1236" hidden="1" spans="2:10">
      <c r="B1236" s="86">
        <v>232401268</v>
      </c>
      <c r="C1236" s="9">
        <v>45250</v>
      </c>
      <c r="D1236" s="10" t="s">
        <v>34</v>
      </c>
      <c r="E1236" s="10">
        <v>200000</v>
      </c>
      <c r="F1236" s="10">
        <v>0.051</v>
      </c>
      <c r="G1236" s="9">
        <v>45366</v>
      </c>
      <c r="H1236" s="12">
        <f t="shared" si="19"/>
        <v>10200</v>
      </c>
      <c r="I1236" s="12" t="s">
        <v>10</v>
      </c>
      <c r="J1236" s="15"/>
    </row>
    <row r="1237" hidden="1" spans="2:10">
      <c r="B1237" s="86">
        <v>232401289</v>
      </c>
      <c r="C1237" s="9">
        <v>45250</v>
      </c>
      <c r="D1237" s="87" t="s">
        <v>203</v>
      </c>
      <c r="E1237" s="10">
        <v>500000</v>
      </c>
      <c r="F1237" s="10">
        <v>0.027</v>
      </c>
      <c r="G1237" s="9">
        <v>45306</v>
      </c>
      <c r="H1237" s="12">
        <f t="shared" si="19"/>
        <v>13500</v>
      </c>
      <c r="I1237" s="12" t="s">
        <v>10</v>
      </c>
      <c r="J1237" s="15"/>
    </row>
    <row r="1238" hidden="1" spans="2:10">
      <c r="B1238" s="86">
        <v>232401289</v>
      </c>
      <c r="C1238" s="9">
        <v>45250</v>
      </c>
      <c r="D1238" s="87" t="s">
        <v>203</v>
      </c>
      <c r="E1238" s="10">
        <v>500000</v>
      </c>
      <c r="F1238" s="10">
        <v>0.027</v>
      </c>
      <c r="G1238" s="9">
        <v>45347</v>
      </c>
      <c r="H1238" s="12">
        <f t="shared" si="19"/>
        <v>13500</v>
      </c>
      <c r="I1238" s="12" t="s">
        <v>10</v>
      </c>
      <c r="J1238" s="15"/>
    </row>
    <row r="1239" hidden="1" spans="2:10">
      <c r="B1239" s="86">
        <v>232401289</v>
      </c>
      <c r="C1239" s="9">
        <v>45250</v>
      </c>
      <c r="D1239" s="87" t="s">
        <v>203</v>
      </c>
      <c r="E1239" s="10">
        <v>500000</v>
      </c>
      <c r="F1239" s="10">
        <v>0.027</v>
      </c>
      <c r="G1239" s="9">
        <v>45337</v>
      </c>
      <c r="H1239" s="12">
        <f t="shared" si="19"/>
        <v>13500</v>
      </c>
      <c r="I1239" s="12" t="s">
        <v>10</v>
      </c>
      <c r="J1239" s="15"/>
    </row>
    <row r="1240" hidden="1" spans="2:10">
      <c r="B1240" s="86">
        <v>232401289</v>
      </c>
      <c r="C1240" s="9">
        <v>45250</v>
      </c>
      <c r="D1240" s="87" t="s">
        <v>203</v>
      </c>
      <c r="E1240" s="10">
        <v>500000</v>
      </c>
      <c r="F1240" s="10">
        <v>0.027</v>
      </c>
      <c r="G1240" s="9">
        <v>45347</v>
      </c>
      <c r="H1240" s="12">
        <f t="shared" si="19"/>
        <v>13500</v>
      </c>
      <c r="I1240" s="12" t="s">
        <v>10</v>
      </c>
      <c r="J1240" s="15"/>
    </row>
    <row r="1241" hidden="1" spans="2:10">
      <c r="B1241" s="86">
        <v>232401289</v>
      </c>
      <c r="C1241" s="9">
        <v>45250</v>
      </c>
      <c r="D1241" s="87" t="s">
        <v>203</v>
      </c>
      <c r="E1241" s="10">
        <v>500000</v>
      </c>
      <c r="F1241" s="10">
        <v>0.027</v>
      </c>
      <c r="G1241" s="9">
        <v>45376</v>
      </c>
      <c r="H1241" s="12">
        <f t="shared" si="19"/>
        <v>13500</v>
      </c>
      <c r="I1241" s="12" t="s">
        <v>10</v>
      </c>
      <c r="J1241" s="15"/>
    </row>
    <row r="1242" hidden="1" spans="2:10">
      <c r="B1242" s="86">
        <v>232401289</v>
      </c>
      <c r="C1242" s="9">
        <v>45250</v>
      </c>
      <c r="D1242" s="87" t="s">
        <v>203</v>
      </c>
      <c r="E1242" s="10">
        <v>500000</v>
      </c>
      <c r="F1242" s="10">
        <v>0.027</v>
      </c>
      <c r="G1242" s="9">
        <v>45376</v>
      </c>
      <c r="H1242" s="12">
        <f t="shared" si="19"/>
        <v>13500</v>
      </c>
      <c r="I1242" s="12" t="s">
        <v>10</v>
      </c>
      <c r="J1242" s="15"/>
    </row>
    <row r="1243" hidden="1" spans="2:10">
      <c r="B1243" s="86">
        <v>232401289</v>
      </c>
      <c r="C1243" s="9">
        <v>45250</v>
      </c>
      <c r="D1243" s="87" t="s">
        <v>202</v>
      </c>
      <c r="E1243" s="10">
        <v>150000</v>
      </c>
      <c r="F1243" s="10">
        <v>0.04</v>
      </c>
      <c r="G1243" s="9">
        <v>45280</v>
      </c>
      <c r="H1243" s="12">
        <f t="shared" si="19"/>
        <v>6000</v>
      </c>
      <c r="I1243" s="12" t="s">
        <v>10</v>
      </c>
      <c r="J1243" s="15"/>
    </row>
    <row r="1244" hidden="1" spans="2:10">
      <c r="B1244" s="86">
        <v>232401289</v>
      </c>
      <c r="C1244" s="9">
        <v>45250</v>
      </c>
      <c r="D1244" s="87" t="s">
        <v>202</v>
      </c>
      <c r="E1244" s="10">
        <v>150000</v>
      </c>
      <c r="F1244" s="10">
        <v>0.04</v>
      </c>
      <c r="G1244" s="9">
        <v>45311</v>
      </c>
      <c r="H1244" s="12">
        <f t="shared" si="19"/>
        <v>6000</v>
      </c>
      <c r="I1244" s="12" t="s">
        <v>10</v>
      </c>
      <c r="J1244" s="15"/>
    </row>
    <row r="1245" hidden="1" spans="2:10">
      <c r="B1245" s="86">
        <v>232401289</v>
      </c>
      <c r="C1245" s="9">
        <v>45250</v>
      </c>
      <c r="D1245" s="87" t="s">
        <v>202</v>
      </c>
      <c r="E1245" s="10">
        <v>150000</v>
      </c>
      <c r="F1245" s="10">
        <v>0.04</v>
      </c>
      <c r="G1245" s="9">
        <v>45342</v>
      </c>
      <c r="H1245" s="12">
        <f t="shared" si="19"/>
        <v>6000</v>
      </c>
      <c r="I1245" s="12" t="s">
        <v>10</v>
      </c>
      <c r="J1245" s="15"/>
    </row>
    <row r="1246" hidden="1" spans="2:10">
      <c r="B1246" s="86">
        <v>232401289</v>
      </c>
      <c r="C1246" s="9">
        <v>45250</v>
      </c>
      <c r="D1246" s="10" t="s">
        <v>32</v>
      </c>
      <c r="E1246" s="10">
        <v>300000</v>
      </c>
      <c r="F1246" s="10">
        <v>0.02</v>
      </c>
      <c r="G1246" s="9">
        <v>45311</v>
      </c>
      <c r="H1246" s="12">
        <f t="shared" si="19"/>
        <v>6000</v>
      </c>
      <c r="I1246" s="12" t="s">
        <v>10</v>
      </c>
      <c r="J1246" s="15"/>
    </row>
    <row r="1247" hidden="1" spans="2:10">
      <c r="B1247" s="86">
        <v>232401289</v>
      </c>
      <c r="C1247" s="9">
        <v>45250</v>
      </c>
      <c r="D1247" s="10" t="s">
        <v>32</v>
      </c>
      <c r="E1247" s="10">
        <v>300000</v>
      </c>
      <c r="F1247" s="10">
        <v>0.02</v>
      </c>
      <c r="G1247" s="9">
        <v>45342</v>
      </c>
      <c r="H1247" s="12">
        <f t="shared" si="19"/>
        <v>6000</v>
      </c>
      <c r="I1247" s="12" t="s">
        <v>10</v>
      </c>
      <c r="J1247" s="15"/>
    </row>
    <row r="1248" hidden="1" spans="2:10">
      <c r="B1248" s="86">
        <v>232401289</v>
      </c>
      <c r="C1248" s="9">
        <v>45250</v>
      </c>
      <c r="D1248" s="10" t="s">
        <v>32</v>
      </c>
      <c r="E1248" s="10">
        <v>300000</v>
      </c>
      <c r="F1248" s="10">
        <v>0.02</v>
      </c>
      <c r="G1248" s="9">
        <v>45371</v>
      </c>
      <c r="H1248" s="12">
        <f t="shared" si="19"/>
        <v>6000</v>
      </c>
      <c r="I1248" s="12" t="s">
        <v>10</v>
      </c>
      <c r="J1248" s="15"/>
    </row>
    <row r="1249" hidden="1" spans="2:10">
      <c r="B1249" s="86">
        <v>232401289</v>
      </c>
      <c r="C1249" s="9">
        <v>45250</v>
      </c>
      <c r="D1249" s="10" t="s">
        <v>33</v>
      </c>
      <c r="E1249" s="10">
        <v>300000</v>
      </c>
      <c r="F1249" s="10">
        <v>0.02</v>
      </c>
      <c r="G1249" s="9">
        <v>45342</v>
      </c>
      <c r="H1249" s="12">
        <f t="shared" si="19"/>
        <v>6000</v>
      </c>
      <c r="I1249" s="12" t="s">
        <v>10</v>
      </c>
      <c r="J1249" s="15"/>
    </row>
    <row r="1250" hidden="1" spans="2:10">
      <c r="B1250" s="86">
        <v>232401289</v>
      </c>
      <c r="C1250" s="9">
        <v>45250</v>
      </c>
      <c r="D1250" s="10" t="s">
        <v>33</v>
      </c>
      <c r="E1250" s="10">
        <v>300000</v>
      </c>
      <c r="F1250" s="10">
        <v>0.02</v>
      </c>
      <c r="G1250" s="9">
        <v>45005</v>
      </c>
      <c r="H1250" s="12">
        <f t="shared" si="19"/>
        <v>6000</v>
      </c>
      <c r="I1250" s="12" t="s">
        <v>10</v>
      </c>
      <c r="J1250" s="15"/>
    </row>
    <row r="1251" hidden="1" spans="2:10">
      <c r="B1251" s="86">
        <v>232401298</v>
      </c>
      <c r="C1251" s="9">
        <v>45251</v>
      </c>
      <c r="D1251" s="10" t="s">
        <v>68</v>
      </c>
      <c r="E1251" s="10">
        <v>20000</v>
      </c>
      <c r="F1251" s="10">
        <v>0.03</v>
      </c>
      <c r="G1251" s="9">
        <v>45285</v>
      </c>
      <c r="H1251" s="12">
        <f t="shared" si="19"/>
        <v>600</v>
      </c>
      <c r="I1251" s="12" t="s">
        <v>10</v>
      </c>
      <c r="J1251" s="15"/>
    </row>
    <row r="1252" hidden="1" spans="2:10">
      <c r="B1252" s="86">
        <v>232401322</v>
      </c>
      <c r="C1252" s="9">
        <v>45254</v>
      </c>
      <c r="D1252" s="87" t="s">
        <v>314</v>
      </c>
      <c r="E1252" s="10">
        <v>20000</v>
      </c>
      <c r="F1252" s="10">
        <v>0.021</v>
      </c>
      <c r="G1252" s="9">
        <v>45270</v>
      </c>
      <c r="H1252" s="12">
        <f t="shared" si="19"/>
        <v>420</v>
      </c>
      <c r="I1252" s="10" t="s">
        <v>10</v>
      </c>
      <c r="J1252" s="15"/>
    </row>
    <row r="1253" hidden="1" spans="2:10">
      <c r="B1253" s="86">
        <v>232401322</v>
      </c>
      <c r="C1253" s="9">
        <v>45254</v>
      </c>
      <c r="D1253" s="87" t="s">
        <v>314</v>
      </c>
      <c r="E1253" s="10">
        <v>40000</v>
      </c>
      <c r="F1253" s="10">
        <v>0.021</v>
      </c>
      <c r="G1253" s="9">
        <v>45301</v>
      </c>
      <c r="H1253" s="12">
        <f t="shared" si="19"/>
        <v>840</v>
      </c>
      <c r="I1253" s="10" t="s">
        <v>10</v>
      </c>
      <c r="J1253" s="15"/>
    </row>
    <row r="1254" hidden="1" spans="2:10">
      <c r="B1254" s="86">
        <v>232401327</v>
      </c>
      <c r="C1254" s="9">
        <v>45257</v>
      </c>
      <c r="D1254" s="87" t="s">
        <v>202</v>
      </c>
      <c r="E1254" s="10">
        <v>300000</v>
      </c>
      <c r="F1254" s="10">
        <v>0.04</v>
      </c>
      <c r="G1254" s="9">
        <v>45270</v>
      </c>
      <c r="H1254" s="12">
        <f t="shared" si="19"/>
        <v>12000</v>
      </c>
      <c r="I1254" s="12" t="s">
        <v>10</v>
      </c>
      <c r="J1254" s="15"/>
    </row>
    <row r="1255" hidden="1" spans="2:10">
      <c r="B1255" s="86">
        <v>232401327</v>
      </c>
      <c r="C1255" s="9">
        <v>45257</v>
      </c>
      <c r="D1255" s="87" t="s">
        <v>202</v>
      </c>
      <c r="E1255" s="10">
        <v>300000</v>
      </c>
      <c r="F1255" s="10">
        <v>0.04</v>
      </c>
      <c r="G1255" s="9">
        <v>45280</v>
      </c>
      <c r="H1255" s="12">
        <f t="shared" si="19"/>
        <v>12000</v>
      </c>
      <c r="I1255" s="12" t="s">
        <v>10</v>
      </c>
      <c r="J1255" s="15"/>
    </row>
    <row r="1256" hidden="1" spans="2:10">
      <c r="B1256" s="86">
        <v>232401327</v>
      </c>
      <c r="C1256" s="9">
        <v>45257</v>
      </c>
      <c r="D1256" s="87" t="s">
        <v>202</v>
      </c>
      <c r="E1256" s="10">
        <v>300000</v>
      </c>
      <c r="F1256" s="10">
        <v>0.04</v>
      </c>
      <c r="G1256" s="9">
        <v>45306</v>
      </c>
      <c r="H1256" s="12">
        <f t="shared" si="19"/>
        <v>12000</v>
      </c>
      <c r="I1256" s="12" t="s">
        <v>10</v>
      </c>
      <c r="J1256" s="15"/>
    </row>
    <row r="1257" hidden="1" spans="2:10">
      <c r="B1257" s="86">
        <v>232401327</v>
      </c>
      <c r="C1257" s="9">
        <v>45257</v>
      </c>
      <c r="D1257" s="87" t="s">
        <v>202</v>
      </c>
      <c r="E1257" s="10">
        <v>400000</v>
      </c>
      <c r="F1257" s="10">
        <v>0.04</v>
      </c>
      <c r="G1257" s="9">
        <v>45337</v>
      </c>
      <c r="H1257" s="12">
        <f t="shared" si="19"/>
        <v>16000</v>
      </c>
      <c r="I1257" s="12" t="s">
        <v>10</v>
      </c>
      <c r="J1257" s="15"/>
    </row>
    <row r="1258" hidden="1" spans="2:10">
      <c r="B1258" s="86">
        <v>232401328</v>
      </c>
      <c r="C1258" s="9">
        <v>45257</v>
      </c>
      <c r="D1258" s="87" t="s">
        <v>202</v>
      </c>
      <c r="E1258" s="10">
        <v>300000</v>
      </c>
      <c r="F1258" s="10">
        <v>0.04</v>
      </c>
      <c r="G1258" s="9">
        <v>45296</v>
      </c>
      <c r="H1258" s="12">
        <f t="shared" si="19"/>
        <v>12000</v>
      </c>
      <c r="I1258" s="12" t="s">
        <v>10</v>
      </c>
      <c r="J1258" s="15"/>
    </row>
    <row r="1259" hidden="1" spans="2:10">
      <c r="B1259" s="86">
        <v>232401328</v>
      </c>
      <c r="C1259" s="9">
        <v>45257</v>
      </c>
      <c r="D1259" s="87" t="s">
        <v>202</v>
      </c>
      <c r="E1259" s="10">
        <v>300000</v>
      </c>
      <c r="F1259" s="10">
        <v>0.04</v>
      </c>
      <c r="G1259" s="9">
        <v>45327</v>
      </c>
      <c r="H1259" s="12">
        <f t="shared" si="19"/>
        <v>12000</v>
      </c>
      <c r="I1259" s="12" t="s">
        <v>10</v>
      </c>
      <c r="J1259" s="15"/>
    </row>
    <row r="1260" hidden="1" spans="2:10">
      <c r="B1260" s="86">
        <v>232401329</v>
      </c>
      <c r="C1260" s="9">
        <v>45258</v>
      </c>
      <c r="D1260" s="10" t="s">
        <v>119</v>
      </c>
      <c r="E1260" s="10">
        <v>60000</v>
      </c>
      <c r="F1260" s="10">
        <v>0.07</v>
      </c>
      <c r="G1260" s="9">
        <v>45258</v>
      </c>
      <c r="H1260" s="12">
        <f t="shared" si="19"/>
        <v>4200</v>
      </c>
      <c r="I1260" s="12" t="s">
        <v>10</v>
      </c>
      <c r="J1260" s="15"/>
    </row>
    <row r="1261" hidden="1" spans="2:10">
      <c r="B1261" s="86">
        <v>232401329</v>
      </c>
      <c r="C1261" s="9">
        <v>45258</v>
      </c>
      <c r="D1261" s="10" t="s">
        <v>119</v>
      </c>
      <c r="E1261" s="10">
        <v>60000</v>
      </c>
      <c r="F1261" s="10">
        <v>0.07</v>
      </c>
      <c r="G1261" s="9">
        <v>45258</v>
      </c>
      <c r="H1261" s="12">
        <f t="shared" si="19"/>
        <v>4200</v>
      </c>
      <c r="I1261" s="12" t="s">
        <v>10</v>
      </c>
      <c r="J1261" s="15"/>
    </row>
    <row r="1262" hidden="1" spans="2:10">
      <c r="B1262" s="86">
        <v>232401329</v>
      </c>
      <c r="C1262" s="9">
        <v>45258</v>
      </c>
      <c r="D1262" s="10" t="s">
        <v>119</v>
      </c>
      <c r="E1262" s="10">
        <v>60000</v>
      </c>
      <c r="F1262" s="10">
        <v>0.07</v>
      </c>
      <c r="G1262" s="9">
        <v>45280</v>
      </c>
      <c r="H1262" s="12">
        <f t="shared" si="19"/>
        <v>4200</v>
      </c>
      <c r="I1262" s="12" t="s">
        <v>10</v>
      </c>
      <c r="J1262" s="15"/>
    </row>
    <row r="1263" hidden="1" spans="2:10">
      <c r="B1263" s="86">
        <v>232401329</v>
      </c>
      <c r="C1263" s="9">
        <v>45258</v>
      </c>
      <c r="D1263" s="10" t="s">
        <v>119</v>
      </c>
      <c r="E1263" s="10">
        <v>60000</v>
      </c>
      <c r="F1263" s="10">
        <v>0.07</v>
      </c>
      <c r="G1263" s="9">
        <v>45306</v>
      </c>
      <c r="H1263" s="12">
        <f t="shared" si="19"/>
        <v>4200</v>
      </c>
      <c r="I1263" s="12" t="s">
        <v>10</v>
      </c>
      <c r="J1263" s="15"/>
    </row>
    <row r="1264" hidden="1" spans="2:10">
      <c r="B1264" s="86">
        <v>232401334</v>
      </c>
      <c r="C1264" s="9">
        <v>45260</v>
      </c>
      <c r="D1264" s="87" t="s">
        <v>231</v>
      </c>
      <c r="E1264" s="10">
        <v>252000</v>
      </c>
      <c r="F1264" s="10">
        <v>0.0082</v>
      </c>
      <c r="G1264" s="9">
        <v>45301</v>
      </c>
      <c r="H1264" s="12">
        <f t="shared" si="19"/>
        <v>2066.4</v>
      </c>
      <c r="I1264" s="12" t="s">
        <v>10</v>
      </c>
      <c r="J1264" s="15"/>
    </row>
    <row r="1265" hidden="1" spans="2:10">
      <c r="B1265" s="86">
        <v>232401334</v>
      </c>
      <c r="C1265" s="9">
        <v>45260</v>
      </c>
      <c r="D1265" s="87" t="s">
        <v>231</v>
      </c>
      <c r="E1265" s="10">
        <v>252000</v>
      </c>
      <c r="F1265" s="10">
        <v>0.0082</v>
      </c>
      <c r="G1265" s="9">
        <v>45332</v>
      </c>
      <c r="H1265" s="12">
        <f t="shared" si="19"/>
        <v>2066.4</v>
      </c>
      <c r="I1265" s="12" t="s">
        <v>10</v>
      </c>
      <c r="J1265" s="15"/>
    </row>
    <row r="1266" hidden="1" spans="2:10">
      <c r="B1266" s="86">
        <v>232401335</v>
      </c>
      <c r="C1266" s="9">
        <v>45259</v>
      </c>
      <c r="D1266" s="87" t="s">
        <v>254</v>
      </c>
      <c r="E1266" s="10">
        <v>2000000</v>
      </c>
      <c r="F1266" s="10">
        <v>0.027</v>
      </c>
      <c r="G1266" s="9">
        <v>45332</v>
      </c>
      <c r="H1266" s="12">
        <f t="shared" si="19"/>
        <v>54000</v>
      </c>
      <c r="I1266" s="12" t="s">
        <v>10</v>
      </c>
      <c r="J1266" s="15"/>
    </row>
    <row r="1267" hidden="1" spans="2:10">
      <c r="B1267" s="86">
        <v>232401335</v>
      </c>
      <c r="C1267" s="9">
        <v>45259</v>
      </c>
      <c r="D1267" s="10" t="s">
        <v>226</v>
      </c>
      <c r="E1267" s="10">
        <v>200000</v>
      </c>
      <c r="F1267" s="10">
        <v>0.08</v>
      </c>
      <c r="G1267" s="9">
        <v>45301</v>
      </c>
      <c r="H1267" s="12">
        <f t="shared" si="19"/>
        <v>16000</v>
      </c>
      <c r="I1267" s="12" t="s">
        <v>10</v>
      </c>
      <c r="J1267" s="15"/>
    </row>
    <row r="1268" hidden="1" spans="2:10">
      <c r="B1268" s="86">
        <v>232401335</v>
      </c>
      <c r="C1268" s="9">
        <v>45259</v>
      </c>
      <c r="D1268" s="10" t="s">
        <v>226</v>
      </c>
      <c r="E1268" s="10">
        <v>200000</v>
      </c>
      <c r="F1268" s="10">
        <v>0.08</v>
      </c>
      <c r="G1268" s="9">
        <v>45332</v>
      </c>
      <c r="H1268" s="12">
        <f t="shared" si="19"/>
        <v>16000</v>
      </c>
      <c r="I1268" s="12" t="s">
        <v>10</v>
      </c>
      <c r="J1268" s="15"/>
    </row>
    <row r="1269" hidden="1" spans="2:10">
      <c r="B1269" s="86">
        <v>232401335</v>
      </c>
      <c r="C1269" s="9">
        <v>45259</v>
      </c>
      <c r="D1269" s="87" t="s">
        <v>248</v>
      </c>
      <c r="E1269" s="10">
        <v>200000</v>
      </c>
      <c r="F1269" s="10">
        <v>0.065</v>
      </c>
      <c r="G1269" s="9">
        <v>45270</v>
      </c>
      <c r="H1269" s="12">
        <f t="shared" si="19"/>
        <v>13000</v>
      </c>
      <c r="I1269" s="12" t="s">
        <v>10</v>
      </c>
      <c r="J1269" s="15"/>
    </row>
    <row r="1270" hidden="1" spans="2:10">
      <c r="B1270" s="86">
        <v>232401335</v>
      </c>
      <c r="C1270" s="9">
        <v>45259</v>
      </c>
      <c r="D1270" s="87" t="s">
        <v>248</v>
      </c>
      <c r="E1270" s="10">
        <v>200000</v>
      </c>
      <c r="F1270" s="10">
        <v>0.065</v>
      </c>
      <c r="G1270" s="9">
        <v>45280</v>
      </c>
      <c r="H1270" s="12">
        <f t="shared" si="19"/>
        <v>13000</v>
      </c>
      <c r="I1270" s="12" t="s">
        <v>10</v>
      </c>
      <c r="J1270" s="15"/>
    </row>
    <row r="1271" hidden="1" spans="2:10">
      <c r="B1271" s="86">
        <v>232401335</v>
      </c>
      <c r="C1271" s="9">
        <v>45259</v>
      </c>
      <c r="D1271" s="87" t="s">
        <v>248</v>
      </c>
      <c r="E1271" s="10">
        <v>200000</v>
      </c>
      <c r="F1271" s="10">
        <v>0.065</v>
      </c>
      <c r="G1271" s="9">
        <v>45361</v>
      </c>
      <c r="H1271" s="12">
        <f t="shared" si="19"/>
        <v>13000</v>
      </c>
      <c r="I1271" s="12" t="s">
        <v>10</v>
      </c>
      <c r="J1271" s="15"/>
    </row>
    <row r="1272" hidden="1" spans="2:10">
      <c r="B1272" s="86">
        <v>232401335</v>
      </c>
      <c r="C1272" s="9">
        <v>45259</v>
      </c>
      <c r="D1272" s="87" t="s">
        <v>222</v>
      </c>
      <c r="E1272" s="10">
        <v>30000</v>
      </c>
      <c r="F1272" s="10">
        <v>0.285</v>
      </c>
      <c r="G1272" s="9">
        <v>45301</v>
      </c>
      <c r="H1272" s="12">
        <f t="shared" si="19"/>
        <v>8550</v>
      </c>
      <c r="I1272" s="12" t="s">
        <v>10</v>
      </c>
      <c r="J1272" s="15"/>
    </row>
    <row r="1273" hidden="1" spans="2:10">
      <c r="B1273" s="86">
        <v>232401335</v>
      </c>
      <c r="C1273" s="9">
        <v>45259</v>
      </c>
      <c r="D1273" s="87" t="s">
        <v>222</v>
      </c>
      <c r="E1273" s="10">
        <v>30000</v>
      </c>
      <c r="F1273" s="10">
        <v>0.285</v>
      </c>
      <c r="G1273" s="9">
        <v>45332</v>
      </c>
      <c r="H1273" s="12">
        <f t="shared" si="19"/>
        <v>8550</v>
      </c>
      <c r="I1273" s="12" t="s">
        <v>10</v>
      </c>
      <c r="J1273" s="15"/>
    </row>
    <row r="1274" hidden="1" spans="2:10">
      <c r="B1274" s="86">
        <v>232401336</v>
      </c>
      <c r="C1274" s="9">
        <v>45259</v>
      </c>
      <c r="D1274" s="87" t="s">
        <v>210</v>
      </c>
      <c r="E1274" s="10">
        <v>300000</v>
      </c>
      <c r="F1274" s="10">
        <v>0.028</v>
      </c>
      <c r="G1274" s="9">
        <v>45270</v>
      </c>
      <c r="H1274" s="12">
        <f t="shared" si="19"/>
        <v>8400</v>
      </c>
      <c r="I1274" s="12" t="s">
        <v>10</v>
      </c>
      <c r="J1274" s="15"/>
    </row>
    <row r="1275" hidden="1" spans="2:10">
      <c r="B1275" s="86">
        <v>232401336</v>
      </c>
      <c r="C1275" s="9">
        <v>45259</v>
      </c>
      <c r="D1275" s="87" t="s">
        <v>210</v>
      </c>
      <c r="E1275" s="10">
        <v>300000</v>
      </c>
      <c r="F1275" s="10">
        <v>0.028</v>
      </c>
      <c r="G1275" s="9">
        <v>45316</v>
      </c>
      <c r="H1275" s="12">
        <f t="shared" si="19"/>
        <v>8400</v>
      </c>
      <c r="I1275" s="12" t="s">
        <v>10</v>
      </c>
      <c r="J1275" s="15"/>
    </row>
    <row r="1276" hidden="1" spans="2:10">
      <c r="B1276" s="86">
        <v>232401336</v>
      </c>
      <c r="C1276" s="9">
        <v>45259</v>
      </c>
      <c r="D1276" s="87" t="s">
        <v>210</v>
      </c>
      <c r="E1276" s="10">
        <v>300000</v>
      </c>
      <c r="F1276" s="10">
        <v>0.028</v>
      </c>
      <c r="G1276" s="9">
        <v>45407</v>
      </c>
      <c r="H1276" s="12">
        <f t="shared" ref="H1276:H1339" si="20">E1276*F1276</f>
        <v>8400</v>
      </c>
      <c r="I1276" s="12" t="s">
        <v>10</v>
      </c>
      <c r="J1276" s="15"/>
    </row>
    <row r="1277" hidden="1" spans="2:10">
      <c r="B1277" s="86">
        <v>232401336</v>
      </c>
      <c r="C1277" s="9">
        <v>45259</v>
      </c>
      <c r="D1277" s="87" t="s">
        <v>297</v>
      </c>
      <c r="E1277" s="10">
        <v>600000</v>
      </c>
      <c r="F1277" s="10">
        <v>0.15</v>
      </c>
      <c r="G1277" s="9">
        <v>45301</v>
      </c>
      <c r="H1277" s="12">
        <f t="shared" si="20"/>
        <v>90000</v>
      </c>
      <c r="I1277" s="12" t="s">
        <v>10</v>
      </c>
      <c r="J1277" s="15"/>
    </row>
    <row r="1278" hidden="1" spans="2:10">
      <c r="B1278" s="86">
        <v>232401358</v>
      </c>
      <c r="C1278" s="9">
        <v>45264</v>
      </c>
      <c r="D1278" s="10" t="s">
        <v>12</v>
      </c>
      <c r="E1278" s="10">
        <v>30000</v>
      </c>
      <c r="F1278" s="10">
        <v>0.06</v>
      </c>
      <c r="G1278" s="9">
        <v>45275</v>
      </c>
      <c r="H1278" s="12">
        <f t="shared" si="20"/>
        <v>1800</v>
      </c>
      <c r="I1278" s="12" t="s">
        <v>10</v>
      </c>
      <c r="J1278" s="15"/>
    </row>
    <row r="1279" hidden="1" spans="2:10">
      <c r="B1279" s="86">
        <v>232401358</v>
      </c>
      <c r="C1279" s="9">
        <v>45264</v>
      </c>
      <c r="D1279" s="10" t="s">
        <v>12</v>
      </c>
      <c r="E1279" s="10">
        <v>30000</v>
      </c>
      <c r="F1279" s="10">
        <v>0.06</v>
      </c>
      <c r="G1279" s="9">
        <v>45306</v>
      </c>
      <c r="H1279" s="12">
        <f t="shared" si="20"/>
        <v>1800</v>
      </c>
      <c r="I1279" s="12" t="s">
        <v>10</v>
      </c>
      <c r="J1279" s="15"/>
    </row>
    <row r="1280" hidden="1" spans="2:10">
      <c r="B1280" s="86">
        <v>232401358</v>
      </c>
      <c r="C1280" s="9">
        <v>45264</v>
      </c>
      <c r="D1280" s="10" t="s">
        <v>12</v>
      </c>
      <c r="E1280" s="10">
        <v>30000</v>
      </c>
      <c r="F1280" s="10">
        <v>0.06</v>
      </c>
      <c r="G1280" s="9">
        <v>45337</v>
      </c>
      <c r="H1280" s="12">
        <f t="shared" si="20"/>
        <v>1800</v>
      </c>
      <c r="I1280" s="12" t="s">
        <v>10</v>
      </c>
      <c r="J1280" s="15"/>
    </row>
    <row r="1281" hidden="1" spans="2:10">
      <c r="B1281" s="86">
        <v>232401364</v>
      </c>
      <c r="C1281" s="9">
        <v>45265</v>
      </c>
      <c r="D1281" s="10" t="s">
        <v>281</v>
      </c>
      <c r="E1281" s="10">
        <v>30060</v>
      </c>
      <c r="F1281" s="10">
        <v>0.08</v>
      </c>
      <c r="G1281" s="9">
        <v>45313</v>
      </c>
      <c r="H1281" s="12">
        <f t="shared" si="20"/>
        <v>2404.8</v>
      </c>
      <c r="I1281" s="12" t="s">
        <v>10</v>
      </c>
      <c r="J1281" s="15"/>
    </row>
    <row r="1282" hidden="1" spans="2:10">
      <c r="B1282" s="86">
        <v>232401364</v>
      </c>
      <c r="C1282" s="9">
        <v>45265</v>
      </c>
      <c r="D1282" s="10" t="s">
        <v>281</v>
      </c>
      <c r="E1282" s="10">
        <v>30060</v>
      </c>
      <c r="F1282" s="10">
        <v>0.08</v>
      </c>
      <c r="G1282" s="9">
        <v>45313</v>
      </c>
      <c r="H1282" s="12">
        <f t="shared" si="20"/>
        <v>2404.8</v>
      </c>
      <c r="I1282" s="12" t="s">
        <v>10</v>
      </c>
      <c r="J1282" s="15"/>
    </row>
    <row r="1283" hidden="1" spans="2:10">
      <c r="B1283" s="86">
        <v>232401364</v>
      </c>
      <c r="C1283" s="9">
        <v>45265</v>
      </c>
      <c r="D1283" s="10" t="s">
        <v>281</v>
      </c>
      <c r="E1283" s="10">
        <v>30060</v>
      </c>
      <c r="F1283" s="10">
        <v>0.08</v>
      </c>
      <c r="G1283" s="9">
        <v>45332</v>
      </c>
      <c r="H1283" s="12">
        <f t="shared" si="20"/>
        <v>2404.8</v>
      </c>
      <c r="I1283" s="12" t="s">
        <v>10</v>
      </c>
      <c r="J1283" s="15"/>
    </row>
    <row r="1284" hidden="1" spans="2:10">
      <c r="B1284" s="86">
        <v>232401364</v>
      </c>
      <c r="C1284" s="9">
        <v>45265</v>
      </c>
      <c r="D1284" s="10" t="s">
        <v>281</v>
      </c>
      <c r="E1284" s="10">
        <v>30060</v>
      </c>
      <c r="F1284" s="10">
        <v>0.08</v>
      </c>
      <c r="G1284" s="9">
        <v>45332</v>
      </c>
      <c r="H1284" s="12">
        <f t="shared" si="20"/>
        <v>2404.8</v>
      </c>
      <c r="I1284" s="12" t="s">
        <v>10</v>
      </c>
      <c r="J1284" s="15"/>
    </row>
    <row r="1285" hidden="1" spans="2:10">
      <c r="B1285" s="86">
        <v>232401364</v>
      </c>
      <c r="C1285" s="9">
        <v>45265</v>
      </c>
      <c r="D1285" s="10" t="s">
        <v>281</v>
      </c>
      <c r="E1285" s="10">
        <v>30060</v>
      </c>
      <c r="F1285" s="10">
        <v>0.08</v>
      </c>
      <c r="G1285" s="9">
        <v>45347</v>
      </c>
      <c r="H1285" s="12">
        <f t="shared" si="20"/>
        <v>2404.8</v>
      </c>
      <c r="I1285" s="12" t="s">
        <v>10</v>
      </c>
      <c r="J1285" s="15"/>
    </row>
    <row r="1286" hidden="1" spans="2:10">
      <c r="B1286" s="86">
        <v>232401364</v>
      </c>
      <c r="C1286" s="9">
        <v>45265</v>
      </c>
      <c r="D1286" s="10" t="s">
        <v>281</v>
      </c>
      <c r="E1286" s="10">
        <v>30060</v>
      </c>
      <c r="F1286" s="10">
        <v>0.08</v>
      </c>
      <c r="G1286" s="9">
        <v>45361</v>
      </c>
      <c r="H1286" s="12">
        <f t="shared" si="20"/>
        <v>2404.8</v>
      </c>
      <c r="I1286" s="12" t="s">
        <v>10</v>
      </c>
      <c r="J1286" s="15"/>
    </row>
    <row r="1287" hidden="1" spans="2:10">
      <c r="B1287" s="86">
        <v>232401364</v>
      </c>
      <c r="C1287" s="9">
        <v>45265</v>
      </c>
      <c r="D1287" s="10" t="s">
        <v>281</v>
      </c>
      <c r="E1287" s="10">
        <v>30060</v>
      </c>
      <c r="F1287" s="10">
        <v>0.08</v>
      </c>
      <c r="G1287" s="9">
        <v>45373</v>
      </c>
      <c r="H1287" s="12">
        <f t="shared" si="20"/>
        <v>2404.8</v>
      </c>
      <c r="I1287" s="12" t="s">
        <v>10</v>
      </c>
      <c r="J1287" s="15"/>
    </row>
    <row r="1288" hidden="1" spans="2:10">
      <c r="B1288" s="86">
        <v>232401365</v>
      </c>
      <c r="C1288" s="9">
        <v>45265</v>
      </c>
      <c r="D1288" s="87" t="s">
        <v>211</v>
      </c>
      <c r="E1288" s="10">
        <v>208000</v>
      </c>
      <c r="F1288" s="10">
        <v>0.022</v>
      </c>
      <c r="G1288" s="9">
        <v>45284</v>
      </c>
      <c r="H1288" s="12">
        <f t="shared" si="20"/>
        <v>4576</v>
      </c>
      <c r="I1288" s="12" t="s">
        <v>10</v>
      </c>
      <c r="J1288" s="15"/>
    </row>
    <row r="1289" hidden="1" spans="2:10">
      <c r="B1289" s="86">
        <v>232401365</v>
      </c>
      <c r="C1289" s="9">
        <v>45265</v>
      </c>
      <c r="D1289" s="87" t="s">
        <v>211</v>
      </c>
      <c r="E1289" s="10">
        <v>208000</v>
      </c>
      <c r="F1289" s="10">
        <v>0.022</v>
      </c>
      <c r="G1289" s="9">
        <v>45315</v>
      </c>
      <c r="H1289" s="12">
        <f t="shared" si="20"/>
        <v>4576</v>
      </c>
      <c r="I1289" s="12" t="s">
        <v>10</v>
      </c>
      <c r="J1289" s="15"/>
    </row>
    <row r="1290" hidden="1" spans="2:10">
      <c r="B1290" s="86">
        <v>232401372</v>
      </c>
      <c r="C1290" s="9">
        <v>45265</v>
      </c>
      <c r="D1290" s="87" t="s">
        <v>257</v>
      </c>
      <c r="E1290" s="10">
        <v>80000</v>
      </c>
      <c r="F1290" s="10">
        <v>0.01</v>
      </c>
      <c r="G1290" s="9">
        <v>45284</v>
      </c>
      <c r="H1290" s="12">
        <f t="shared" si="20"/>
        <v>800</v>
      </c>
      <c r="I1290" s="12" t="s">
        <v>10</v>
      </c>
      <c r="J1290" s="15"/>
    </row>
    <row r="1291" hidden="1" spans="2:10">
      <c r="B1291" s="86">
        <v>232401372</v>
      </c>
      <c r="C1291" s="9">
        <v>45265</v>
      </c>
      <c r="D1291" s="87" t="s">
        <v>257</v>
      </c>
      <c r="E1291" s="10">
        <v>80000</v>
      </c>
      <c r="F1291" s="10">
        <v>0.01</v>
      </c>
      <c r="G1291" s="9">
        <v>45284</v>
      </c>
      <c r="H1291" s="12">
        <f t="shared" si="20"/>
        <v>800</v>
      </c>
      <c r="I1291" s="12" t="s">
        <v>10</v>
      </c>
      <c r="J1291" s="15"/>
    </row>
    <row r="1292" hidden="1" spans="2:10">
      <c r="B1292" s="86">
        <v>232401372</v>
      </c>
      <c r="C1292" s="9">
        <v>45265</v>
      </c>
      <c r="D1292" s="87" t="s">
        <v>257</v>
      </c>
      <c r="E1292" s="10">
        <v>80000</v>
      </c>
      <c r="F1292" s="10">
        <v>0.01</v>
      </c>
      <c r="G1292" s="9">
        <v>45284</v>
      </c>
      <c r="H1292" s="12">
        <f t="shared" si="20"/>
        <v>800</v>
      </c>
      <c r="I1292" s="12" t="s">
        <v>10</v>
      </c>
      <c r="J1292" s="15"/>
    </row>
    <row r="1293" hidden="1" spans="2:10">
      <c r="B1293" s="86">
        <v>232401384</v>
      </c>
      <c r="C1293" s="9">
        <v>45266</v>
      </c>
      <c r="D1293" s="10" t="s">
        <v>32</v>
      </c>
      <c r="E1293" s="10">
        <v>300000</v>
      </c>
      <c r="F1293" s="10">
        <v>0.02</v>
      </c>
      <c r="G1293" s="9">
        <v>45311</v>
      </c>
      <c r="H1293" s="12">
        <f t="shared" si="20"/>
        <v>6000</v>
      </c>
      <c r="I1293" s="12" t="s">
        <v>10</v>
      </c>
      <c r="J1293" s="15"/>
    </row>
    <row r="1294" hidden="1" spans="2:10">
      <c r="B1294" s="86">
        <v>232401384</v>
      </c>
      <c r="C1294" s="9">
        <v>45266</v>
      </c>
      <c r="D1294" s="10" t="s">
        <v>32</v>
      </c>
      <c r="E1294" s="10">
        <v>400000</v>
      </c>
      <c r="F1294" s="10">
        <v>0.02</v>
      </c>
      <c r="G1294" s="9">
        <v>45332</v>
      </c>
      <c r="H1294" s="12">
        <f t="shared" si="20"/>
        <v>8000</v>
      </c>
      <c r="I1294" s="12" t="s">
        <v>10</v>
      </c>
      <c r="J1294" s="15"/>
    </row>
    <row r="1295" hidden="1" spans="2:10">
      <c r="B1295" s="86">
        <v>232401384</v>
      </c>
      <c r="C1295" s="9">
        <v>45266</v>
      </c>
      <c r="D1295" s="10" t="s">
        <v>32</v>
      </c>
      <c r="E1295" s="10">
        <v>400000</v>
      </c>
      <c r="F1295" s="10">
        <v>0.02</v>
      </c>
      <c r="G1295" s="9">
        <v>45342</v>
      </c>
      <c r="H1295" s="12">
        <f t="shared" si="20"/>
        <v>8000</v>
      </c>
      <c r="I1295" s="12" t="s">
        <v>10</v>
      </c>
      <c r="J1295" s="15"/>
    </row>
    <row r="1296" hidden="1" spans="2:10">
      <c r="B1296" s="86">
        <v>232401384</v>
      </c>
      <c r="C1296" s="9">
        <v>45266</v>
      </c>
      <c r="D1296" s="10" t="s">
        <v>32</v>
      </c>
      <c r="E1296" s="10">
        <v>600000</v>
      </c>
      <c r="F1296" s="10">
        <v>0.02</v>
      </c>
      <c r="G1296" s="9">
        <v>45361</v>
      </c>
      <c r="H1296" s="12">
        <f t="shared" si="20"/>
        <v>12000</v>
      </c>
      <c r="I1296" s="12" t="s">
        <v>10</v>
      </c>
      <c r="J1296" s="15"/>
    </row>
    <row r="1297" hidden="1" spans="2:10">
      <c r="B1297" s="86">
        <v>232401394</v>
      </c>
      <c r="C1297" s="9">
        <v>45268</v>
      </c>
      <c r="D1297" s="10" t="s">
        <v>315</v>
      </c>
      <c r="E1297" s="10">
        <v>20000</v>
      </c>
      <c r="F1297" s="10">
        <v>0.058</v>
      </c>
      <c r="G1297" s="9">
        <v>45268</v>
      </c>
      <c r="H1297" s="12">
        <f t="shared" si="20"/>
        <v>1160</v>
      </c>
      <c r="I1297" s="12" t="s">
        <v>10</v>
      </c>
      <c r="J1297" s="15"/>
    </row>
    <row r="1298" hidden="1" spans="2:10">
      <c r="B1298" s="86">
        <v>232401396</v>
      </c>
      <c r="C1298" s="9">
        <v>45268</v>
      </c>
      <c r="D1298" s="87" t="s">
        <v>200</v>
      </c>
      <c r="E1298" s="10">
        <v>100000</v>
      </c>
      <c r="F1298" s="10">
        <v>0.05</v>
      </c>
      <c r="G1298" s="9">
        <v>45311</v>
      </c>
      <c r="H1298" s="12">
        <f t="shared" si="20"/>
        <v>5000</v>
      </c>
      <c r="I1298" s="12" t="s">
        <v>10</v>
      </c>
      <c r="J1298" s="15"/>
    </row>
    <row r="1299" hidden="1" spans="2:10">
      <c r="B1299" s="86">
        <v>232401396</v>
      </c>
      <c r="C1299" s="9">
        <v>45268</v>
      </c>
      <c r="D1299" s="87" t="s">
        <v>200</v>
      </c>
      <c r="E1299" s="10">
        <v>100000</v>
      </c>
      <c r="F1299" s="10">
        <v>0.05</v>
      </c>
      <c r="G1299" s="9">
        <v>45321</v>
      </c>
      <c r="H1299" s="12">
        <f t="shared" si="20"/>
        <v>5000</v>
      </c>
      <c r="I1299" s="12" t="s">
        <v>10</v>
      </c>
      <c r="J1299" s="15"/>
    </row>
    <row r="1300" hidden="1" spans="2:10">
      <c r="B1300" s="86">
        <v>232401396</v>
      </c>
      <c r="C1300" s="9">
        <v>45268</v>
      </c>
      <c r="D1300" s="87" t="s">
        <v>200</v>
      </c>
      <c r="E1300" s="10">
        <v>100000</v>
      </c>
      <c r="F1300" s="10">
        <v>0.05</v>
      </c>
      <c r="G1300" s="9">
        <v>45332</v>
      </c>
      <c r="H1300" s="12">
        <f t="shared" si="20"/>
        <v>5000</v>
      </c>
      <c r="I1300" s="12" t="s">
        <v>10</v>
      </c>
      <c r="J1300" s="15"/>
    </row>
    <row r="1301" hidden="1" spans="2:10">
      <c r="B1301" s="86">
        <v>232401396</v>
      </c>
      <c r="C1301" s="9">
        <v>45268</v>
      </c>
      <c r="D1301" s="87" t="s">
        <v>200</v>
      </c>
      <c r="E1301" s="10">
        <v>100000</v>
      </c>
      <c r="F1301" s="10">
        <v>0.05</v>
      </c>
      <c r="G1301" s="9">
        <v>45342</v>
      </c>
      <c r="H1301" s="12">
        <f t="shared" si="20"/>
        <v>5000</v>
      </c>
      <c r="I1301" s="12" t="s">
        <v>10</v>
      </c>
      <c r="J1301" s="15"/>
    </row>
    <row r="1302" hidden="1" spans="2:10">
      <c r="B1302" s="86">
        <v>232401396</v>
      </c>
      <c r="C1302" s="9">
        <v>45268</v>
      </c>
      <c r="D1302" s="87" t="s">
        <v>200</v>
      </c>
      <c r="E1302" s="10">
        <v>100000</v>
      </c>
      <c r="F1302" s="10">
        <v>0.05</v>
      </c>
      <c r="G1302" s="9">
        <v>45352</v>
      </c>
      <c r="H1302" s="12">
        <f t="shared" si="20"/>
        <v>5000</v>
      </c>
      <c r="I1302" s="12" t="s">
        <v>10</v>
      </c>
      <c r="J1302" s="15"/>
    </row>
    <row r="1303" hidden="1" spans="2:10">
      <c r="B1303" s="86">
        <v>232401396</v>
      </c>
      <c r="C1303" s="9">
        <v>45268</v>
      </c>
      <c r="D1303" s="87" t="s">
        <v>200</v>
      </c>
      <c r="E1303" s="10">
        <v>100000</v>
      </c>
      <c r="F1303" s="10">
        <v>0.05</v>
      </c>
      <c r="G1303" s="9">
        <v>45371</v>
      </c>
      <c r="H1303" s="12">
        <f t="shared" si="20"/>
        <v>5000</v>
      </c>
      <c r="I1303" s="12" t="s">
        <v>10</v>
      </c>
      <c r="J1303" s="15"/>
    </row>
    <row r="1304" hidden="1" spans="2:10">
      <c r="B1304" s="86">
        <v>232401396</v>
      </c>
      <c r="C1304" s="9">
        <v>45268</v>
      </c>
      <c r="D1304" s="87" t="s">
        <v>200</v>
      </c>
      <c r="E1304" s="10">
        <v>100000</v>
      </c>
      <c r="F1304" s="10">
        <v>0.05</v>
      </c>
      <c r="G1304" s="9">
        <v>45392</v>
      </c>
      <c r="H1304" s="12">
        <f t="shared" si="20"/>
        <v>5000</v>
      </c>
      <c r="I1304" s="10" t="s">
        <v>10</v>
      </c>
      <c r="J1304" s="15"/>
    </row>
    <row r="1305" hidden="1" spans="2:10">
      <c r="B1305" s="86">
        <v>232401407</v>
      </c>
      <c r="C1305" s="9">
        <v>45272</v>
      </c>
      <c r="D1305" s="87" t="s">
        <v>296</v>
      </c>
      <c r="E1305" s="10">
        <v>20000</v>
      </c>
      <c r="F1305" s="10">
        <v>0.04</v>
      </c>
      <c r="G1305" s="9">
        <v>45316</v>
      </c>
      <c r="H1305" s="12">
        <f t="shared" si="20"/>
        <v>800</v>
      </c>
      <c r="I1305" s="12" t="s">
        <v>10</v>
      </c>
      <c r="J1305" s="15"/>
    </row>
    <row r="1306" hidden="1" spans="2:10">
      <c r="B1306" s="86">
        <v>232401407</v>
      </c>
      <c r="C1306" s="9">
        <v>45272</v>
      </c>
      <c r="D1306" s="87" t="s">
        <v>296</v>
      </c>
      <c r="E1306" s="10">
        <v>20000</v>
      </c>
      <c r="F1306" s="10">
        <v>0.04</v>
      </c>
      <c r="G1306" s="9">
        <v>45347</v>
      </c>
      <c r="H1306" s="12">
        <f t="shared" si="20"/>
        <v>800</v>
      </c>
      <c r="I1306" s="12" t="s">
        <v>10</v>
      </c>
      <c r="J1306" s="15"/>
    </row>
    <row r="1307" hidden="1" spans="2:10">
      <c r="B1307" s="86">
        <v>232401409</v>
      </c>
      <c r="C1307" s="9">
        <v>45272</v>
      </c>
      <c r="D1307" s="87" t="s">
        <v>290</v>
      </c>
      <c r="E1307" s="10">
        <v>50000</v>
      </c>
      <c r="F1307" s="10">
        <v>0.03</v>
      </c>
      <c r="G1307" s="9">
        <v>45290</v>
      </c>
      <c r="H1307" s="12">
        <f t="shared" si="20"/>
        <v>1500</v>
      </c>
      <c r="I1307" s="12" t="s">
        <v>10</v>
      </c>
      <c r="J1307" s="15"/>
    </row>
    <row r="1308" hidden="1" spans="2:10">
      <c r="B1308" s="86">
        <v>232401419</v>
      </c>
      <c r="C1308" s="9">
        <v>45273</v>
      </c>
      <c r="D1308" s="87" t="s">
        <v>231</v>
      </c>
      <c r="E1308" s="10">
        <v>153000</v>
      </c>
      <c r="F1308" s="10">
        <v>0.0082</v>
      </c>
      <c r="G1308" s="9">
        <v>45301</v>
      </c>
      <c r="H1308" s="12">
        <f t="shared" si="20"/>
        <v>1254.6</v>
      </c>
      <c r="I1308" s="12" t="s">
        <v>10</v>
      </c>
      <c r="J1308" s="15"/>
    </row>
    <row r="1309" hidden="1" spans="2:10">
      <c r="B1309" s="86">
        <v>232401419</v>
      </c>
      <c r="C1309" s="9">
        <v>45273</v>
      </c>
      <c r="D1309" s="87" t="s">
        <v>231</v>
      </c>
      <c r="E1309" s="10">
        <v>153000</v>
      </c>
      <c r="F1309" s="10">
        <v>0.0082</v>
      </c>
      <c r="G1309" s="9">
        <v>45332</v>
      </c>
      <c r="H1309" s="12">
        <f t="shared" si="20"/>
        <v>1254.6</v>
      </c>
      <c r="I1309" s="12" t="s">
        <v>10</v>
      </c>
      <c r="J1309" s="15"/>
    </row>
    <row r="1310" hidden="1" spans="2:10">
      <c r="B1310" s="86">
        <v>232401419</v>
      </c>
      <c r="C1310" s="9">
        <v>45273</v>
      </c>
      <c r="D1310" s="87" t="s">
        <v>231</v>
      </c>
      <c r="E1310" s="10">
        <v>102000</v>
      </c>
      <c r="F1310" s="10">
        <v>0.0082</v>
      </c>
      <c r="G1310" s="9">
        <v>45361</v>
      </c>
      <c r="H1310" s="12">
        <f t="shared" si="20"/>
        <v>836.4</v>
      </c>
      <c r="I1310" s="12" t="s">
        <v>10</v>
      </c>
      <c r="J1310" s="15"/>
    </row>
    <row r="1311" hidden="1" spans="2:10">
      <c r="B1311" s="86">
        <v>232401419</v>
      </c>
      <c r="C1311" s="9">
        <v>45273</v>
      </c>
      <c r="D1311" s="87" t="s">
        <v>231</v>
      </c>
      <c r="E1311" s="10">
        <v>153000</v>
      </c>
      <c r="F1311" s="10">
        <v>0.0082</v>
      </c>
      <c r="G1311" s="9">
        <v>45376</v>
      </c>
      <c r="H1311" s="12">
        <f t="shared" si="20"/>
        <v>1254.6</v>
      </c>
      <c r="I1311" s="12" t="s">
        <v>10</v>
      </c>
      <c r="J1311" s="15"/>
    </row>
    <row r="1312" hidden="1" spans="2:10">
      <c r="B1312" s="86">
        <v>232401419</v>
      </c>
      <c r="C1312" s="9">
        <v>45273</v>
      </c>
      <c r="D1312" s="87" t="s">
        <v>231</v>
      </c>
      <c r="E1312" s="10">
        <v>102000</v>
      </c>
      <c r="F1312" s="10">
        <v>0.0082</v>
      </c>
      <c r="G1312" s="9">
        <v>45392</v>
      </c>
      <c r="H1312" s="12">
        <f t="shared" si="20"/>
        <v>836.4</v>
      </c>
      <c r="I1312" s="10" t="s">
        <v>10</v>
      </c>
      <c r="J1312" s="15"/>
    </row>
    <row r="1313" hidden="1" spans="2:10">
      <c r="B1313" s="86">
        <v>232401419</v>
      </c>
      <c r="C1313" s="9">
        <v>45273</v>
      </c>
      <c r="D1313" s="87" t="s">
        <v>231</v>
      </c>
      <c r="E1313" s="10">
        <v>150000</v>
      </c>
      <c r="F1313" s="10">
        <v>0.0082</v>
      </c>
      <c r="G1313" s="9">
        <v>45407</v>
      </c>
      <c r="H1313" s="12">
        <f t="shared" si="20"/>
        <v>1230</v>
      </c>
      <c r="I1313" s="10" t="s">
        <v>10</v>
      </c>
      <c r="J1313" s="15"/>
    </row>
    <row r="1314" hidden="1" spans="2:10">
      <c r="B1314" s="86">
        <v>232401423</v>
      </c>
      <c r="C1314" s="9">
        <v>45274</v>
      </c>
      <c r="D1314" s="87" t="s">
        <v>254</v>
      </c>
      <c r="E1314" s="10">
        <v>1000000</v>
      </c>
      <c r="F1314" s="10">
        <v>0.027</v>
      </c>
      <c r="G1314" s="9">
        <v>45311</v>
      </c>
      <c r="H1314" s="12">
        <f t="shared" si="20"/>
        <v>27000</v>
      </c>
      <c r="I1314" s="12" t="s">
        <v>10</v>
      </c>
      <c r="J1314" s="15"/>
    </row>
    <row r="1315" hidden="1" spans="2:10">
      <c r="B1315" s="86">
        <v>232401423</v>
      </c>
      <c r="C1315" s="9">
        <v>45274</v>
      </c>
      <c r="D1315" s="87" t="s">
        <v>254</v>
      </c>
      <c r="E1315" s="10">
        <v>1000000</v>
      </c>
      <c r="F1315" s="10">
        <v>0.027</v>
      </c>
      <c r="G1315" s="9">
        <v>45342</v>
      </c>
      <c r="H1315" s="12">
        <f t="shared" si="20"/>
        <v>27000</v>
      </c>
      <c r="I1315" s="12" t="s">
        <v>10</v>
      </c>
      <c r="J1315" s="15"/>
    </row>
    <row r="1316" hidden="1" spans="2:10">
      <c r="B1316" s="86">
        <v>232401423</v>
      </c>
      <c r="C1316" s="9">
        <v>45274</v>
      </c>
      <c r="D1316" s="87" t="s">
        <v>254</v>
      </c>
      <c r="E1316" s="10">
        <v>1000000</v>
      </c>
      <c r="F1316" s="10">
        <v>0.027</v>
      </c>
      <c r="G1316" s="9">
        <v>45371</v>
      </c>
      <c r="H1316" s="12">
        <f t="shared" si="20"/>
        <v>27000</v>
      </c>
      <c r="I1316" s="12" t="s">
        <v>10</v>
      </c>
      <c r="J1316" s="15"/>
    </row>
    <row r="1317" hidden="1" spans="2:10">
      <c r="B1317" s="86">
        <v>232401423</v>
      </c>
      <c r="C1317" s="9">
        <v>45274</v>
      </c>
      <c r="D1317" s="87" t="s">
        <v>254</v>
      </c>
      <c r="E1317" s="10">
        <v>1000000</v>
      </c>
      <c r="F1317" s="10">
        <v>0.027</v>
      </c>
      <c r="G1317" s="9">
        <v>45402</v>
      </c>
      <c r="H1317" s="12">
        <f t="shared" si="20"/>
        <v>27000</v>
      </c>
      <c r="I1317" s="10" t="s">
        <v>10</v>
      </c>
      <c r="J1317" s="15"/>
    </row>
    <row r="1318" hidden="1" spans="2:10">
      <c r="B1318" s="86">
        <v>232401440</v>
      </c>
      <c r="C1318" s="9">
        <v>45275</v>
      </c>
      <c r="D1318" s="87" t="s">
        <v>298</v>
      </c>
      <c r="E1318" s="10">
        <v>20000</v>
      </c>
      <c r="F1318" s="10">
        <v>0.16</v>
      </c>
      <c r="G1318" s="9">
        <v>45275</v>
      </c>
      <c r="H1318" s="12">
        <f t="shared" si="20"/>
        <v>3200</v>
      </c>
      <c r="I1318" s="12" t="s">
        <v>10</v>
      </c>
      <c r="J1318" s="15"/>
    </row>
    <row r="1319" hidden="1" spans="2:10">
      <c r="B1319" s="86">
        <v>232401440</v>
      </c>
      <c r="C1319" s="9">
        <v>45275</v>
      </c>
      <c r="D1319" s="87" t="s">
        <v>298</v>
      </c>
      <c r="E1319" s="10">
        <v>20000</v>
      </c>
      <c r="F1319" s="10">
        <v>0.16</v>
      </c>
      <c r="G1319" s="9">
        <v>45337</v>
      </c>
      <c r="H1319" s="12">
        <f t="shared" si="20"/>
        <v>3200</v>
      </c>
      <c r="I1319" s="12" t="s">
        <v>10</v>
      </c>
      <c r="J1319" s="15"/>
    </row>
    <row r="1320" hidden="1" spans="2:10">
      <c r="B1320" s="86">
        <v>232401445</v>
      </c>
      <c r="C1320" s="9">
        <v>45278</v>
      </c>
      <c r="D1320" s="10" t="s">
        <v>241</v>
      </c>
      <c r="E1320" s="10">
        <v>1064</v>
      </c>
      <c r="F1320" s="10">
        <v>0.12</v>
      </c>
      <c r="G1320" s="9">
        <v>45311</v>
      </c>
      <c r="H1320" s="12">
        <f t="shared" si="20"/>
        <v>127.68</v>
      </c>
      <c r="I1320" s="12" t="s">
        <v>10</v>
      </c>
      <c r="J1320" s="15"/>
    </row>
    <row r="1321" hidden="1" spans="2:10">
      <c r="B1321" s="86">
        <v>232401453</v>
      </c>
      <c r="C1321" s="9">
        <v>45278</v>
      </c>
      <c r="D1321" s="87" t="s">
        <v>275</v>
      </c>
      <c r="E1321" s="10">
        <v>201000</v>
      </c>
      <c r="F1321" s="10">
        <v>0.0145</v>
      </c>
      <c r="G1321" s="9">
        <v>45311</v>
      </c>
      <c r="H1321" s="12">
        <f t="shared" si="20"/>
        <v>2914.5</v>
      </c>
      <c r="I1321" s="12" t="s">
        <v>10</v>
      </c>
      <c r="J1321" s="15"/>
    </row>
    <row r="1322" hidden="1" spans="2:10">
      <c r="B1322" s="86">
        <v>232401453</v>
      </c>
      <c r="C1322" s="9">
        <v>45278</v>
      </c>
      <c r="D1322" s="87" t="s">
        <v>275</v>
      </c>
      <c r="E1322" s="10">
        <v>102000</v>
      </c>
      <c r="F1322" s="10">
        <v>0.0145</v>
      </c>
      <c r="G1322" s="9">
        <v>45316</v>
      </c>
      <c r="H1322" s="12">
        <f t="shared" si="20"/>
        <v>1479</v>
      </c>
      <c r="I1322" s="12" t="s">
        <v>10</v>
      </c>
      <c r="J1322" s="15"/>
    </row>
    <row r="1323" hidden="1" spans="2:10">
      <c r="B1323" s="86">
        <v>232401453</v>
      </c>
      <c r="C1323" s="9">
        <v>45278</v>
      </c>
      <c r="D1323" s="87" t="s">
        <v>275</v>
      </c>
      <c r="E1323" s="10">
        <v>201000</v>
      </c>
      <c r="F1323" s="10">
        <v>0.0145</v>
      </c>
      <c r="G1323" s="9">
        <v>45347</v>
      </c>
      <c r="H1323" s="12">
        <f t="shared" si="20"/>
        <v>2914.5</v>
      </c>
      <c r="I1323" s="12" t="s">
        <v>10</v>
      </c>
      <c r="J1323" s="15"/>
    </row>
    <row r="1324" hidden="1" spans="2:10">
      <c r="B1324" s="86">
        <v>232401453</v>
      </c>
      <c r="C1324" s="9">
        <v>45278</v>
      </c>
      <c r="D1324" s="87" t="s">
        <v>275</v>
      </c>
      <c r="E1324" s="10">
        <v>201000</v>
      </c>
      <c r="F1324" s="10">
        <v>0.0145</v>
      </c>
      <c r="G1324" s="9">
        <v>45376</v>
      </c>
      <c r="H1324" s="12">
        <f t="shared" si="20"/>
        <v>2914.5</v>
      </c>
      <c r="I1324" s="12" t="s">
        <v>10</v>
      </c>
      <c r="J1324" s="15"/>
    </row>
    <row r="1325" hidden="1" spans="2:10">
      <c r="B1325" s="86">
        <v>232401453</v>
      </c>
      <c r="C1325" s="9">
        <v>45278</v>
      </c>
      <c r="D1325" s="87" t="s">
        <v>275</v>
      </c>
      <c r="E1325" s="10">
        <v>201000</v>
      </c>
      <c r="F1325" s="10">
        <v>0.0145</v>
      </c>
      <c r="G1325" s="9">
        <v>45437</v>
      </c>
      <c r="H1325" s="12">
        <f t="shared" si="20"/>
        <v>2914.5</v>
      </c>
      <c r="I1325" s="10" t="s">
        <v>10</v>
      </c>
      <c r="J1325" s="15"/>
    </row>
    <row r="1326" hidden="1" spans="2:10">
      <c r="B1326" s="86">
        <v>232401454</v>
      </c>
      <c r="C1326" s="9">
        <v>45278</v>
      </c>
      <c r="D1326" s="10" t="s">
        <v>285</v>
      </c>
      <c r="E1326" s="10">
        <v>24000</v>
      </c>
      <c r="F1326" s="10">
        <v>0.02</v>
      </c>
      <c r="G1326" s="9">
        <v>45337</v>
      </c>
      <c r="H1326" s="12">
        <f t="shared" si="20"/>
        <v>480</v>
      </c>
      <c r="I1326" s="12" t="s">
        <v>10</v>
      </c>
      <c r="J1326" s="15"/>
    </row>
    <row r="1327" hidden="1" spans="2:10">
      <c r="B1327" s="86">
        <v>232401454</v>
      </c>
      <c r="C1327" s="9">
        <v>45278</v>
      </c>
      <c r="D1327" s="10" t="s">
        <v>286</v>
      </c>
      <c r="E1327" s="10">
        <v>24000</v>
      </c>
      <c r="F1327" s="10">
        <v>0.0235</v>
      </c>
      <c r="G1327" s="9">
        <v>45337</v>
      </c>
      <c r="H1327" s="12">
        <f t="shared" si="20"/>
        <v>564</v>
      </c>
      <c r="I1327" s="12" t="s">
        <v>10</v>
      </c>
      <c r="J1327" s="15"/>
    </row>
    <row r="1328" hidden="1" spans="2:10">
      <c r="B1328" s="86">
        <v>232401473</v>
      </c>
      <c r="C1328" s="9">
        <v>45280</v>
      </c>
      <c r="D1328" s="10" t="s">
        <v>32</v>
      </c>
      <c r="E1328" s="10">
        <v>600000</v>
      </c>
      <c r="F1328" s="10">
        <v>0.02</v>
      </c>
      <c r="G1328" s="9">
        <v>45371</v>
      </c>
      <c r="H1328" s="12">
        <f t="shared" si="20"/>
        <v>12000</v>
      </c>
      <c r="I1328" s="10" t="s">
        <v>10</v>
      </c>
      <c r="J1328" s="15"/>
    </row>
    <row r="1329" hidden="1" spans="2:10">
      <c r="B1329" s="86">
        <v>232401473</v>
      </c>
      <c r="C1329" s="9">
        <v>45280</v>
      </c>
      <c r="D1329" s="10" t="s">
        <v>32</v>
      </c>
      <c r="E1329" s="10">
        <v>600000</v>
      </c>
      <c r="F1329" s="10">
        <v>0.02</v>
      </c>
      <c r="G1329" s="9">
        <v>45402</v>
      </c>
      <c r="H1329" s="12">
        <f t="shared" si="20"/>
        <v>12000</v>
      </c>
      <c r="I1329" s="10" t="s">
        <v>10</v>
      </c>
      <c r="J1329" s="15"/>
    </row>
    <row r="1330" hidden="1" spans="2:10">
      <c r="B1330" s="86">
        <v>232401474</v>
      </c>
      <c r="C1330" s="9">
        <v>45280</v>
      </c>
      <c r="D1330" s="10" t="s">
        <v>32</v>
      </c>
      <c r="E1330" s="10">
        <v>200000</v>
      </c>
      <c r="F1330" s="10">
        <v>0.02</v>
      </c>
      <c r="G1330" s="9">
        <v>45371</v>
      </c>
      <c r="H1330" s="12">
        <f t="shared" si="20"/>
        <v>4000</v>
      </c>
      <c r="I1330" s="10" t="s">
        <v>10</v>
      </c>
      <c r="J1330" s="15"/>
    </row>
    <row r="1331" hidden="1" spans="2:10">
      <c r="B1331" s="86">
        <v>232401474</v>
      </c>
      <c r="C1331" s="9">
        <v>45280</v>
      </c>
      <c r="D1331" s="10" t="s">
        <v>32</v>
      </c>
      <c r="E1331" s="10">
        <v>200000</v>
      </c>
      <c r="F1331" s="10">
        <v>0.02</v>
      </c>
      <c r="G1331" s="9">
        <v>45402</v>
      </c>
      <c r="H1331" s="12">
        <f t="shared" si="20"/>
        <v>4000</v>
      </c>
      <c r="I1331" s="10" t="s">
        <v>10</v>
      </c>
      <c r="J1331" s="15"/>
    </row>
    <row r="1332" hidden="1" spans="2:10">
      <c r="B1332" s="86">
        <v>232401475</v>
      </c>
      <c r="C1332" s="9">
        <v>45280</v>
      </c>
      <c r="D1332" s="10" t="s">
        <v>32</v>
      </c>
      <c r="E1332" s="10">
        <v>100000</v>
      </c>
      <c r="F1332" s="10">
        <v>0.02</v>
      </c>
      <c r="G1332" s="9">
        <v>45371</v>
      </c>
      <c r="H1332" s="12">
        <f t="shared" si="20"/>
        <v>2000</v>
      </c>
      <c r="I1332" s="10" t="s">
        <v>10</v>
      </c>
      <c r="J1332" s="15"/>
    </row>
    <row r="1333" hidden="1" spans="2:10">
      <c r="B1333" s="86">
        <v>232401475</v>
      </c>
      <c r="C1333" s="9">
        <v>45280</v>
      </c>
      <c r="D1333" s="10" t="s">
        <v>32</v>
      </c>
      <c r="E1333" s="10">
        <v>100000</v>
      </c>
      <c r="F1333" s="10">
        <v>0.02</v>
      </c>
      <c r="G1333" s="9">
        <v>45402</v>
      </c>
      <c r="H1333" s="12">
        <f t="shared" si="20"/>
        <v>2000</v>
      </c>
      <c r="I1333" s="10" t="s">
        <v>10</v>
      </c>
      <c r="J1333" s="15"/>
    </row>
    <row r="1334" hidden="1" spans="2:10">
      <c r="B1334" s="86">
        <v>232401484</v>
      </c>
      <c r="C1334" s="9">
        <v>45281</v>
      </c>
      <c r="D1334" s="87" t="s">
        <v>206</v>
      </c>
      <c r="E1334" s="10">
        <v>200000</v>
      </c>
      <c r="F1334" s="10">
        <v>0.065</v>
      </c>
      <c r="G1334" s="9">
        <v>45321</v>
      </c>
      <c r="H1334" s="12">
        <f t="shared" si="20"/>
        <v>13000</v>
      </c>
      <c r="I1334" s="10" t="s">
        <v>10</v>
      </c>
      <c r="J1334" s="15"/>
    </row>
    <row r="1335" hidden="1" spans="2:10">
      <c r="B1335" s="86">
        <v>232401484</v>
      </c>
      <c r="C1335" s="9">
        <v>45281</v>
      </c>
      <c r="D1335" s="87" t="s">
        <v>223</v>
      </c>
      <c r="E1335" s="10">
        <v>50000</v>
      </c>
      <c r="F1335" s="10">
        <v>0.08</v>
      </c>
      <c r="G1335" s="9">
        <v>45301</v>
      </c>
      <c r="H1335" s="12">
        <f t="shared" si="20"/>
        <v>4000</v>
      </c>
      <c r="I1335" s="10" t="s">
        <v>10</v>
      </c>
      <c r="J1335" s="15"/>
    </row>
    <row r="1336" hidden="1" spans="2:10">
      <c r="B1336" s="86">
        <v>232401484</v>
      </c>
      <c r="C1336" s="9">
        <v>45281</v>
      </c>
      <c r="D1336" s="87" t="s">
        <v>223</v>
      </c>
      <c r="E1336" s="10">
        <v>50000</v>
      </c>
      <c r="F1336" s="10">
        <v>0.08</v>
      </c>
      <c r="G1336" s="9">
        <v>45321</v>
      </c>
      <c r="H1336" s="12">
        <f t="shared" si="20"/>
        <v>4000</v>
      </c>
      <c r="I1336" s="10" t="s">
        <v>10</v>
      </c>
      <c r="J1336" s="15"/>
    </row>
    <row r="1337" hidden="1" spans="2:10">
      <c r="B1337" s="86">
        <v>232401484</v>
      </c>
      <c r="C1337" s="9">
        <v>45281</v>
      </c>
      <c r="D1337" s="87" t="s">
        <v>248</v>
      </c>
      <c r="E1337" s="10">
        <v>50000</v>
      </c>
      <c r="F1337" s="10">
        <v>0.065</v>
      </c>
      <c r="G1337" s="9">
        <v>45281</v>
      </c>
      <c r="H1337" s="12">
        <f t="shared" si="20"/>
        <v>3250</v>
      </c>
      <c r="I1337" s="10" t="s">
        <v>10</v>
      </c>
      <c r="J1337" s="15"/>
    </row>
    <row r="1338" hidden="1" spans="2:10">
      <c r="B1338" s="86">
        <v>232401486</v>
      </c>
      <c r="C1338" s="9">
        <v>45281</v>
      </c>
      <c r="D1338" s="10" t="s">
        <v>281</v>
      </c>
      <c r="E1338" s="10">
        <v>30060</v>
      </c>
      <c r="F1338" s="10">
        <v>0.08</v>
      </c>
      <c r="G1338" s="9">
        <v>45397</v>
      </c>
      <c r="H1338" s="12">
        <f t="shared" si="20"/>
        <v>2404.8</v>
      </c>
      <c r="I1338" s="10" t="s">
        <v>10</v>
      </c>
      <c r="J1338" s="15"/>
    </row>
    <row r="1339" hidden="1" spans="2:10">
      <c r="B1339" s="86">
        <v>232401486</v>
      </c>
      <c r="C1339" s="9">
        <v>45281</v>
      </c>
      <c r="D1339" s="10" t="s">
        <v>281</v>
      </c>
      <c r="E1339" s="10">
        <v>30060</v>
      </c>
      <c r="F1339" s="10">
        <v>0.08</v>
      </c>
      <c r="G1339" s="9">
        <v>45397</v>
      </c>
      <c r="H1339" s="12">
        <f t="shared" si="20"/>
        <v>2404.8</v>
      </c>
      <c r="I1339" s="10" t="s">
        <v>10</v>
      </c>
      <c r="J1339" s="15"/>
    </row>
    <row r="1340" hidden="1" spans="2:10">
      <c r="B1340" s="86">
        <v>232401509</v>
      </c>
      <c r="C1340" s="9">
        <v>45286</v>
      </c>
      <c r="D1340" s="87" t="s">
        <v>207</v>
      </c>
      <c r="E1340" s="10">
        <v>60000</v>
      </c>
      <c r="F1340" s="10">
        <v>0.03</v>
      </c>
      <c r="G1340" s="9">
        <v>45306</v>
      </c>
      <c r="H1340" s="12">
        <f t="shared" ref="H1340:H1403" si="21">E1340*F1340</f>
        <v>1800</v>
      </c>
      <c r="I1340" s="10" t="s">
        <v>10</v>
      </c>
      <c r="J1340" s="15"/>
    </row>
    <row r="1341" hidden="1" spans="2:10">
      <c r="B1341" s="86">
        <v>232401509</v>
      </c>
      <c r="C1341" s="9">
        <v>45286</v>
      </c>
      <c r="D1341" s="87" t="s">
        <v>207</v>
      </c>
      <c r="E1341" s="10">
        <v>60000</v>
      </c>
      <c r="F1341" s="10">
        <v>0.03</v>
      </c>
      <c r="G1341" s="9">
        <v>45306</v>
      </c>
      <c r="H1341" s="12">
        <f t="shared" si="21"/>
        <v>1800</v>
      </c>
      <c r="I1341" s="10" t="s">
        <v>10</v>
      </c>
      <c r="J1341" s="15"/>
    </row>
    <row r="1342" hidden="1" spans="2:10">
      <c r="B1342" s="86">
        <v>232401509</v>
      </c>
      <c r="C1342" s="9">
        <v>45286</v>
      </c>
      <c r="D1342" s="87" t="s">
        <v>207</v>
      </c>
      <c r="E1342" s="10">
        <v>60000</v>
      </c>
      <c r="F1342" s="10">
        <v>0.03</v>
      </c>
      <c r="G1342" s="9">
        <v>45337</v>
      </c>
      <c r="H1342" s="12">
        <f t="shared" si="21"/>
        <v>1800</v>
      </c>
      <c r="I1342" s="10" t="s">
        <v>10</v>
      </c>
      <c r="J1342" s="15"/>
    </row>
    <row r="1343" hidden="1" spans="2:10">
      <c r="B1343" s="86">
        <v>232401513</v>
      </c>
      <c r="C1343" s="9">
        <v>45287</v>
      </c>
      <c r="D1343" s="87" t="s">
        <v>269</v>
      </c>
      <c r="E1343" s="10">
        <v>32000</v>
      </c>
      <c r="F1343" s="10">
        <v>0.05</v>
      </c>
      <c r="G1343" s="9">
        <v>45293</v>
      </c>
      <c r="H1343" s="12">
        <f t="shared" si="21"/>
        <v>1600</v>
      </c>
      <c r="I1343" s="10" t="s">
        <v>10</v>
      </c>
      <c r="J1343" s="15"/>
    </row>
    <row r="1344" hidden="1" spans="2:10">
      <c r="B1344" s="127">
        <v>232401517</v>
      </c>
      <c r="C1344" s="54">
        <v>45287</v>
      </c>
      <c r="D1344" s="93" t="s">
        <v>316</v>
      </c>
      <c r="E1344" s="56">
        <v>4304</v>
      </c>
      <c r="F1344" s="56">
        <v>0.021</v>
      </c>
      <c r="G1344" s="54">
        <v>45287</v>
      </c>
      <c r="H1344" s="58">
        <f t="shared" si="21"/>
        <v>90.384</v>
      </c>
      <c r="I1344" s="56" t="s">
        <v>51</v>
      </c>
      <c r="J1344" s="15"/>
    </row>
    <row r="1345" hidden="1" spans="2:10">
      <c r="B1345" s="86">
        <v>232401518</v>
      </c>
      <c r="C1345" s="9">
        <v>45288</v>
      </c>
      <c r="D1345" s="10" t="s">
        <v>281</v>
      </c>
      <c r="E1345" s="10">
        <v>60120</v>
      </c>
      <c r="F1345" s="10">
        <v>0.08</v>
      </c>
      <c r="G1345" s="9">
        <v>45366</v>
      </c>
      <c r="H1345" s="12">
        <f t="shared" si="21"/>
        <v>4809.6</v>
      </c>
      <c r="I1345" s="10" t="s">
        <v>10</v>
      </c>
      <c r="J1345" s="13">
        <v>45303</v>
      </c>
    </row>
    <row r="1346" hidden="1" spans="2:10">
      <c r="B1346" s="86">
        <v>232401518</v>
      </c>
      <c r="C1346" s="9">
        <v>45288</v>
      </c>
      <c r="D1346" s="10" t="s">
        <v>281</v>
      </c>
      <c r="E1346" s="10">
        <v>60120</v>
      </c>
      <c r="F1346" s="10">
        <v>0.08</v>
      </c>
      <c r="G1346" s="9">
        <v>45397</v>
      </c>
      <c r="H1346" s="12">
        <f t="shared" si="21"/>
        <v>4809.6</v>
      </c>
      <c r="I1346" s="10" t="s">
        <v>10</v>
      </c>
      <c r="J1346" s="13">
        <v>45303</v>
      </c>
    </row>
    <row r="1347" hidden="1" spans="2:10">
      <c r="B1347" s="86">
        <v>232401518</v>
      </c>
      <c r="C1347" s="9">
        <v>45288</v>
      </c>
      <c r="D1347" s="10" t="s">
        <v>281</v>
      </c>
      <c r="E1347" s="10">
        <v>30060</v>
      </c>
      <c r="F1347" s="10">
        <v>0.08</v>
      </c>
      <c r="G1347" s="9">
        <v>45427</v>
      </c>
      <c r="H1347" s="12">
        <f t="shared" si="21"/>
        <v>2404.8</v>
      </c>
      <c r="I1347" s="10" t="s">
        <v>10</v>
      </c>
      <c r="J1347" s="13">
        <v>45303</v>
      </c>
    </row>
    <row r="1348" hidden="1" spans="2:10">
      <c r="B1348" s="86">
        <v>232401518</v>
      </c>
      <c r="C1348" s="9">
        <v>45288</v>
      </c>
      <c r="D1348" s="10" t="s">
        <v>281</v>
      </c>
      <c r="E1348" s="10">
        <v>30060</v>
      </c>
      <c r="F1348" s="10">
        <v>0.08</v>
      </c>
      <c r="G1348" s="9">
        <v>45427</v>
      </c>
      <c r="H1348" s="12">
        <f t="shared" si="21"/>
        <v>2404.8</v>
      </c>
      <c r="I1348" s="10" t="s">
        <v>10</v>
      </c>
      <c r="J1348" s="13">
        <v>45303</v>
      </c>
    </row>
    <row r="1349" hidden="1" spans="2:10">
      <c r="B1349" s="86">
        <v>232401518</v>
      </c>
      <c r="C1349" s="9">
        <v>45288</v>
      </c>
      <c r="D1349" s="10" t="s">
        <v>281</v>
      </c>
      <c r="E1349" s="10">
        <v>30060</v>
      </c>
      <c r="F1349" s="10">
        <v>0.08</v>
      </c>
      <c r="G1349" s="9">
        <v>45427</v>
      </c>
      <c r="H1349" s="12">
        <f t="shared" si="21"/>
        <v>2404.8</v>
      </c>
      <c r="I1349" s="10" t="s">
        <v>10</v>
      </c>
      <c r="J1349" s="13">
        <v>45303</v>
      </c>
    </row>
    <row r="1350" hidden="1" spans="2:10">
      <c r="B1350" s="86">
        <v>232401519</v>
      </c>
      <c r="C1350" s="9">
        <v>45288</v>
      </c>
      <c r="D1350" s="87" t="s">
        <v>210</v>
      </c>
      <c r="E1350" s="10">
        <v>120000</v>
      </c>
      <c r="F1350" s="10">
        <v>0.028</v>
      </c>
      <c r="G1350" s="9">
        <v>45408</v>
      </c>
      <c r="H1350" s="12">
        <f t="shared" si="21"/>
        <v>3360</v>
      </c>
      <c r="I1350" s="10" t="s">
        <v>10</v>
      </c>
      <c r="J1350" s="13">
        <v>45303</v>
      </c>
    </row>
    <row r="1351" hidden="1" spans="2:10">
      <c r="B1351" s="86">
        <v>232401519</v>
      </c>
      <c r="C1351" s="9">
        <v>45288</v>
      </c>
      <c r="D1351" s="87" t="s">
        <v>271</v>
      </c>
      <c r="E1351" s="10">
        <v>52000</v>
      </c>
      <c r="F1351" s="10">
        <v>0.024</v>
      </c>
      <c r="G1351" s="9">
        <v>45317</v>
      </c>
      <c r="H1351" s="12">
        <f t="shared" si="21"/>
        <v>1248</v>
      </c>
      <c r="I1351" s="10" t="s">
        <v>10</v>
      </c>
      <c r="J1351" s="13">
        <v>45303</v>
      </c>
    </row>
    <row r="1352" hidden="1" spans="2:10">
      <c r="B1352" s="86">
        <v>232401519</v>
      </c>
      <c r="C1352" s="9">
        <v>45288</v>
      </c>
      <c r="D1352" s="87" t="s">
        <v>271</v>
      </c>
      <c r="E1352" s="10">
        <v>52000</v>
      </c>
      <c r="F1352" s="10">
        <v>0.024</v>
      </c>
      <c r="G1352" s="9">
        <v>45348</v>
      </c>
      <c r="H1352" s="12">
        <f t="shared" si="21"/>
        <v>1248</v>
      </c>
      <c r="I1352" s="10" t="s">
        <v>10</v>
      </c>
      <c r="J1352" s="13">
        <v>45303</v>
      </c>
    </row>
    <row r="1353" hidden="1" spans="2:10">
      <c r="B1353" s="86">
        <v>232401519</v>
      </c>
      <c r="C1353" s="9">
        <v>45288</v>
      </c>
      <c r="D1353" s="87" t="s">
        <v>271</v>
      </c>
      <c r="E1353" s="10">
        <v>100000</v>
      </c>
      <c r="F1353" s="10">
        <v>0.024</v>
      </c>
      <c r="G1353" s="9">
        <v>45317</v>
      </c>
      <c r="H1353" s="12">
        <f t="shared" si="21"/>
        <v>2400</v>
      </c>
      <c r="I1353" s="10" t="s">
        <v>10</v>
      </c>
      <c r="J1353" s="13">
        <v>45303</v>
      </c>
    </row>
    <row r="1354" hidden="1" spans="2:10">
      <c r="B1354" s="86">
        <v>232401519</v>
      </c>
      <c r="C1354" s="9">
        <v>45288</v>
      </c>
      <c r="D1354" s="87" t="s">
        <v>257</v>
      </c>
      <c r="E1354" s="10">
        <v>52000</v>
      </c>
      <c r="F1354" s="10">
        <v>0.01</v>
      </c>
      <c r="G1354" s="9">
        <v>45427</v>
      </c>
      <c r="H1354" s="12">
        <f t="shared" si="21"/>
        <v>520</v>
      </c>
      <c r="I1354" s="10" t="s">
        <v>10</v>
      </c>
      <c r="J1354" s="13">
        <v>45303</v>
      </c>
    </row>
    <row r="1355" hidden="1" spans="2:10">
      <c r="B1355" s="86">
        <v>232401520</v>
      </c>
      <c r="C1355" s="9">
        <v>45288</v>
      </c>
      <c r="D1355" s="87" t="s">
        <v>210</v>
      </c>
      <c r="E1355" s="10">
        <v>120000</v>
      </c>
      <c r="F1355" s="10">
        <v>0.028</v>
      </c>
      <c r="G1355" s="9">
        <v>45427</v>
      </c>
      <c r="H1355" s="12">
        <f t="shared" si="21"/>
        <v>3360</v>
      </c>
      <c r="I1355" s="10" t="s">
        <v>10</v>
      </c>
      <c r="J1355" s="13">
        <v>45303</v>
      </c>
    </row>
    <row r="1356" hidden="1" spans="2:10">
      <c r="B1356" s="86">
        <v>232401520</v>
      </c>
      <c r="C1356" s="9">
        <v>45288</v>
      </c>
      <c r="D1356" s="87" t="s">
        <v>210</v>
      </c>
      <c r="E1356" s="10">
        <v>120000</v>
      </c>
      <c r="F1356" s="10">
        <v>0.028</v>
      </c>
      <c r="G1356" s="9">
        <v>45427</v>
      </c>
      <c r="H1356" s="12">
        <f t="shared" si="21"/>
        <v>3360</v>
      </c>
      <c r="I1356" s="10" t="s">
        <v>10</v>
      </c>
      <c r="J1356" s="13">
        <v>45303</v>
      </c>
    </row>
    <row r="1357" hidden="1" spans="2:10">
      <c r="B1357" s="86">
        <v>232401520</v>
      </c>
      <c r="C1357" s="9">
        <v>45288</v>
      </c>
      <c r="D1357" s="87" t="s">
        <v>257</v>
      </c>
      <c r="E1357" s="10">
        <v>80000</v>
      </c>
      <c r="F1357" s="10">
        <v>0.01</v>
      </c>
      <c r="G1357" s="9">
        <v>45366</v>
      </c>
      <c r="H1357" s="12">
        <f t="shared" si="21"/>
        <v>800</v>
      </c>
      <c r="I1357" s="10" t="s">
        <v>10</v>
      </c>
      <c r="J1357" s="13">
        <v>45303</v>
      </c>
    </row>
    <row r="1358" hidden="1" spans="2:10">
      <c r="B1358" s="86">
        <v>232401520</v>
      </c>
      <c r="C1358" s="9">
        <v>45288</v>
      </c>
      <c r="D1358" s="87" t="s">
        <v>257</v>
      </c>
      <c r="E1358" s="10">
        <v>80000</v>
      </c>
      <c r="F1358" s="10">
        <v>0.01</v>
      </c>
      <c r="G1358" s="9">
        <v>45377</v>
      </c>
      <c r="H1358" s="12">
        <f t="shared" si="21"/>
        <v>800</v>
      </c>
      <c r="I1358" s="10" t="s">
        <v>10</v>
      </c>
      <c r="J1358" s="13">
        <v>45303</v>
      </c>
    </row>
    <row r="1359" hidden="1" spans="2:10">
      <c r="B1359" s="86">
        <v>232401520</v>
      </c>
      <c r="C1359" s="9">
        <v>45288</v>
      </c>
      <c r="D1359" s="87" t="s">
        <v>211</v>
      </c>
      <c r="E1359" s="10">
        <v>208000</v>
      </c>
      <c r="F1359" s="10">
        <v>0.022</v>
      </c>
      <c r="G1359" s="9">
        <v>45427</v>
      </c>
      <c r="H1359" s="12">
        <f t="shared" si="21"/>
        <v>4576</v>
      </c>
      <c r="I1359" s="10" t="s">
        <v>10</v>
      </c>
      <c r="J1359" s="13">
        <v>45303</v>
      </c>
    </row>
    <row r="1360" hidden="1" spans="2:10">
      <c r="B1360" s="86">
        <v>232401521</v>
      </c>
      <c r="C1360" s="9">
        <v>45288</v>
      </c>
      <c r="D1360" s="87" t="s">
        <v>200</v>
      </c>
      <c r="E1360" s="10">
        <v>200000</v>
      </c>
      <c r="F1360" s="10">
        <v>0.05</v>
      </c>
      <c r="G1360" s="9">
        <v>45397</v>
      </c>
      <c r="H1360" s="12">
        <f t="shared" si="21"/>
        <v>10000</v>
      </c>
      <c r="I1360" s="10" t="s">
        <v>10</v>
      </c>
      <c r="J1360" s="13">
        <v>45306</v>
      </c>
    </row>
    <row r="1361" hidden="1" spans="2:10">
      <c r="B1361" s="86">
        <v>232401521</v>
      </c>
      <c r="C1361" s="9">
        <v>45288</v>
      </c>
      <c r="D1361" s="87" t="s">
        <v>200</v>
      </c>
      <c r="E1361" s="10">
        <v>200000</v>
      </c>
      <c r="F1361" s="10">
        <v>0.05</v>
      </c>
      <c r="G1361" s="9">
        <v>45408</v>
      </c>
      <c r="H1361" s="12">
        <f t="shared" si="21"/>
        <v>10000</v>
      </c>
      <c r="I1361" s="10" t="s">
        <v>10</v>
      </c>
      <c r="J1361" s="13">
        <v>45306</v>
      </c>
    </row>
    <row r="1362" hidden="1" spans="2:10">
      <c r="B1362" s="86">
        <v>232401521</v>
      </c>
      <c r="C1362" s="9">
        <v>45288</v>
      </c>
      <c r="D1362" s="87" t="s">
        <v>200</v>
      </c>
      <c r="E1362" s="10">
        <v>200000</v>
      </c>
      <c r="F1362" s="10">
        <v>0.05</v>
      </c>
      <c r="G1362" s="9">
        <v>45427</v>
      </c>
      <c r="H1362" s="12">
        <f t="shared" si="21"/>
        <v>10000</v>
      </c>
      <c r="I1362" s="10" t="s">
        <v>10</v>
      </c>
      <c r="J1362" s="13">
        <v>45306</v>
      </c>
    </row>
    <row r="1363" hidden="1" spans="2:10">
      <c r="B1363" s="86">
        <v>232401521</v>
      </c>
      <c r="C1363" s="9">
        <v>45288</v>
      </c>
      <c r="D1363" s="87" t="s">
        <v>200</v>
      </c>
      <c r="E1363" s="10">
        <v>200000</v>
      </c>
      <c r="F1363" s="10">
        <v>0.05</v>
      </c>
      <c r="G1363" s="9">
        <v>45438</v>
      </c>
      <c r="H1363" s="12">
        <f t="shared" si="21"/>
        <v>10000</v>
      </c>
      <c r="I1363" s="10" t="s">
        <v>10</v>
      </c>
      <c r="J1363" s="13">
        <v>45306</v>
      </c>
    </row>
    <row r="1364" hidden="1" spans="2:10">
      <c r="B1364" s="86">
        <v>232401521</v>
      </c>
      <c r="C1364" s="9">
        <v>45288</v>
      </c>
      <c r="D1364" s="87" t="s">
        <v>243</v>
      </c>
      <c r="E1364" s="10">
        <v>32000</v>
      </c>
      <c r="F1364" s="10">
        <v>0.022</v>
      </c>
      <c r="G1364" s="9">
        <v>45397</v>
      </c>
      <c r="H1364" s="12">
        <f t="shared" si="21"/>
        <v>704</v>
      </c>
      <c r="I1364" s="10" t="s">
        <v>10</v>
      </c>
      <c r="J1364" s="13">
        <v>45306</v>
      </c>
    </row>
    <row r="1365" hidden="1" spans="2:10">
      <c r="B1365" s="86">
        <v>232401521</v>
      </c>
      <c r="C1365" s="9">
        <v>45288</v>
      </c>
      <c r="D1365" s="87" t="s">
        <v>243</v>
      </c>
      <c r="E1365" s="10">
        <v>32000</v>
      </c>
      <c r="F1365" s="10">
        <v>0.022</v>
      </c>
      <c r="G1365" s="9">
        <v>45427</v>
      </c>
      <c r="H1365" s="12">
        <f t="shared" si="21"/>
        <v>704</v>
      </c>
      <c r="I1365" s="10" t="s">
        <v>10</v>
      </c>
      <c r="J1365" s="13">
        <v>45306</v>
      </c>
    </row>
    <row r="1366" hidden="1" spans="2:10">
      <c r="B1366" s="86">
        <v>232401521</v>
      </c>
      <c r="C1366" s="9">
        <v>45288</v>
      </c>
      <c r="D1366" s="87" t="s">
        <v>243</v>
      </c>
      <c r="E1366" s="10">
        <v>32000</v>
      </c>
      <c r="F1366" s="10">
        <v>0.022</v>
      </c>
      <c r="G1366" s="9">
        <v>45427</v>
      </c>
      <c r="H1366" s="12">
        <f t="shared" si="21"/>
        <v>704</v>
      </c>
      <c r="I1366" s="10" t="s">
        <v>10</v>
      </c>
      <c r="J1366" s="13">
        <v>45306</v>
      </c>
    </row>
    <row r="1367" hidden="1" spans="2:10">
      <c r="B1367" s="86">
        <v>232401521</v>
      </c>
      <c r="C1367" s="9">
        <v>45288</v>
      </c>
      <c r="D1367" s="10" t="s">
        <v>163</v>
      </c>
      <c r="E1367" s="10">
        <v>48000</v>
      </c>
      <c r="F1367" s="10">
        <v>0.0025</v>
      </c>
      <c r="G1367" s="9">
        <v>45397</v>
      </c>
      <c r="H1367" s="12">
        <f t="shared" si="21"/>
        <v>120</v>
      </c>
      <c r="I1367" s="10" t="s">
        <v>10</v>
      </c>
      <c r="J1367" s="13">
        <v>45306</v>
      </c>
    </row>
    <row r="1368" hidden="1" spans="2:10">
      <c r="B1368" s="86">
        <v>232401521</v>
      </c>
      <c r="C1368" s="9">
        <v>45288</v>
      </c>
      <c r="D1368" s="10" t="s">
        <v>163</v>
      </c>
      <c r="E1368" s="10">
        <v>48000</v>
      </c>
      <c r="F1368" s="10">
        <v>0.0025</v>
      </c>
      <c r="G1368" s="9">
        <v>45427</v>
      </c>
      <c r="H1368" s="12">
        <f t="shared" si="21"/>
        <v>120</v>
      </c>
      <c r="I1368" s="10" t="s">
        <v>10</v>
      </c>
      <c r="J1368" s="13">
        <v>45306</v>
      </c>
    </row>
    <row r="1369" hidden="1" spans="2:10">
      <c r="B1369" s="86">
        <v>232401521</v>
      </c>
      <c r="C1369" s="9">
        <v>45288</v>
      </c>
      <c r="D1369" s="10" t="s">
        <v>245</v>
      </c>
      <c r="E1369" s="10">
        <v>48000</v>
      </c>
      <c r="F1369" s="10">
        <v>0.006</v>
      </c>
      <c r="G1369" s="9">
        <v>45397</v>
      </c>
      <c r="H1369" s="12">
        <f t="shared" si="21"/>
        <v>288</v>
      </c>
      <c r="I1369" s="10" t="s">
        <v>10</v>
      </c>
      <c r="J1369" s="13">
        <v>45306</v>
      </c>
    </row>
    <row r="1370" hidden="1" spans="2:10">
      <c r="B1370" s="86">
        <v>232401521</v>
      </c>
      <c r="C1370" s="9">
        <v>45288</v>
      </c>
      <c r="D1370" s="10" t="s">
        <v>245</v>
      </c>
      <c r="E1370" s="10">
        <v>48000</v>
      </c>
      <c r="F1370" s="10">
        <v>0.006</v>
      </c>
      <c r="G1370" s="9">
        <v>45427</v>
      </c>
      <c r="H1370" s="12">
        <f t="shared" si="21"/>
        <v>288</v>
      </c>
      <c r="I1370" s="10" t="s">
        <v>10</v>
      </c>
      <c r="J1370" s="13">
        <v>45306</v>
      </c>
    </row>
    <row r="1371" hidden="1" spans="2:10">
      <c r="B1371" s="86">
        <v>232401521</v>
      </c>
      <c r="C1371" s="9">
        <v>45288</v>
      </c>
      <c r="D1371" s="87" t="s">
        <v>210</v>
      </c>
      <c r="E1371" s="10">
        <v>120000</v>
      </c>
      <c r="F1371" s="10">
        <v>0.028</v>
      </c>
      <c r="G1371" s="9">
        <v>45458</v>
      </c>
      <c r="H1371" s="12">
        <f t="shared" si="21"/>
        <v>3360</v>
      </c>
      <c r="I1371" s="10" t="s">
        <v>10</v>
      </c>
      <c r="J1371" s="13">
        <v>45306</v>
      </c>
    </row>
    <row r="1372" hidden="1" spans="2:10">
      <c r="B1372" s="127">
        <v>232401524</v>
      </c>
      <c r="C1372" s="54">
        <v>45288</v>
      </c>
      <c r="D1372" s="93" t="s">
        <v>315</v>
      </c>
      <c r="E1372" s="56">
        <v>4000</v>
      </c>
      <c r="F1372" s="56">
        <v>0.058</v>
      </c>
      <c r="G1372" s="54">
        <v>45288</v>
      </c>
      <c r="H1372" s="58">
        <f t="shared" si="21"/>
        <v>232</v>
      </c>
      <c r="I1372" s="56" t="s">
        <v>317</v>
      </c>
      <c r="J1372" s="15"/>
    </row>
    <row r="1373" spans="2:10">
      <c r="B1373" s="86">
        <v>232401526</v>
      </c>
      <c r="C1373" s="9">
        <v>45288</v>
      </c>
      <c r="D1373" s="10" t="s">
        <v>318</v>
      </c>
      <c r="E1373" s="10">
        <v>20000</v>
      </c>
      <c r="F1373" s="10">
        <v>0.042</v>
      </c>
      <c r="G1373" s="9">
        <v>45288</v>
      </c>
      <c r="H1373" s="12">
        <f t="shared" si="21"/>
        <v>840</v>
      </c>
      <c r="I1373" s="10" t="s">
        <v>10</v>
      </c>
      <c r="J1373" s="13">
        <v>45303</v>
      </c>
    </row>
    <row r="1374" hidden="1" spans="2:10">
      <c r="B1374" s="86">
        <v>232401529</v>
      </c>
      <c r="C1374" s="9">
        <v>45289</v>
      </c>
      <c r="D1374" s="87" t="s">
        <v>207</v>
      </c>
      <c r="E1374" s="10">
        <v>60000</v>
      </c>
      <c r="F1374" s="10">
        <v>0.03</v>
      </c>
      <c r="G1374" s="9">
        <v>45366</v>
      </c>
      <c r="H1374" s="12">
        <f t="shared" si="21"/>
        <v>1800</v>
      </c>
      <c r="I1374" s="10" t="s">
        <v>10</v>
      </c>
      <c r="J1374" s="13">
        <v>45303</v>
      </c>
    </row>
    <row r="1375" hidden="1" spans="2:10">
      <c r="B1375" s="86">
        <v>232401529</v>
      </c>
      <c r="C1375" s="9">
        <v>45289</v>
      </c>
      <c r="D1375" s="87" t="s">
        <v>207</v>
      </c>
      <c r="E1375" s="10">
        <v>60000</v>
      </c>
      <c r="F1375" s="10">
        <v>0.03</v>
      </c>
      <c r="G1375" s="9">
        <v>45397</v>
      </c>
      <c r="H1375" s="12">
        <f t="shared" si="21"/>
        <v>1800</v>
      </c>
      <c r="I1375" s="10" t="s">
        <v>10</v>
      </c>
      <c r="J1375" s="13">
        <v>45303</v>
      </c>
    </row>
    <row r="1376" hidden="1" spans="2:10">
      <c r="B1376" s="86">
        <v>232401529</v>
      </c>
      <c r="C1376" s="9">
        <v>45289</v>
      </c>
      <c r="D1376" s="87" t="s">
        <v>207</v>
      </c>
      <c r="E1376" s="10">
        <v>60000</v>
      </c>
      <c r="F1376" s="10">
        <v>0.03</v>
      </c>
      <c r="G1376" s="9">
        <v>45427</v>
      </c>
      <c r="H1376" s="12">
        <f t="shared" si="21"/>
        <v>1800</v>
      </c>
      <c r="I1376" s="10" t="s">
        <v>10</v>
      </c>
      <c r="J1376" s="13">
        <v>45303</v>
      </c>
    </row>
    <row r="1377" hidden="1" spans="2:11">
      <c r="B1377" s="86">
        <v>232401548</v>
      </c>
      <c r="C1377" s="9">
        <v>45289</v>
      </c>
      <c r="D1377" s="87" t="s">
        <v>202</v>
      </c>
      <c r="E1377" s="10">
        <v>100000</v>
      </c>
      <c r="F1377" s="10">
        <v>0.04</v>
      </c>
      <c r="G1377" s="9">
        <v>45371</v>
      </c>
      <c r="H1377" s="12">
        <f t="shared" si="21"/>
        <v>4000</v>
      </c>
      <c r="I1377" s="10" t="s">
        <v>10</v>
      </c>
      <c r="J1377" s="13">
        <v>45303</v>
      </c>
    </row>
    <row r="1378" hidden="1" spans="2:11">
      <c r="B1378" s="86">
        <v>232401548</v>
      </c>
      <c r="C1378" s="9">
        <v>45289</v>
      </c>
      <c r="D1378" s="87" t="s">
        <v>202</v>
      </c>
      <c r="E1378" s="10">
        <v>100000</v>
      </c>
      <c r="F1378" s="10">
        <v>0.04</v>
      </c>
      <c r="G1378" s="9">
        <v>45402</v>
      </c>
      <c r="H1378" s="12">
        <f t="shared" si="21"/>
        <v>4000</v>
      </c>
      <c r="I1378" s="10" t="s">
        <v>10</v>
      </c>
      <c r="J1378" s="13">
        <v>45303</v>
      </c>
    </row>
    <row r="1379" hidden="1" spans="2:11">
      <c r="B1379" s="86">
        <v>232401548</v>
      </c>
      <c r="C1379" s="9">
        <v>45289</v>
      </c>
      <c r="D1379" s="10" t="s">
        <v>119</v>
      </c>
      <c r="E1379" s="10">
        <v>20000</v>
      </c>
      <c r="F1379" s="10">
        <v>0.07</v>
      </c>
      <c r="G1379" s="9">
        <v>45342</v>
      </c>
      <c r="H1379" s="12">
        <f t="shared" si="21"/>
        <v>1400</v>
      </c>
      <c r="I1379" s="10" t="s">
        <v>10</v>
      </c>
      <c r="J1379" s="13">
        <v>45303</v>
      </c>
    </row>
    <row r="1380" hidden="1" spans="2:11">
      <c r="B1380" s="86">
        <v>232401548</v>
      </c>
      <c r="C1380" s="9">
        <v>45289</v>
      </c>
      <c r="D1380" s="10" t="s">
        <v>119</v>
      </c>
      <c r="E1380" s="10">
        <v>20000</v>
      </c>
      <c r="F1380" s="10">
        <v>0.07</v>
      </c>
      <c r="G1380" s="9">
        <v>45371</v>
      </c>
      <c r="H1380" s="12">
        <f t="shared" si="21"/>
        <v>1400</v>
      </c>
      <c r="I1380" s="10" t="s">
        <v>10</v>
      </c>
      <c r="J1380" s="13">
        <v>45303</v>
      </c>
    </row>
    <row r="1381" hidden="1" spans="2:11">
      <c r="B1381" s="86">
        <v>232401548</v>
      </c>
      <c r="C1381" s="9">
        <v>45289</v>
      </c>
      <c r="D1381" s="10" t="s">
        <v>119</v>
      </c>
      <c r="E1381" s="10">
        <v>20000</v>
      </c>
      <c r="F1381" s="10">
        <v>0.07</v>
      </c>
      <c r="G1381" s="9">
        <v>45402</v>
      </c>
      <c r="H1381" s="12">
        <f t="shared" si="21"/>
        <v>1400</v>
      </c>
      <c r="I1381" s="10" t="s">
        <v>10</v>
      </c>
      <c r="J1381" s="13">
        <v>45303</v>
      </c>
    </row>
    <row r="1382" hidden="1" spans="2:11">
      <c r="B1382" s="86">
        <v>232401548</v>
      </c>
      <c r="C1382" s="9">
        <v>45289</v>
      </c>
      <c r="D1382" s="10" t="s">
        <v>119</v>
      </c>
      <c r="E1382" s="10">
        <v>20000</v>
      </c>
      <c r="F1382" s="10">
        <v>0.07</v>
      </c>
      <c r="G1382" s="9">
        <v>45432</v>
      </c>
      <c r="H1382" s="12">
        <f t="shared" si="21"/>
        <v>1400</v>
      </c>
      <c r="I1382" s="10" t="s">
        <v>10</v>
      </c>
      <c r="J1382" s="13">
        <v>45303</v>
      </c>
    </row>
    <row r="1383" hidden="1" spans="2:11">
      <c r="B1383" s="86">
        <v>232401550</v>
      </c>
      <c r="C1383" s="9">
        <v>45289</v>
      </c>
      <c r="D1383" s="87" t="s">
        <v>215</v>
      </c>
      <c r="E1383" s="10">
        <v>20000</v>
      </c>
      <c r="F1383" s="10">
        <v>0.028</v>
      </c>
      <c r="G1383" s="9">
        <v>45361</v>
      </c>
      <c r="H1383" s="12">
        <f t="shared" si="21"/>
        <v>560</v>
      </c>
      <c r="I1383" s="10" t="s">
        <v>10</v>
      </c>
      <c r="J1383" s="13">
        <v>45303</v>
      </c>
    </row>
    <row r="1384" hidden="1" spans="2:11">
      <c r="B1384" s="86">
        <v>232401550</v>
      </c>
      <c r="C1384" s="9">
        <v>45289</v>
      </c>
      <c r="D1384" s="87" t="s">
        <v>215</v>
      </c>
      <c r="E1384" s="10">
        <v>20000</v>
      </c>
      <c r="F1384" s="10">
        <v>0.028</v>
      </c>
      <c r="G1384" s="9">
        <v>45392</v>
      </c>
      <c r="H1384" s="12">
        <f t="shared" si="21"/>
        <v>560</v>
      </c>
      <c r="I1384" s="10" t="s">
        <v>10</v>
      </c>
      <c r="J1384" s="13">
        <v>45303</v>
      </c>
    </row>
    <row r="1385" hidden="1" spans="2:11">
      <c r="B1385" s="86">
        <v>232401550</v>
      </c>
      <c r="C1385" s="9">
        <v>45289</v>
      </c>
      <c r="D1385" s="87" t="s">
        <v>215</v>
      </c>
      <c r="E1385" s="10">
        <v>20000</v>
      </c>
      <c r="F1385" s="10">
        <v>0.028</v>
      </c>
      <c r="G1385" s="9">
        <v>45422</v>
      </c>
      <c r="H1385" s="12">
        <f t="shared" si="21"/>
        <v>560</v>
      </c>
      <c r="I1385" s="10" t="s">
        <v>10</v>
      </c>
      <c r="J1385" s="13">
        <v>45303</v>
      </c>
      <c r="K1385">
        <v>163750</v>
      </c>
    </row>
    <row r="1386" hidden="1" spans="2:11">
      <c r="B1386" s="86">
        <v>232401552</v>
      </c>
      <c r="C1386" s="9">
        <v>45289</v>
      </c>
      <c r="D1386" s="10" t="s">
        <v>33</v>
      </c>
      <c r="E1386" s="10">
        <v>50000</v>
      </c>
      <c r="F1386" s="10">
        <v>0.02</v>
      </c>
      <c r="G1386" s="9">
        <v>45371</v>
      </c>
      <c r="H1386" s="12">
        <f t="shared" si="21"/>
        <v>1000</v>
      </c>
      <c r="I1386" s="10" t="s">
        <v>10</v>
      </c>
      <c r="J1386" s="13">
        <v>45303</v>
      </c>
      <c r="K1386">
        <v>111200</v>
      </c>
    </row>
    <row r="1387" hidden="1" spans="2:11">
      <c r="B1387" s="86">
        <v>232401552</v>
      </c>
      <c r="C1387" s="9">
        <v>45289</v>
      </c>
      <c r="D1387" s="10" t="s">
        <v>33</v>
      </c>
      <c r="E1387" s="10">
        <v>50000</v>
      </c>
      <c r="F1387" s="10">
        <v>0.02</v>
      </c>
      <c r="G1387" s="9">
        <v>45402</v>
      </c>
      <c r="H1387" s="12">
        <f t="shared" si="21"/>
        <v>1000</v>
      </c>
      <c r="I1387" s="10" t="s">
        <v>10</v>
      </c>
      <c r="J1387" s="13">
        <v>45303</v>
      </c>
    </row>
    <row r="1388" hidden="1" spans="2:11">
      <c r="B1388" s="86">
        <v>232401553</v>
      </c>
      <c r="C1388" s="9">
        <v>45289</v>
      </c>
      <c r="D1388" s="10" t="s">
        <v>308</v>
      </c>
      <c r="E1388" s="10">
        <v>20000</v>
      </c>
      <c r="F1388" s="10">
        <v>0.018</v>
      </c>
      <c r="G1388" s="9">
        <v>45301</v>
      </c>
      <c r="H1388" s="12">
        <f t="shared" si="21"/>
        <v>360</v>
      </c>
      <c r="I1388" s="10" t="s">
        <v>10</v>
      </c>
      <c r="J1388" s="13">
        <v>45303</v>
      </c>
    </row>
    <row r="1389" hidden="1" spans="2:11">
      <c r="B1389" s="86">
        <v>232401553</v>
      </c>
      <c r="C1389" s="9">
        <v>45289</v>
      </c>
      <c r="D1389" s="10" t="s">
        <v>308</v>
      </c>
      <c r="E1389" s="10">
        <v>20000</v>
      </c>
      <c r="F1389" s="10">
        <v>0.018</v>
      </c>
      <c r="G1389" s="9">
        <v>45301</v>
      </c>
      <c r="H1389" s="12">
        <f t="shared" si="21"/>
        <v>360</v>
      </c>
      <c r="I1389" s="10" t="s">
        <v>10</v>
      </c>
      <c r="J1389" s="13">
        <v>45303</v>
      </c>
    </row>
    <row r="1390" hidden="1" spans="2:11">
      <c r="B1390" s="86">
        <v>232401553</v>
      </c>
      <c r="C1390" s="9">
        <v>45289</v>
      </c>
      <c r="D1390" s="10" t="s">
        <v>308</v>
      </c>
      <c r="E1390" s="10">
        <v>20000</v>
      </c>
      <c r="F1390" s="10">
        <v>0.018</v>
      </c>
      <c r="G1390" s="9">
        <v>45301</v>
      </c>
      <c r="H1390" s="12">
        <f t="shared" si="21"/>
        <v>360</v>
      </c>
      <c r="I1390" s="10" t="s">
        <v>10</v>
      </c>
      <c r="J1390" s="13">
        <v>45303</v>
      </c>
    </row>
    <row r="1391" hidden="1" spans="2:11">
      <c r="B1391" s="86">
        <v>232401554</v>
      </c>
      <c r="C1391" s="9">
        <v>45289</v>
      </c>
      <c r="D1391" s="87" t="s">
        <v>202</v>
      </c>
      <c r="E1391" s="88">
        <v>200000</v>
      </c>
      <c r="F1391" s="10">
        <v>0.04</v>
      </c>
      <c r="G1391" s="9">
        <v>45371</v>
      </c>
      <c r="H1391" s="12">
        <f t="shared" si="21"/>
        <v>8000</v>
      </c>
      <c r="I1391" s="10" t="s">
        <v>10</v>
      </c>
      <c r="J1391" s="13">
        <v>45317</v>
      </c>
    </row>
    <row r="1392" hidden="1" spans="2:11">
      <c r="B1392" s="86">
        <v>232401554</v>
      </c>
      <c r="C1392" s="9">
        <v>45289</v>
      </c>
      <c r="D1392" s="87" t="s">
        <v>202</v>
      </c>
      <c r="E1392" s="88">
        <v>200000</v>
      </c>
      <c r="F1392" s="10">
        <v>0.04</v>
      </c>
      <c r="G1392" s="9">
        <v>45402</v>
      </c>
      <c r="H1392" s="12">
        <f t="shared" si="21"/>
        <v>8000</v>
      </c>
      <c r="I1392" s="10" t="s">
        <v>10</v>
      </c>
      <c r="J1392" s="13">
        <v>45317</v>
      </c>
    </row>
    <row r="1393" hidden="1" spans="2:10">
      <c r="B1393" s="86">
        <v>232401554</v>
      </c>
      <c r="C1393" s="9">
        <v>45289</v>
      </c>
      <c r="D1393" s="87" t="s">
        <v>203</v>
      </c>
      <c r="E1393" s="10">
        <v>1000000</v>
      </c>
      <c r="F1393" s="10">
        <v>0.027</v>
      </c>
      <c r="G1393" s="9">
        <v>45371</v>
      </c>
      <c r="H1393" s="12">
        <f t="shared" si="21"/>
        <v>27000</v>
      </c>
      <c r="I1393" s="10" t="s">
        <v>10</v>
      </c>
      <c r="J1393" s="13">
        <v>45317</v>
      </c>
    </row>
    <row r="1394" hidden="1" spans="2:10">
      <c r="B1394" s="86">
        <v>232401554</v>
      </c>
      <c r="C1394" s="9">
        <v>45289</v>
      </c>
      <c r="D1394" s="87" t="s">
        <v>203</v>
      </c>
      <c r="E1394" s="10">
        <v>1000000</v>
      </c>
      <c r="F1394" s="10">
        <v>0.027</v>
      </c>
      <c r="G1394" s="9">
        <v>45402</v>
      </c>
      <c r="H1394" s="12">
        <f t="shared" si="21"/>
        <v>27000</v>
      </c>
      <c r="I1394" s="10" t="s">
        <v>10</v>
      </c>
      <c r="J1394" s="13">
        <v>45317</v>
      </c>
    </row>
    <row r="1395" hidden="1" spans="2:10">
      <c r="B1395" s="86">
        <v>232401554</v>
      </c>
      <c r="C1395" s="9">
        <v>45289</v>
      </c>
      <c r="D1395" s="87" t="s">
        <v>204</v>
      </c>
      <c r="E1395" s="10">
        <v>300000</v>
      </c>
      <c r="F1395" s="10">
        <v>0.036</v>
      </c>
      <c r="G1395" s="9">
        <v>45371</v>
      </c>
      <c r="H1395" s="12">
        <f t="shared" si="21"/>
        <v>10800</v>
      </c>
      <c r="I1395" s="10" t="s">
        <v>10</v>
      </c>
      <c r="J1395" s="13">
        <v>45317</v>
      </c>
    </row>
    <row r="1396" hidden="1" spans="2:10">
      <c r="B1396" s="86">
        <v>232401554</v>
      </c>
      <c r="C1396" s="9">
        <v>45289</v>
      </c>
      <c r="D1396" s="87" t="s">
        <v>204</v>
      </c>
      <c r="E1396" s="10">
        <v>300000</v>
      </c>
      <c r="F1396" s="10">
        <v>0.036</v>
      </c>
      <c r="G1396" s="9">
        <v>45402</v>
      </c>
      <c r="H1396" s="12">
        <f t="shared" si="21"/>
        <v>10800</v>
      </c>
      <c r="I1396" s="10" t="s">
        <v>10</v>
      </c>
      <c r="J1396" s="13">
        <v>45317</v>
      </c>
    </row>
    <row r="1397" hidden="1" spans="2:10">
      <c r="B1397" s="86">
        <v>232401554</v>
      </c>
      <c r="C1397" s="9">
        <v>45289</v>
      </c>
      <c r="D1397" s="10" t="s">
        <v>58</v>
      </c>
      <c r="E1397" s="10">
        <v>400000</v>
      </c>
      <c r="F1397" s="10">
        <v>0.019</v>
      </c>
      <c r="G1397" s="9">
        <v>45402</v>
      </c>
      <c r="H1397" s="12">
        <f t="shared" si="21"/>
        <v>7600</v>
      </c>
      <c r="I1397" s="10" t="s">
        <v>10</v>
      </c>
      <c r="J1397" s="13">
        <v>45317</v>
      </c>
    </row>
    <row r="1398" hidden="1" spans="2:10">
      <c r="B1398" s="86">
        <v>232401554</v>
      </c>
      <c r="C1398" s="9">
        <v>45289</v>
      </c>
      <c r="D1398" s="10" t="s">
        <v>33</v>
      </c>
      <c r="E1398" s="10">
        <v>300000</v>
      </c>
      <c r="F1398" s="10">
        <v>0.02</v>
      </c>
      <c r="G1398" s="9">
        <v>45371</v>
      </c>
      <c r="H1398" s="12">
        <f t="shared" si="21"/>
        <v>6000</v>
      </c>
      <c r="I1398" s="10" t="s">
        <v>10</v>
      </c>
      <c r="J1398" s="13">
        <v>45317</v>
      </c>
    </row>
    <row r="1399" hidden="1" spans="2:10">
      <c r="B1399" s="86">
        <v>232401554</v>
      </c>
      <c r="C1399" s="9">
        <v>45289</v>
      </c>
      <c r="D1399" s="10" t="s">
        <v>33</v>
      </c>
      <c r="E1399" s="10">
        <v>300000</v>
      </c>
      <c r="F1399" s="10">
        <v>0.02</v>
      </c>
      <c r="G1399" s="9">
        <v>45402</v>
      </c>
      <c r="H1399" s="12">
        <f t="shared" si="21"/>
        <v>6000</v>
      </c>
      <c r="I1399" s="10" t="s">
        <v>10</v>
      </c>
      <c r="J1399" s="13">
        <v>45317</v>
      </c>
    </row>
    <row r="1400" hidden="1" spans="2:10">
      <c r="B1400" s="135"/>
      <c r="C1400" s="13"/>
      <c r="D1400" s="15"/>
      <c r="E1400" s="15"/>
      <c r="F1400" s="15"/>
      <c r="G1400" s="13"/>
      <c r="H1400" s="17">
        <f t="shared" si="21"/>
        <v>0</v>
      </c>
      <c r="I1400" s="15"/>
      <c r="J1400" s="15"/>
    </row>
    <row r="1401" hidden="1" spans="2:10">
      <c r="B1401" s="135"/>
      <c r="C1401" s="13"/>
      <c r="D1401" s="15"/>
      <c r="E1401" s="15"/>
      <c r="F1401" s="15"/>
      <c r="G1401" s="13"/>
      <c r="H1401" s="17">
        <f t="shared" si="21"/>
        <v>0</v>
      </c>
      <c r="I1401" s="15"/>
      <c r="J1401" s="15"/>
    </row>
    <row r="1402" hidden="1" spans="2:10">
      <c r="B1402" s="135"/>
      <c r="C1402" s="13"/>
      <c r="D1402" s="15"/>
      <c r="E1402" s="15"/>
      <c r="F1402" s="15"/>
      <c r="G1402" s="13"/>
      <c r="H1402" s="17">
        <f t="shared" si="21"/>
        <v>0</v>
      </c>
      <c r="I1402" s="15"/>
      <c r="J1402" s="15"/>
    </row>
    <row r="1403" hidden="1" spans="2:10">
      <c r="B1403" s="135"/>
      <c r="C1403" s="13"/>
      <c r="D1403" s="15"/>
      <c r="E1403" s="15"/>
      <c r="F1403" s="15"/>
      <c r="G1403" s="13"/>
      <c r="H1403" s="17">
        <f t="shared" si="21"/>
        <v>0</v>
      </c>
      <c r="I1403" s="15"/>
      <c r="J1403" s="15"/>
    </row>
    <row r="1404" hidden="1" spans="2:10">
      <c r="B1404" s="135"/>
      <c r="C1404" s="13"/>
      <c r="D1404" s="15"/>
      <c r="E1404" s="15"/>
      <c r="F1404" s="15"/>
      <c r="G1404" s="13"/>
      <c r="H1404" s="17">
        <f t="shared" ref="H1404:H1448" si="22">E1404*F1404</f>
        <v>0</v>
      </c>
      <c r="I1404" s="15"/>
      <c r="J1404" s="15"/>
    </row>
    <row r="1405" hidden="1" spans="2:10">
      <c r="B1405" s="135"/>
      <c r="C1405" s="13"/>
      <c r="D1405" s="15"/>
      <c r="E1405" s="15"/>
      <c r="F1405" s="15"/>
      <c r="G1405" s="13"/>
      <c r="H1405" s="17">
        <f t="shared" si="22"/>
        <v>0</v>
      </c>
      <c r="I1405" s="15"/>
      <c r="J1405" s="15"/>
    </row>
    <row r="1406" hidden="1" spans="2:10">
      <c r="B1406" s="135"/>
      <c r="C1406" s="13"/>
      <c r="D1406" s="15"/>
      <c r="E1406" s="15"/>
      <c r="F1406" s="15"/>
      <c r="G1406" s="13"/>
      <c r="H1406" s="17">
        <f t="shared" si="22"/>
        <v>0</v>
      </c>
      <c r="I1406" s="15"/>
      <c r="J1406" s="15"/>
    </row>
    <row r="1407" hidden="1" spans="2:10">
      <c r="B1407" s="135"/>
      <c r="C1407" s="13"/>
      <c r="D1407" s="15"/>
      <c r="E1407" s="15"/>
      <c r="F1407" s="15"/>
      <c r="G1407" s="13"/>
      <c r="H1407" s="17">
        <f t="shared" si="22"/>
        <v>0</v>
      </c>
      <c r="I1407" s="15"/>
      <c r="J1407" s="15"/>
    </row>
    <row r="1408" hidden="1" spans="2:10">
      <c r="B1408" s="135"/>
      <c r="C1408" s="13"/>
      <c r="D1408" s="15"/>
      <c r="E1408" s="15"/>
      <c r="F1408" s="15"/>
      <c r="G1408" s="13"/>
      <c r="H1408" s="17">
        <f t="shared" si="22"/>
        <v>0</v>
      </c>
      <c r="I1408" s="15"/>
      <c r="J1408" s="15"/>
    </row>
    <row r="1409" hidden="1" spans="2:10">
      <c r="B1409" s="135"/>
      <c r="C1409" s="13"/>
      <c r="D1409" s="15"/>
      <c r="E1409" s="15"/>
      <c r="F1409" s="15"/>
      <c r="G1409" s="13"/>
      <c r="H1409" s="17">
        <f t="shared" si="22"/>
        <v>0</v>
      </c>
      <c r="I1409" s="15"/>
      <c r="J1409" s="15"/>
    </row>
    <row r="1410" hidden="1" spans="2:10">
      <c r="B1410" s="135"/>
      <c r="C1410" s="13"/>
      <c r="D1410" s="15"/>
      <c r="E1410" s="15"/>
      <c r="F1410" s="15"/>
      <c r="G1410" s="13"/>
      <c r="H1410" s="17">
        <f t="shared" si="22"/>
        <v>0</v>
      </c>
      <c r="I1410" s="15"/>
      <c r="J1410" s="15"/>
    </row>
    <row r="1411" hidden="1" spans="2:10">
      <c r="B1411" s="135"/>
      <c r="C1411" s="13"/>
      <c r="D1411" s="15"/>
      <c r="E1411" s="15"/>
      <c r="F1411" s="15"/>
      <c r="G1411" s="13"/>
      <c r="H1411" s="17">
        <f t="shared" si="22"/>
        <v>0</v>
      </c>
      <c r="I1411" s="15"/>
      <c r="J1411" s="15"/>
    </row>
    <row r="1412" hidden="1" spans="2:10">
      <c r="B1412" s="135"/>
      <c r="C1412" s="13"/>
      <c r="D1412" s="15"/>
      <c r="E1412" s="15"/>
      <c r="F1412" s="15"/>
      <c r="G1412" s="13"/>
      <c r="H1412" s="17">
        <f t="shared" si="22"/>
        <v>0</v>
      </c>
      <c r="I1412" s="15"/>
      <c r="J1412" s="15"/>
    </row>
    <row r="1413" hidden="1" spans="2:10">
      <c r="B1413" s="135"/>
      <c r="C1413" s="13"/>
      <c r="D1413" s="15"/>
      <c r="E1413" s="15"/>
      <c r="F1413" s="15"/>
      <c r="G1413" s="13"/>
      <c r="H1413" s="17">
        <f t="shared" si="22"/>
        <v>0</v>
      </c>
      <c r="I1413" s="15"/>
      <c r="J1413" s="15"/>
    </row>
    <row r="1414" hidden="1" spans="2:10">
      <c r="B1414" s="135"/>
      <c r="C1414" s="13"/>
      <c r="D1414" s="15"/>
      <c r="E1414" s="15"/>
      <c r="F1414" s="15"/>
      <c r="G1414" s="13"/>
      <c r="H1414" s="17">
        <f t="shared" si="22"/>
        <v>0</v>
      </c>
      <c r="I1414" s="15"/>
      <c r="J1414" s="15"/>
    </row>
    <row r="1415" hidden="1" spans="2:10">
      <c r="B1415" s="135"/>
      <c r="C1415" s="13"/>
      <c r="D1415" s="15"/>
      <c r="E1415" s="15"/>
      <c r="F1415" s="15"/>
      <c r="G1415" s="13"/>
      <c r="H1415" s="17">
        <f t="shared" si="22"/>
        <v>0</v>
      </c>
      <c r="I1415" s="15"/>
      <c r="J1415" s="15"/>
    </row>
    <row r="1416" hidden="1" spans="2:10">
      <c r="B1416" s="135"/>
      <c r="C1416" s="13"/>
      <c r="D1416" s="15"/>
      <c r="E1416" s="15"/>
      <c r="F1416" s="15"/>
      <c r="G1416" s="13"/>
      <c r="H1416" s="17">
        <f t="shared" si="22"/>
        <v>0</v>
      </c>
      <c r="I1416" s="15"/>
      <c r="J1416" s="15"/>
    </row>
    <row r="1417" hidden="1" spans="2:10">
      <c r="B1417" s="135"/>
      <c r="C1417" s="13"/>
      <c r="D1417" s="15"/>
      <c r="E1417" s="15"/>
      <c r="F1417" s="15"/>
      <c r="G1417" s="13"/>
      <c r="H1417" s="17">
        <f t="shared" si="22"/>
        <v>0</v>
      </c>
      <c r="I1417" s="15"/>
      <c r="J1417" s="15"/>
    </row>
    <row r="1418" hidden="1" spans="2:10">
      <c r="B1418" s="135"/>
      <c r="C1418" s="13"/>
      <c r="D1418" s="15"/>
      <c r="E1418" s="15"/>
      <c r="F1418" s="15"/>
      <c r="G1418" s="13"/>
      <c r="H1418" s="17">
        <f t="shared" si="22"/>
        <v>0</v>
      </c>
      <c r="I1418" s="15"/>
      <c r="J1418" s="15"/>
    </row>
    <row r="1419" hidden="1" spans="2:10">
      <c r="B1419" s="135"/>
      <c r="C1419" s="13"/>
      <c r="D1419" s="15"/>
      <c r="E1419" s="15"/>
      <c r="F1419" s="15"/>
      <c r="G1419" s="13"/>
      <c r="H1419" s="17">
        <f t="shared" si="22"/>
        <v>0</v>
      </c>
      <c r="I1419" s="15"/>
      <c r="J1419" s="15"/>
    </row>
    <row r="1420" hidden="1" spans="2:10">
      <c r="B1420" s="135"/>
      <c r="C1420" s="13"/>
      <c r="D1420" s="15"/>
      <c r="E1420" s="15"/>
      <c r="F1420" s="15"/>
      <c r="G1420" s="13"/>
      <c r="H1420" s="17">
        <f t="shared" si="22"/>
        <v>0</v>
      </c>
      <c r="I1420" s="15"/>
      <c r="J1420" s="15"/>
    </row>
    <row r="1421" hidden="1" spans="2:10">
      <c r="B1421" s="135"/>
      <c r="C1421" s="13"/>
      <c r="D1421" s="15"/>
      <c r="E1421" s="15"/>
      <c r="F1421" s="15"/>
      <c r="G1421" s="13"/>
      <c r="H1421" s="17">
        <f t="shared" si="22"/>
        <v>0</v>
      </c>
      <c r="I1421" s="15"/>
      <c r="J1421" s="15"/>
    </row>
    <row r="1422" hidden="1" spans="2:10">
      <c r="B1422" s="135"/>
      <c r="C1422" s="13"/>
      <c r="D1422" s="15"/>
      <c r="E1422" s="15"/>
      <c r="F1422" s="15"/>
      <c r="G1422" s="13"/>
      <c r="H1422" s="17">
        <f t="shared" si="22"/>
        <v>0</v>
      </c>
      <c r="I1422" s="15"/>
      <c r="J1422" s="15"/>
    </row>
    <row r="1423" hidden="1" spans="2:10">
      <c r="B1423" s="135"/>
      <c r="C1423" s="13"/>
      <c r="D1423" s="15"/>
      <c r="E1423" s="15"/>
      <c r="F1423" s="15"/>
      <c r="G1423" s="13"/>
      <c r="H1423" s="17">
        <f t="shared" si="22"/>
        <v>0</v>
      </c>
      <c r="I1423" s="15"/>
      <c r="J1423" s="15"/>
    </row>
    <row r="1424" hidden="1" spans="2:10">
      <c r="B1424" s="135"/>
      <c r="C1424" s="13"/>
      <c r="D1424" s="15"/>
      <c r="E1424" s="15"/>
      <c r="F1424" s="15"/>
      <c r="G1424" s="13"/>
      <c r="H1424" s="17">
        <f t="shared" si="22"/>
        <v>0</v>
      </c>
      <c r="I1424" s="15"/>
      <c r="J1424" s="15"/>
    </row>
    <row r="1425" hidden="1" spans="2:10">
      <c r="B1425" s="135"/>
      <c r="C1425" s="13"/>
      <c r="D1425" s="15"/>
      <c r="E1425" s="15"/>
      <c r="F1425" s="15"/>
      <c r="G1425" s="13"/>
      <c r="H1425" s="17">
        <f t="shared" si="22"/>
        <v>0</v>
      </c>
      <c r="I1425" s="15"/>
      <c r="J1425" s="15"/>
    </row>
    <row r="1426" hidden="1" spans="2:10">
      <c r="B1426" s="135"/>
      <c r="C1426" s="13"/>
      <c r="D1426" s="15"/>
      <c r="E1426" s="15"/>
      <c r="F1426" s="15"/>
      <c r="G1426" s="13"/>
      <c r="H1426" s="17">
        <f t="shared" si="22"/>
        <v>0</v>
      </c>
      <c r="I1426" s="15"/>
      <c r="J1426" s="15"/>
    </row>
    <row r="1427" hidden="1" spans="2:10">
      <c r="B1427" s="135"/>
      <c r="C1427" s="13"/>
      <c r="D1427" s="15"/>
      <c r="E1427" s="15"/>
      <c r="F1427" s="15"/>
      <c r="G1427" s="13"/>
      <c r="H1427" s="17">
        <f t="shared" si="22"/>
        <v>0</v>
      </c>
      <c r="I1427" s="15"/>
      <c r="J1427" s="15"/>
    </row>
    <row r="1428" hidden="1" spans="2:10">
      <c r="B1428" s="135"/>
      <c r="C1428" s="13"/>
      <c r="D1428" s="15"/>
      <c r="E1428" s="15"/>
      <c r="F1428" s="15"/>
      <c r="G1428" s="13"/>
      <c r="H1428" s="17">
        <f t="shared" si="22"/>
        <v>0</v>
      </c>
      <c r="I1428" s="15"/>
      <c r="J1428" s="15"/>
    </row>
    <row r="1429" hidden="1" spans="2:10">
      <c r="B1429" s="135"/>
      <c r="C1429" s="13"/>
      <c r="D1429" s="15"/>
      <c r="E1429" s="15"/>
      <c r="F1429" s="15"/>
      <c r="G1429" s="13"/>
      <c r="H1429" s="17">
        <f t="shared" si="22"/>
        <v>0</v>
      </c>
      <c r="I1429" s="15"/>
      <c r="J1429" s="15"/>
    </row>
    <row r="1430" hidden="1" spans="2:10">
      <c r="B1430" s="135"/>
      <c r="C1430" s="13"/>
      <c r="D1430" s="15"/>
      <c r="E1430" s="15"/>
      <c r="F1430" s="15"/>
      <c r="G1430" s="13"/>
      <c r="H1430" s="17">
        <f t="shared" si="22"/>
        <v>0</v>
      </c>
      <c r="I1430" s="15"/>
      <c r="J1430" s="15"/>
    </row>
    <row r="1431" hidden="1" spans="2:10">
      <c r="B1431" s="135"/>
      <c r="C1431" s="13"/>
      <c r="D1431" s="15"/>
      <c r="E1431" s="15"/>
      <c r="F1431" s="15"/>
      <c r="G1431" s="13"/>
      <c r="H1431" s="17">
        <f t="shared" si="22"/>
        <v>0</v>
      </c>
      <c r="I1431" s="15"/>
      <c r="J1431" s="15"/>
    </row>
    <row r="1432" hidden="1" spans="2:10">
      <c r="B1432" s="135"/>
      <c r="C1432" s="13"/>
      <c r="D1432" s="15"/>
      <c r="E1432" s="15"/>
      <c r="F1432" s="15"/>
      <c r="G1432" s="13"/>
      <c r="H1432" s="17">
        <f t="shared" si="22"/>
        <v>0</v>
      </c>
      <c r="I1432" s="15"/>
      <c r="J1432" s="15"/>
    </row>
    <row r="1433" hidden="1" spans="2:10">
      <c r="B1433" s="135"/>
      <c r="C1433" s="13"/>
      <c r="D1433" s="15"/>
      <c r="E1433" s="15"/>
      <c r="F1433" s="15"/>
      <c r="G1433" s="13"/>
      <c r="H1433" s="17">
        <f t="shared" si="22"/>
        <v>0</v>
      </c>
      <c r="I1433" s="15"/>
      <c r="J1433" s="15"/>
    </row>
    <row r="1434" hidden="1" spans="2:10">
      <c r="B1434" s="135"/>
      <c r="C1434" s="13"/>
      <c r="D1434" s="15"/>
      <c r="E1434" s="15"/>
      <c r="F1434" s="15"/>
      <c r="G1434" s="13"/>
      <c r="H1434" s="17">
        <f t="shared" si="22"/>
        <v>0</v>
      </c>
      <c r="I1434" s="15"/>
      <c r="J1434" s="15"/>
    </row>
    <row r="1435" hidden="1" spans="2:10">
      <c r="B1435" s="135"/>
      <c r="C1435" s="13"/>
      <c r="D1435" s="15"/>
      <c r="E1435" s="15"/>
      <c r="F1435" s="15"/>
      <c r="G1435" s="13"/>
      <c r="H1435" s="17">
        <f t="shared" si="22"/>
        <v>0</v>
      </c>
      <c r="I1435" s="15"/>
      <c r="J1435" s="15"/>
    </row>
    <row r="1436" hidden="1" spans="2:10">
      <c r="B1436" s="135"/>
      <c r="C1436" s="13"/>
      <c r="D1436" s="15"/>
      <c r="E1436" s="15"/>
      <c r="F1436" s="15"/>
      <c r="G1436" s="13"/>
      <c r="H1436" s="17">
        <f t="shared" si="22"/>
        <v>0</v>
      </c>
      <c r="I1436" s="15"/>
      <c r="J1436" s="15"/>
    </row>
    <row r="1437" hidden="1" spans="2:10">
      <c r="B1437" s="135"/>
      <c r="C1437" s="13"/>
      <c r="D1437" s="15"/>
      <c r="E1437" s="15"/>
      <c r="F1437" s="15"/>
      <c r="G1437" s="13"/>
      <c r="H1437" s="17">
        <f t="shared" si="22"/>
        <v>0</v>
      </c>
      <c r="I1437" s="15"/>
      <c r="J1437" s="15"/>
    </row>
    <row r="1438" hidden="1" spans="2:10">
      <c r="B1438" s="135"/>
      <c r="C1438" s="13"/>
      <c r="D1438" s="15"/>
      <c r="E1438" s="15"/>
      <c r="F1438" s="15"/>
      <c r="G1438" s="13"/>
      <c r="H1438" s="17">
        <f t="shared" si="22"/>
        <v>0</v>
      </c>
      <c r="I1438" s="15"/>
      <c r="J1438" s="15"/>
    </row>
    <row r="1439" hidden="1" spans="2:10">
      <c r="B1439" s="135"/>
      <c r="C1439" s="13"/>
      <c r="D1439" s="15"/>
      <c r="E1439" s="15"/>
      <c r="F1439" s="15"/>
      <c r="G1439" s="13"/>
      <c r="H1439" s="17">
        <f t="shared" si="22"/>
        <v>0</v>
      </c>
      <c r="I1439" s="15"/>
      <c r="J1439" s="15"/>
    </row>
    <row r="1440" hidden="1" spans="2:10">
      <c r="B1440" s="135"/>
      <c r="C1440" s="13"/>
      <c r="D1440" s="15"/>
      <c r="E1440" s="15"/>
      <c r="F1440" s="15"/>
      <c r="G1440" s="13"/>
      <c r="H1440" s="17">
        <f t="shared" si="22"/>
        <v>0</v>
      </c>
      <c r="I1440" s="15"/>
      <c r="J1440" s="15"/>
    </row>
    <row r="1441" hidden="1" spans="2:10">
      <c r="B1441" s="135"/>
      <c r="C1441" s="13"/>
      <c r="D1441" s="15"/>
      <c r="E1441" s="15"/>
      <c r="F1441" s="15"/>
      <c r="G1441" s="13"/>
      <c r="H1441" s="17">
        <f t="shared" si="22"/>
        <v>0</v>
      </c>
      <c r="I1441" s="15"/>
      <c r="J1441" s="15"/>
    </row>
    <row r="1442" hidden="1" spans="2:10">
      <c r="B1442" s="135"/>
      <c r="C1442" s="13"/>
      <c r="D1442" s="15"/>
      <c r="E1442" s="15"/>
      <c r="F1442" s="15"/>
      <c r="G1442" s="13"/>
      <c r="H1442" s="17">
        <f t="shared" si="22"/>
        <v>0</v>
      </c>
      <c r="I1442" s="15"/>
      <c r="J1442" s="15"/>
    </row>
    <row r="1443" hidden="1" spans="2:10">
      <c r="B1443" s="135"/>
      <c r="C1443" s="13"/>
      <c r="D1443" s="15"/>
      <c r="E1443" s="15"/>
      <c r="F1443" s="15"/>
      <c r="G1443" s="13"/>
      <c r="H1443" s="17">
        <f t="shared" si="22"/>
        <v>0</v>
      </c>
      <c r="I1443" s="15"/>
      <c r="J1443" s="15"/>
    </row>
    <row r="1444" hidden="1" spans="2:10">
      <c r="B1444" s="135"/>
      <c r="C1444" s="13"/>
      <c r="D1444" s="15"/>
      <c r="E1444" s="15"/>
      <c r="F1444" s="15"/>
      <c r="G1444" s="13"/>
      <c r="H1444" s="17">
        <f t="shared" si="22"/>
        <v>0</v>
      </c>
      <c r="I1444" s="15"/>
      <c r="J1444" s="15"/>
    </row>
    <row r="1445" hidden="1" spans="2:10">
      <c r="B1445" s="135"/>
      <c r="C1445" s="13"/>
      <c r="D1445" s="15"/>
      <c r="E1445" s="15"/>
      <c r="F1445" s="15"/>
      <c r="G1445" s="13"/>
      <c r="H1445" s="17">
        <f t="shared" si="22"/>
        <v>0</v>
      </c>
      <c r="I1445" s="15"/>
      <c r="J1445" s="15"/>
    </row>
    <row r="1446" hidden="1" spans="2:10">
      <c r="B1446" s="135"/>
      <c r="C1446" s="13"/>
      <c r="D1446" s="15"/>
      <c r="E1446" s="15"/>
      <c r="F1446" s="15"/>
      <c r="G1446" s="13"/>
      <c r="H1446" s="17">
        <f t="shared" si="22"/>
        <v>0</v>
      </c>
      <c r="I1446" s="15"/>
      <c r="J1446" s="15"/>
    </row>
    <row r="1447" hidden="1" spans="2:10">
      <c r="B1447" s="135"/>
      <c r="C1447" s="13"/>
      <c r="D1447" s="15"/>
      <c r="E1447" s="15"/>
      <c r="F1447" s="15"/>
      <c r="G1447" s="13"/>
      <c r="H1447" s="17">
        <f t="shared" si="22"/>
        <v>0</v>
      </c>
      <c r="I1447" s="15"/>
      <c r="J1447" s="15"/>
    </row>
    <row r="1448" hidden="1" spans="2:10">
      <c r="B1448" s="135"/>
      <c r="C1448" s="13"/>
      <c r="D1448" s="15"/>
      <c r="E1448" s="15"/>
      <c r="F1448" s="15"/>
      <c r="G1448" s="13"/>
      <c r="H1448" s="17">
        <f t="shared" si="22"/>
        <v>0</v>
      </c>
      <c r="I1448" s="15"/>
      <c r="J1448" s="15"/>
    </row>
    <row r="1458" spans="6:6">
      <c r="F1458">
        <v>1000</v>
      </c>
    </row>
    <row r="1459" spans="6:6">
      <c r="F1459">
        <v>2400</v>
      </c>
    </row>
    <row r="1460" spans="6:6">
      <c r="F1460">
        <v>15000</v>
      </c>
    </row>
    <row r="1461" spans="6:6">
      <c r="F1461">
        <v>31972</v>
      </c>
    </row>
    <row r="1462" spans="6:6">
      <c r="F1462">
        <v>20050</v>
      </c>
    </row>
    <row r="1048566" spans="16384:16384">
      <c r="XFD1048566">
        <v>1</v>
      </c>
    </row>
  </sheetData>
  <autoFilter xmlns:etc="http://www.wps.cn/officeDocument/2017/etCustomData" ref="A1:XFD1448" etc:filterBottomFollowUsedRange="0">
    <filterColumn colId="3">
      <customFilters>
        <customFilter operator="equal" val="67-22KR-RQBAC-A2020-2T8-CS"/>
      </customFilters>
    </filterColumn>
    <extLst/>
  </autoFilter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FD1563"/>
  <sheetViews>
    <sheetView workbookViewId="0">
      <selection activeCell="B1545" sqref="B1545"/>
    </sheetView>
  </sheetViews>
  <sheetFormatPr defaultColWidth="8.90909090909091" defaultRowHeight="14.5"/>
  <cols>
    <col min="1" max="1" width="8.90909090909091" style="82"/>
    <col min="2" max="2" width="13.9090909090909" style="83" customWidth="1"/>
    <col min="3" max="3" width="15.3636363636364" style="84" customWidth="1"/>
    <col min="4" max="4" width="47.1818181818182" style="84" customWidth="1"/>
    <col min="5" max="5" width="8.63636363636364" style="84" customWidth="1"/>
    <col min="6" max="6" width="13.0909090909091" style="84" customWidth="1"/>
    <col min="7" max="7" width="15.0909090909091" style="84" customWidth="1"/>
    <col min="8" max="8" width="8.63636363636364" style="84" customWidth="1"/>
    <col min="9" max="9" width="11.0909090909091" style="84" customWidth="1"/>
    <col min="10" max="10" width="23.3636363636364" style="84" customWidth="1"/>
    <col min="11" max="11" width="17.8181818181818" style="82" customWidth="1"/>
    <col min="12" max="12" width="11.0909090909091" style="82" customWidth="1"/>
    <col min="13" max="13" width="12.4545454545455" style="82" customWidth="1"/>
    <col min="14" max="14" width="16.4545454545455" style="82" customWidth="1"/>
    <col min="15" max="15" width="28.5454545454545" style="82" customWidth="1"/>
    <col min="16" max="19" width="8.90909090909091" style="82"/>
    <col min="20" max="20" width="9.63636363636364" style="82"/>
    <col min="21" max="21" width="12.9090909090909" style="82"/>
    <col min="22" max="16384" width="8.90909090909091" style="82"/>
  </cols>
  <sheetData>
    <row r="1" s="1" customFormat="1" ht="43.5" spans="1:12 16384:16384">
      <c r="A1" s="4"/>
      <c r="B1" s="85" t="s">
        <v>0</v>
      </c>
      <c r="C1" s="85" t="s">
        <v>1</v>
      </c>
      <c r="D1" s="85" t="s">
        <v>2</v>
      </c>
      <c r="E1" s="85" t="s">
        <v>3</v>
      </c>
      <c r="F1" s="85" t="s">
        <v>4</v>
      </c>
      <c r="G1" s="85" t="s">
        <v>5</v>
      </c>
      <c r="H1" s="85" t="s">
        <v>6</v>
      </c>
      <c r="I1" s="85" t="s">
        <v>7</v>
      </c>
      <c r="J1" s="7" t="s">
        <v>221</v>
      </c>
      <c r="L1" s="1">
        <v>46450</v>
      </c>
      <c r="XFD1" s="1">
        <f>SUBTOTAL(9,A1:XFC1)</f>
        <v>46450</v>
      </c>
    </row>
    <row r="2" customFormat="1" spans="1:12 16384:16384">
      <c r="B2" s="86">
        <v>232401569</v>
      </c>
      <c r="C2" s="9">
        <v>45293</v>
      </c>
      <c r="D2" s="87" t="s">
        <v>257</v>
      </c>
      <c r="E2" s="10">
        <v>52000</v>
      </c>
      <c r="F2" s="10">
        <v>0.01</v>
      </c>
      <c r="G2" s="9">
        <v>45458</v>
      </c>
      <c r="H2" s="12">
        <f t="shared" ref="H2:H65" si="0">E2*F2</f>
        <v>520</v>
      </c>
      <c r="I2" s="10" t="s">
        <v>10</v>
      </c>
      <c r="J2" s="13">
        <v>45306</v>
      </c>
    </row>
    <row r="3" customFormat="1" spans="1:12 16384:16384">
      <c r="B3" s="86">
        <v>232401569</v>
      </c>
      <c r="C3" s="9">
        <v>45293</v>
      </c>
      <c r="D3" s="87" t="s">
        <v>257</v>
      </c>
      <c r="E3" s="10">
        <v>52000</v>
      </c>
      <c r="F3" s="10">
        <v>0.01</v>
      </c>
      <c r="G3" s="9">
        <v>45458</v>
      </c>
      <c r="H3" s="12">
        <f t="shared" si="0"/>
        <v>520</v>
      </c>
      <c r="I3" s="10" t="s">
        <v>10</v>
      </c>
      <c r="J3" s="13">
        <v>45306</v>
      </c>
    </row>
    <row r="4" customFormat="1" spans="1:12 16384:16384">
      <c r="B4" s="86">
        <v>232401569</v>
      </c>
      <c r="C4" s="9">
        <v>45293</v>
      </c>
      <c r="D4" s="87" t="s">
        <v>271</v>
      </c>
      <c r="E4" s="10">
        <v>52000</v>
      </c>
      <c r="F4" s="10">
        <v>0.024</v>
      </c>
      <c r="G4" s="9">
        <v>45377</v>
      </c>
      <c r="H4" s="12">
        <f t="shared" si="0"/>
        <v>1248</v>
      </c>
      <c r="I4" s="10" t="s">
        <v>10</v>
      </c>
      <c r="J4" s="13">
        <v>45306</v>
      </c>
    </row>
    <row r="5" customFormat="1" spans="1:12 16384:16384">
      <c r="B5" s="86">
        <v>232401569</v>
      </c>
      <c r="C5" s="9">
        <v>45293</v>
      </c>
      <c r="D5" s="87" t="s">
        <v>271</v>
      </c>
      <c r="E5" s="10">
        <v>52000</v>
      </c>
      <c r="F5" s="10">
        <v>0.024</v>
      </c>
      <c r="G5" s="9">
        <v>45408</v>
      </c>
      <c r="H5" s="12">
        <f t="shared" si="0"/>
        <v>1248</v>
      </c>
      <c r="I5" s="10" t="s">
        <v>10</v>
      </c>
      <c r="J5" s="13">
        <v>45306</v>
      </c>
    </row>
    <row r="6" customFormat="1" spans="1:12 16384:16384">
      <c r="B6" s="86">
        <v>232401570</v>
      </c>
      <c r="C6" s="9">
        <v>45293</v>
      </c>
      <c r="D6" s="10" t="s">
        <v>33</v>
      </c>
      <c r="E6" s="10">
        <v>120000</v>
      </c>
      <c r="F6" s="10">
        <v>0.02</v>
      </c>
      <c r="G6" s="9">
        <v>45371</v>
      </c>
      <c r="H6" s="12">
        <f t="shared" si="0"/>
        <v>2400</v>
      </c>
      <c r="I6" s="10" t="s">
        <v>10</v>
      </c>
      <c r="J6" s="13">
        <v>45303</v>
      </c>
    </row>
    <row r="7" customFormat="1" spans="1:12 16384:16384">
      <c r="B7" s="86">
        <v>232401570</v>
      </c>
      <c r="C7" s="9">
        <v>45293</v>
      </c>
      <c r="D7" s="10" t="s">
        <v>33</v>
      </c>
      <c r="E7" s="10">
        <v>120000</v>
      </c>
      <c r="F7" s="10">
        <v>0.02</v>
      </c>
      <c r="G7" s="9">
        <v>45402</v>
      </c>
      <c r="H7" s="12">
        <f t="shared" si="0"/>
        <v>2400</v>
      </c>
      <c r="I7" s="10" t="s">
        <v>10</v>
      </c>
      <c r="J7" s="13">
        <v>45303</v>
      </c>
    </row>
    <row r="8" customFormat="1" spans="1:12 16384:16384">
      <c r="B8" s="86">
        <v>232401570</v>
      </c>
      <c r="C8" s="9">
        <v>45293</v>
      </c>
      <c r="D8" s="10" t="s">
        <v>58</v>
      </c>
      <c r="E8" s="10">
        <v>20000</v>
      </c>
      <c r="F8" s="10">
        <v>0.019</v>
      </c>
      <c r="G8" s="9">
        <v>45402</v>
      </c>
      <c r="H8" s="12">
        <f t="shared" si="0"/>
        <v>380</v>
      </c>
      <c r="I8" s="10" t="s">
        <v>10</v>
      </c>
      <c r="J8" s="13">
        <v>45303</v>
      </c>
    </row>
    <row r="9" customFormat="1" spans="1:12 16384:16384">
      <c r="B9" s="86">
        <v>232401570</v>
      </c>
      <c r="C9" s="9">
        <v>45293</v>
      </c>
      <c r="D9" s="10" t="s">
        <v>78</v>
      </c>
      <c r="E9" s="10">
        <v>20000</v>
      </c>
      <c r="F9" s="10">
        <v>0.02</v>
      </c>
      <c r="G9" s="9">
        <v>45316</v>
      </c>
      <c r="H9" s="12">
        <f t="shared" si="0"/>
        <v>400</v>
      </c>
      <c r="I9" s="10" t="s">
        <v>10</v>
      </c>
      <c r="J9" s="13">
        <v>45303</v>
      </c>
    </row>
    <row r="10" customFormat="1" spans="1:12 16384:16384">
      <c r="B10" s="86">
        <v>232401570</v>
      </c>
      <c r="C10" s="9">
        <v>45293</v>
      </c>
      <c r="D10" s="10" t="s">
        <v>78</v>
      </c>
      <c r="E10" s="10">
        <v>20000</v>
      </c>
      <c r="F10" s="10">
        <v>0.02</v>
      </c>
      <c r="G10" s="9">
        <v>45342</v>
      </c>
      <c r="H10" s="12">
        <f t="shared" si="0"/>
        <v>400</v>
      </c>
      <c r="I10" s="10" t="s">
        <v>10</v>
      </c>
      <c r="J10" s="13">
        <v>45303</v>
      </c>
    </row>
    <row r="11" customFormat="1" spans="1:12 16384:16384">
      <c r="B11" s="86">
        <v>232401570</v>
      </c>
      <c r="C11" s="9">
        <v>45293</v>
      </c>
      <c r="D11" s="10" t="s">
        <v>78</v>
      </c>
      <c r="E11" s="10">
        <v>20000</v>
      </c>
      <c r="F11" s="10">
        <v>0.02</v>
      </c>
      <c r="G11" s="9">
        <v>45371</v>
      </c>
      <c r="H11" s="12">
        <f t="shared" si="0"/>
        <v>400</v>
      </c>
      <c r="I11" s="10" t="s">
        <v>10</v>
      </c>
      <c r="J11" s="13">
        <v>45303</v>
      </c>
    </row>
    <row r="12" customFormat="1" spans="1:12 16384:16384">
      <c r="B12" s="86">
        <v>232401570</v>
      </c>
      <c r="C12" s="9">
        <v>45293</v>
      </c>
      <c r="D12" s="87" t="s">
        <v>204</v>
      </c>
      <c r="E12" s="10">
        <v>100000</v>
      </c>
      <c r="F12" s="10">
        <v>0.036</v>
      </c>
      <c r="G12" s="9">
        <v>45371</v>
      </c>
      <c r="H12" s="12">
        <f t="shared" si="0"/>
        <v>3600</v>
      </c>
      <c r="I12" s="10" t="s">
        <v>10</v>
      </c>
      <c r="J12" s="13">
        <v>45303</v>
      </c>
    </row>
    <row r="13" customFormat="1" spans="1:12 16384:16384">
      <c r="B13" s="86">
        <v>232401570</v>
      </c>
      <c r="C13" s="9">
        <v>45293</v>
      </c>
      <c r="D13" s="87" t="s">
        <v>204</v>
      </c>
      <c r="E13" s="10">
        <v>100000</v>
      </c>
      <c r="F13" s="10">
        <v>0.036</v>
      </c>
      <c r="G13" s="9">
        <v>45402</v>
      </c>
      <c r="H13" s="12">
        <f t="shared" si="0"/>
        <v>3600</v>
      </c>
      <c r="I13" s="10" t="s">
        <v>10</v>
      </c>
      <c r="J13" s="13">
        <v>45303</v>
      </c>
    </row>
    <row r="14" customFormat="1" spans="1:12 16384:16384">
      <c r="B14" s="86">
        <v>232401570</v>
      </c>
      <c r="C14" s="9">
        <v>45293</v>
      </c>
      <c r="D14" s="87" t="s">
        <v>203</v>
      </c>
      <c r="E14" s="10">
        <v>70000</v>
      </c>
      <c r="F14" s="10">
        <v>0.027</v>
      </c>
      <c r="G14" s="9">
        <v>45371</v>
      </c>
      <c r="H14" s="12">
        <f t="shared" si="0"/>
        <v>1890</v>
      </c>
      <c r="I14" s="10" t="s">
        <v>10</v>
      </c>
      <c r="J14" s="13">
        <v>45303</v>
      </c>
    </row>
    <row r="15" customFormat="1" spans="1:12 16384:16384">
      <c r="B15" s="86">
        <v>232401570</v>
      </c>
      <c r="C15" s="9">
        <v>45293</v>
      </c>
      <c r="D15" s="87" t="s">
        <v>203</v>
      </c>
      <c r="E15" s="10">
        <v>70000</v>
      </c>
      <c r="F15" s="10">
        <v>0.027</v>
      </c>
      <c r="G15" s="9">
        <v>45402</v>
      </c>
      <c r="H15" s="12">
        <f t="shared" si="0"/>
        <v>1890</v>
      </c>
      <c r="I15" s="10" t="s">
        <v>10</v>
      </c>
      <c r="J15" s="13">
        <v>45303</v>
      </c>
    </row>
    <row r="16" customFormat="1" spans="1:12 16384:16384">
      <c r="B16" s="86">
        <v>232401570</v>
      </c>
      <c r="C16" s="9">
        <v>45293</v>
      </c>
      <c r="D16" s="10" t="s">
        <v>100</v>
      </c>
      <c r="E16" s="10">
        <v>50000</v>
      </c>
      <c r="F16" s="10">
        <v>0.03</v>
      </c>
      <c r="G16" s="9">
        <v>45337</v>
      </c>
      <c r="H16" s="12">
        <f t="shared" si="0"/>
        <v>1500</v>
      </c>
      <c r="I16" s="10" t="s">
        <v>10</v>
      </c>
      <c r="J16" s="13">
        <v>45303</v>
      </c>
    </row>
    <row r="17" customFormat="1" spans="2:10">
      <c r="B17" s="86">
        <v>232401570</v>
      </c>
      <c r="C17" s="9">
        <v>45293</v>
      </c>
      <c r="D17" s="10" t="s">
        <v>100</v>
      </c>
      <c r="E17" s="10">
        <v>50000</v>
      </c>
      <c r="F17" s="10">
        <v>0.03</v>
      </c>
      <c r="G17" s="9">
        <v>45366</v>
      </c>
      <c r="H17" s="12">
        <f t="shared" si="0"/>
        <v>1500</v>
      </c>
      <c r="I17" s="10" t="s">
        <v>10</v>
      </c>
      <c r="J17" s="13">
        <v>45303</v>
      </c>
    </row>
    <row r="18" customFormat="1" spans="2:10">
      <c r="B18" s="86">
        <v>232401570</v>
      </c>
      <c r="C18" s="9">
        <v>45293</v>
      </c>
      <c r="D18" s="10" t="s">
        <v>100</v>
      </c>
      <c r="E18" s="10">
        <v>50000</v>
      </c>
      <c r="F18" s="10">
        <v>0.03</v>
      </c>
      <c r="G18" s="9">
        <v>45397</v>
      </c>
      <c r="H18" s="12">
        <f t="shared" si="0"/>
        <v>1500</v>
      </c>
      <c r="I18" s="10" t="s">
        <v>10</v>
      </c>
      <c r="J18" s="13">
        <v>45303</v>
      </c>
    </row>
    <row r="19" customFormat="1" spans="2:10">
      <c r="B19" s="86">
        <v>232401571</v>
      </c>
      <c r="C19" s="9">
        <v>45293</v>
      </c>
      <c r="D19" s="10" t="s">
        <v>33</v>
      </c>
      <c r="E19" s="10">
        <v>60000</v>
      </c>
      <c r="F19" s="10">
        <v>0.02</v>
      </c>
      <c r="G19" s="9">
        <v>45371</v>
      </c>
      <c r="H19" s="12">
        <f t="shared" si="0"/>
        <v>1200</v>
      </c>
      <c r="I19" s="10" t="s">
        <v>10</v>
      </c>
      <c r="J19" s="13">
        <v>45303</v>
      </c>
    </row>
    <row r="20" customFormat="1" spans="2:10">
      <c r="B20" s="86">
        <v>232401571</v>
      </c>
      <c r="C20" s="9">
        <v>45293</v>
      </c>
      <c r="D20" s="10" t="s">
        <v>33</v>
      </c>
      <c r="E20" s="10">
        <v>60000</v>
      </c>
      <c r="F20" s="10">
        <v>0.02</v>
      </c>
      <c r="G20" s="9">
        <v>45402</v>
      </c>
      <c r="H20" s="12">
        <f t="shared" si="0"/>
        <v>1200</v>
      </c>
      <c r="I20" s="10" t="s">
        <v>10</v>
      </c>
      <c r="J20" s="13">
        <v>45303</v>
      </c>
    </row>
    <row r="21" customFormat="1" spans="2:10">
      <c r="B21" s="86">
        <v>232401571</v>
      </c>
      <c r="C21" s="9">
        <v>45293</v>
      </c>
      <c r="D21" s="10" t="s">
        <v>282</v>
      </c>
      <c r="E21" s="10">
        <v>120000</v>
      </c>
      <c r="F21" s="10">
        <v>0.032</v>
      </c>
      <c r="G21" s="9">
        <v>45342</v>
      </c>
      <c r="H21" s="12">
        <f t="shared" si="0"/>
        <v>3840</v>
      </c>
      <c r="I21" s="10" t="s">
        <v>10</v>
      </c>
      <c r="J21" s="13">
        <v>45303</v>
      </c>
    </row>
    <row r="22" customFormat="1" spans="2:10">
      <c r="B22" s="86">
        <v>232401571</v>
      </c>
      <c r="C22" s="9">
        <v>45293</v>
      </c>
      <c r="D22" s="10" t="s">
        <v>282</v>
      </c>
      <c r="E22" s="10">
        <v>120000</v>
      </c>
      <c r="F22" s="10">
        <v>0.032</v>
      </c>
      <c r="G22" s="9">
        <v>45371</v>
      </c>
      <c r="H22" s="12">
        <f t="shared" si="0"/>
        <v>3840</v>
      </c>
      <c r="I22" s="10" t="s">
        <v>10</v>
      </c>
      <c r="J22" s="13">
        <v>45303</v>
      </c>
    </row>
    <row r="23" customFormat="1" spans="2:10">
      <c r="B23" s="86">
        <v>232401571</v>
      </c>
      <c r="C23" s="9">
        <v>45293</v>
      </c>
      <c r="D23" s="10" t="s">
        <v>282</v>
      </c>
      <c r="E23" s="10">
        <v>120000</v>
      </c>
      <c r="F23" s="10">
        <v>0.032</v>
      </c>
      <c r="G23" s="9">
        <v>45402</v>
      </c>
      <c r="H23" s="12">
        <f t="shared" si="0"/>
        <v>3840</v>
      </c>
      <c r="I23" s="10" t="s">
        <v>10</v>
      </c>
      <c r="J23" s="13">
        <v>45303</v>
      </c>
    </row>
    <row r="24" customFormat="1" spans="2:10">
      <c r="B24" s="86">
        <v>232401571</v>
      </c>
      <c r="C24" s="9">
        <v>45293</v>
      </c>
      <c r="D24" s="10" t="s">
        <v>78</v>
      </c>
      <c r="E24" s="10">
        <v>90000</v>
      </c>
      <c r="F24" s="10">
        <v>0.02</v>
      </c>
      <c r="G24" s="9">
        <v>45316</v>
      </c>
      <c r="H24" s="12">
        <f t="shared" si="0"/>
        <v>1800</v>
      </c>
      <c r="I24" s="10" t="s">
        <v>10</v>
      </c>
      <c r="J24" s="13">
        <v>45303</v>
      </c>
    </row>
    <row r="25" customFormat="1" spans="2:10">
      <c r="B25" s="86">
        <v>232401571</v>
      </c>
      <c r="C25" s="9">
        <v>45293</v>
      </c>
      <c r="D25" s="10" t="s">
        <v>78</v>
      </c>
      <c r="E25" s="10">
        <v>90000</v>
      </c>
      <c r="F25" s="10">
        <v>0.02</v>
      </c>
      <c r="G25" s="9">
        <v>45342</v>
      </c>
      <c r="H25" s="12">
        <f t="shared" si="0"/>
        <v>1800</v>
      </c>
      <c r="I25" s="10" t="s">
        <v>10</v>
      </c>
      <c r="J25" s="13">
        <v>45303</v>
      </c>
    </row>
    <row r="26" customFormat="1" spans="2:10">
      <c r="B26" s="86">
        <v>232401571</v>
      </c>
      <c r="C26" s="9">
        <v>45293</v>
      </c>
      <c r="D26" s="10" t="s">
        <v>78</v>
      </c>
      <c r="E26" s="10">
        <v>90000</v>
      </c>
      <c r="F26" s="10">
        <v>0.02</v>
      </c>
      <c r="G26" s="9">
        <v>45371</v>
      </c>
      <c r="H26" s="12">
        <f t="shared" si="0"/>
        <v>1800</v>
      </c>
      <c r="I26" s="10" t="s">
        <v>10</v>
      </c>
      <c r="J26" s="13">
        <v>45303</v>
      </c>
    </row>
    <row r="27" customFormat="1" spans="2:10">
      <c r="B27" s="86">
        <v>232401571</v>
      </c>
      <c r="C27" s="9">
        <v>45293</v>
      </c>
      <c r="D27" s="87" t="s">
        <v>204</v>
      </c>
      <c r="E27" s="10">
        <v>60000</v>
      </c>
      <c r="F27" s="10">
        <v>0.036</v>
      </c>
      <c r="G27" s="9">
        <v>45371</v>
      </c>
      <c r="H27" s="12">
        <f t="shared" si="0"/>
        <v>2160</v>
      </c>
      <c r="I27" s="10" t="s">
        <v>10</v>
      </c>
      <c r="J27" s="13">
        <v>45303</v>
      </c>
    </row>
    <row r="28" customFormat="1" spans="2:10">
      <c r="B28" s="86">
        <v>232401571</v>
      </c>
      <c r="C28" s="9">
        <v>45293</v>
      </c>
      <c r="D28" s="87" t="s">
        <v>204</v>
      </c>
      <c r="E28" s="10">
        <v>60000</v>
      </c>
      <c r="F28" s="10">
        <v>0.036</v>
      </c>
      <c r="G28" s="9">
        <v>45402</v>
      </c>
      <c r="H28" s="12">
        <f t="shared" si="0"/>
        <v>2160</v>
      </c>
      <c r="I28" s="10" t="s">
        <v>10</v>
      </c>
      <c r="J28" s="13">
        <v>45303</v>
      </c>
    </row>
    <row r="29" customFormat="1" spans="2:10">
      <c r="B29" s="86">
        <v>232401571</v>
      </c>
      <c r="C29" s="9">
        <v>45293</v>
      </c>
      <c r="D29" s="87" t="s">
        <v>202</v>
      </c>
      <c r="E29" s="10">
        <v>70000</v>
      </c>
      <c r="F29" s="10">
        <v>0.04</v>
      </c>
      <c r="G29" s="9">
        <v>45371</v>
      </c>
      <c r="H29" s="12">
        <f t="shared" si="0"/>
        <v>2800</v>
      </c>
      <c r="I29" s="10" t="s">
        <v>10</v>
      </c>
      <c r="J29" s="13">
        <v>45303</v>
      </c>
    </row>
    <row r="30" customFormat="1" spans="2:10">
      <c r="B30" s="86">
        <v>232401571</v>
      </c>
      <c r="C30" s="9">
        <v>45293</v>
      </c>
      <c r="D30" s="87" t="s">
        <v>202</v>
      </c>
      <c r="E30" s="10">
        <v>70000</v>
      </c>
      <c r="F30" s="10">
        <v>0.04</v>
      </c>
      <c r="G30" s="9">
        <v>45402</v>
      </c>
      <c r="H30" s="12">
        <f t="shared" si="0"/>
        <v>2800</v>
      </c>
      <c r="I30" s="10" t="s">
        <v>10</v>
      </c>
      <c r="J30" s="13">
        <v>45303</v>
      </c>
    </row>
    <row r="31" customFormat="1" spans="2:10">
      <c r="B31" s="86">
        <v>232401572</v>
      </c>
      <c r="C31" s="9">
        <v>45293</v>
      </c>
      <c r="D31" s="10" t="s">
        <v>33</v>
      </c>
      <c r="E31" s="10">
        <v>120000</v>
      </c>
      <c r="F31" s="10">
        <v>0.02</v>
      </c>
      <c r="G31" s="9">
        <v>45371</v>
      </c>
      <c r="H31" s="12">
        <f t="shared" si="0"/>
        <v>2400</v>
      </c>
      <c r="I31" s="10" t="s">
        <v>10</v>
      </c>
      <c r="J31" s="13">
        <v>45303</v>
      </c>
    </row>
    <row r="32" customFormat="1" spans="2:10">
      <c r="B32" s="86">
        <v>232401572</v>
      </c>
      <c r="C32" s="9">
        <v>45293</v>
      </c>
      <c r="D32" s="10" t="s">
        <v>33</v>
      </c>
      <c r="E32" s="10">
        <v>120000</v>
      </c>
      <c r="F32" s="10">
        <v>0.02</v>
      </c>
      <c r="G32" s="9">
        <v>45402</v>
      </c>
      <c r="H32" s="12">
        <f t="shared" si="0"/>
        <v>2400</v>
      </c>
      <c r="I32" s="10" t="s">
        <v>10</v>
      </c>
      <c r="J32" s="13">
        <v>45303</v>
      </c>
    </row>
    <row r="33" customFormat="1" spans="2:10">
      <c r="B33" s="86">
        <v>232401572</v>
      </c>
      <c r="C33" s="9">
        <v>45293</v>
      </c>
      <c r="D33" s="10" t="s">
        <v>58</v>
      </c>
      <c r="E33" s="10">
        <v>290000</v>
      </c>
      <c r="F33" s="10">
        <v>0.019</v>
      </c>
      <c r="G33" s="9">
        <v>45402</v>
      </c>
      <c r="H33" s="12">
        <f t="shared" si="0"/>
        <v>5510</v>
      </c>
      <c r="I33" s="10" t="s">
        <v>10</v>
      </c>
      <c r="J33" s="13">
        <v>45303</v>
      </c>
    </row>
    <row r="34" customFormat="1" spans="2:10">
      <c r="B34" s="86">
        <v>232401572</v>
      </c>
      <c r="C34" s="9">
        <v>45293</v>
      </c>
      <c r="D34" s="10" t="s">
        <v>282</v>
      </c>
      <c r="E34" s="10">
        <v>120000</v>
      </c>
      <c r="F34" s="10">
        <v>0.032</v>
      </c>
      <c r="G34" s="9">
        <v>45342</v>
      </c>
      <c r="H34" s="12">
        <f t="shared" si="0"/>
        <v>3840</v>
      </c>
      <c r="I34" s="10" t="s">
        <v>10</v>
      </c>
      <c r="J34" s="13">
        <v>45303</v>
      </c>
    </row>
    <row r="35" customFormat="1" spans="2:10">
      <c r="B35" s="86">
        <v>232401572</v>
      </c>
      <c r="C35" s="9">
        <v>45293</v>
      </c>
      <c r="D35" s="10" t="s">
        <v>282</v>
      </c>
      <c r="E35" s="10">
        <v>120000</v>
      </c>
      <c r="F35" s="10">
        <v>0.032</v>
      </c>
      <c r="G35" s="9">
        <v>45371</v>
      </c>
      <c r="H35" s="12">
        <f t="shared" si="0"/>
        <v>3840</v>
      </c>
      <c r="I35" s="10" t="s">
        <v>10</v>
      </c>
      <c r="J35" s="13">
        <v>45303</v>
      </c>
    </row>
    <row r="36" customFormat="1" spans="2:10">
      <c r="B36" s="86">
        <v>232401572</v>
      </c>
      <c r="C36" s="9">
        <v>45293</v>
      </c>
      <c r="D36" s="10" t="s">
        <v>282</v>
      </c>
      <c r="E36" s="10">
        <v>120000</v>
      </c>
      <c r="F36" s="10">
        <v>0.032</v>
      </c>
      <c r="G36" s="9">
        <v>45402</v>
      </c>
      <c r="H36" s="12">
        <f t="shared" si="0"/>
        <v>3840</v>
      </c>
      <c r="I36" s="10" t="s">
        <v>10</v>
      </c>
      <c r="J36" s="13">
        <v>45303</v>
      </c>
    </row>
    <row r="37" customFormat="1" spans="2:10">
      <c r="B37" s="86">
        <v>232401572</v>
      </c>
      <c r="C37" s="9">
        <v>45293</v>
      </c>
      <c r="D37" s="87" t="s">
        <v>204</v>
      </c>
      <c r="E37" s="10">
        <v>200000</v>
      </c>
      <c r="F37" s="10">
        <v>0.036</v>
      </c>
      <c r="G37" s="9">
        <v>45371</v>
      </c>
      <c r="H37" s="12">
        <f t="shared" si="0"/>
        <v>7200</v>
      </c>
      <c r="I37" s="10" t="s">
        <v>10</v>
      </c>
      <c r="J37" s="13">
        <v>45303</v>
      </c>
    </row>
    <row r="38" customFormat="1" spans="2:10">
      <c r="B38" s="86">
        <v>232401572</v>
      </c>
      <c r="C38" s="9">
        <v>45293</v>
      </c>
      <c r="D38" s="87" t="s">
        <v>204</v>
      </c>
      <c r="E38" s="10">
        <v>200000</v>
      </c>
      <c r="F38" s="10">
        <v>0.036</v>
      </c>
      <c r="G38" s="9">
        <v>45402</v>
      </c>
      <c r="H38" s="12">
        <f t="shared" si="0"/>
        <v>7200</v>
      </c>
      <c r="I38" s="10" t="s">
        <v>10</v>
      </c>
      <c r="J38" s="13">
        <v>45303</v>
      </c>
    </row>
    <row r="39" customFormat="1" spans="2:10">
      <c r="B39" s="86">
        <v>232401572</v>
      </c>
      <c r="C39" s="9">
        <v>45293</v>
      </c>
      <c r="D39" s="87" t="s">
        <v>203</v>
      </c>
      <c r="E39" s="10">
        <v>200000</v>
      </c>
      <c r="F39" s="10">
        <v>0.027</v>
      </c>
      <c r="G39" s="9">
        <v>45371</v>
      </c>
      <c r="H39" s="12">
        <f t="shared" si="0"/>
        <v>5400</v>
      </c>
      <c r="I39" s="10" t="s">
        <v>10</v>
      </c>
      <c r="J39" s="13">
        <v>45303</v>
      </c>
    </row>
    <row r="40" customFormat="1" spans="2:10">
      <c r="B40" s="86">
        <v>232401572</v>
      </c>
      <c r="C40" s="9">
        <v>45293</v>
      </c>
      <c r="D40" s="87" t="s">
        <v>203</v>
      </c>
      <c r="E40" s="10">
        <v>200000</v>
      </c>
      <c r="F40" s="10">
        <v>0.027</v>
      </c>
      <c r="G40" s="9">
        <v>45402</v>
      </c>
      <c r="H40" s="12">
        <f t="shared" si="0"/>
        <v>5400</v>
      </c>
      <c r="I40" s="10" t="s">
        <v>10</v>
      </c>
      <c r="J40" s="13">
        <v>45303</v>
      </c>
    </row>
    <row r="41" customFormat="1" spans="2:10">
      <c r="B41" s="86">
        <v>232401572</v>
      </c>
      <c r="C41" s="9">
        <v>45293</v>
      </c>
      <c r="D41" s="10" t="s">
        <v>100</v>
      </c>
      <c r="E41" s="10">
        <v>60000</v>
      </c>
      <c r="F41" s="10">
        <v>0.03</v>
      </c>
      <c r="G41" s="9">
        <v>45337</v>
      </c>
      <c r="H41" s="12">
        <f t="shared" si="0"/>
        <v>1800</v>
      </c>
      <c r="I41" s="10" t="s">
        <v>10</v>
      </c>
      <c r="J41" s="13">
        <v>45303</v>
      </c>
    </row>
    <row r="42" customFormat="1" spans="2:10">
      <c r="B42" s="86">
        <v>232401572</v>
      </c>
      <c r="C42" s="9">
        <v>45293</v>
      </c>
      <c r="D42" s="10" t="s">
        <v>100</v>
      </c>
      <c r="E42" s="10">
        <v>60000</v>
      </c>
      <c r="F42" s="10">
        <v>0.03</v>
      </c>
      <c r="G42" s="9">
        <v>45366</v>
      </c>
      <c r="H42" s="12">
        <f t="shared" si="0"/>
        <v>1800</v>
      </c>
      <c r="I42" s="10" t="s">
        <v>10</v>
      </c>
      <c r="J42" s="13">
        <v>45303</v>
      </c>
    </row>
    <row r="43" customFormat="1" spans="2:10">
      <c r="B43" s="86">
        <v>232401572</v>
      </c>
      <c r="C43" s="9">
        <v>45293</v>
      </c>
      <c r="D43" s="10" t="s">
        <v>100</v>
      </c>
      <c r="E43" s="10">
        <v>60000</v>
      </c>
      <c r="F43" s="10">
        <v>0.03</v>
      </c>
      <c r="G43" s="9">
        <v>45397</v>
      </c>
      <c r="H43" s="12">
        <f t="shared" si="0"/>
        <v>1800</v>
      </c>
      <c r="I43" s="10" t="s">
        <v>10</v>
      </c>
      <c r="J43" s="13">
        <v>45303</v>
      </c>
    </row>
    <row r="44" customFormat="1" spans="2:10">
      <c r="B44" s="86">
        <v>232401572</v>
      </c>
      <c r="C44" s="9">
        <v>45293</v>
      </c>
      <c r="D44" s="87" t="s">
        <v>202</v>
      </c>
      <c r="E44" s="10">
        <v>90000</v>
      </c>
      <c r="F44" s="10">
        <v>0.04</v>
      </c>
      <c r="G44" s="9">
        <v>45371</v>
      </c>
      <c r="H44" s="12">
        <f t="shared" si="0"/>
        <v>3600</v>
      </c>
      <c r="I44" s="10" t="s">
        <v>10</v>
      </c>
      <c r="J44" s="13">
        <v>45303</v>
      </c>
    </row>
    <row r="45" customFormat="1" spans="2:10">
      <c r="B45" s="86">
        <v>232401572</v>
      </c>
      <c r="C45" s="9">
        <v>45293</v>
      </c>
      <c r="D45" s="87" t="s">
        <v>202</v>
      </c>
      <c r="E45" s="10">
        <v>90000</v>
      </c>
      <c r="F45" s="10">
        <v>0.04</v>
      </c>
      <c r="G45" s="9">
        <v>45402</v>
      </c>
      <c r="H45" s="12">
        <f t="shared" si="0"/>
        <v>3600</v>
      </c>
      <c r="I45" s="10" t="s">
        <v>10</v>
      </c>
      <c r="J45" s="13">
        <v>45303</v>
      </c>
    </row>
    <row r="46" customFormat="1" spans="2:10">
      <c r="B46" s="86">
        <v>232401573</v>
      </c>
      <c r="C46" s="9">
        <v>45293</v>
      </c>
      <c r="D46" s="10" t="s">
        <v>58</v>
      </c>
      <c r="E46" s="10">
        <v>20000</v>
      </c>
      <c r="F46" s="10">
        <v>0.019</v>
      </c>
      <c r="G46" s="9">
        <v>45402</v>
      </c>
      <c r="H46" s="12">
        <f t="shared" si="0"/>
        <v>380</v>
      </c>
      <c r="I46" s="10" t="s">
        <v>10</v>
      </c>
      <c r="J46" s="13">
        <v>45303</v>
      </c>
    </row>
    <row r="47" customFormat="1" spans="2:10">
      <c r="B47" s="86">
        <v>232401573</v>
      </c>
      <c r="C47" s="9">
        <v>45293</v>
      </c>
      <c r="D47" s="87" t="s">
        <v>204</v>
      </c>
      <c r="E47" s="10">
        <v>150000</v>
      </c>
      <c r="F47" s="10">
        <v>0.036</v>
      </c>
      <c r="G47" s="9">
        <v>45371</v>
      </c>
      <c r="H47" s="12">
        <f t="shared" si="0"/>
        <v>5400</v>
      </c>
      <c r="I47" s="10" t="s">
        <v>10</v>
      </c>
      <c r="J47" s="13">
        <v>45303</v>
      </c>
    </row>
    <row r="48" customFormat="1" spans="2:10">
      <c r="B48" s="86">
        <v>232401573</v>
      </c>
      <c r="C48" s="9">
        <v>45293</v>
      </c>
      <c r="D48" s="87" t="s">
        <v>204</v>
      </c>
      <c r="E48" s="10">
        <v>150000</v>
      </c>
      <c r="F48" s="10">
        <v>0.036</v>
      </c>
      <c r="G48" s="9">
        <v>45402</v>
      </c>
      <c r="H48" s="12">
        <f t="shared" si="0"/>
        <v>5400</v>
      </c>
      <c r="I48" s="10" t="s">
        <v>10</v>
      </c>
      <c r="J48" s="13">
        <v>45303</v>
      </c>
    </row>
    <row r="49" customFormat="1" spans="2:10">
      <c r="B49" s="86">
        <v>232401573</v>
      </c>
      <c r="C49" s="9">
        <v>45293</v>
      </c>
      <c r="D49" s="10" t="s">
        <v>100</v>
      </c>
      <c r="E49" s="10">
        <v>20000</v>
      </c>
      <c r="F49" s="10">
        <v>0.03</v>
      </c>
      <c r="G49" s="9">
        <v>45337</v>
      </c>
      <c r="H49" s="12">
        <f t="shared" si="0"/>
        <v>600</v>
      </c>
      <c r="I49" s="10" t="s">
        <v>10</v>
      </c>
      <c r="J49" s="13">
        <v>45303</v>
      </c>
    </row>
    <row r="50" customFormat="1" spans="2:10">
      <c r="B50" s="86">
        <v>232401573</v>
      </c>
      <c r="C50" s="9">
        <v>45293</v>
      </c>
      <c r="D50" s="10" t="s">
        <v>100</v>
      </c>
      <c r="E50" s="10">
        <v>20000</v>
      </c>
      <c r="F50" s="10">
        <v>0.03</v>
      </c>
      <c r="G50" s="9">
        <v>45366</v>
      </c>
      <c r="H50" s="12">
        <f t="shared" si="0"/>
        <v>600</v>
      </c>
      <c r="I50" s="10" t="s">
        <v>10</v>
      </c>
      <c r="J50" s="13">
        <v>45303</v>
      </c>
    </row>
    <row r="51" customFormat="1" spans="2:10">
      <c r="B51" s="86">
        <v>232401573</v>
      </c>
      <c r="C51" s="9">
        <v>45293</v>
      </c>
      <c r="D51" s="10" t="s">
        <v>100</v>
      </c>
      <c r="E51" s="10">
        <v>20000</v>
      </c>
      <c r="F51" s="10">
        <v>0.03</v>
      </c>
      <c r="G51" s="9">
        <v>45397</v>
      </c>
      <c r="H51" s="12">
        <f t="shared" si="0"/>
        <v>600</v>
      </c>
      <c r="I51" s="10" t="s">
        <v>10</v>
      </c>
      <c r="J51" s="13">
        <v>45303</v>
      </c>
    </row>
    <row r="52" customFormat="1" spans="2:10">
      <c r="B52" s="86">
        <v>232401574</v>
      </c>
      <c r="C52" s="9">
        <v>45293</v>
      </c>
      <c r="D52" s="10" t="s">
        <v>119</v>
      </c>
      <c r="E52" s="10">
        <v>70000</v>
      </c>
      <c r="F52" s="10">
        <v>0.07</v>
      </c>
      <c r="G52" s="9">
        <v>45342</v>
      </c>
      <c r="H52" s="12">
        <f t="shared" si="0"/>
        <v>4900</v>
      </c>
      <c r="I52" s="10" t="s">
        <v>10</v>
      </c>
      <c r="J52" s="13">
        <v>45321</v>
      </c>
    </row>
    <row r="53" customFormat="1" spans="2:10">
      <c r="B53" s="86">
        <v>232401574</v>
      </c>
      <c r="C53" s="9">
        <v>45293</v>
      </c>
      <c r="D53" s="10" t="s">
        <v>119</v>
      </c>
      <c r="E53" s="10">
        <v>70000</v>
      </c>
      <c r="F53" s="10">
        <v>0.07</v>
      </c>
      <c r="G53" s="9">
        <v>45371</v>
      </c>
      <c r="H53" s="12">
        <f t="shared" si="0"/>
        <v>4900</v>
      </c>
      <c r="I53" s="10" t="s">
        <v>10</v>
      </c>
      <c r="J53" s="13">
        <v>45321</v>
      </c>
    </row>
    <row r="54" customFormat="1" spans="2:10">
      <c r="B54" s="86">
        <v>232401574</v>
      </c>
      <c r="C54" s="9">
        <v>45293</v>
      </c>
      <c r="D54" s="10" t="s">
        <v>119</v>
      </c>
      <c r="E54" s="10">
        <v>70000</v>
      </c>
      <c r="F54" s="10">
        <v>0.07</v>
      </c>
      <c r="G54" s="9">
        <v>45402</v>
      </c>
      <c r="H54" s="12">
        <f t="shared" si="0"/>
        <v>4900</v>
      </c>
      <c r="I54" s="10" t="s">
        <v>10</v>
      </c>
      <c r="J54" s="13">
        <v>45321</v>
      </c>
    </row>
    <row r="55" customFormat="1" spans="2:10">
      <c r="B55" s="86">
        <v>232401574</v>
      </c>
      <c r="C55" s="9">
        <v>45293</v>
      </c>
      <c r="D55" s="10" t="s">
        <v>119</v>
      </c>
      <c r="E55" s="10">
        <v>70000</v>
      </c>
      <c r="F55" s="10">
        <v>0.07</v>
      </c>
      <c r="G55" s="9">
        <v>45432</v>
      </c>
      <c r="H55" s="12">
        <f t="shared" si="0"/>
        <v>4900</v>
      </c>
      <c r="I55" s="10" t="s">
        <v>10</v>
      </c>
      <c r="J55" s="13">
        <v>45321</v>
      </c>
    </row>
    <row r="56" customFormat="1" spans="2:10">
      <c r="B56" s="86">
        <v>232401574</v>
      </c>
      <c r="C56" s="9">
        <v>45293</v>
      </c>
      <c r="D56" s="10" t="s">
        <v>12</v>
      </c>
      <c r="E56" s="10">
        <v>30000</v>
      </c>
      <c r="F56" s="10">
        <v>0.06</v>
      </c>
      <c r="G56" s="9">
        <v>45342</v>
      </c>
      <c r="H56" s="12">
        <f t="shared" si="0"/>
        <v>1800</v>
      </c>
      <c r="I56" s="10" t="s">
        <v>10</v>
      </c>
      <c r="J56" s="13">
        <v>45321</v>
      </c>
    </row>
    <row r="57" customFormat="1" spans="2:10">
      <c r="B57" s="86">
        <v>232401574</v>
      </c>
      <c r="C57" s="9">
        <v>45293</v>
      </c>
      <c r="D57" s="10" t="s">
        <v>12</v>
      </c>
      <c r="E57" s="10">
        <v>30000</v>
      </c>
      <c r="F57" s="10">
        <v>0.06</v>
      </c>
      <c r="G57" s="9">
        <v>45371</v>
      </c>
      <c r="H57" s="12">
        <f t="shared" si="0"/>
        <v>1800</v>
      </c>
      <c r="I57" s="10" t="s">
        <v>10</v>
      </c>
      <c r="J57" s="13">
        <v>45321</v>
      </c>
    </row>
    <row r="58" customFormat="1" spans="2:10">
      <c r="B58" s="86">
        <v>232401574</v>
      </c>
      <c r="C58" s="9">
        <v>45293</v>
      </c>
      <c r="D58" s="10" t="s">
        <v>12</v>
      </c>
      <c r="E58" s="10">
        <v>30000</v>
      </c>
      <c r="F58" s="10">
        <v>0.06</v>
      </c>
      <c r="G58" s="9">
        <v>45402</v>
      </c>
      <c r="H58" s="12">
        <f t="shared" si="0"/>
        <v>1800</v>
      </c>
      <c r="I58" s="10" t="s">
        <v>10</v>
      </c>
      <c r="J58" s="13">
        <v>45321</v>
      </c>
    </row>
    <row r="59" customFormat="1" spans="2:10">
      <c r="B59" s="86">
        <v>232401574</v>
      </c>
      <c r="C59" s="9">
        <v>45293</v>
      </c>
      <c r="D59" s="87" t="s">
        <v>215</v>
      </c>
      <c r="E59" s="10">
        <v>800000</v>
      </c>
      <c r="F59" s="10">
        <v>0.028</v>
      </c>
      <c r="G59" s="9">
        <v>45361</v>
      </c>
      <c r="H59" s="12">
        <f t="shared" si="0"/>
        <v>22400</v>
      </c>
      <c r="I59" s="10" t="s">
        <v>10</v>
      </c>
      <c r="J59" s="13">
        <v>45321</v>
      </c>
    </row>
    <row r="60" customFormat="1" spans="2:10">
      <c r="B60" s="86">
        <v>232401574</v>
      </c>
      <c r="C60" s="9">
        <v>45293</v>
      </c>
      <c r="D60" s="87" t="s">
        <v>215</v>
      </c>
      <c r="E60" s="10">
        <v>800000</v>
      </c>
      <c r="F60" s="10">
        <v>0.028</v>
      </c>
      <c r="G60" s="9">
        <v>45392</v>
      </c>
      <c r="H60" s="12">
        <f t="shared" si="0"/>
        <v>22400</v>
      </c>
      <c r="I60" s="10" t="s">
        <v>10</v>
      </c>
      <c r="J60" s="13">
        <v>45321</v>
      </c>
    </row>
    <row r="61" customFormat="1" spans="2:10">
      <c r="B61" s="86">
        <v>232401574</v>
      </c>
      <c r="C61" s="9">
        <v>45293</v>
      </c>
      <c r="D61" s="87" t="s">
        <v>215</v>
      </c>
      <c r="E61" s="10">
        <v>800000</v>
      </c>
      <c r="F61" s="10">
        <v>0.028</v>
      </c>
      <c r="G61" s="9">
        <v>45422</v>
      </c>
      <c r="H61" s="12">
        <f t="shared" si="0"/>
        <v>22400</v>
      </c>
      <c r="I61" s="10" t="s">
        <v>10</v>
      </c>
      <c r="J61" s="13">
        <v>45337</v>
      </c>
    </row>
    <row r="62" customFormat="1" spans="2:10">
      <c r="B62" s="86">
        <v>232401574</v>
      </c>
      <c r="C62" s="9">
        <v>45293</v>
      </c>
      <c r="D62" s="10" t="s">
        <v>100</v>
      </c>
      <c r="E62" s="10">
        <v>300000</v>
      </c>
      <c r="F62" s="10">
        <v>0.03</v>
      </c>
      <c r="G62" s="9">
        <v>45337</v>
      </c>
      <c r="H62" s="12">
        <f t="shared" si="0"/>
        <v>9000</v>
      </c>
      <c r="I62" s="10" t="s">
        <v>10</v>
      </c>
      <c r="J62" s="13">
        <v>45321</v>
      </c>
    </row>
    <row r="63" customFormat="1" spans="2:10">
      <c r="B63" s="86">
        <v>232401574</v>
      </c>
      <c r="C63" s="9">
        <v>45293</v>
      </c>
      <c r="D63" s="10" t="s">
        <v>100</v>
      </c>
      <c r="E63" s="10">
        <v>300000</v>
      </c>
      <c r="F63" s="10">
        <v>0.03</v>
      </c>
      <c r="G63" s="9">
        <v>45366</v>
      </c>
      <c r="H63" s="12">
        <f t="shared" si="0"/>
        <v>9000</v>
      </c>
      <c r="I63" s="10" t="s">
        <v>10</v>
      </c>
      <c r="J63" s="13">
        <v>45321</v>
      </c>
    </row>
    <row r="64" customFormat="1" spans="2:10">
      <c r="B64" s="86">
        <v>232401574</v>
      </c>
      <c r="C64" s="9">
        <v>45293</v>
      </c>
      <c r="D64" s="10" t="s">
        <v>100</v>
      </c>
      <c r="E64" s="10">
        <v>300000</v>
      </c>
      <c r="F64" s="10">
        <v>0.03</v>
      </c>
      <c r="G64" s="9">
        <v>45397</v>
      </c>
      <c r="H64" s="12">
        <f t="shared" si="0"/>
        <v>9000</v>
      </c>
      <c r="I64" s="10" t="s">
        <v>10</v>
      </c>
      <c r="J64" s="13">
        <v>45321</v>
      </c>
    </row>
    <row r="65" customFormat="1" spans="1:10">
      <c r="B65" s="86">
        <v>232401574</v>
      </c>
      <c r="C65" s="9">
        <v>45293</v>
      </c>
      <c r="D65" s="87" t="s">
        <v>202</v>
      </c>
      <c r="E65" s="10">
        <v>600000</v>
      </c>
      <c r="F65" s="10">
        <v>0.04</v>
      </c>
      <c r="G65" s="9">
        <v>45371</v>
      </c>
      <c r="H65" s="12">
        <f t="shared" si="0"/>
        <v>24000</v>
      </c>
      <c r="I65" s="10" t="s">
        <v>10</v>
      </c>
      <c r="J65" s="13">
        <v>45321</v>
      </c>
    </row>
    <row r="66" customFormat="1" spans="1:10">
      <c r="B66" s="86">
        <v>232401574</v>
      </c>
      <c r="C66" s="9">
        <v>45293</v>
      </c>
      <c r="D66" s="87" t="s">
        <v>202</v>
      </c>
      <c r="E66" s="10">
        <v>800000</v>
      </c>
      <c r="F66" s="10">
        <v>0.04</v>
      </c>
      <c r="G66" s="9">
        <v>45402</v>
      </c>
      <c r="H66" s="12">
        <f t="shared" ref="H66:H129" si="1">E66*F66</f>
        <v>32000</v>
      </c>
      <c r="I66" s="10" t="s">
        <v>10</v>
      </c>
      <c r="J66" s="13">
        <v>45321</v>
      </c>
    </row>
    <row r="67" customFormat="1" spans="1:10">
      <c r="B67" s="86">
        <v>232401606</v>
      </c>
      <c r="C67" s="9">
        <v>45295</v>
      </c>
      <c r="D67" s="87" t="s">
        <v>215</v>
      </c>
      <c r="E67" s="10">
        <v>50000</v>
      </c>
      <c r="F67" s="10">
        <v>0.028</v>
      </c>
      <c r="G67" s="9">
        <v>45311</v>
      </c>
      <c r="H67" s="12">
        <f t="shared" si="1"/>
        <v>1400</v>
      </c>
      <c r="I67" s="10" t="s">
        <v>10</v>
      </c>
      <c r="J67" s="13">
        <v>45303</v>
      </c>
    </row>
    <row r="68" customFormat="1" spans="1:10">
      <c r="B68" s="86">
        <v>232401606</v>
      </c>
      <c r="C68" s="9">
        <v>45295</v>
      </c>
      <c r="D68" s="87" t="s">
        <v>215</v>
      </c>
      <c r="E68" s="10">
        <v>50000</v>
      </c>
      <c r="F68" s="10">
        <v>0.028</v>
      </c>
      <c r="G68" s="9">
        <v>45342</v>
      </c>
      <c r="H68" s="12">
        <f t="shared" si="1"/>
        <v>1400</v>
      </c>
      <c r="I68" s="10" t="s">
        <v>10</v>
      </c>
      <c r="J68" s="13">
        <v>45303</v>
      </c>
    </row>
    <row r="69" customFormat="1" spans="1:10">
      <c r="B69" s="86">
        <v>232401607</v>
      </c>
      <c r="C69" s="9">
        <v>45295</v>
      </c>
      <c r="D69" s="87" t="s">
        <v>210</v>
      </c>
      <c r="E69" s="10">
        <v>52000</v>
      </c>
      <c r="F69" s="10">
        <v>0.028</v>
      </c>
      <c r="G69" s="9">
        <v>45311</v>
      </c>
      <c r="H69" s="12">
        <f t="shared" si="1"/>
        <v>1456</v>
      </c>
      <c r="I69" s="10" t="s">
        <v>10</v>
      </c>
      <c r="J69" s="13">
        <v>45303</v>
      </c>
    </row>
    <row r="70" customFormat="1" spans="1:10">
      <c r="B70" s="86">
        <v>232401607</v>
      </c>
      <c r="C70" s="9">
        <v>45295</v>
      </c>
      <c r="D70" s="87" t="s">
        <v>210</v>
      </c>
      <c r="E70" s="10">
        <v>52000</v>
      </c>
      <c r="F70" s="10">
        <v>0.028</v>
      </c>
      <c r="G70" s="9">
        <v>45342</v>
      </c>
      <c r="H70" s="12">
        <f t="shared" si="1"/>
        <v>1456</v>
      </c>
      <c r="I70" s="10" t="s">
        <v>10</v>
      </c>
      <c r="J70" s="13">
        <v>45303</v>
      </c>
    </row>
    <row r="71" customFormat="1" spans="1:10">
      <c r="B71" s="86">
        <v>232401607</v>
      </c>
      <c r="C71" s="9">
        <v>45295</v>
      </c>
      <c r="D71" s="87" t="s">
        <v>210</v>
      </c>
      <c r="E71" s="10">
        <v>52000</v>
      </c>
      <c r="F71" s="10">
        <v>0.028</v>
      </c>
      <c r="G71" s="9">
        <v>45371</v>
      </c>
      <c r="H71" s="12">
        <f t="shared" si="1"/>
        <v>1456</v>
      </c>
      <c r="I71" s="10" t="s">
        <v>10</v>
      </c>
      <c r="J71" s="13">
        <v>45303</v>
      </c>
    </row>
    <row r="72" customFormat="1" spans="1:10">
      <c r="B72" s="86">
        <v>232401607</v>
      </c>
      <c r="C72" s="9">
        <v>45295</v>
      </c>
      <c r="D72" s="87" t="s">
        <v>210</v>
      </c>
      <c r="E72" s="10">
        <v>48000</v>
      </c>
      <c r="F72" s="10">
        <v>0.028</v>
      </c>
      <c r="G72" s="9">
        <v>45361</v>
      </c>
      <c r="H72" s="12">
        <f t="shared" si="1"/>
        <v>1344</v>
      </c>
      <c r="I72" s="10" t="s">
        <v>10</v>
      </c>
      <c r="J72" s="13">
        <v>45303</v>
      </c>
    </row>
    <row r="73" customFormat="1" spans="1:10">
      <c r="B73" s="86">
        <v>232401607</v>
      </c>
      <c r="C73" s="9">
        <v>45295</v>
      </c>
      <c r="D73" s="87" t="s">
        <v>210</v>
      </c>
      <c r="E73" s="10">
        <v>48000</v>
      </c>
      <c r="F73" s="10">
        <v>0.028</v>
      </c>
      <c r="G73" s="9">
        <v>45392</v>
      </c>
      <c r="H73" s="12">
        <f t="shared" si="1"/>
        <v>1344</v>
      </c>
      <c r="I73" s="10" t="s">
        <v>10</v>
      </c>
      <c r="J73" s="13">
        <v>45303</v>
      </c>
    </row>
    <row r="74" customFormat="1" spans="1:10">
      <c r="B74" s="86">
        <v>232401608</v>
      </c>
      <c r="C74" s="9">
        <v>45295</v>
      </c>
      <c r="D74" s="87" t="s">
        <v>222</v>
      </c>
      <c r="E74" s="10">
        <v>20000</v>
      </c>
      <c r="F74" s="10">
        <v>0.285</v>
      </c>
      <c r="G74" s="9">
        <v>45361</v>
      </c>
      <c r="H74" s="12">
        <f t="shared" si="1"/>
        <v>5700</v>
      </c>
      <c r="I74" s="10" t="s">
        <v>10</v>
      </c>
      <c r="J74" s="13">
        <v>45303</v>
      </c>
    </row>
    <row r="75" customFormat="1" spans="1:10">
      <c r="A75" t="s">
        <v>319</v>
      </c>
      <c r="B75" s="86">
        <v>232401609</v>
      </c>
      <c r="C75" s="9">
        <v>45295</v>
      </c>
      <c r="D75" s="87" t="s">
        <v>298</v>
      </c>
      <c r="E75" s="10">
        <v>300000</v>
      </c>
      <c r="F75" s="10">
        <v>0.15</v>
      </c>
      <c r="G75" s="9">
        <v>45392</v>
      </c>
      <c r="H75" s="12">
        <f t="shared" si="1"/>
        <v>45000</v>
      </c>
      <c r="I75" s="10" t="s">
        <v>10</v>
      </c>
      <c r="J75" s="13">
        <v>45390</v>
      </c>
    </row>
    <row r="76" customFormat="1" spans="1:10">
      <c r="A76" t="s">
        <v>319</v>
      </c>
      <c r="B76" s="86">
        <v>232401609</v>
      </c>
      <c r="C76" s="9">
        <v>45295</v>
      </c>
      <c r="D76" s="87" t="s">
        <v>298</v>
      </c>
      <c r="E76" s="10">
        <v>300000</v>
      </c>
      <c r="F76" s="10">
        <v>0.15</v>
      </c>
      <c r="G76" s="9">
        <v>45402</v>
      </c>
      <c r="H76" s="12">
        <f t="shared" si="1"/>
        <v>45000</v>
      </c>
      <c r="I76" s="10" t="s">
        <v>10</v>
      </c>
      <c r="J76" s="13">
        <v>45390</v>
      </c>
    </row>
    <row r="77" customFormat="1" spans="1:10">
      <c r="B77" s="86">
        <v>232401609</v>
      </c>
      <c r="C77" s="9">
        <v>45295</v>
      </c>
      <c r="D77" s="10" t="s">
        <v>226</v>
      </c>
      <c r="E77" s="10">
        <v>300000</v>
      </c>
      <c r="F77" s="10">
        <v>0.08</v>
      </c>
      <c r="G77" s="9">
        <v>45361</v>
      </c>
      <c r="H77" s="12">
        <f t="shared" si="1"/>
        <v>24000</v>
      </c>
      <c r="I77" s="10" t="s">
        <v>10</v>
      </c>
      <c r="J77" s="13">
        <v>45337</v>
      </c>
    </row>
    <row r="78" customFormat="1" spans="1:10">
      <c r="B78" s="86">
        <v>232401609</v>
      </c>
      <c r="C78" s="9">
        <v>45295</v>
      </c>
      <c r="D78" s="10" t="s">
        <v>226</v>
      </c>
      <c r="E78" s="10">
        <v>300000</v>
      </c>
      <c r="F78" s="10">
        <v>0.08</v>
      </c>
      <c r="G78" s="9">
        <v>45392</v>
      </c>
      <c r="H78" s="12">
        <f t="shared" si="1"/>
        <v>24000</v>
      </c>
      <c r="I78" s="10" t="s">
        <v>10</v>
      </c>
      <c r="J78" s="13">
        <v>45337</v>
      </c>
    </row>
    <row r="79" customFormat="1" spans="1:10">
      <c r="B79" s="86">
        <v>232401610</v>
      </c>
      <c r="C79" s="9">
        <v>45295</v>
      </c>
      <c r="D79" s="87" t="s">
        <v>227</v>
      </c>
      <c r="E79" s="10">
        <v>8000</v>
      </c>
      <c r="F79" s="10">
        <v>0.5</v>
      </c>
      <c r="G79" s="9">
        <v>45316</v>
      </c>
      <c r="H79" s="12">
        <f t="shared" si="1"/>
        <v>4000</v>
      </c>
      <c r="I79" s="10" t="s">
        <v>10</v>
      </c>
      <c r="J79" s="13">
        <v>45303</v>
      </c>
    </row>
    <row r="80" customFormat="1" spans="1:10">
      <c r="B80" s="86">
        <v>232401610</v>
      </c>
      <c r="C80" s="9">
        <v>45295</v>
      </c>
      <c r="D80" s="87" t="s">
        <v>223</v>
      </c>
      <c r="E80" s="88">
        <v>50000</v>
      </c>
      <c r="F80" s="10">
        <v>0.08</v>
      </c>
      <c r="G80" s="9">
        <v>45427</v>
      </c>
      <c r="H80" s="12">
        <f t="shared" si="1"/>
        <v>4000</v>
      </c>
      <c r="I80" s="10" t="s">
        <v>10</v>
      </c>
      <c r="J80" s="13">
        <v>45303</v>
      </c>
    </row>
    <row r="81" customFormat="1" spans="2:10">
      <c r="B81" s="86">
        <v>232401610</v>
      </c>
      <c r="C81" s="9">
        <v>45295</v>
      </c>
      <c r="D81" s="87" t="s">
        <v>223</v>
      </c>
      <c r="E81" s="10">
        <v>50000</v>
      </c>
      <c r="F81" s="10">
        <v>0.08</v>
      </c>
      <c r="G81" s="9">
        <v>45458</v>
      </c>
      <c r="H81" s="12">
        <f t="shared" si="1"/>
        <v>4000</v>
      </c>
      <c r="I81" s="10" t="s">
        <v>10</v>
      </c>
      <c r="J81" s="13">
        <v>45303</v>
      </c>
    </row>
    <row r="82" customFormat="1" spans="2:10">
      <c r="B82" s="86">
        <v>232401633</v>
      </c>
      <c r="C82" s="9">
        <v>45296</v>
      </c>
      <c r="D82" s="87" t="s">
        <v>210</v>
      </c>
      <c r="E82" s="10">
        <v>32000</v>
      </c>
      <c r="F82" s="10">
        <v>0.028</v>
      </c>
      <c r="G82" s="9">
        <v>45371</v>
      </c>
      <c r="H82" s="12">
        <f t="shared" si="1"/>
        <v>896</v>
      </c>
      <c r="I82" s="10" t="s">
        <v>10</v>
      </c>
      <c r="J82" s="13">
        <v>45317</v>
      </c>
    </row>
    <row r="83" customFormat="1" spans="2:10">
      <c r="B83" s="86">
        <v>232401634</v>
      </c>
      <c r="C83" s="89">
        <v>45296</v>
      </c>
      <c r="D83" s="10" t="s">
        <v>163</v>
      </c>
      <c r="E83" s="10">
        <v>496000</v>
      </c>
      <c r="F83" s="10">
        <v>0.0025</v>
      </c>
      <c r="G83" s="9">
        <v>45432</v>
      </c>
      <c r="H83" s="12">
        <f t="shared" si="1"/>
        <v>1240</v>
      </c>
      <c r="I83" s="10" t="s">
        <v>10</v>
      </c>
      <c r="J83" s="13">
        <v>45337</v>
      </c>
    </row>
    <row r="84" customFormat="1" spans="2:10">
      <c r="B84" s="86">
        <v>232401635</v>
      </c>
      <c r="C84" s="9">
        <v>45296</v>
      </c>
      <c r="D84" s="10" t="s">
        <v>33</v>
      </c>
      <c r="E84" s="10">
        <v>300000</v>
      </c>
      <c r="F84" s="10">
        <v>0.02</v>
      </c>
      <c r="G84" s="9">
        <v>45342</v>
      </c>
      <c r="H84" s="12">
        <f t="shared" si="1"/>
        <v>6000</v>
      </c>
      <c r="I84" s="10" t="s">
        <v>10</v>
      </c>
      <c r="J84" s="13">
        <v>45317</v>
      </c>
    </row>
    <row r="85" customFormat="1" spans="2:10">
      <c r="B85" s="86">
        <v>232401635</v>
      </c>
      <c r="C85" s="9">
        <v>45296</v>
      </c>
      <c r="D85" s="10" t="s">
        <v>58</v>
      </c>
      <c r="E85" s="10">
        <v>200000</v>
      </c>
      <c r="F85" s="10">
        <v>0.019</v>
      </c>
      <c r="G85" s="9">
        <v>45342</v>
      </c>
      <c r="H85" s="12">
        <f t="shared" si="1"/>
        <v>3800</v>
      </c>
      <c r="I85" s="10" t="s">
        <v>10</v>
      </c>
      <c r="J85" s="13">
        <v>45317</v>
      </c>
    </row>
    <row r="86" customFormat="1" spans="2:10">
      <c r="B86" s="86">
        <v>232401635</v>
      </c>
      <c r="C86" s="9">
        <v>45296</v>
      </c>
      <c r="D86" s="10" t="s">
        <v>58</v>
      </c>
      <c r="E86" s="10">
        <v>350000</v>
      </c>
      <c r="F86" s="10">
        <v>0.019</v>
      </c>
      <c r="G86" s="9">
        <v>45371</v>
      </c>
      <c r="H86" s="12">
        <f t="shared" si="1"/>
        <v>6650</v>
      </c>
      <c r="I86" s="10" t="s">
        <v>10</v>
      </c>
      <c r="J86" s="13">
        <v>45317</v>
      </c>
    </row>
    <row r="87" customFormat="1" spans="2:10">
      <c r="B87" s="86">
        <v>232401635</v>
      </c>
      <c r="C87" s="9">
        <v>45296</v>
      </c>
      <c r="D87" s="87" t="s">
        <v>204</v>
      </c>
      <c r="E87" s="10">
        <v>300000</v>
      </c>
      <c r="F87" s="10">
        <v>0.036</v>
      </c>
      <c r="G87" s="9">
        <v>45432</v>
      </c>
      <c r="H87" s="12">
        <f t="shared" si="1"/>
        <v>10800</v>
      </c>
      <c r="I87" s="10" t="s">
        <v>10</v>
      </c>
      <c r="J87" s="13">
        <v>45317</v>
      </c>
    </row>
    <row r="88" customFormat="1" spans="2:10">
      <c r="B88" s="86">
        <v>232401635</v>
      </c>
      <c r="C88" s="9">
        <v>45296</v>
      </c>
      <c r="D88" s="87" t="s">
        <v>203</v>
      </c>
      <c r="E88" s="10">
        <v>900000</v>
      </c>
      <c r="F88" s="10">
        <v>0.027</v>
      </c>
      <c r="G88" s="9">
        <v>45432</v>
      </c>
      <c r="H88" s="12">
        <f t="shared" si="1"/>
        <v>24300</v>
      </c>
      <c r="I88" s="10" t="s">
        <v>10</v>
      </c>
      <c r="J88" s="13">
        <v>45317</v>
      </c>
    </row>
    <row r="89" customFormat="1" spans="2:10">
      <c r="B89" s="86">
        <v>232401635</v>
      </c>
      <c r="C89" s="9">
        <v>45296</v>
      </c>
      <c r="D89" s="87" t="s">
        <v>202</v>
      </c>
      <c r="E89" s="10">
        <v>200000</v>
      </c>
      <c r="F89" s="10">
        <v>0.04</v>
      </c>
      <c r="G89" s="9">
        <v>45371</v>
      </c>
      <c r="H89" s="12">
        <f t="shared" si="1"/>
        <v>8000</v>
      </c>
      <c r="I89" s="10" t="s">
        <v>10</v>
      </c>
      <c r="J89" s="13">
        <v>45317</v>
      </c>
    </row>
    <row r="90" customFormat="1" spans="2:10">
      <c r="B90" s="86">
        <v>232401635</v>
      </c>
      <c r="C90" s="9">
        <v>45296</v>
      </c>
      <c r="D90" s="87" t="s">
        <v>202</v>
      </c>
      <c r="E90" s="10">
        <v>200000</v>
      </c>
      <c r="F90" s="10">
        <v>0.04</v>
      </c>
      <c r="G90" s="9">
        <v>45402</v>
      </c>
      <c r="H90" s="12">
        <f t="shared" si="1"/>
        <v>8000</v>
      </c>
      <c r="I90" s="10" t="s">
        <v>10</v>
      </c>
      <c r="J90" s="13">
        <v>45317</v>
      </c>
    </row>
    <row r="91" customFormat="1" spans="2:10">
      <c r="B91" s="86">
        <v>232401636</v>
      </c>
      <c r="C91" s="9">
        <v>45296</v>
      </c>
      <c r="D91" s="10" t="s">
        <v>33</v>
      </c>
      <c r="E91" s="10">
        <v>50000</v>
      </c>
      <c r="F91" s="10">
        <v>0.02</v>
      </c>
      <c r="G91" s="9">
        <v>45342</v>
      </c>
      <c r="H91" s="12">
        <f t="shared" si="1"/>
        <v>1000</v>
      </c>
      <c r="I91" s="10" t="s">
        <v>10</v>
      </c>
      <c r="J91" s="13">
        <v>45317</v>
      </c>
    </row>
    <row r="92" customFormat="1" spans="2:10">
      <c r="B92" s="86">
        <v>232401637</v>
      </c>
      <c r="C92" s="9">
        <v>45296</v>
      </c>
      <c r="D92" s="10" t="s">
        <v>33</v>
      </c>
      <c r="E92" s="10">
        <v>100000</v>
      </c>
      <c r="F92" s="10">
        <v>0.02</v>
      </c>
      <c r="G92" s="9">
        <v>45342</v>
      </c>
      <c r="H92" s="12">
        <f t="shared" si="1"/>
        <v>2000</v>
      </c>
      <c r="I92" s="10" t="s">
        <v>10</v>
      </c>
      <c r="J92" s="13">
        <v>45317</v>
      </c>
    </row>
    <row r="93" customFormat="1" spans="2:10">
      <c r="B93" s="86">
        <v>232401637</v>
      </c>
      <c r="C93" s="9">
        <v>45296</v>
      </c>
      <c r="D93" s="87" t="s">
        <v>207</v>
      </c>
      <c r="E93" s="10">
        <v>50000</v>
      </c>
      <c r="F93" s="10">
        <v>0.03</v>
      </c>
      <c r="G93" s="9">
        <v>45342</v>
      </c>
      <c r="H93" s="12">
        <f t="shared" si="1"/>
        <v>1500</v>
      </c>
      <c r="I93" s="10" t="s">
        <v>10</v>
      </c>
      <c r="J93" s="13">
        <v>45317</v>
      </c>
    </row>
    <row r="94" customFormat="1" spans="2:10">
      <c r="B94" s="86">
        <v>232401637</v>
      </c>
      <c r="C94" s="9">
        <v>45296</v>
      </c>
      <c r="D94" s="87" t="s">
        <v>181</v>
      </c>
      <c r="E94" s="10">
        <v>50000</v>
      </c>
      <c r="F94" s="10">
        <v>0.03</v>
      </c>
      <c r="G94" s="9">
        <v>45371</v>
      </c>
      <c r="H94" s="12">
        <f t="shared" si="1"/>
        <v>1500</v>
      </c>
      <c r="I94" s="10" t="s">
        <v>10</v>
      </c>
      <c r="J94" s="13">
        <v>45317</v>
      </c>
    </row>
    <row r="95" customFormat="1" spans="2:10">
      <c r="B95" s="86">
        <v>232401637</v>
      </c>
      <c r="C95" s="9">
        <v>45296</v>
      </c>
      <c r="D95" s="87" t="s">
        <v>204</v>
      </c>
      <c r="E95" s="10">
        <v>100000</v>
      </c>
      <c r="F95" s="10">
        <v>0.036</v>
      </c>
      <c r="G95" s="9">
        <v>45432</v>
      </c>
      <c r="H95" s="12">
        <f t="shared" si="1"/>
        <v>3600</v>
      </c>
      <c r="I95" s="10" t="s">
        <v>10</v>
      </c>
      <c r="J95" s="13">
        <v>45317</v>
      </c>
    </row>
    <row r="96" customFormat="1" spans="2:10">
      <c r="B96" s="86">
        <v>232401638</v>
      </c>
      <c r="C96" s="9">
        <v>45296</v>
      </c>
      <c r="D96" s="87" t="s">
        <v>255</v>
      </c>
      <c r="E96" s="10">
        <v>270000</v>
      </c>
      <c r="F96" s="10">
        <v>0.0238</v>
      </c>
      <c r="G96" s="9">
        <v>45432</v>
      </c>
      <c r="H96" s="12">
        <f t="shared" si="1"/>
        <v>6426</v>
      </c>
      <c r="I96" s="10" t="s">
        <v>10</v>
      </c>
      <c r="J96" s="13">
        <v>45337</v>
      </c>
    </row>
    <row r="97" customFormat="1" spans="1:10">
      <c r="B97" s="86">
        <v>232401639</v>
      </c>
      <c r="C97" s="9">
        <v>45296</v>
      </c>
      <c r="D97" s="87" t="s">
        <v>204</v>
      </c>
      <c r="E97" s="10">
        <v>100000</v>
      </c>
      <c r="F97" s="10">
        <v>0.036</v>
      </c>
      <c r="G97" s="9">
        <v>45432</v>
      </c>
      <c r="H97" s="12">
        <f t="shared" si="1"/>
        <v>3600</v>
      </c>
      <c r="I97" s="10" t="s">
        <v>10</v>
      </c>
      <c r="J97" s="13">
        <v>45317</v>
      </c>
    </row>
    <row r="98" customFormat="1" spans="1:10">
      <c r="B98" s="86">
        <v>232401639</v>
      </c>
      <c r="C98" s="9">
        <v>45296</v>
      </c>
      <c r="D98" s="87" t="s">
        <v>202</v>
      </c>
      <c r="E98" s="10">
        <v>80000</v>
      </c>
      <c r="F98" s="10">
        <v>0.04</v>
      </c>
      <c r="G98" s="9">
        <v>45402</v>
      </c>
      <c r="H98" s="12">
        <f t="shared" si="1"/>
        <v>3200</v>
      </c>
      <c r="I98" s="10" t="s">
        <v>10</v>
      </c>
      <c r="J98" s="13">
        <v>45317</v>
      </c>
    </row>
    <row r="99" customFormat="1" spans="1:10">
      <c r="B99" s="86">
        <v>232401640</v>
      </c>
      <c r="C99" s="9">
        <v>45296</v>
      </c>
      <c r="D99" s="87" t="s">
        <v>206</v>
      </c>
      <c r="E99" s="10">
        <v>200000</v>
      </c>
      <c r="F99" s="10">
        <v>0.065</v>
      </c>
      <c r="G99" s="9">
        <v>45402</v>
      </c>
      <c r="H99" s="12">
        <f t="shared" si="1"/>
        <v>13000</v>
      </c>
      <c r="I99" s="10" t="s">
        <v>10</v>
      </c>
      <c r="J99" s="13">
        <v>45337</v>
      </c>
    </row>
    <row r="100" customFormat="1" spans="1:10">
      <c r="B100" s="86">
        <v>232401640</v>
      </c>
      <c r="C100" s="9">
        <v>45296</v>
      </c>
      <c r="D100" s="87" t="s">
        <v>206</v>
      </c>
      <c r="E100" s="10">
        <v>200000</v>
      </c>
      <c r="F100" s="10">
        <v>0.065</v>
      </c>
      <c r="G100" s="9">
        <v>45432</v>
      </c>
      <c r="H100" s="12">
        <f t="shared" si="1"/>
        <v>13000</v>
      </c>
      <c r="I100" s="10" t="s">
        <v>10</v>
      </c>
      <c r="J100" s="13">
        <v>45337</v>
      </c>
    </row>
    <row r="101" customFormat="1" spans="1:10">
      <c r="B101" s="86">
        <v>232401641</v>
      </c>
      <c r="C101" s="9">
        <v>45296</v>
      </c>
      <c r="D101" s="87" t="s">
        <v>271</v>
      </c>
      <c r="E101" s="10">
        <v>52000</v>
      </c>
      <c r="F101" s="10">
        <v>0.024</v>
      </c>
      <c r="G101" s="9">
        <v>45342</v>
      </c>
      <c r="H101" s="12">
        <f t="shared" si="1"/>
        <v>1248</v>
      </c>
      <c r="I101" s="10" t="s">
        <v>10</v>
      </c>
      <c r="J101" s="13">
        <v>45317</v>
      </c>
    </row>
    <row r="102" customFormat="1" spans="1:10">
      <c r="B102" s="86">
        <v>232401641</v>
      </c>
      <c r="C102" s="9">
        <v>45296</v>
      </c>
      <c r="D102" s="87" t="s">
        <v>271</v>
      </c>
      <c r="E102" s="10">
        <v>52000</v>
      </c>
      <c r="F102" s="10">
        <v>0.024</v>
      </c>
      <c r="G102" s="9">
        <v>45371</v>
      </c>
      <c r="H102" s="12">
        <f t="shared" si="1"/>
        <v>1248</v>
      </c>
      <c r="I102" s="10" t="s">
        <v>10</v>
      </c>
      <c r="J102" s="13">
        <v>45317</v>
      </c>
    </row>
    <row r="103" customFormat="1" spans="1:10">
      <c r="B103" s="86">
        <v>232401641</v>
      </c>
      <c r="C103" s="9">
        <v>45296</v>
      </c>
      <c r="D103" s="87" t="s">
        <v>271</v>
      </c>
      <c r="E103" s="10">
        <v>48000</v>
      </c>
      <c r="F103" s="10">
        <v>0.024</v>
      </c>
      <c r="G103" s="9">
        <v>45402</v>
      </c>
      <c r="H103" s="12">
        <f t="shared" si="1"/>
        <v>1152</v>
      </c>
      <c r="I103" s="10" t="s">
        <v>10</v>
      </c>
      <c r="J103" s="13">
        <v>45317</v>
      </c>
    </row>
    <row r="104" customFormat="1" spans="1:10">
      <c r="B104" s="86">
        <v>232401642</v>
      </c>
      <c r="C104" s="9">
        <v>45296</v>
      </c>
      <c r="D104" s="87" t="s">
        <v>210</v>
      </c>
      <c r="E104" s="10">
        <v>120000</v>
      </c>
      <c r="F104" s="10">
        <v>0.028</v>
      </c>
      <c r="G104" s="9">
        <v>45371</v>
      </c>
      <c r="H104" s="12">
        <f t="shared" si="1"/>
        <v>3360</v>
      </c>
      <c r="I104" s="10" t="s">
        <v>10</v>
      </c>
      <c r="J104" s="13">
        <v>45317</v>
      </c>
    </row>
    <row r="105" customFormat="1" spans="1:10">
      <c r="B105" s="86">
        <v>232401642</v>
      </c>
      <c r="C105" s="9">
        <v>45296</v>
      </c>
      <c r="D105" s="87" t="s">
        <v>211</v>
      </c>
      <c r="E105" s="10">
        <v>208000</v>
      </c>
      <c r="F105" s="10">
        <v>0.022</v>
      </c>
      <c r="G105" s="9">
        <v>45402</v>
      </c>
      <c r="H105" s="12">
        <f t="shared" si="1"/>
        <v>4576</v>
      </c>
      <c r="I105" s="10" t="s">
        <v>10</v>
      </c>
      <c r="J105" s="13">
        <v>45317</v>
      </c>
    </row>
    <row r="106" customFormat="1" spans="1:10">
      <c r="A106" t="s">
        <v>319</v>
      </c>
      <c r="B106" s="86">
        <v>232401643</v>
      </c>
      <c r="C106" s="9">
        <v>45296</v>
      </c>
      <c r="D106" s="87" t="s">
        <v>298</v>
      </c>
      <c r="E106" s="10">
        <v>300000</v>
      </c>
      <c r="F106" s="10">
        <v>0.15</v>
      </c>
      <c r="G106" s="9">
        <v>45402</v>
      </c>
      <c r="H106" s="12">
        <f t="shared" si="1"/>
        <v>45000</v>
      </c>
      <c r="I106" s="10" t="s">
        <v>10</v>
      </c>
      <c r="J106" s="13">
        <v>45390</v>
      </c>
    </row>
    <row r="107" customFormat="1" spans="1:10">
      <c r="A107" t="s">
        <v>319</v>
      </c>
      <c r="B107" s="86">
        <v>232401643</v>
      </c>
      <c r="C107" s="9">
        <v>45296</v>
      </c>
      <c r="D107" s="87" t="s">
        <v>298</v>
      </c>
      <c r="E107" s="10">
        <v>300000</v>
      </c>
      <c r="F107" s="10">
        <v>0.15</v>
      </c>
      <c r="G107" s="9">
        <v>45432</v>
      </c>
      <c r="H107" s="12">
        <f t="shared" si="1"/>
        <v>45000</v>
      </c>
      <c r="I107" s="10" t="s">
        <v>10</v>
      </c>
      <c r="J107" s="13">
        <v>45390</v>
      </c>
    </row>
    <row r="108" customFormat="1" spans="1:10">
      <c r="B108" s="86">
        <v>232401643</v>
      </c>
      <c r="C108" s="9">
        <v>45296</v>
      </c>
      <c r="D108" s="87" t="s">
        <v>222</v>
      </c>
      <c r="E108" s="10">
        <v>30000</v>
      </c>
      <c r="F108" s="10">
        <v>0.285</v>
      </c>
      <c r="G108" s="9">
        <v>45371</v>
      </c>
      <c r="H108" s="12">
        <f t="shared" si="1"/>
        <v>8550</v>
      </c>
      <c r="I108" s="10" t="s">
        <v>10</v>
      </c>
      <c r="J108" s="13">
        <v>45322</v>
      </c>
    </row>
    <row r="109" customFormat="1" spans="1:10">
      <c r="B109" s="86">
        <v>232401643</v>
      </c>
      <c r="C109" s="9">
        <v>45296</v>
      </c>
      <c r="D109" s="87" t="s">
        <v>200</v>
      </c>
      <c r="E109" s="10">
        <v>100000</v>
      </c>
      <c r="F109" s="10">
        <v>0.05</v>
      </c>
      <c r="G109" s="9">
        <v>45342</v>
      </c>
      <c r="H109" s="12">
        <f t="shared" si="1"/>
        <v>5000</v>
      </c>
      <c r="I109" s="10" t="s">
        <v>10</v>
      </c>
      <c r="J109" s="13">
        <v>45317</v>
      </c>
    </row>
    <row r="110" customFormat="1" spans="1:10">
      <c r="B110" s="86">
        <v>232401643</v>
      </c>
      <c r="C110" s="9">
        <v>45296</v>
      </c>
      <c r="D110" s="87" t="s">
        <v>200</v>
      </c>
      <c r="E110" s="10">
        <v>100000</v>
      </c>
      <c r="F110" s="10">
        <v>0.05</v>
      </c>
      <c r="G110" s="9">
        <v>45371</v>
      </c>
      <c r="H110" s="12">
        <f t="shared" si="1"/>
        <v>5000</v>
      </c>
      <c r="I110" s="10" t="s">
        <v>10</v>
      </c>
      <c r="J110" s="13">
        <v>45322</v>
      </c>
    </row>
    <row r="111" customFormat="1" spans="1:10">
      <c r="B111" s="86">
        <v>232401643</v>
      </c>
      <c r="C111" s="9">
        <v>45296</v>
      </c>
      <c r="D111" s="87" t="s">
        <v>254</v>
      </c>
      <c r="E111" s="10">
        <v>1400000</v>
      </c>
      <c r="F111" s="10">
        <v>0.027</v>
      </c>
      <c r="G111" s="9">
        <v>45463</v>
      </c>
      <c r="H111" s="12">
        <f t="shared" si="1"/>
        <v>37800</v>
      </c>
      <c r="I111" s="10" t="s">
        <v>10</v>
      </c>
      <c r="J111" s="13">
        <v>45338</v>
      </c>
    </row>
    <row r="112" customFormat="1" spans="1:10">
      <c r="B112" s="86">
        <v>232401643</v>
      </c>
      <c r="C112" s="9">
        <v>45296</v>
      </c>
      <c r="D112" s="87" t="s">
        <v>210</v>
      </c>
      <c r="E112" s="10">
        <v>300000</v>
      </c>
      <c r="F112" s="10">
        <v>0.028</v>
      </c>
      <c r="G112" s="9">
        <v>45432</v>
      </c>
      <c r="H112" s="12">
        <f t="shared" si="1"/>
        <v>8400</v>
      </c>
      <c r="I112" s="10" t="s">
        <v>10</v>
      </c>
      <c r="J112" s="13">
        <v>45338</v>
      </c>
    </row>
    <row r="113" customFormat="1" spans="2:10">
      <c r="B113" s="86">
        <v>232401643</v>
      </c>
      <c r="C113" s="9">
        <v>45296</v>
      </c>
      <c r="D113" s="87" t="s">
        <v>248</v>
      </c>
      <c r="E113" s="10">
        <v>200000</v>
      </c>
      <c r="F113" s="10">
        <v>0.065</v>
      </c>
      <c r="G113" s="9">
        <v>45432</v>
      </c>
      <c r="H113" s="12">
        <f t="shared" si="1"/>
        <v>13000</v>
      </c>
      <c r="I113" s="10" t="s">
        <v>10</v>
      </c>
      <c r="J113" s="13">
        <v>45338</v>
      </c>
    </row>
    <row r="114" customFormat="1" spans="2:10">
      <c r="B114" s="86">
        <v>232401644</v>
      </c>
      <c r="C114" s="9">
        <v>45296</v>
      </c>
      <c r="D114" s="10" t="s">
        <v>34</v>
      </c>
      <c r="E114" s="10">
        <v>100000</v>
      </c>
      <c r="F114" s="10">
        <v>0.051</v>
      </c>
      <c r="G114" s="9">
        <v>45371</v>
      </c>
      <c r="H114" s="12">
        <f t="shared" si="1"/>
        <v>5100</v>
      </c>
      <c r="I114" s="10" t="s">
        <v>10</v>
      </c>
      <c r="J114" s="13">
        <v>45322</v>
      </c>
    </row>
    <row r="115" customFormat="1" spans="2:10">
      <c r="B115" s="86">
        <v>232401644</v>
      </c>
      <c r="C115" s="9">
        <v>45296</v>
      </c>
      <c r="D115" s="10" t="s">
        <v>34</v>
      </c>
      <c r="E115" s="10">
        <v>100000</v>
      </c>
      <c r="F115" s="10">
        <v>0.051</v>
      </c>
      <c r="G115" s="9">
        <v>45402</v>
      </c>
      <c r="H115" s="12">
        <f t="shared" si="1"/>
        <v>5100</v>
      </c>
      <c r="I115" s="10" t="s">
        <v>10</v>
      </c>
      <c r="J115" s="13">
        <v>45322</v>
      </c>
    </row>
    <row r="116" customFormat="1" spans="2:10">
      <c r="B116" s="86">
        <v>232401644</v>
      </c>
      <c r="C116" s="9">
        <v>45296</v>
      </c>
      <c r="D116" s="10" t="s">
        <v>33</v>
      </c>
      <c r="E116" s="10">
        <v>50000</v>
      </c>
      <c r="F116" s="10">
        <v>0.02</v>
      </c>
      <c r="G116" s="9">
        <v>45342</v>
      </c>
      <c r="H116" s="12">
        <f t="shared" si="1"/>
        <v>1000</v>
      </c>
      <c r="I116" s="10" t="s">
        <v>10</v>
      </c>
      <c r="J116" s="13">
        <v>45322</v>
      </c>
    </row>
    <row r="117" customFormat="1" spans="2:10">
      <c r="B117" s="86">
        <v>232401644</v>
      </c>
      <c r="C117" s="9">
        <v>45296</v>
      </c>
      <c r="D117" s="10" t="s">
        <v>58</v>
      </c>
      <c r="E117" s="10">
        <v>100000</v>
      </c>
      <c r="F117" s="10">
        <v>0.019</v>
      </c>
      <c r="G117" s="9">
        <v>45342</v>
      </c>
      <c r="H117" s="12">
        <f t="shared" si="1"/>
        <v>1900</v>
      </c>
      <c r="I117" s="10" t="s">
        <v>10</v>
      </c>
      <c r="J117" s="13">
        <v>45322</v>
      </c>
    </row>
    <row r="118" customFormat="1" spans="2:10">
      <c r="B118" s="86">
        <v>232401644</v>
      </c>
      <c r="C118" s="9">
        <v>45296</v>
      </c>
      <c r="D118" s="10" t="s">
        <v>58</v>
      </c>
      <c r="E118" s="10">
        <v>100000</v>
      </c>
      <c r="F118" s="10">
        <v>0.019</v>
      </c>
      <c r="G118" s="9">
        <v>45371</v>
      </c>
      <c r="H118" s="12">
        <f t="shared" si="1"/>
        <v>1900</v>
      </c>
      <c r="I118" s="10" t="s">
        <v>10</v>
      </c>
      <c r="J118" s="13">
        <v>45322</v>
      </c>
    </row>
    <row r="119" customFormat="1" spans="2:10">
      <c r="B119" s="86">
        <v>232401644</v>
      </c>
      <c r="C119" s="9">
        <v>45296</v>
      </c>
      <c r="D119" s="87" t="s">
        <v>207</v>
      </c>
      <c r="E119" s="10">
        <v>20000</v>
      </c>
      <c r="F119" s="10">
        <v>0.03</v>
      </c>
      <c r="G119" s="9">
        <v>45342</v>
      </c>
      <c r="H119" s="12">
        <f t="shared" si="1"/>
        <v>600</v>
      </c>
      <c r="I119" s="10" t="s">
        <v>10</v>
      </c>
      <c r="J119" s="13">
        <v>45322</v>
      </c>
    </row>
    <row r="120" customFormat="1" spans="2:10">
      <c r="B120" s="86">
        <v>232401644</v>
      </c>
      <c r="C120" s="9">
        <v>45296</v>
      </c>
      <c r="D120" s="87" t="s">
        <v>207</v>
      </c>
      <c r="E120" s="10">
        <v>20000</v>
      </c>
      <c r="F120" s="10">
        <v>0.03</v>
      </c>
      <c r="G120" s="9">
        <v>45371</v>
      </c>
      <c r="H120" s="12">
        <f t="shared" si="1"/>
        <v>600</v>
      </c>
      <c r="I120" s="10" t="s">
        <v>10</v>
      </c>
      <c r="J120" s="13">
        <v>45322</v>
      </c>
    </row>
    <row r="121" customFormat="1" spans="2:10">
      <c r="B121" s="86">
        <v>232401644</v>
      </c>
      <c r="C121" s="9">
        <v>45296</v>
      </c>
      <c r="D121" s="87" t="s">
        <v>204</v>
      </c>
      <c r="E121" s="10">
        <v>100000</v>
      </c>
      <c r="F121" s="10">
        <v>0.036</v>
      </c>
      <c r="G121" s="9">
        <v>45432</v>
      </c>
      <c r="H121" s="12">
        <f t="shared" si="1"/>
        <v>3600</v>
      </c>
      <c r="I121" s="10" t="s">
        <v>10</v>
      </c>
      <c r="J121" s="13">
        <v>45322</v>
      </c>
    </row>
    <row r="122" customFormat="1" spans="2:10">
      <c r="B122" s="86">
        <v>232401644</v>
      </c>
      <c r="C122" s="9">
        <v>45296</v>
      </c>
      <c r="D122" s="87" t="s">
        <v>203</v>
      </c>
      <c r="E122" s="10">
        <v>100000</v>
      </c>
      <c r="F122" s="10">
        <v>0.027</v>
      </c>
      <c r="G122" s="9">
        <v>45432</v>
      </c>
      <c r="H122" s="12">
        <f t="shared" si="1"/>
        <v>2700</v>
      </c>
      <c r="I122" s="10" t="s">
        <v>10</v>
      </c>
      <c r="J122" s="13">
        <v>45322</v>
      </c>
    </row>
    <row r="123" customFormat="1" spans="2:10">
      <c r="B123" s="86">
        <v>232401645</v>
      </c>
      <c r="C123" s="9">
        <v>45296</v>
      </c>
      <c r="D123" s="87" t="s">
        <v>215</v>
      </c>
      <c r="E123" s="10">
        <v>20000</v>
      </c>
      <c r="F123" s="10">
        <v>0.028</v>
      </c>
      <c r="G123" s="9">
        <v>45432</v>
      </c>
      <c r="H123" s="12">
        <f t="shared" si="1"/>
        <v>560</v>
      </c>
      <c r="I123" s="10" t="s">
        <v>10</v>
      </c>
      <c r="J123" s="13">
        <v>45337</v>
      </c>
    </row>
    <row r="124" customFormat="1" spans="2:10">
      <c r="B124" s="86">
        <v>232401646</v>
      </c>
      <c r="C124" s="9">
        <v>45296</v>
      </c>
      <c r="D124" s="87" t="s">
        <v>202</v>
      </c>
      <c r="E124" s="10">
        <v>100000</v>
      </c>
      <c r="F124" s="10">
        <v>0.04</v>
      </c>
      <c r="G124" s="9">
        <v>45402</v>
      </c>
      <c r="H124" s="12">
        <f t="shared" si="1"/>
        <v>4000</v>
      </c>
      <c r="I124" s="10" t="s">
        <v>10</v>
      </c>
      <c r="J124" s="13">
        <v>45317</v>
      </c>
    </row>
    <row r="125" customFormat="1" spans="2:10">
      <c r="B125" s="86">
        <v>232401647</v>
      </c>
      <c r="C125" s="9">
        <v>45296</v>
      </c>
      <c r="D125" s="87" t="s">
        <v>210</v>
      </c>
      <c r="E125" s="10">
        <v>300000</v>
      </c>
      <c r="F125" s="10">
        <v>0.028</v>
      </c>
      <c r="G125" s="9">
        <v>45371</v>
      </c>
      <c r="H125" s="12">
        <f t="shared" si="1"/>
        <v>8400</v>
      </c>
      <c r="I125" s="10" t="s">
        <v>10</v>
      </c>
      <c r="J125" s="13">
        <v>45322</v>
      </c>
    </row>
    <row r="126" customFormat="1" spans="2:10">
      <c r="B126" s="86">
        <v>232401648</v>
      </c>
      <c r="C126" s="9">
        <v>45296</v>
      </c>
      <c r="D126" s="10" t="s">
        <v>58</v>
      </c>
      <c r="E126" s="10">
        <v>30000</v>
      </c>
      <c r="F126" s="10">
        <v>0.019</v>
      </c>
      <c r="G126" s="9">
        <v>45371</v>
      </c>
      <c r="H126" s="12">
        <f t="shared" si="1"/>
        <v>570</v>
      </c>
      <c r="I126" s="10" t="s">
        <v>10</v>
      </c>
      <c r="J126" s="13">
        <v>45322</v>
      </c>
    </row>
    <row r="127" customFormat="1" spans="2:10">
      <c r="B127" s="86">
        <v>232401648</v>
      </c>
      <c r="C127" s="9">
        <v>45296</v>
      </c>
      <c r="D127" s="87" t="s">
        <v>207</v>
      </c>
      <c r="E127" s="10">
        <v>30000</v>
      </c>
      <c r="F127" s="10">
        <v>0.03</v>
      </c>
      <c r="G127" s="9">
        <v>45342</v>
      </c>
      <c r="H127" s="12">
        <f t="shared" si="1"/>
        <v>900</v>
      </c>
      <c r="I127" s="10" t="s">
        <v>10</v>
      </c>
      <c r="J127" s="13">
        <v>45322</v>
      </c>
    </row>
    <row r="128" customFormat="1" spans="2:10">
      <c r="B128" s="86">
        <v>232401648</v>
      </c>
      <c r="C128" s="9">
        <v>45296</v>
      </c>
      <c r="D128" s="87" t="s">
        <v>207</v>
      </c>
      <c r="E128" s="10">
        <v>30000</v>
      </c>
      <c r="F128" s="10">
        <v>0.03</v>
      </c>
      <c r="G128" s="9">
        <v>45371</v>
      </c>
      <c r="H128" s="12">
        <f t="shared" si="1"/>
        <v>900</v>
      </c>
      <c r="I128" s="10" t="s">
        <v>10</v>
      </c>
      <c r="J128" s="13">
        <v>45322</v>
      </c>
    </row>
    <row r="129" customFormat="1" spans="2:10">
      <c r="B129" s="86">
        <v>232401648</v>
      </c>
      <c r="C129" s="9">
        <v>45296</v>
      </c>
      <c r="D129" s="87" t="s">
        <v>204</v>
      </c>
      <c r="E129" s="10">
        <v>200000</v>
      </c>
      <c r="F129" s="10">
        <v>0.036</v>
      </c>
      <c r="G129" s="9">
        <v>45432</v>
      </c>
      <c r="H129" s="12">
        <f t="shared" si="1"/>
        <v>7200</v>
      </c>
      <c r="I129" s="10" t="s">
        <v>10</v>
      </c>
      <c r="J129" s="13">
        <v>45322</v>
      </c>
    </row>
    <row r="130" customFormat="1" spans="2:10">
      <c r="B130" s="86">
        <v>232401648</v>
      </c>
      <c r="C130" s="9">
        <v>45296</v>
      </c>
      <c r="D130" s="87" t="s">
        <v>255</v>
      </c>
      <c r="E130" s="10">
        <v>130000</v>
      </c>
      <c r="F130" s="10">
        <v>0.0238</v>
      </c>
      <c r="G130" s="9">
        <v>45432</v>
      </c>
      <c r="H130" s="12">
        <f t="shared" ref="H130:H193" si="2">E130*F130</f>
        <v>3094</v>
      </c>
      <c r="I130" s="10" t="s">
        <v>10</v>
      </c>
      <c r="J130" s="13">
        <v>45322</v>
      </c>
    </row>
    <row r="131" customFormat="1" spans="2:10">
      <c r="B131" s="86">
        <v>232401649</v>
      </c>
      <c r="C131" s="9">
        <v>45296</v>
      </c>
      <c r="D131" s="87" t="s">
        <v>215</v>
      </c>
      <c r="E131" s="10">
        <v>20000</v>
      </c>
      <c r="F131" s="10">
        <v>0.028</v>
      </c>
      <c r="G131" s="9">
        <v>45432</v>
      </c>
      <c r="H131" s="12">
        <f t="shared" si="2"/>
        <v>560</v>
      </c>
      <c r="I131" s="10" t="s">
        <v>10</v>
      </c>
      <c r="J131" s="13">
        <v>45337</v>
      </c>
    </row>
    <row r="132" customFormat="1" spans="2:10">
      <c r="B132" s="86">
        <v>232401650</v>
      </c>
      <c r="C132" s="9">
        <v>45296</v>
      </c>
      <c r="D132" s="10" t="s">
        <v>182</v>
      </c>
      <c r="E132" s="10">
        <v>100000</v>
      </c>
      <c r="F132" s="10">
        <v>0.025</v>
      </c>
      <c r="G132" s="9">
        <v>45342</v>
      </c>
      <c r="H132" s="12">
        <f t="shared" si="2"/>
        <v>2500</v>
      </c>
      <c r="I132" s="10" t="s">
        <v>10</v>
      </c>
      <c r="J132" s="13">
        <v>45317</v>
      </c>
    </row>
    <row r="133" customFormat="1" spans="2:10">
      <c r="B133" s="86">
        <v>232401650</v>
      </c>
      <c r="C133" s="9">
        <v>45296</v>
      </c>
      <c r="D133" s="10" t="s">
        <v>182</v>
      </c>
      <c r="E133" s="10">
        <v>100000</v>
      </c>
      <c r="F133" s="10">
        <v>0.025</v>
      </c>
      <c r="G133" s="9">
        <v>45371</v>
      </c>
      <c r="H133" s="12">
        <f t="shared" si="2"/>
        <v>2500</v>
      </c>
      <c r="I133" s="10" t="s">
        <v>10</v>
      </c>
      <c r="J133" s="13">
        <v>45317</v>
      </c>
    </row>
    <row r="134" customFormat="1" spans="2:10">
      <c r="B134" s="86">
        <v>232401651</v>
      </c>
      <c r="C134" s="9">
        <v>45296</v>
      </c>
      <c r="D134" s="87" t="s">
        <v>215</v>
      </c>
      <c r="E134" s="10">
        <v>960000</v>
      </c>
      <c r="F134" s="10">
        <v>0.028</v>
      </c>
      <c r="G134" s="9">
        <v>45432</v>
      </c>
      <c r="H134" s="12">
        <f t="shared" si="2"/>
        <v>26880</v>
      </c>
      <c r="I134" s="10" t="s">
        <v>10</v>
      </c>
      <c r="J134" s="13">
        <v>45322</v>
      </c>
    </row>
    <row r="135" customFormat="1" spans="2:10">
      <c r="B135" s="86">
        <v>232401651</v>
      </c>
      <c r="C135" s="9">
        <v>45296</v>
      </c>
      <c r="D135" s="87" t="s">
        <v>202</v>
      </c>
      <c r="E135" s="10">
        <v>600000</v>
      </c>
      <c r="F135" s="10">
        <v>0.04</v>
      </c>
      <c r="G135" s="9">
        <v>45402</v>
      </c>
      <c r="H135" s="12">
        <f t="shared" si="2"/>
        <v>24000</v>
      </c>
      <c r="I135" s="10" t="s">
        <v>10</v>
      </c>
      <c r="J135" s="13">
        <v>45322</v>
      </c>
    </row>
    <row r="136" customFormat="1" spans="2:10">
      <c r="B136" s="86">
        <v>232401652</v>
      </c>
      <c r="C136" s="9">
        <v>45296</v>
      </c>
      <c r="D136" s="87" t="s">
        <v>254</v>
      </c>
      <c r="E136" s="10">
        <v>1000000</v>
      </c>
      <c r="F136" s="10">
        <v>0.027</v>
      </c>
      <c r="G136" s="9">
        <v>45402</v>
      </c>
      <c r="H136" s="12">
        <f t="shared" si="2"/>
        <v>27000</v>
      </c>
      <c r="I136" s="10" t="s">
        <v>10</v>
      </c>
      <c r="J136" s="13">
        <v>45322</v>
      </c>
    </row>
    <row r="137" customFormat="1" spans="2:10">
      <c r="B137" s="86">
        <v>232401652</v>
      </c>
      <c r="C137" s="9">
        <v>45296</v>
      </c>
      <c r="D137" s="87" t="s">
        <v>254</v>
      </c>
      <c r="E137" s="10">
        <v>600000</v>
      </c>
      <c r="F137" s="10">
        <v>0.027</v>
      </c>
      <c r="G137" s="9">
        <v>45463</v>
      </c>
      <c r="H137" s="12">
        <f t="shared" si="2"/>
        <v>16200</v>
      </c>
      <c r="I137" s="10" t="s">
        <v>10</v>
      </c>
      <c r="J137" s="13">
        <v>45338</v>
      </c>
    </row>
    <row r="138" customFormat="1" spans="2:10">
      <c r="B138" s="86">
        <v>232401652</v>
      </c>
      <c r="C138" s="9">
        <v>45296</v>
      </c>
      <c r="D138" s="87" t="s">
        <v>202</v>
      </c>
      <c r="E138" s="10">
        <v>20000</v>
      </c>
      <c r="F138" s="10">
        <v>0.04</v>
      </c>
      <c r="G138" s="9">
        <v>45402</v>
      </c>
      <c r="H138" s="12">
        <f t="shared" si="2"/>
        <v>800</v>
      </c>
      <c r="I138" s="10" t="s">
        <v>10</v>
      </c>
      <c r="J138" s="13">
        <v>45322</v>
      </c>
    </row>
    <row r="139" customFormat="1" spans="2:10">
      <c r="B139" s="86">
        <v>232401668</v>
      </c>
      <c r="C139" s="9">
        <v>45300</v>
      </c>
      <c r="D139" s="10" t="s">
        <v>286</v>
      </c>
      <c r="E139" s="10">
        <v>24000</v>
      </c>
      <c r="F139" s="10">
        <v>0.0235</v>
      </c>
      <c r="G139" s="9">
        <v>45371</v>
      </c>
      <c r="H139" s="12">
        <f t="shared" si="2"/>
        <v>564</v>
      </c>
      <c r="I139" s="10" t="s">
        <v>10</v>
      </c>
      <c r="J139" s="13">
        <v>45317</v>
      </c>
    </row>
    <row r="140" customFormat="1" spans="2:10">
      <c r="B140" s="86">
        <v>232401668</v>
      </c>
      <c r="C140" s="9">
        <v>45300</v>
      </c>
      <c r="D140" s="10" t="s">
        <v>286</v>
      </c>
      <c r="E140" s="10">
        <v>24000</v>
      </c>
      <c r="F140" s="10">
        <v>0.0235</v>
      </c>
      <c r="G140" s="9">
        <v>45402</v>
      </c>
      <c r="H140" s="12">
        <f t="shared" si="2"/>
        <v>564</v>
      </c>
      <c r="I140" s="10" t="s">
        <v>10</v>
      </c>
      <c r="J140" s="13">
        <v>45317</v>
      </c>
    </row>
    <row r="141" customFormat="1" spans="2:10">
      <c r="B141" s="86">
        <v>232401668</v>
      </c>
      <c r="C141" s="9">
        <v>45300</v>
      </c>
      <c r="D141" s="10" t="s">
        <v>288</v>
      </c>
      <c r="E141" s="10">
        <v>24000</v>
      </c>
      <c r="F141" s="10">
        <v>0.022</v>
      </c>
      <c r="G141" s="9">
        <v>45371</v>
      </c>
      <c r="H141" s="12">
        <f t="shared" si="2"/>
        <v>528</v>
      </c>
      <c r="I141" s="10" t="s">
        <v>10</v>
      </c>
      <c r="J141" s="13">
        <v>45317</v>
      </c>
    </row>
    <row r="142" customFormat="1" spans="2:10">
      <c r="B142" s="86">
        <v>232401668</v>
      </c>
      <c r="C142" s="9">
        <v>45300</v>
      </c>
      <c r="D142" s="10" t="s">
        <v>288</v>
      </c>
      <c r="E142" s="10">
        <v>24000</v>
      </c>
      <c r="F142" s="10">
        <v>0.022</v>
      </c>
      <c r="G142" s="9">
        <v>45402</v>
      </c>
      <c r="H142" s="12">
        <f t="shared" si="2"/>
        <v>528</v>
      </c>
      <c r="I142" s="10" t="s">
        <v>10</v>
      </c>
      <c r="J142" s="13">
        <v>45317</v>
      </c>
    </row>
    <row r="143" customFormat="1" spans="2:10">
      <c r="B143" s="86">
        <v>232401668</v>
      </c>
      <c r="C143" s="9">
        <v>45300</v>
      </c>
      <c r="D143" s="10" t="s">
        <v>285</v>
      </c>
      <c r="E143" s="10">
        <v>24000</v>
      </c>
      <c r="F143" s="10">
        <v>0.02</v>
      </c>
      <c r="G143" s="9">
        <v>45371</v>
      </c>
      <c r="H143" s="12">
        <f t="shared" si="2"/>
        <v>480</v>
      </c>
      <c r="I143" s="10" t="s">
        <v>10</v>
      </c>
      <c r="J143" s="13">
        <v>45317</v>
      </c>
    </row>
    <row r="144" customFormat="1" spans="2:10">
      <c r="B144" s="86">
        <v>232401668</v>
      </c>
      <c r="C144" s="9">
        <v>45300</v>
      </c>
      <c r="D144" s="10" t="s">
        <v>285</v>
      </c>
      <c r="E144" s="10">
        <v>24000</v>
      </c>
      <c r="F144" s="10">
        <v>0.02</v>
      </c>
      <c r="G144" s="9">
        <v>45402</v>
      </c>
      <c r="H144" s="12">
        <f t="shared" si="2"/>
        <v>480</v>
      </c>
      <c r="I144" s="10" t="s">
        <v>10</v>
      </c>
      <c r="J144" s="13">
        <v>45317</v>
      </c>
    </row>
    <row r="145" customFormat="1" spans="2:10">
      <c r="B145" s="86">
        <v>232401668</v>
      </c>
      <c r="C145" s="9">
        <v>45300</v>
      </c>
      <c r="D145" s="10" t="s">
        <v>287</v>
      </c>
      <c r="E145" s="10">
        <v>25000</v>
      </c>
      <c r="F145" s="10">
        <v>0.018</v>
      </c>
      <c r="G145" s="9">
        <v>45371</v>
      </c>
      <c r="H145" s="12">
        <f t="shared" si="2"/>
        <v>450</v>
      </c>
      <c r="I145" s="10" t="s">
        <v>10</v>
      </c>
      <c r="J145" s="13">
        <v>45317</v>
      </c>
    </row>
    <row r="146" customFormat="1" spans="2:10">
      <c r="B146" s="86">
        <v>232401668</v>
      </c>
      <c r="C146" s="9">
        <v>45300</v>
      </c>
      <c r="D146" s="10" t="s">
        <v>287</v>
      </c>
      <c r="E146" s="10">
        <v>25000</v>
      </c>
      <c r="F146" s="10">
        <v>0.018</v>
      </c>
      <c r="G146" s="9">
        <v>45402</v>
      </c>
      <c r="H146" s="12">
        <f t="shared" si="2"/>
        <v>450</v>
      </c>
      <c r="I146" s="10" t="s">
        <v>10</v>
      </c>
      <c r="J146" s="13">
        <v>45317</v>
      </c>
    </row>
    <row r="147" customFormat="1" spans="2:10">
      <c r="B147" s="86">
        <v>232401705</v>
      </c>
      <c r="C147" s="9">
        <v>45303</v>
      </c>
      <c r="D147" s="10" t="s">
        <v>26</v>
      </c>
      <c r="E147" s="10">
        <v>40000</v>
      </c>
      <c r="F147" s="10">
        <v>0.014</v>
      </c>
      <c r="G147" s="9">
        <v>45306</v>
      </c>
      <c r="H147" s="12">
        <f t="shared" si="2"/>
        <v>560</v>
      </c>
      <c r="I147" s="10" t="s">
        <v>10</v>
      </c>
      <c r="J147" s="13">
        <v>45317</v>
      </c>
    </row>
    <row r="148" customFormat="1" spans="2:10">
      <c r="B148" s="86">
        <v>232401733</v>
      </c>
      <c r="C148" s="9">
        <v>45307</v>
      </c>
      <c r="D148" s="87" t="s">
        <v>216</v>
      </c>
      <c r="E148" s="10">
        <v>30000</v>
      </c>
      <c r="F148" s="10">
        <v>0.045</v>
      </c>
      <c r="G148" s="9">
        <v>45376</v>
      </c>
      <c r="H148" s="12">
        <f t="shared" si="2"/>
        <v>1350</v>
      </c>
      <c r="I148" s="10" t="s">
        <v>10</v>
      </c>
      <c r="J148" s="13">
        <v>45317</v>
      </c>
    </row>
    <row r="149" customFormat="1" spans="2:10">
      <c r="B149" s="86">
        <v>232401733</v>
      </c>
      <c r="C149" s="9">
        <v>45307</v>
      </c>
      <c r="D149" s="87" t="s">
        <v>206</v>
      </c>
      <c r="E149" s="10">
        <v>200000</v>
      </c>
      <c r="F149" s="10">
        <v>0.065</v>
      </c>
      <c r="G149" s="9">
        <v>45376</v>
      </c>
      <c r="H149" s="12">
        <f t="shared" si="2"/>
        <v>13000</v>
      </c>
      <c r="I149" s="10" t="s">
        <v>10</v>
      </c>
      <c r="J149" s="13">
        <v>45317</v>
      </c>
    </row>
    <row r="150" customFormat="1" spans="2:10">
      <c r="B150" s="86">
        <v>232401733</v>
      </c>
      <c r="C150" s="9">
        <v>45307</v>
      </c>
      <c r="D150" s="87" t="s">
        <v>206</v>
      </c>
      <c r="E150" s="10">
        <v>200000</v>
      </c>
      <c r="F150" s="10">
        <v>0.065</v>
      </c>
      <c r="G150" s="9">
        <v>45437</v>
      </c>
      <c r="H150" s="12">
        <f t="shared" si="2"/>
        <v>13000</v>
      </c>
      <c r="I150" s="10" t="s">
        <v>10</v>
      </c>
      <c r="J150" s="13">
        <v>45317</v>
      </c>
    </row>
    <row r="151" customFormat="1" spans="2:10">
      <c r="B151" s="86">
        <v>232401748</v>
      </c>
      <c r="C151" s="9">
        <v>45308</v>
      </c>
      <c r="D151" s="87" t="s">
        <v>267</v>
      </c>
      <c r="E151" s="10">
        <v>32000</v>
      </c>
      <c r="F151" s="10">
        <v>0.015</v>
      </c>
      <c r="G151" s="9">
        <v>45308</v>
      </c>
      <c r="H151" s="12">
        <f t="shared" si="2"/>
        <v>480</v>
      </c>
      <c r="I151" s="10" t="s">
        <v>10</v>
      </c>
      <c r="J151" s="13">
        <v>45317</v>
      </c>
    </row>
    <row r="152" customFormat="1" spans="2:10">
      <c r="B152" s="86">
        <v>232401749</v>
      </c>
      <c r="C152" s="9">
        <v>45308</v>
      </c>
      <c r="D152" s="87" t="s">
        <v>273</v>
      </c>
      <c r="E152" s="10">
        <v>70000</v>
      </c>
      <c r="F152" s="10">
        <v>0.028</v>
      </c>
      <c r="G152" s="9">
        <v>45402</v>
      </c>
      <c r="H152" s="12">
        <f t="shared" si="2"/>
        <v>1960</v>
      </c>
      <c r="I152" s="10" t="s">
        <v>10</v>
      </c>
      <c r="J152" s="13">
        <v>45317</v>
      </c>
    </row>
    <row r="153" customFormat="1" spans="2:10">
      <c r="B153" s="86">
        <v>232401749</v>
      </c>
      <c r="C153" s="9">
        <v>45308</v>
      </c>
      <c r="D153" s="87" t="s">
        <v>259</v>
      </c>
      <c r="E153" s="10">
        <v>100000</v>
      </c>
      <c r="F153" s="10">
        <v>0.028</v>
      </c>
      <c r="G153" s="9">
        <v>45402</v>
      </c>
      <c r="H153" s="12">
        <f t="shared" si="2"/>
        <v>2800</v>
      </c>
      <c r="I153" s="10" t="s">
        <v>10</v>
      </c>
      <c r="J153" s="13">
        <v>45317</v>
      </c>
    </row>
    <row r="154" customFormat="1" spans="2:10">
      <c r="B154" s="86">
        <v>232401749</v>
      </c>
      <c r="C154" s="9">
        <v>45308</v>
      </c>
      <c r="D154" s="87" t="s">
        <v>256</v>
      </c>
      <c r="E154" s="10">
        <v>60000</v>
      </c>
      <c r="F154" s="10">
        <v>0.0292</v>
      </c>
      <c r="G154" s="9">
        <v>45371</v>
      </c>
      <c r="H154" s="12">
        <f t="shared" si="2"/>
        <v>1752</v>
      </c>
      <c r="I154" s="10" t="s">
        <v>10</v>
      </c>
      <c r="J154" s="13">
        <v>45317</v>
      </c>
    </row>
    <row r="155" customFormat="1" spans="2:10">
      <c r="B155" s="86">
        <v>232401749</v>
      </c>
      <c r="C155" s="9">
        <v>45308</v>
      </c>
      <c r="D155" s="87" t="s">
        <v>256</v>
      </c>
      <c r="E155" s="10">
        <v>100000</v>
      </c>
      <c r="F155" s="10">
        <v>0.0292</v>
      </c>
      <c r="G155" s="9">
        <v>45402</v>
      </c>
      <c r="H155" s="12">
        <f t="shared" si="2"/>
        <v>2920</v>
      </c>
      <c r="I155" s="10" t="s">
        <v>10</v>
      </c>
      <c r="J155" s="13">
        <v>45317</v>
      </c>
    </row>
    <row r="156" customFormat="1" spans="2:10">
      <c r="B156" s="86">
        <v>232401749</v>
      </c>
      <c r="C156" s="9">
        <v>45308</v>
      </c>
      <c r="D156" s="87" t="s">
        <v>215</v>
      </c>
      <c r="E156" s="10">
        <v>60000</v>
      </c>
      <c r="F156" s="10">
        <v>0.028</v>
      </c>
      <c r="G156" s="9">
        <v>45342</v>
      </c>
      <c r="H156" s="12">
        <f t="shared" si="2"/>
        <v>1680</v>
      </c>
      <c r="I156" s="10" t="s">
        <v>10</v>
      </c>
      <c r="J156" s="13">
        <v>45317</v>
      </c>
    </row>
    <row r="157" customFormat="1" spans="2:10">
      <c r="B157" s="86">
        <v>232401749</v>
      </c>
      <c r="C157" s="9">
        <v>45308</v>
      </c>
      <c r="D157" s="87" t="s">
        <v>255</v>
      </c>
      <c r="E157" s="10">
        <v>100000</v>
      </c>
      <c r="F157" s="10">
        <v>0.0238</v>
      </c>
      <c r="G157" s="9">
        <v>45342</v>
      </c>
      <c r="H157" s="12">
        <f t="shared" si="2"/>
        <v>2380</v>
      </c>
      <c r="I157" s="10" t="s">
        <v>10</v>
      </c>
      <c r="J157" s="13">
        <v>45317</v>
      </c>
    </row>
    <row r="158" customFormat="1" spans="2:10">
      <c r="B158" s="86">
        <v>232401749</v>
      </c>
      <c r="C158" s="9">
        <v>45308</v>
      </c>
      <c r="D158" s="87" t="s">
        <v>296</v>
      </c>
      <c r="E158" s="10">
        <v>32000</v>
      </c>
      <c r="F158" s="10">
        <v>0.04</v>
      </c>
      <c r="G158" s="9">
        <v>45371</v>
      </c>
      <c r="H158" s="12">
        <f t="shared" si="2"/>
        <v>1280</v>
      </c>
      <c r="I158" s="10" t="s">
        <v>10</v>
      </c>
      <c r="J158" s="13">
        <v>45317</v>
      </c>
    </row>
    <row r="159" customFormat="1" spans="2:10">
      <c r="B159" s="86">
        <v>232401749</v>
      </c>
      <c r="C159" s="9">
        <v>45308</v>
      </c>
      <c r="D159" s="87" t="s">
        <v>296</v>
      </c>
      <c r="E159" s="10">
        <v>32000</v>
      </c>
      <c r="F159" s="10">
        <v>0.04</v>
      </c>
      <c r="G159" s="9">
        <v>45402</v>
      </c>
      <c r="H159" s="12">
        <f t="shared" si="2"/>
        <v>1280</v>
      </c>
      <c r="I159" s="10" t="s">
        <v>10</v>
      </c>
      <c r="J159" s="13">
        <v>45317</v>
      </c>
    </row>
    <row r="160" customFormat="1" spans="2:10">
      <c r="B160" s="86">
        <v>232401749</v>
      </c>
      <c r="C160" s="9">
        <v>45308</v>
      </c>
      <c r="D160" s="87" t="s">
        <v>296</v>
      </c>
      <c r="E160" s="10">
        <v>20000</v>
      </c>
      <c r="F160" s="10">
        <v>0.04</v>
      </c>
      <c r="G160" s="9">
        <v>45493</v>
      </c>
      <c r="H160" s="12">
        <f t="shared" si="2"/>
        <v>800</v>
      </c>
      <c r="I160" s="10" t="s">
        <v>10</v>
      </c>
      <c r="J160" s="13">
        <v>45317</v>
      </c>
    </row>
    <row r="161" customFormat="1" spans="2:10">
      <c r="B161" s="86">
        <v>232401749</v>
      </c>
      <c r="C161" s="9">
        <v>45308</v>
      </c>
      <c r="D161" s="87" t="s">
        <v>231</v>
      </c>
      <c r="E161" s="10">
        <v>102000</v>
      </c>
      <c r="F161" s="10">
        <v>0.0082</v>
      </c>
      <c r="G161" s="9">
        <v>45371</v>
      </c>
      <c r="H161" s="12">
        <f t="shared" si="2"/>
        <v>836.4</v>
      </c>
      <c r="I161" s="10" t="s">
        <v>10</v>
      </c>
      <c r="J161" s="13">
        <v>45317</v>
      </c>
    </row>
    <row r="162" customFormat="1" spans="2:10">
      <c r="B162" s="86">
        <v>232401749</v>
      </c>
      <c r="C162" s="9">
        <v>45308</v>
      </c>
      <c r="D162" s="87" t="s">
        <v>231</v>
      </c>
      <c r="E162" s="10">
        <v>252000</v>
      </c>
      <c r="F162" s="10">
        <v>0.0082</v>
      </c>
      <c r="G162" s="9">
        <v>45402</v>
      </c>
      <c r="H162" s="12">
        <f t="shared" si="2"/>
        <v>2066.4</v>
      </c>
      <c r="I162" s="10" t="s">
        <v>10</v>
      </c>
      <c r="J162" s="13">
        <v>45317</v>
      </c>
    </row>
    <row r="163" customFormat="1" spans="2:10">
      <c r="B163" s="86">
        <v>232401750</v>
      </c>
      <c r="C163" s="9">
        <v>45308</v>
      </c>
      <c r="D163" s="87" t="s">
        <v>270</v>
      </c>
      <c r="E163" s="10">
        <v>100000</v>
      </c>
      <c r="F163" s="10">
        <v>0.0238</v>
      </c>
      <c r="G163" s="9">
        <v>45342</v>
      </c>
      <c r="H163" s="12">
        <f t="shared" si="2"/>
        <v>2380</v>
      </c>
      <c r="I163" s="10" t="s">
        <v>10</v>
      </c>
      <c r="J163" s="13">
        <v>45337</v>
      </c>
    </row>
    <row r="164" customFormat="1" ht="29" spans="2:10">
      <c r="B164" s="86">
        <v>232401750</v>
      </c>
      <c r="C164" s="9">
        <v>45308</v>
      </c>
      <c r="D164" s="88" t="s">
        <v>270</v>
      </c>
      <c r="E164" s="10">
        <v>100000</v>
      </c>
      <c r="F164" s="10">
        <v>0.0238</v>
      </c>
      <c r="G164" s="9">
        <v>45371</v>
      </c>
      <c r="H164" s="12">
        <f t="shared" si="2"/>
        <v>2380</v>
      </c>
      <c r="I164" s="10" t="s">
        <v>10</v>
      </c>
      <c r="J164" s="13">
        <v>45337</v>
      </c>
    </row>
    <row r="165" customFormat="1" spans="2:10">
      <c r="B165" s="86">
        <v>232401755</v>
      </c>
      <c r="C165" s="9">
        <v>45308</v>
      </c>
      <c r="D165" s="87" t="s">
        <v>290</v>
      </c>
      <c r="E165" s="10">
        <v>26000</v>
      </c>
      <c r="F165" s="10">
        <v>0.03</v>
      </c>
      <c r="G165" s="9">
        <v>45361</v>
      </c>
      <c r="H165" s="12">
        <f t="shared" si="2"/>
        <v>780</v>
      </c>
      <c r="I165" s="10" t="s">
        <v>10</v>
      </c>
      <c r="J165" s="13">
        <v>45317</v>
      </c>
    </row>
    <row r="166" customFormat="1" spans="2:10">
      <c r="B166" s="86">
        <v>232401756</v>
      </c>
      <c r="C166" s="9">
        <v>45308</v>
      </c>
      <c r="D166" s="87" t="s">
        <v>307</v>
      </c>
      <c r="E166" s="10">
        <v>64000</v>
      </c>
      <c r="F166" s="10">
        <v>0.0055</v>
      </c>
      <c r="G166" s="9">
        <v>45376</v>
      </c>
      <c r="H166" s="12">
        <f t="shared" si="2"/>
        <v>352</v>
      </c>
      <c r="I166" s="10" t="s">
        <v>10</v>
      </c>
      <c r="J166" s="13">
        <v>45317</v>
      </c>
    </row>
    <row r="167" customFormat="1" spans="2:10">
      <c r="B167" s="86">
        <v>232401816</v>
      </c>
      <c r="C167" s="9">
        <v>45313</v>
      </c>
      <c r="D167" s="87" t="s">
        <v>202</v>
      </c>
      <c r="E167" s="10">
        <v>48000</v>
      </c>
      <c r="F167" s="10">
        <v>0.04</v>
      </c>
      <c r="G167" s="9">
        <v>45316</v>
      </c>
      <c r="H167" s="12">
        <f t="shared" si="2"/>
        <v>1920</v>
      </c>
      <c r="I167" s="10" t="s">
        <v>10</v>
      </c>
      <c r="J167" s="13">
        <v>45337</v>
      </c>
    </row>
    <row r="168" customFormat="1" spans="2:10">
      <c r="B168" s="86">
        <v>232401816</v>
      </c>
      <c r="C168" s="9">
        <v>45313</v>
      </c>
      <c r="D168" s="87" t="s">
        <v>202</v>
      </c>
      <c r="E168" s="10">
        <v>96000</v>
      </c>
      <c r="F168" s="10">
        <v>0.04</v>
      </c>
      <c r="G168" s="9">
        <v>45332</v>
      </c>
      <c r="H168" s="12">
        <f t="shared" si="2"/>
        <v>3840</v>
      </c>
      <c r="I168" s="10" t="s">
        <v>10</v>
      </c>
      <c r="J168" s="13">
        <v>45337</v>
      </c>
    </row>
    <row r="169" customFormat="1" spans="2:10">
      <c r="B169" s="86">
        <v>232401816</v>
      </c>
      <c r="C169" s="9">
        <v>45313</v>
      </c>
      <c r="D169" s="87" t="s">
        <v>202</v>
      </c>
      <c r="E169" s="10">
        <v>96000</v>
      </c>
      <c r="F169" s="10">
        <v>0.04</v>
      </c>
      <c r="G169" s="9">
        <v>45361</v>
      </c>
      <c r="H169" s="12">
        <f t="shared" si="2"/>
        <v>3840</v>
      </c>
      <c r="I169" s="10" t="s">
        <v>10</v>
      </c>
      <c r="J169" s="13">
        <v>45337</v>
      </c>
    </row>
    <row r="170" customFormat="1" spans="2:10">
      <c r="B170" s="86">
        <v>232401816</v>
      </c>
      <c r="C170" s="9">
        <v>45313</v>
      </c>
      <c r="D170" s="87" t="s">
        <v>202</v>
      </c>
      <c r="E170" s="10">
        <v>96000</v>
      </c>
      <c r="F170" s="10">
        <v>0.04</v>
      </c>
      <c r="G170" s="9">
        <v>45392</v>
      </c>
      <c r="H170" s="12">
        <f t="shared" si="2"/>
        <v>3840</v>
      </c>
      <c r="I170" s="10" t="s">
        <v>10</v>
      </c>
      <c r="J170" s="13">
        <v>45337</v>
      </c>
    </row>
    <row r="171" customFormat="1" spans="2:10">
      <c r="B171" s="86">
        <v>232401847</v>
      </c>
      <c r="C171" s="9">
        <v>45315</v>
      </c>
      <c r="D171" s="10" t="s">
        <v>236</v>
      </c>
      <c r="E171" s="10">
        <v>48000</v>
      </c>
      <c r="F171" s="10">
        <v>0.006</v>
      </c>
      <c r="G171" s="9">
        <v>45337</v>
      </c>
      <c r="H171" s="12">
        <f t="shared" si="2"/>
        <v>288</v>
      </c>
      <c r="I171" s="10" t="s">
        <v>10</v>
      </c>
      <c r="J171" s="13">
        <v>45337</v>
      </c>
    </row>
    <row r="172" customFormat="1" spans="2:10">
      <c r="B172" s="86">
        <v>232401847</v>
      </c>
      <c r="C172" s="9">
        <v>45315</v>
      </c>
      <c r="D172" s="10" t="s">
        <v>236</v>
      </c>
      <c r="E172" s="10">
        <v>48000</v>
      </c>
      <c r="F172" s="10">
        <v>0.006</v>
      </c>
      <c r="G172" s="9">
        <v>45337</v>
      </c>
      <c r="H172" s="12">
        <f t="shared" si="2"/>
        <v>288</v>
      </c>
      <c r="I172" s="10" t="s">
        <v>10</v>
      </c>
      <c r="J172" s="13">
        <v>45337</v>
      </c>
    </row>
    <row r="173" customFormat="1" spans="2:10">
      <c r="B173" s="86">
        <v>232401847</v>
      </c>
      <c r="C173" s="9">
        <v>45315</v>
      </c>
      <c r="D173" s="87" t="s">
        <v>257</v>
      </c>
      <c r="E173" s="10">
        <v>80000</v>
      </c>
      <c r="F173" s="10">
        <v>0.01</v>
      </c>
      <c r="G173" s="9">
        <v>45366</v>
      </c>
      <c r="H173" s="12">
        <f t="shared" si="2"/>
        <v>800</v>
      </c>
      <c r="I173" s="10" t="s">
        <v>10</v>
      </c>
      <c r="J173" s="13">
        <v>45337</v>
      </c>
    </row>
    <row r="174" customFormat="1" spans="2:10">
      <c r="B174" s="86">
        <v>232401847</v>
      </c>
      <c r="C174" s="9">
        <v>45315</v>
      </c>
      <c r="D174" s="87" t="s">
        <v>257</v>
      </c>
      <c r="E174" s="10">
        <v>80000</v>
      </c>
      <c r="F174" s="10">
        <v>0.01</v>
      </c>
      <c r="G174" s="9">
        <v>45397</v>
      </c>
      <c r="H174" s="12">
        <f t="shared" si="2"/>
        <v>800</v>
      </c>
      <c r="I174" s="10" t="s">
        <v>10</v>
      </c>
      <c r="J174" s="13">
        <v>45337</v>
      </c>
    </row>
    <row r="175" customFormat="1" spans="2:10">
      <c r="B175" s="86">
        <v>232401847</v>
      </c>
      <c r="C175" s="9">
        <v>45315</v>
      </c>
      <c r="D175" s="87" t="s">
        <v>271</v>
      </c>
      <c r="E175" s="10">
        <v>104000</v>
      </c>
      <c r="F175" s="10">
        <v>0.024</v>
      </c>
      <c r="G175" s="9">
        <v>45366</v>
      </c>
      <c r="H175" s="12">
        <f t="shared" si="2"/>
        <v>2496</v>
      </c>
      <c r="I175" s="10" t="s">
        <v>10</v>
      </c>
      <c r="J175" s="13">
        <v>45337</v>
      </c>
    </row>
    <row r="176" customFormat="1" spans="2:10">
      <c r="B176" s="86">
        <v>232401847</v>
      </c>
      <c r="C176" s="9">
        <v>45315</v>
      </c>
      <c r="D176" s="87" t="s">
        <v>271</v>
      </c>
      <c r="E176" s="10">
        <v>104000</v>
      </c>
      <c r="F176" s="10">
        <v>0.024</v>
      </c>
      <c r="G176" s="9">
        <v>45397</v>
      </c>
      <c r="H176" s="12">
        <f t="shared" si="2"/>
        <v>2496</v>
      </c>
      <c r="I176" s="10" t="s">
        <v>10</v>
      </c>
      <c r="J176" s="13">
        <v>45337</v>
      </c>
    </row>
    <row r="177" customFormat="1" spans="2:10">
      <c r="B177" s="86">
        <v>232401847</v>
      </c>
      <c r="C177" s="9">
        <v>45315</v>
      </c>
      <c r="D177" s="87" t="s">
        <v>271</v>
      </c>
      <c r="E177" s="10">
        <v>52000</v>
      </c>
      <c r="F177" s="10">
        <v>0.024</v>
      </c>
      <c r="G177" s="9">
        <v>45427</v>
      </c>
      <c r="H177" s="12">
        <f t="shared" si="2"/>
        <v>1248</v>
      </c>
      <c r="I177" s="10" t="s">
        <v>10</v>
      </c>
      <c r="J177" s="13">
        <v>45337</v>
      </c>
    </row>
    <row r="178" customFormat="1" spans="2:10">
      <c r="B178" s="86">
        <v>232401847</v>
      </c>
      <c r="C178" s="9">
        <v>45315</v>
      </c>
      <c r="D178" s="87" t="s">
        <v>210</v>
      </c>
      <c r="E178" s="10">
        <v>240000</v>
      </c>
      <c r="F178" s="10">
        <v>0.028</v>
      </c>
      <c r="G178" s="9">
        <v>45397</v>
      </c>
      <c r="H178" s="12">
        <f t="shared" si="2"/>
        <v>6720</v>
      </c>
      <c r="I178" s="10" t="s">
        <v>10</v>
      </c>
      <c r="J178" s="13">
        <v>45337</v>
      </c>
    </row>
    <row r="179" customFormat="1" spans="2:10">
      <c r="B179" s="86">
        <v>232401847</v>
      </c>
      <c r="C179" s="9">
        <v>45315</v>
      </c>
      <c r="D179" s="87" t="s">
        <v>210</v>
      </c>
      <c r="E179" s="10">
        <v>240000</v>
      </c>
      <c r="F179" s="10">
        <v>0.028</v>
      </c>
      <c r="G179" s="9">
        <v>45458</v>
      </c>
      <c r="H179" s="12">
        <f t="shared" si="2"/>
        <v>6720</v>
      </c>
      <c r="I179" s="10" t="s">
        <v>10</v>
      </c>
      <c r="J179" s="13">
        <v>45337</v>
      </c>
    </row>
    <row r="180" customFormat="1" spans="2:10">
      <c r="B180" s="86">
        <v>232401847</v>
      </c>
      <c r="C180" s="9">
        <v>45315</v>
      </c>
      <c r="D180" s="10" t="s">
        <v>163</v>
      </c>
      <c r="E180" s="10">
        <v>48000</v>
      </c>
      <c r="F180" s="10">
        <v>0.0025</v>
      </c>
      <c r="G180" s="9">
        <v>45366</v>
      </c>
      <c r="H180" s="12">
        <f t="shared" si="2"/>
        <v>120</v>
      </c>
      <c r="I180" s="10" t="s">
        <v>10</v>
      </c>
      <c r="J180" s="13">
        <v>45337</v>
      </c>
    </row>
    <row r="181" customFormat="1" spans="2:10">
      <c r="B181" s="86">
        <v>232401847</v>
      </c>
      <c r="C181" s="9">
        <v>45315</v>
      </c>
      <c r="D181" s="10" t="s">
        <v>163</v>
      </c>
      <c r="E181" s="10">
        <v>48000</v>
      </c>
      <c r="F181" s="10">
        <v>0.0025</v>
      </c>
      <c r="G181" s="9">
        <v>45397</v>
      </c>
      <c r="H181" s="12">
        <f t="shared" si="2"/>
        <v>120</v>
      </c>
      <c r="I181" s="10" t="s">
        <v>10</v>
      </c>
      <c r="J181" s="13">
        <v>45337</v>
      </c>
    </row>
    <row r="182" customFormat="1" spans="2:10">
      <c r="B182" s="86">
        <v>232401847</v>
      </c>
      <c r="C182" s="9">
        <v>45315</v>
      </c>
      <c r="D182" s="10" t="s">
        <v>299</v>
      </c>
      <c r="E182" s="10">
        <v>32000</v>
      </c>
      <c r="F182" s="10">
        <v>0.003</v>
      </c>
      <c r="G182" s="9">
        <v>45337</v>
      </c>
      <c r="H182" s="12">
        <f t="shared" si="2"/>
        <v>96</v>
      </c>
      <c r="I182" s="10" t="s">
        <v>10</v>
      </c>
      <c r="J182" s="13">
        <v>45337</v>
      </c>
    </row>
    <row r="183" customFormat="1" spans="2:10">
      <c r="B183" s="86">
        <v>232401847</v>
      </c>
      <c r="C183" s="9">
        <v>45315</v>
      </c>
      <c r="D183" s="10" t="s">
        <v>299</v>
      </c>
      <c r="E183" s="10">
        <v>32000</v>
      </c>
      <c r="F183" s="10">
        <v>0.003</v>
      </c>
      <c r="G183" s="9">
        <v>45366</v>
      </c>
      <c r="H183" s="12">
        <f t="shared" si="2"/>
        <v>96</v>
      </c>
      <c r="I183" s="10" t="s">
        <v>10</v>
      </c>
      <c r="J183" s="13">
        <v>45337</v>
      </c>
    </row>
    <row r="184" customFormat="1" spans="2:10">
      <c r="B184" s="86">
        <v>232401860</v>
      </c>
      <c r="C184" s="9">
        <v>45316</v>
      </c>
      <c r="D184" s="87" t="s">
        <v>215</v>
      </c>
      <c r="E184" s="10">
        <v>80000</v>
      </c>
      <c r="F184" s="10">
        <v>0.028</v>
      </c>
      <c r="G184" s="9">
        <v>45327</v>
      </c>
      <c r="H184" s="12">
        <f t="shared" si="2"/>
        <v>2240</v>
      </c>
      <c r="I184" s="10" t="s">
        <v>10</v>
      </c>
      <c r="J184" s="13">
        <v>45337</v>
      </c>
    </row>
    <row r="185" customFormat="1" spans="2:10">
      <c r="B185" s="86">
        <v>232401860</v>
      </c>
      <c r="C185" s="9">
        <v>45316</v>
      </c>
      <c r="D185" s="87" t="s">
        <v>215</v>
      </c>
      <c r="E185" s="10">
        <v>80000</v>
      </c>
      <c r="F185" s="10">
        <v>0.028</v>
      </c>
      <c r="G185" s="9">
        <v>45356</v>
      </c>
      <c r="H185" s="12">
        <f t="shared" si="2"/>
        <v>2240</v>
      </c>
      <c r="I185" s="10" t="s">
        <v>10</v>
      </c>
      <c r="J185" s="13">
        <v>45337</v>
      </c>
    </row>
    <row r="186" customFormat="1" spans="2:10">
      <c r="B186" s="86">
        <v>232401864</v>
      </c>
      <c r="C186" s="9">
        <v>45316</v>
      </c>
      <c r="D186" s="87" t="s">
        <v>215</v>
      </c>
      <c r="E186" s="10">
        <v>74000</v>
      </c>
      <c r="F186" s="10">
        <v>0.028</v>
      </c>
      <c r="G186" s="9">
        <v>45356</v>
      </c>
      <c r="H186" s="12">
        <f t="shared" si="2"/>
        <v>2072</v>
      </c>
      <c r="I186" s="10" t="s">
        <v>10</v>
      </c>
      <c r="J186" s="13">
        <v>45337</v>
      </c>
    </row>
    <row r="187" customFormat="1" spans="2:10">
      <c r="B187" s="86">
        <v>232401920</v>
      </c>
      <c r="C187" s="9">
        <v>45322</v>
      </c>
      <c r="D187" s="87" t="s">
        <v>267</v>
      </c>
      <c r="E187" s="10">
        <v>208000</v>
      </c>
      <c r="F187" s="10">
        <v>0.015</v>
      </c>
      <c r="G187" s="9">
        <v>45342</v>
      </c>
      <c r="H187" s="12">
        <f t="shared" si="2"/>
        <v>3120</v>
      </c>
      <c r="I187" s="10" t="s">
        <v>10</v>
      </c>
      <c r="J187" s="13">
        <v>45337</v>
      </c>
    </row>
    <row r="188" customFormat="1" spans="2:10">
      <c r="B188" s="86">
        <v>232401920</v>
      </c>
      <c r="C188" s="9">
        <v>45322</v>
      </c>
      <c r="D188" s="87" t="s">
        <v>320</v>
      </c>
      <c r="E188" s="10">
        <v>32000</v>
      </c>
      <c r="F188" s="10">
        <v>0.006</v>
      </c>
      <c r="G188" s="9">
        <v>45342</v>
      </c>
      <c r="H188" s="12">
        <f t="shared" si="2"/>
        <v>192</v>
      </c>
      <c r="I188" s="10" t="s">
        <v>10</v>
      </c>
      <c r="J188" s="13">
        <v>45337</v>
      </c>
    </row>
    <row r="189" customFormat="1" spans="2:10">
      <c r="B189" s="86">
        <v>232401920</v>
      </c>
      <c r="C189" s="9">
        <v>45322</v>
      </c>
      <c r="D189" s="87" t="s">
        <v>225</v>
      </c>
      <c r="E189" s="10">
        <v>32000</v>
      </c>
      <c r="F189" s="10">
        <v>0.041</v>
      </c>
      <c r="G189" s="9">
        <v>45342</v>
      </c>
      <c r="H189" s="12">
        <f t="shared" si="2"/>
        <v>1312</v>
      </c>
      <c r="I189" s="10" t="s">
        <v>10</v>
      </c>
      <c r="J189" s="13">
        <v>45338</v>
      </c>
    </row>
    <row r="190" customFormat="1" spans="2:10">
      <c r="B190" s="86">
        <v>232401927</v>
      </c>
      <c r="C190" s="9">
        <v>45323</v>
      </c>
      <c r="D190" s="10" t="s">
        <v>230</v>
      </c>
      <c r="E190" s="10">
        <v>40000</v>
      </c>
      <c r="F190" s="10">
        <v>0.0285</v>
      </c>
      <c r="G190" s="9">
        <v>45356</v>
      </c>
      <c r="H190" s="12">
        <f t="shared" si="2"/>
        <v>1140</v>
      </c>
      <c r="I190" s="10" t="s">
        <v>10</v>
      </c>
      <c r="J190" s="13">
        <v>45337</v>
      </c>
    </row>
    <row r="191" customFormat="1" spans="2:10">
      <c r="B191" s="86">
        <v>232401947</v>
      </c>
      <c r="C191" s="9">
        <v>45324</v>
      </c>
      <c r="D191" s="87" t="s">
        <v>256</v>
      </c>
      <c r="E191" s="10">
        <v>24000</v>
      </c>
      <c r="F191" s="10">
        <v>0.0292</v>
      </c>
      <c r="G191" s="9">
        <v>45327</v>
      </c>
      <c r="H191" s="12">
        <f t="shared" si="2"/>
        <v>700.8</v>
      </c>
      <c r="I191" s="10" t="s">
        <v>10</v>
      </c>
      <c r="J191" s="13">
        <v>45337</v>
      </c>
    </row>
    <row r="192" customFormat="1" spans="2:10">
      <c r="B192" s="86">
        <v>232401947</v>
      </c>
      <c r="C192" s="9">
        <v>45324</v>
      </c>
      <c r="D192" s="87" t="s">
        <v>256</v>
      </c>
      <c r="E192" s="10">
        <v>24000</v>
      </c>
      <c r="F192" s="10">
        <v>0.0292</v>
      </c>
      <c r="G192" s="9">
        <v>45356</v>
      </c>
      <c r="H192" s="12">
        <f t="shared" si="2"/>
        <v>700.8</v>
      </c>
      <c r="I192" s="10" t="s">
        <v>10</v>
      </c>
      <c r="J192" s="13">
        <v>45337</v>
      </c>
    </row>
    <row r="193" customFormat="1" spans="2:15">
      <c r="B193" s="86">
        <v>232401947</v>
      </c>
      <c r="C193" s="9">
        <v>45324</v>
      </c>
      <c r="D193" s="87" t="s">
        <v>256</v>
      </c>
      <c r="E193" s="10">
        <v>24000</v>
      </c>
      <c r="F193" s="10">
        <v>0.0292</v>
      </c>
      <c r="G193" s="9">
        <v>45387</v>
      </c>
      <c r="H193" s="12">
        <f t="shared" si="2"/>
        <v>700.8</v>
      </c>
      <c r="I193" s="10" t="s">
        <v>10</v>
      </c>
      <c r="J193" s="13">
        <v>45337</v>
      </c>
    </row>
    <row r="194" customFormat="1" spans="2:15">
      <c r="B194" s="86">
        <v>232401947</v>
      </c>
      <c r="C194" s="9">
        <v>45324</v>
      </c>
      <c r="D194" s="87" t="s">
        <v>255</v>
      </c>
      <c r="E194" s="10">
        <v>50000</v>
      </c>
      <c r="F194" s="10">
        <v>0.0238</v>
      </c>
      <c r="G194" s="9">
        <v>45327</v>
      </c>
      <c r="H194" s="12">
        <f t="shared" ref="H194:H257" si="3">E194*F194</f>
        <v>1190</v>
      </c>
      <c r="I194" s="10" t="s">
        <v>10</v>
      </c>
      <c r="J194" s="13">
        <v>45337</v>
      </c>
    </row>
    <row r="195" customFormat="1" spans="2:15">
      <c r="B195" s="86">
        <v>232401947</v>
      </c>
      <c r="C195" s="9">
        <v>45324</v>
      </c>
      <c r="D195" s="87" t="s">
        <v>255</v>
      </c>
      <c r="E195" s="10">
        <v>50000</v>
      </c>
      <c r="F195" s="10">
        <v>0.0238</v>
      </c>
      <c r="G195" s="9">
        <v>45356</v>
      </c>
      <c r="H195" s="12">
        <f t="shared" si="3"/>
        <v>1190</v>
      </c>
      <c r="I195" s="10" t="s">
        <v>10</v>
      </c>
      <c r="J195" s="13">
        <v>45337</v>
      </c>
    </row>
    <row r="196" customFormat="1" spans="2:15">
      <c r="B196" s="86">
        <v>232401947</v>
      </c>
      <c r="C196" s="9">
        <v>45324</v>
      </c>
      <c r="D196" s="87" t="s">
        <v>255</v>
      </c>
      <c r="E196" s="10">
        <v>50000</v>
      </c>
      <c r="F196" s="10">
        <v>0.0238</v>
      </c>
      <c r="G196" s="9">
        <v>45387</v>
      </c>
      <c r="H196" s="12">
        <f t="shared" si="3"/>
        <v>1190</v>
      </c>
      <c r="I196" s="10" t="s">
        <v>10</v>
      </c>
      <c r="J196" s="13">
        <v>45337</v>
      </c>
    </row>
    <row r="197" customFormat="1" spans="2:15">
      <c r="B197" s="86">
        <v>232401952</v>
      </c>
      <c r="C197" s="9">
        <v>45324</v>
      </c>
      <c r="D197" s="87" t="s">
        <v>215</v>
      </c>
      <c r="E197" s="10">
        <v>40000</v>
      </c>
      <c r="F197" s="10">
        <v>0.028</v>
      </c>
      <c r="G197" s="9">
        <v>45356</v>
      </c>
      <c r="H197" s="12">
        <f t="shared" si="3"/>
        <v>1120</v>
      </c>
      <c r="I197" s="10" t="s">
        <v>10</v>
      </c>
      <c r="J197" s="13">
        <v>45337</v>
      </c>
    </row>
    <row r="198" customFormat="1" spans="2:15">
      <c r="B198" s="86">
        <v>232401952</v>
      </c>
      <c r="C198" s="9">
        <v>45324</v>
      </c>
      <c r="D198" s="87" t="s">
        <v>215</v>
      </c>
      <c r="E198" s="10">
        <v>30000</v>
      </c>
      <c r="F198" s="10">
        <v>0.028</v>
      </c>
      <c r="G198" s="9">
        <v>45373</v>
      </c>
      <c r="H198" s="12">
        <f t="shared" si="3"/>
        <v>840</v>
      </c>
      <c r="I198" s="10" t="s">
        <v>10</v>
      </c>
      <c r="J198" s="13">
        <v>45337</v>
      </c>
    </row>
    <row r="199" customFormat="1" spans="2:15">
      <c r="B199" s="86">
        <v>232401953</v>
      </c>
      <c r="C199" s="9">
        <v>45324</v>
      </c>
      <c r="D199" s="87" t="s">
        <v>321</v>
      </c>
      <c r="E199" s="10">
        <v>30000</v>
      </c>
      <c r="F199" s="10">
        <v>0.03</v>
      </c>
      <c r="G199" s="9">
        <v>45350</v>
      </c>
      <c r="H199" s="12">
        <f t="shared" si="3"/>
        <v>900</v>
      </c>
      <c r="I199" s="10" t="s">
        <v>10</v>
      </c>
      <c r="J199" s="13">
        <v>45337</v>
      </c>
    </row>
    <row r="200" customFormat="1" spans="2:15">
      <c r="B200" s="86">
        <v>232401979</v>
      </c>
      <c r="C200" s="9">
        <v>45329</v>
      </c>
      <c r="D200" s="87" t="s">
        <v>321</v>
      </c>
      <c r="E200" s="10">
        <v>30000</v>
      </c>
      <c r="F200" s="10">
        <v>0.03</v>
      </c>
      <c r="G200" s="9">
        <v>45356</v>
      </c>
      <c r="H200" s="12">
        <f t="shared" si="3"/>
        <v>900</v>
      </c>
      <c r="I200" s="10" t="s">
        <v>10</v>
      </c>
      <c r="J200" s="13">
        <v>45338</v>
      </c>
    </row>
    <row r="201" customFormat="1" spans="2:15">
      <c r="B201" s="86">
        <v>232401979</v>
      </c>
      <c r="C201" s="9">
        <v>45329</v>
      </c>
      <c r="D201" s="87" t="s">
        <v>321</v>
      </c>
      <c r="E201" s="88">
        <v>30000</v>
      </c>
      <c r="F201" s="88">
        <v>0.03</v>
      </c>
      <c r="G201" s="9">
        <v>45417</v>
      </c>
      <c r="H201" s="12">
        <f t="shared" si="3"/>
        <v>900</v>
      </c>
      <c r="I201" s="10" t="s">
        <v>10</v>
      </c>
      <c r="J201" s="13">
        <v>45338</v>
      </c>
    </row>
    <row r="202" customFormat="1" spans="2:15">
      <c r="B202" s="86">
        <v>232401979</v>
      </c>
      <c r="C202" s="9">
        <v>45329</v>
      </c>
      <c r="D202" s="87" t="s">
        <v>321</v>
      </c>
      <c r="E202" s="88">
        <v>30000</v>
      </c>
      <c r="F202" s="88">
        <v>0.03</v>
      </c>
      <c r="G202" s="9">
        <v>45448</v>
      </c>
      <c r="H202" s="12">
        <f t="shared" si="3"/>
        <v>900</v>
      </c>
      <c r="I202" s="10" t="s">
        <v>10</v>
      </c>
      <c r="J202" s="13">
        <v>45338</v>
      </c>
      <c r="N202">
        <v>5</v>
      </c>
      <c r="O202">
        <v>29.569</v>
      </c>
    </row>
    <row r="203" customFormat="1" spans="2:15">
      <c r="B203" s="86">
        <v>232401979</v>
      </c>
      <c r="C203" s="9">
        <v>45329</v>
      </c>
      <c r="D203" s="87" t="s">
        <v>253</v>
      </c>
      <c r="E203" s="10">
        <v>60000</v>
      </c>
      <c r="F203" s="10">
        <v>0.08</v>
      </c>
      <c r="G203" s="9">
        <v>45356</v>
      </c>
      <c r="H203" s="12">
        <f t="shared" si="3"/>
        <v>4800</v>
      </c>
      <c r="I203" s="10" t="s">
        <v>10</v>
      </c>
      <c r="J203" s="13">
        <v>45338</v>
      </c>
    </row>
    <row r="204" customFormat="1" spans="2:15">
      <c r="B204" s="86">
        <v>232401979</v>
      </c>
      <c r="C204" s="9">
        <v>45329</v>
      </c>
      <c r="D204" s="87" t="s">
        <v>253</v>
      </c>
      <c r="E204" s="10">
        <v>60000</v>
      </c>
      <c r="F204" s="10">
        <v>0.08</v>
      </c>
      <c r="G204" s="9">
        <v>45417</v>
      </c>
      <c r="H204" s="12">
        <f t="shared" si="3"/>
        <v>4800</v>
      </c>
      <c r="I204" s="10" t="s">
        <v>10</v>
      </c>
      <c r="J204" s="13">
        <v>45338</v>
      </c>
    </row>
    <row r="205" customFormat="1" spans="2:15">
      <c r="B205" s="86">
        <v>232401979</v>
      </c>
      <c r="C205" s="9">
        <v>45329</v>
      </c>
      <c r="D205" s="87" t="s">
        <v>253</v>
      </c>
      <c r="E205" s="10">
        <v>60000</v>
      </c>
      <c r="F205" s="10">
        <v>0.08</v>
      </c>
      <c r="G205" s="9">
        <v>45448</v>
      </c>
      <c r="H205" s="12">
        <f t="shared" si="3"/>
        <v>4800</v>
      </c>
      <c r="I205" s="10" t="s">
        <v>10</v>
      </c>
      <c r="J205" s="13">
        <v>45338</v>
      </c>
    </row>
    <row r="206" customFormat="1" spans="2:15">
      <c r="B206" s="86">
        <v>232401980</v>
      </c>
      <c r="C206" s="9">
        <v>45329</v>
      </c>
      <c r="D206" s="87" t="s">
        <v>215</v>
      </c>
      <c r="E206" s="10">
        <v>24000</v>
      </c>
      <c r="F206" s="10">
        <v>0.028</v>
      </c>
      <c r="G206" s="9">
        <v>45373</v>
      </c>
      <c r="H206" s="12">
        <f t="shared" si="3"/>
        <v>672</v>
      </c>
      <c r="I206" s="10" t="s">
        <v>10</v>
      </c>
      <c r="J206" s="13">
        <v>45338</v>
      </c>
    </row>
    <row r="207" customFormat="1" spans="2:15">
      <c r="B207" s="86">
        <v>232402019</v>
      </c>
      <c r="C207" s="9">
        <v>45332</v>
      </c>
      <c r="D207" s="87" t="s">
        <v>215</v>
      </c>
      <c r="E207" s="10">
        <v>80000</v>
      </c>
      <c r="F207" s="10">
        <v>0.028</v>
      </c>
      <c r="G207" s="9">
        <v>45373</v>
      </c>
      <c r="H207" s="12">
        <f t="shared" si="3"/>
        <v>2240</v>
      </c>
      <c r="I207" s="10" t="s">
        <v>10</v>
      </c>
      <c r="J207" s="13">
        <v>45338</v>
      </c>
    </row>
    <row r="208" customFormat="1" spans="2:15">
      <c r="B208" s="86">
        <v>232402028</v>
      </c>
      <c r="C208" s="9">
        <v>45334</v>
      </c>
      <c r="D208" s="10" t="s">
        <v>70</v>
      </c>
      <c r="E208" s="10">
        <v>20000</v>
      </c>
      <c r="F208" s="10">
        <v>0.028</v>
      </c>
      <c r="G208" s="9">
        <v>45344</v>
      </c>
      <c r="H208" s="12">
        <f t="shared" si="3"/>
        <v>560</v>
      </c>
      <c r="I208" s="10" t="s">
        <v>10</v>
      </c>
      <c r="J208" s="13">
        <v>45338</v>
      </c>
    </row>
    <row r="209" customFormat="1" spans="2:10">
      <c r="B209" s="86">
        <v>232402079</v>
      </c>
      <c r="C209" s="9">
        <v>45337</v>
      </c>
      <c r="D209" s="87" t="s">
        <v>290</v>
      </c>
      <c r="E209" s="10">
        <v>20000</v>
      </c>
      <c r="F209" s="10">
        <v>0.03</v>
      </c>
      <c r="G209" s="9">
        <v>45418</v>
      </c>
      <c r="H209" s="12">
        <f t="shared" si="3"/>
        <v>600</v>
      </c>
      <c r="I209" s="10" t="s">
        <v>10</v>
      </c>
      <c r="J209" s="13">
        <v>45344</v>
      </c>
    </row>
    <row r="210" customFormat="1" spans="2:10">
      <c r="B210" s="86">
        <v>232402079</v>
      </c>
      <c r="C210" s="9">
        <v>45337</v>
      </c>
      <c r="D210" s="87" t="s">
        <v>290</v>
      </c>
      <c r="E210" s="10">
        <v>20000</v>
      </c>
      <c r="F210" s="10">
        <v>0.03</v>
      </c>
      <c r="G210" s="9">
        <v>45478</v>
      </c>
      <c r="H210" s="12">
        <f t="shared" si="3"/>
        <v>600</v>
      </c>
      <c r="I210" s="10" t="s">
        <v>10</v>
      </c>
      <c r="J210" s="13">
        <v>45344</v>
      </c>
    </row>
    <row r="211" customFormat="1" spans="2:10">
      <c r="B211" s="86">
        <v>232402079</v>
      </c>
      <c r="C211" s="9">
        <v>45337</v>
      </c>
      <c r="D211" s="10" t="s">
        <v>289</v>
      </c>
      <c r="E211" s="10">
        <v>30000</v>
      </c>
      <c r="F211" s="10">
        <v>0.033</v>
      </c>
      <c r="G211" s="9">
        <v>45418</v>
      </c>
      <c r="H211" s="12">
        <f t="shared" si="3"/>
        <v>990</v>
      </c>
      <c r="I211" s="10" t="s">
        <v>10</v>
      </c>
      <c r="J211" s="13">
        <v>45344</v>
      </c>
    </row>
    <row r="212" customFormat="1" spans="2:10">
      <c r="B212" s="86">
        <v>232402136</v>
      </c>
      <c r="C212" s="9">
        <v>45344</v>
      </c>
      <c r="D212" s="87" t="s">
        <v>215</v>
      </c>
      <c r="E212" s="10">
        <v>50000</v>
      </c>
      <c r="F212" s="10">
        <v>0.028</v>
      </c>
      <c r="G212" s="9">
        <v>45373</v>
      </c>
      <c r="H212" s="12">
        <f t="shared" si="3"/>
        <v>1400</v>
      </c>
      <c r="I212" s="10" t="s">
        <v>10</v>
      </c>
      <c r="J212" s="13">
        <v>45355</v>
      </c>
    </row>
    <row r="213" customFormat="1" spans="2:10">
      <c r="B213" s="86">
        <v>232402137</v>
      </c>
      <c r="C213" s="9">
        <v>45344</v>
      </c>
      <c r="D213" s="87" t="s">
        <v>215</v>
      </c>
      <c r="E213" s="10">
        <v>200000</v>
      </c>
      <c r="F213" s="10">
        <v>0.028</v>
      </c>
      <c r="G213" s="9">
        <v>45404</v>
      </c>
      <c r="H213" s="12">
        <f t="shared" si="3"/>
        <v>5600</v>
      </c>
      <c r="I213" s="10" t="s">
        <v>10</v>
      </c>
      <c r="J213" s="13">
        <v>45355</v>
      </c>
    </row>
    <row r="214" customFormat="1" spans="2:10">
      <c r="B214" s="86">
        <v>232402138</v>
      </c>
      <c r="C214" s="9">
        <v>45344</v>
      </c>
      <c r="D214" s="87" t="s">
        <v>314</v>
      </c>
      <c r="E214" s="10">
        <v>340000</v>
      </c>
      <c r="F214" s="10">
        <v>0.021</v>
      </c>
      <c r="G214" s="9">
        <v>45434</v>
      </c>
      <c r="H214" s="12">
        <f t="shared" si="3"/>
        <v>7140</v>
      </c>
      <c r="I214" s="10" t="s">
        <v>10</v>
      </c>
      <c r="J214" s="13">
        <v>45357</v>
      </c>
    </row>
    <row r="215" customFormat="1" spans="2:10">
      <c r="B215" s="86">
        <v>232402138</v>
      </c>
      <c r="C215" s="9">
        <v>45344</v>
      </c>
      <c r="D215" s="87" t="s">
        <v>314</v>
      </c>
      <c r="E215" s="10">
        <v>340000</v>
      </c>
      <c r="F215" s="10">
        <v>0.021</v>
      </c>
      <c r="G215" s="9">
        <v>45465</v>
      </c>
      <c r="H215" s="12">
        <f t="shared" si="3"/>
        <v>7140</v>
      </c>
      <c r="I215" s="10" t="s">
        <v>10</v>
      </c>
      <c r="J215" s="13">
        <v>45357</v>
      </c>
    </row>
    <row r="216" customFormat="1" spans="2:10">
      <c r="B216" s="86">
        <v>232402172</v>
      </c>
      <c r="C216" s="9">
        <v>45346</v>
      </c>
      <c r="D216" s="87" t="s">
        <v>203</v>
      </c>
      <c r="E216" s="10">
        <v>500000</v>
      </c>
      <c r="F216" s="10">
        <v>0.027</v>
      </c>
      <c r="G216" s="9">
        <v>45387</v>
      </c>
      <c r="H216" s="12">
        <f t="shared" si="3"/>
        <v>13500</v>
      </c>
      <c r="I216" s="10" t="s">
        <v>10</v>
      </c>
      <c r="J216" s="13">
        <v>45359</v>
      </c>
    </row>
    <row r="217" customFormat="1" spans="2:10">
      <c r="B217" s="86">
        <v>232402172</v>
      </c>
      <c r="C217" s="9">
        <v>45346</v>
      </c>
      <c r="D217" s="87" t="s">
        <v>203</v>
      </c>
      <c r="E217" s="10">
        <v>500000</v>
      </c>
      <c r="F217" s="10">
        <v>0.027</v>
      </c>
      <c r="G217" s="9">
        <v>45387</v>
      </c>
      <c r="H217" s="12">
        <f t="shared" si="3"/>
        <v>13500</v>
      </c>
      <c r="I217" s="10" t="s">
        <v>10</v>
      </c>
      <c r="J217" s="13">
        <v>45359</v>
      </c>
    </row>
    <row r="218" customFormat="1" spans="2:10">
      <c r="B218" s="86">
        <v>232402172</v>
      </c>
      <c r="C218" s="9">
        <v>45346</v>
      </c>
      <c r="D218" s="87" t="s">
        <v>203</v>
      </c>
      <c r="E218" s="10">
        <v>500000</v>
      </c>
      <c r="F218" s="10">
        <v>0.027</v>
      </c>
      <c r="G218" s="9">
        <v>45402</v>
      </c>
      <c r="H218" s="12">
        <f t="shared" si="3"/>
        <v>13500</v>
      </c>
      <c r="I218" s="10" t="s">
        <v>10</v>
      </c>
      <c r="J218" s="13">
        <v>45359</v>
      </c>
    </row>
    <row r="219" customFormat="1" spans="2:10">
      <c r="B219" s="86">
        <v>232402172</v>
      </c>
      <c r="C219" s="9">
        <v>45346</v>
      </c>
      <c r="D219" s="87" t="s">
        <v>203</v>
      </c>
      <c r="E219" s="10">
        <v>500000</v>
      </c>
      <c r="F219" s="10">
        <v>0.027</v>
      </c>
      <c r="G219" s="9">
        <v>45418</v>
      </c>
      <c r="H219" s="12">
        <f t="shared" si="3"/>
        <v>13500</v>
      </c>
      <c r="I219" s="10" t="s">
        <v>10</v>
      </c>
      <c r="J219" s="13">
        <v>45359</v>
      </c>
    </row>
    <row r="220" customFormat="1" spans="2:10">
      <c r="B220" s="86">
        <v>232402172</v>
      </c>
      <c r="C220" s="9">
        <v>45346</v>
      </c>
      <c r="D220" s="87" t="s">
        <v>203</v>
      </c>
      <c r="E220" s="10">
        <v>500000</v>
      </c>
      <c r="F220" s="10">
        <v>0.027</v>
      </c>
      <c r="G220" s="9">
        <v>45418</v>
      </c>
      <c r="H220" s="12">
        <f t="shared" si="3"/>
        <v>13500</v>
      </c>
      <c r="I220" s="10" t="s">
        <v>10</v>
      </c>
      <c r="J220" s="13">
        <v>45359</v>
      </c>
    </row>
    <row r="221" customFormat="1" spans="2:10">
      <c r="B221" s="86">
        <v>232402172</v>
      </c>
      <c r="C221" s="9">
        <v>45346</v>
      </c>
      <c r="D221" s="87" t="s">
        <v>203</v>
      </c>
      <c r="E221" s="10">
        <v>500000</v>
      </c>
      <c r="F221" s="10">
        <v>0.027</v>
      </c>
      <c r="G221" s="9">
        <v>45434</v>
      </c>
      <c r="H221" s="12">
        <f t="shared" si="3"/>
        <v>13500</v>
      </c>
      <c r="I221" s="10" t="s">
        <v>10</v>
      </c>
      <c r="J221" s="13">
        <v>45363</v>
      </c>
    </row>
    <row r="222" customFormat="1" spans="2:10">
      <c r="B222" s="86">
        <v>232402172</v>
      </c>
      <c r="C222" s="9">
        <v>45346</v>
      </c>
      <c r="D222" s="87" t="s">
        <v>203</v>
      </c>
      <c r="E222" s="10">
        <v>500000</v>
      </c>
      <c r="F222" s="10">
        <v>0.027</v>
      </c>
      <c r="G222" s="9">
        <v>45465</v>
      </c>
      <c r="H222" s="12">
        <f t="shared" si="3"/>
        <v>13500</v>
      </c>
      <c r="I222" s="10" t="s">
        <v>10</v>
      </c>
      <c r="J222" s="13">
        <v>45363</v>
      </c>
    </row>
    <row r="223" customFormat="1" spans="2:10">
      <c r="B223" s="86">
        <v>232402172</v>
      </c>
      <c r="C223" s="9">
        <v>45346</v>
      </c>
      <c r="D223" s="87" t="s">
        <v>203</v>
      </c>
      <c r="E223" s="10">
        <v>500000</v>
      </c>
      <c r="F223" s="10">
        <v>0.027</v>
      </c>
      <c r="G223" s="9">
        <v>45465</v>
      </c>
      <c r="H223" s="12">
        <f t="shared" si="3"/>
        <v>13500</v>
      </c>
      <c r="I223" s="10" t="s">
        <v>10</v>
      </c>
      <c r="J223" s="13">
        <v>45363</v>
      </c>
    </row>
    <row r="224" customFormat="1" spans="2:10">
      <c r="B224" s="86">
        <v>232402172</v>
      </c>
      <c r="C224" s="9">
        <v>45346</v>
      </c>
      <c r="D224" s="87" t="s">
        <v>203</v>
      </c>
      <c r="E224" s="10">
        <v>500000</v>
      </c>
      <c r="F224" s="10">
        <v>0.027</v>
      </c>
      <c r="G224" s="9">
        <v>45495</v>
      </c>
      <c r="H224" s="12">
        <f t="shared" si="3"/>
        <v>13500</v>
      </c>
      <c r="I224" s="10" t="s">
        <v>10</v>
      </c>
      <c r="J224" s="13">
        <v>45363</v>
      </c>
    </row>
    <row r="225" customFormat="1" spans="2:10">
      <c r="B225" s="86">
        <v>232402172</v>
      </c>
      <c r="C225" s="9">
        <v>45346</v>
      </c>
      <c r="D225" s="87" t="s">
        <v>203</v>
      </c>
      <c r="E225" s="10">
        <v>500000</v>
      </c>
      <c r="F225" s="10">
        <v>0.027</v>
      </c>
      <c r="G225" s="9">
        <v>45495</v>
      </c>
      <c r="H225" s="12">
        <f t="shared" si="3"/>
        <v>13500</v>
      </c>
      <c r="I225" s="10" t="s">
        <v>10</v>
      </c>
      <c r="J225" s="13">
        <v>45363</v>
      </c>
    </row>
    <row r="226" customFormat="1" spans="2:10">
      <c r="B226" s="86">
        <v>232402173</v>
      </c>
      <c r="C226" s="9">
        <v>45349</v>
      </c>
      <c r="D226" s="10" t="s">
        <v>33</v>
      </c>
      <c r="E226" s="10">
        <v>300000</v>
      </c>
      <c r="F226" s="10">
        <v>0.02</v>
      </c>
      <c r="G226" s="9">
        <v>45404</v>
      </c>
      <c r="H226" s="12">
        <f t="shared" si="3"/>
        <v>6000</v>
      </c>
      <c r="I226" s="10" t="s">
        <v>10</v>
      </c>
      <c r="J226" s="13">
        <v>45359</v>
      </c>
    </row>
    <row r="227" customFormat="1" spans="2:10">
      <c r="B227" s="86">
        <v>232402173</v>
      </c>
      <c r="C227" s="9">
        <v>45349</v>
      </c>
      <c r="D227" s="10" t="s">
        <v>33</v>
      </c>
      <c r="E227" s="10">
        <v>300000</v>
      </c>
      <c r="F227" s="10">
        <v>0.02</v>
      </c>
      <c r="G227" s="9">
        <v>45434</v>
      </c>
      <c r="H227" s="12">
        <f t="shared" si="3"/>
        <v>6000</v>
      </c>
      <c r="I227" s="10" t="s">
        <v>10</v>
      </c>
      <c r="J227" s="13">
        <v>45363</v>
      </c>
    </row>
    <row r="228" customFormat="1" spans="2:10">
      <c r="B228" s="86">
        <v>232402173</v>
      </c>
      <c r="C228" s="9">
        <v>45349</v>
      </c>
      <c r="D228" s="10" t="s">
        <v>33</v>
      </c>
      <c r="E228" s="10">
        <v>300000</v>
      </c>
      <c r="F228" s="10">
        <v>0.02</v>
      </c>
      <c r="G228" s="9">
        <v>45465</v>
      </c>
      <c r="H228" s="12">
        <f t="shared" si="3"/>
        <v>6000</v>
      </c>
      <c r="I228" s="10" t="s">
        <v>10</v>
      </c>
      <c r="J228" s="13">
        <v>45363</v>
      </c>
    </row>
    <row r="229" customFormat="1" spans="2:10">
      <c r="B229" s="86">
        <v>232402173</v>
      </c>
      <c r="C229" s="9">
        <v>45349</v>
      </c>
      <c r="D229" s="10" t="s">
        <v>58</v>
      </c>
      <c r="E229" s="10">
        <v>500000</v>
      </c>
      <c r="F229" s="10">
        <v>0.019</v>
      </c>
      <c r="G229" s="9">
        <v>45418</v>
      </c>
      <c r="H229" s="12">
        <f t="shared" si="3"/>
        <v>9500</v>
      </c>
      <c r="I229" s="10" t="s">
        <v>10</v>
      </c>
      <c r="J229" s="13">
        <v>45359</v>
      </c>
    </row>
    <row r="230" customFormat="1" spans="2:10">
      <c r="B230" s="86">
        <v>232402173</v>
      </c>
      <c r="C230" s="9">
        <v>45349</v>
      </c>
      <c r="D230" s="10" t="s">
        <v>58</v>
      </c>
      <c r="E230" s="10">
        <v>500000</v>
      </c>
      <c r="F230" s="10">
        <v>0.019</v>
      </c>
      <c r="G230" s="9">
        <v>45448</v>
      </c>
      <c r="H230" s="12">
        <f t="shared" si="3"/>
        <v>9500</v>
      </c>
      <c r="I230" s="10" t="s">
        <v>10</v>
      </c>
      <c r="J230" s="13">
        <v>45363</v>
      </c>
    </row>
    <row r="231" customFormat="1" spans="2:10">
      <c r="B231" s="86">
        <v>232402173</v>
      </c>
      <c r="C231" s="9">
        <v>45349</v>
      </c>
      <c r="D231" s="10" t="s">
        <v>32</v>
      </c>
      <c r="E231" s="10">
        <v>200000</v>
      </c>
      <c r="F231" s="10">
        <v>0.02</v>
      </c>
      <c r="G231" s="9">
        <v>45465</v>
      </c>
      <c r="H231" s="12">
        <f t="shared" si="3"/>
        <v>4000</v>
      </c>
      <c r="I231" s="10" t="s">
        <v>10</v>
      </c>
      <c r="J231" s="13">
        <v>45363</v>
      </c>
    </row>
    <row r="232" customFormat="1" spans="2:10">
      <c r="B232" s="86">
        <v>232402173</v>
      </c>
      <c r="C232" s="9">
        <v>45349</v>
      </c>
      <c r="D232" s="87" t="s">
        <v>204</v>
      </c>
      <c r="E232" s="10">
        <v>200000</v>
      </c>
      <c r="F232" s="10">
        <v>0.036</v>
      </c>
      <c r="G232" s="9">
        <v>45387</v>
      </c>
      <c r="H232" s="12">
        <f t="shared" si="3"/>
        <v>7200</v>
      </c>
      <c r="I232" s="10" t="s">
        <v>10</v>
      </c>
      <c r="J232" s="13">
        <v>45359</v>
      </c>
    </row>
    <row r="233" customFormat="1" spans="2:10">
      <c r="B233" s="86">
        <v>232402173</v>
      </c>
      <c r="C233" s="9">
        <v>45349</v>
      </c>
      <c r="D233" s="87" t="s">
        <v>204</v>
      </c>
      <c r="E233" s="10">
        <v>100000</v>
      </c>
      <c r="F233" s="10">
        <v>0.036</v>
      </c>
      <c r="G233" s="9">
        <v>45417</v>
      </c>
      <c r="H233" s="12">
        <f t="shared" si="3"/>
        <v>3600</v>
      </c>
      <c r="I233" s="10" t="s">
        <v>10</v>
      </c>
      <c r="J233" s="13">
        <v>45359</v>
      </c>
    </row>
    <row r="234" customFormat="1" spans="2:10">
      <c r="B234" s="86">
        <v>232402173</v>
      </c>
      <c r="C234" s="9">
        <v>45349</v>
      </c>
      <c r="D234" s="87" t="s">
        <v>204</v>
      </c>
      <c r="E234" s="10">
        <v>100000</v>
      </c>
      <c r="F234" s="10">
        <v>0.036</v>
      </c>
      <c r="G234" s="9">
        <v>45448</v>
      </c>
      <c r="H234" s="12">
        <f t="shared" si="3"/>
        <v>3600</v>
      </c>
      <c r="I234" s="10" t="s">
        <v>10</v>
      </c>
      <c r="J234" s="13">
        <v>45363</v>
      </c>
    </row>
    <row r="235" customFormat="1" spans="2:10">
      <c r="B235" s="86">
        <v>232402173</v>
      </c>
      <c r="C235" s="9">
        <v>45349</v>
      </c>
      <c r="D235" s="87" t="s">
        <v>204</v>
      </c>
      <c r="E235" s="10">
        <v>100000</v>
      </c>
      <c r="F235" s="10">
        <v>0.036</v>
      </c>
      <c r="G235" s="9">
        <v>45478</v>
      </c>
      <c r="H235" s="12">
        <f t="shared" si="3"/>
        <v>3600</v>
      </c>
      <c r="I235" s="10" t="s">
        <v>10</v>
      </c>
      <c r="J235" s="13">
        <v>45363</v>
      </c>
    </row>
    <row r="236" customFormat="1" spans="2:10">
      <c r="B236" s="86">
        <v>232402175</v>
      </c>
      <c r="C236" s="9">
        <v>45348</v>
      </c>
      <c r="D236" s="10" t="s">
        <v>56</v>
      </c>
      <c r="E236" s="10">
        <v>60000</v>
      </c>
      <c r="F236" s="10">
        <v>0.035</v>
      </c>
      <c r="G236" s="9">
        <v>45356</v>
      </c>
      <c r="H236" s="12">
        <f t="shared" si="3"/>
        <v>2100</v>
      </c>
      <c r="I236" s="10" t="s">
        <v>10</v>
      </c>
      <c r="J236" s="13">
        <v>45355</v>
      </c>
    </row>
    <row r="237" customFormat="1" spans="2:10">
      <c r="B237" s="86">
        <v>232402175</v>
      </c>
      <c r="C237" s="9">
        <v>45348</v>
      </c>
      <c r="D237" s="10" t="s">
        <v>56</v>
      </c>
      <c r="E237" s="10">
        <v>60000</v>
      </c>
      <c r="F237" s="10">
        <v>0.035</v>
      </c>
      <c r="G237" s="9">
        <v>45387</v>
      </c>
      <c r="H237" s="12">
        <f t="shared" si="3"/>
        <v>2100</v>
      </c>
      <c r="I237" s="10" t="s">
        <v>10</v>
      </c>
      <c r="J237" s="13">
        <v>45355</v>
      </c>
    </row>
    <row r="238" customFormat="1" spans="2:10">
      <c r="B238" s="86">
        <v>232402175</v>
      </c>
      <c r="C238" s="9">
        <v>45348</v>
      </c>
      <c r="D238" s="10" t="s">
        <v>56</v>
      </c>
      <c r="E238" s="10">
        <v>60000</v>
      </c>
      <c r="F238" s="10">
        <v>0.035</v>
      </c>
      <c r="G238" s="9">
        <v>45418</v>
      </c>
      <c r="H238" s="12">
        <f t="shared" si="3"/>
        <v>2100</v>
      </c>
      <c r="I238" s="10" t="s">
        <v>10</v>
      </c>
      <c r="J238" s="13">
        <v>45355</v>
      </c>
    </row>
    <row r="239" customFormat="1" spans="2:10">
      <c r="B239" s="86">
        <v>232402175</v>
      </c>
      <c r="C239" s="9">
        <v>45348</v>
      </c>
      <c r="D239" s="10" t="s">
        <v>56</v>
      </c>
      <c r="E239" s="10">
        <v>20000</v>
      </c>
      <c r="F239" s="10">
        <v>0.035</v>
      </c>
      <c r="G239" s="9">
        <v>45448</v>
      </c>
      <c r="H239" s="12">
        <f t="shared" si="3"/>
        <v>700</v>
      </c>
      <c r="I239" s="10" t="s">
        <v>10</v>
      </c>
      <c r="J239" s="13">
        <v>45355</v>
      </c>
    </row>
    <row r="240" customFormat="1" spans="2:10">
      <c r="B240" s="86">
        <v>232402175</v>
      </c>
      <c r="C240" s="9">
        <v>45348</v>
      </c>
      <c r="D240" s="10" t="s">
        <v>32</v>
      </c>
      <c r="E240" s="10">
        <v>150000</v>
      </c>
      <c r="F240" s="10">
        <v>0.02</v>
      </c>
      <c r="G240" s="9">
        <v>45404</v>
      </c>
      <c r="H240" s="12">
        <f t="shared" si="3"/>
        <v>3000</v>
      </c>
      <c r="I240" s="10" t="s">
        <v>10</v>
      </c>
      <c r="J240" s="13">
        <v>45355</v>
      </c>
    </row>
    <row r="241" customFormat="1" spans="1:10">
      <c r="B241" s="86">
        <v>232402175</v>
      </c>
      <c r="C241" s="9">
        <v>45348</v>
      </c>
      <c r="D241" s="87" t="s">
        <v>204</v>
      </c>
      <c r="E241" s="10">
        <v>180000</v>
      </c>
      <c r="F241" s="10">
        <v>0.036</v>
      </c>
      <c r="G241" s="9">
        <v>45418</v>
      </c>
      <c r="H241" s="12">
        <f t="shared" si="3"/>
        <v>6480</v>
      </c>
      <c r="I241" s="10" t="s">
        <v>10</v>
      </c>
      <c r="J241" s="13">
        <v>45355</v>
      </c>
    </row>
    <row r="242" customFormat="1" spans="1:10">
      <c r="B242" s="86">
        <v>232402175</v>
      </c>
      <c r="C242" s="9">
        <v>45348</v>
      </c>
      <c r="D242" s="10" t="s">
        <v>213</v>
      </c>
      <c r="E242" s="10">
        <v>180000</v>
      </c>
      <c r="F242" s="10">
        <v>0.05</v>
      </c>
      <c r="G242" s="9">
        <v>45434</v>
      </c>
      <c r="H242" s="12">
        <f t="shared" si="3"/>
        <v>9000</v>
      </c>
      <c r="I242" s="10" t="s">
        <v>10</v>
      </c>
      <c r="J242" s="13">
        <v>45355</v>
      </c>
    </row>
    <row r="243" customFormat="1" spans="1:10">
      <c r="B243" s="86">
        <v>232402175</v>
      </c>
      <c r="C243" s="9">
        <v>45348</v>
      </c>
      <c r="D243" s="10" t="s">
        <v>213</v>
      </c>
      <c r="E243" s="10">
        <v>180000</v>
      </c>
      <c r="F243" s="10">
        <v>0.05</v>
      </c>
      <c r="G243" s="9">
        <v>45466</v>
      </c>
      <c r="H243" s="12">
        <f t="shared" si="3"/>
        <v>9000</v>
      </c>
      <c r="I243" s="10" t="s">
        <v>10</v>
      </c>
      <c r="J243" s="13">
        <v>45355</v>
      </c>
    </row>
    <row r="244" customFormat="1" spans="1:10">
      <c r="B244" s="86">
        <v>232402175</v>
      </c>
      <c r="C244" s="9">
        <v>45348</v>
      </c>
      <c r="D244" s="10" t="s">
        <v>25</v>
      </c>
      <c r="E244" s="10">
        <v>20000</v>
      </c>
      <c r="F244" s="10">
        <v>0.016</v>
      </c>
      <c r="G244" s="9">
        <v>45404</v>
      </c>
      <c r="H244" s="12">
        <f t="shared" si="3"/>
        <v>320</v>
      </c>
      <c r="I244" s="10" t="s">
        <v>10</v>
      </c>
      <c r="J244" s="13">
        <v>45355</v>
      </c>
    </row>
    <row r="245" customFormat="1" spans="1:10">
      <c r="B245" s="86">
        <v>232402180</v>
      </c>
      <c r="C245" s="9">
        <v>45349</v>
      </c>
      <c r="D245" s="87" t="s">
        <v>202</v>
      </c>
      <c r="E245" s="10">
        <v>300000</v>
      </c>
      <c r="F245" s="10">
        <v>0.04</v>
      </c>
      <c r="G245" s="9">
        <v>45356</v>
      </c>
      <c r="H245" s="12">
        <f t="shared" si="3"/>
        <v>12000</v>
      </c>
      <c r="I245" s="10" t="s">
        <v>10</v>
      </c>
      <c r="J245" s="13">
        <v>45359</v>
      </c>
    </row>
    <row r="246" customFormat="1" spans="1:10">
      <c r="B246" s="86">
        <v>232402180</v>
      </c>
      <c r="C246" s="9">
        <v>45349</v>
      </c>
      <c r="D246" s="87" t="s">
        <v>202</v>
      </c>
      <c r="E246" s="10">
        <v>300000</v>
      </c>
      <c r="F246" s="10">
        <v>0.04</v>
      </c>
      <c r="G246" s="9">
        <v>45387</v>
      </c>
      <c r="H246" s="12">
        <f t="shared" si="3"/>
        <v>12000</v>
      </c>
      <c r="I246" s="10" t="s">
        <v>10</v>
      </c>
      <c r="J246" s="13">
        <v>45359</v>
      </c>
    </row>
    <row r="247" customFormat="1" spans="1:10">
      <c r="B247" s="86">
        <v>232402180</v>
      </c>
      <c r="C247" s="9">
        <v>45349</v>
      </c>
      <c r="D247" s="87" t="s">
        <v>202</v>
      </c>
      <c r="E247" s="10">
        <v>250000</v>
      </c>
      <c r="F247" s="10">
        <v>0.04</v>
      </c>
      <c r="G247" s="9">
        <v>45418</v>
      </c>
      <c r="H247" s="12">
        <f t="shared" si="3"/>
        <v>10000</v>
      </c>
      <c r="I247" s="10" t="s">
        <v>10</v>
      </c>
      <c r="J247" s="13">
        <v>45359</v>
      </c>
    </row>
    <row r="248" customFormat="1" spans="1:10">
      <c r="B248" s="86">
        <v>232402184</v>
      </c>
      <c r="C248" s="9">
        <v>45349</v>
      </c>
      <c r="D248" s="10" t="s">
        <v>95</v>
      </c>
      <c r="E248" s="10">
        <v>20160</v>
      </c>
      <c r="F248" s="10">
        <v>0.063</v>
      </c>
      <c r="G248" s="9">
        <v>45356</v>
      </c>
      <c r="H248" s="12">
        <f t="shared" si="3"/>
        <v>1270.08</v>
      </c>
      <c r="I248" s="10" t="s">
        <v>10</v>
      </c>
      <c r="J248" s="13">
        <v>45352</v>
      </c>
    </row>
    <row r="249" customFormat="1" spans="1:10">
      <c r="B249" s="86">
        <v>232402199</v>
      </c>
      <c r="C249" s="9">
        <v>45349</v>
      </c>
      <c r="D249" s="10" t="s">
        <v>241</v>
      </c>
      <c r="E249" s="10">
        <v>1064</v>
      </c>
      <c r="F249" s="10">
        <v>0.12</v>
      </c>
      <c r="G249" s="9">
        <v>45434</v>
      </c>
      <c r="H249" s="12">
        <f t="shared" si="3"/>
        <v>127.68</v>
      </c>
      <c r="I249" s="10" t="s">
        <v>10</v>
      </c>
      <c r="J249" s="13">
        <v>45352</v>
      </c>
    </row>
    <row r="250" customFormat="1" spans="1:10">
      <c r="B250" s="86">
        <v>232402227</v>
      </c>
      <c r="C250" s="9">
        <v>45356</v>
      </c>
      <c r="D250" s="10" t="s">
        <v>226</v>
      </c>
      <c r="E250" s="10">
        <v>200000</v>
      </c>
      <c r="F250" s="10">
        <v>0.08</v>
      </c>
      <c r="G250" s="9">
        <v>45434</v>
      </c>
      <c r="H250" s="12">
        <f t="shared" si="3"/>
        <v>16000</v>
      </c>
      <c r="I250" s="10" t="s">
        <v>10</v>
      </c>
      <c r="J250" s="13">
        <v>45363</v>
      </c>
    </row>
    <row r="251" customFormat="1" spans="1:10">
      <c r="B251" s="86">
        <v>232402227</v>
      </c>
      <c r="C251" s="9">
        <v>45356</v>
      </c>
      <c r="D251" s="10" t="s">
        <v>246</v>
      </c>
      <c r="E251" s="10">
        <v>20000</v>
      </c>
      <c r="F251" s="10">
        <v>0.07</v>
      </c>
      <c r="G251" s="9">
        <v>45404</v>
      </c>
      <c r="H251" s="12">
        <f t="shared" si="3"/>
        <v>1400</v>
      </c>
      <c r="I251" s="10" t="s">
        <v>10</v>
      </c>
      <c r="J251" s="13">
        <v>45359</v>
      </c>
    </row>
    <row r="252" customFormat="1" spans="1:10">
      <c r="B252" s="86">
        <v>232402227</v>
      </c>
      <c r="C252" s="9">
        <v>45356</v>
      </c>
      <c r="D252" s="87" t="s">
        <v>254</v>
      </c>
      <c r="E252" s="10">
        <v>1500000</v>
      </c>
      <c r="F252" s="10">
        <v>0.027</v>
      </c>
      <c r="G252" s="9">
        <v>45495</v>
      </c>
      <c r="H252" s="12">
        <f t="shared" si="3"/>
        <v>40500</v>
      </c>
      <c r="I252" s="10" t="s">
        <v>10</v>
      </c>
      <c r="J252" s="13">
        <v>45363</v>
      </c>
    </row>
    <row r="253" customFormat="1" spans="1:10">
      <c r="B253" s="86">
        <v>232402227</v>
      </c>
      <c r="C253" s="9">
        <v>45356</v>
      </c>
      <c r="D253" s="87" t="s">
        <v>210</v>
      </c>
      <c r="E253" s="10">
        <v>300000</v>
      </c>
      <c r="F253" s="10">
        <v>0.028</v>
      </c>
      <c r="G253" s="9">
        <v>45434</v>
      </c>
      <c r="H253" s="12">
        <f t="shared" si="3"/>
        <v>8400</v>
      </c>
      <c r="I253" s="10" t="s">
        <v>10</v>
      </c>
      <c r="J253" s="13">
        <v>45359</v>
      </c>
    </row>
    <row r="254" customFormat="1" spans="1:10">
      <c r="B254" s="86">
        <v>232402227</v>
      </c>
      <c r="C254" s="9">
        <v>45356</v>
      </c>
      <c r="D254" s="87" t="s">
        <v>210</v>
      </c>
      <c r="E254" s="10">
        <v>300000</v>
      </c>
      <c r="F254" s="10">
        <v>0.028</v>
      </c>
      <c r="G254" s="9">
        <v>45464</v>
      </c>
      <c r="H254" s="12">
        <f t="shared" si="3"/>
        <v>8400</v>
      </c>
      <c r="I254" s="10" t="s">
        <v>10</v>
      </c>
      <c r="J254" s="13">
        <v>45363</v>
      </c>
    </row>
    <row r="255" customFormat="1" spans="1:10">
      <c r="A255" t="s">
        <v>319</v>
      </c>
      <c r="B255" s="86">
        <v>232402256</v>
      </c>
      <c r="C255" s="9">
        <v>45359</v>
      </c>
      <c r="D255" s="87" t="s">
        <v>215</v>
      </c>
      <c r="E255" s="10">
        <v>20000</v>
      </c>
      <c r="F255" s="10">
        <v>0.028</v>
      </c>
      <c r="G255" s="9">
        <v>45387</v>
      </c>
      <c r="H255" s="12">
        <f t="shared" si="3"/>
        <v>560</v>
      </c>
      <c r="I255" s="10" t="s">
        <v>10</v>
      </c>
      <c r="J255" s="13">
        <v>45406</v>
      </c>
    </row>
    <row r="256" customFormat="1" spans="1:10">
      <c r="A256" t="s">
        <v>319</v>
      </c>
      <c r="B256" s="86">
        <v>232402256</v>
      </c>
      <c r="C256" s="9">
        <v>45359</v>
      </c>
      <c r="D256" s="87" t="s">
        <v>215</v>
      </c>
      <c r="E256" s="10">
        <v>20000</v>
      </c>
      <c r="F256" s="10">
        <v>0.028</v>
      </c>
      <c r="G256" s="9">
        <v>45418</v>
      </c>
      <c r="H256" s="12">
        <f t="shared" si="3"/>
        <v>560</v>
      </c>
      <c r="I256" s="10" t="s">
        <v>10</v>
      </c>
      <c r="J256" s="13">
        <v>45406</v>
      </c>
    </row>
    <row r="257" customFormat="1" spans="1:14">
      <c r="A257" t="s">
        <v>319</v>
      </c>
      <c r="B257" s="86">
        <v>232402256</v>
      </c>
      <c r="C257" s="9">
        <v>45359</v>
      </c>
      <c r="D257" s="87" t="s">
        <v>215</v>
      </c>
      <c r="E257" s="10">
        <v>20000</v>
      </c>
      <c r="F257" s="10">
        <v>0.028</v>
      </c>
      <c r="G257" s="9">
        <v>45448</v>
      </c>
      <c r="H257" s="12">
        <f t="shared" si="3"/>
        <v>560</v>
      </c>
      <c r="I257" s="10" t="s">
        <v>10</v>
      </c>
      <c r="J257" s="13">
        <v>45406</v>
      </c>
    </row>
    <row r="258" customFormat="1" spans="1:14">
      <c r="A258" t="s">
        <v>319</v>
      </c>
      <c r="B258" s="86">
        <v>232402256</v>
      </c>
      <c r="C258" s="9">
        <v>45359</v>
      </c>
      <c r="D258" s="87" t="s">
        <v>215</v>
      </c>
      <c r="E258" s="10">
        <v>20000</v>
      </c>
      <c r="F258" s="10">
        <v>0.028</v>
      </c>
      <c r="G258" s="9">
        <v>45478</v>
      </c>
      <c r="H258" s="12">
        <f t="shared" ref="H258:H321" si="4">E258*F258</f>
        <v>560</v>
      </c>
      <c r="I258" s="10" t="s">
        <v>10</v>
      </c>
      <c r="J258" s="13">
        <v>45406</v>
      </c>
    </row>
    <row r="259" customFormat="1" spans="1:14">
      <c r="A259" t="s">
        <v>319</v>
      </c>
      <c r="B259" s="86">
        <v>232402257</v>
      </c>
      <c r="C259" s="9">
        <v>45359</v>
      </c>
      <c r="D259" s="87" t="s">
        <v>215</v>
      </c>
      <c r="E259" s="10">
        <v>404000</v>
      </c>
      <c r="F259" s="10">
        <v>0.028</v>
      </c>
      <c r="G259" s="9">
        <v>45418</v>
      </c>
      <c r="H259" s="12">
        <f t="shared" si="4"/>
        <v>11312</v>
      </c>
      <c r="I259" s="10" t="s">
        <v>10</v>
      </c>
      <c r="J259" s="13">
        <v>45406</v>
      </c>
    </row>
    <row r="260" customFormat="1" spans="1:14">
      <c r="A260" t="s">
        <v>319</v>
      </c>
      <c r="B260" s="86">
        <v>232402257</v>
      </c>
      <c r="C260" s="9">
        <v>45359</v>
      </c>
      <c r="D260" s="87" t="s">
        <v>215</v>
      </c>
      <c r="E260" s="10">
        <v>406000</v>
      </c>
      <c r="F260" s="10">
        <v>0.028</v>
      </c>
      <c r="G260" s="9">
        <v>45418</v>
      </c>
      <c r="H260" s="12">
        <f t="shared" si="4"/>
        <v>11368</v>
      </c>
      <c r="I260" s="10" t="s">
        <v>10</v>
      </c>
      <c r="J260" s="13">
        <v>45406</v>
      </c>
      <c r="K260">
        <v>55</v>
      </c>
      <c r="M260" s="82"/>
      <c r="N260" s="82"/>
    </row>
    <row r="261" customFormat="1" spans="1:14">
      <c r="A261" t="s">
        <v>319</v>
      </c>
      <c r="B261" s="86">
        <v>232402257</v>
      </c>
      <c r="C261" s="9">
        <v>45359</v>
      </c>
      <c r="D261" s="87" t="s">
        <v>215</v>
      </c>
      <c r="E261" s="10">
        <v>404000</v>
      </c>
      <c r="F261" s="10">
        <v>0.028</v>
      </c>
      <c r="G261" s="9">
        <v>45448</v>
      </c>
      <c r="H261" s="12">
        <f t="shared" si="4"/>
        <v>11312</v>
      </c>
      <c r="I261" s="10" t="s">
        <v>10</v>
      </c>
      <c r="J261" s="13">
        <v>45406</v>
      </c>
      <c r="K261">
        <v>50</v>
      </c>
      <c r="M261" s="82"/>
      <c r="N261" s="82"/>
    </row>
    <row r="262" customFormat="1" spans="1:14">
      <c r="A262" t="s">
        <v>319</v>
      </c>
      <c r="B262" s="86">
        <v>232402257</v>
      </c>
      <c r="C262" s="9">
        <v>45359</v>
      </c>
      <c r="D262" s="87" t="s">
        <v>215</v>
      </c>
      <c r="E262" s="10">
        <v>406000</v>
      </c>
      <c r="F262" s="10">
        <v>0.028</v>
      </c>
      <c r="G262" s="9">
        <v>45448</v>
      </c>
      <c r="H262" s="12">
        <f t="shared" si="4"/>
        <v>11368</v>
      </c>
      <c r="I262" s="10" t="s">
        <v>10</v>
      </c>
      <c r="J262" s="13">
        <v>45406</v>
      </c>
    </row>
    <row r="263" customFormat="1" spans="1:14">
      <c r="A263" t="s">
        <v>319</v>
      </c>
      <c r="B263" s="86">
        <v>232402301</v>
      </c>
      <c r="C263" s="9">
        <v>45364</v>
      </c>
      <c r="D263" s="10" t="s">
        <v>32</v>
      </c>
      <c r="E263" s="10">
        <v>200000</v>
      </c>
      <c r="F263" s="10">
        <v>0.02</v>
      </c>
      <c r="G263" s="9">
        <v>45448</v>
      </c>
      <c r="H263" s="12">
        <f t="shared" si="4"/>
        <v>4000</v>
      </c>
      <c r="I263" s="10" t="s">
        <v>10</v>
      </c>
      <c r="J263" s="13">
        <v>45391</v>
      </c>
    </row>
    <row r="264" customFormat="1" spans="1:14">
      <c r="A264" t="s">
        <v>319</v>
      </c>
      <c r="B264" s="86">
        <v>232402301</v>
      </c>
      <c r="C264" s="9">
        <v>45364</v>
      </c>
      <c r="D264" s="10" t="s">
        <v>32</v>
      </c>
      <c r="E264" s="10">
        <v>200000</v>
      </c>
      <c r="F264" s="10">
        <v>0.02</v>
      </c>
      <c r="G264" s="9">
        <v>45448</v>
      </c>
      <c r="H264" s="12">
        <f t="shared" si="4"/>
        <v>4000</v>
      </c>
      <c r="I264" s="10" t="s">
        <v>10</v>
      </c>
      <c r="J264" s="13">
        <v>45391</v>
      </c>
    </row>
    <row r="265" customFormat="1" spans="1:14">
      <c r="A265" t="s">
        <v>319</v>
      </c>
      <c r="B265" s="86">
        <v>232402301</v>
      </c>
      <c r="C265" s="9">
        <v>45364</v>
      </c>
      <c r="D265" s="10" t="s">
        <v>32</v>
      </c>
      <c r="E265" s="10">
        <v>200000</v>
      </c>
      <c r="F265" s="10">
        <v>0.02</v>
      </c>
      <c r="G265" s="9">
        <v>45478</v>
      </c>
      <c r="H265" s="12">
        <f t="shared" si="4"/>
        <v>4000</v>
      </c>
      <c r="I265" s="10" t="s">
        <v>10</v>
      </c>
      <c r="J265" s="13">
        <v>45404</v>
      </c>
    </row>
    <row r="266" customFormat="1" spans="1:14">
      <c r="A266" t="s">
        <v>319</v>
      </c>
      <c r="B266" s="86">
        <v>232402301</v>
      </c>
      <c r="C266" s="9">
        <v>45364</v>
      </c>
      <c r="D266" s="10" t="s">
        <v>32</v>
      </c>
      <c r="E266" s="10">
        <v>200000</v>
      </c>
      <c r="F266" s="10">
        <v>0.02</v>
      </c>
      <c r="G266" s="9">
        <v>45478</v>
      </c>
      <c r="H266" s="12">
        <f t="shared" si="4"/>
        <v>4000</v>
      </c>
      <c r="I266" s="10" t="s">
        <v>10</v>
      </c>
      <c r="J266" s="13">
        <v>45404</v>
      </c>
    </row>
    <row r="267" customFormat="1" spans="1:14">
      <c r="A267" t="s">
        <v>319</v>
      </c>
      <c r="B267" s="86">
        <v>232402301</v>
      </c>
      <c r="C267" s="9">
        <v>45364</v>
      </c>
      <c r="D267" s="10" t="s">
        <v>32</v>
      </c>
      <c r="E267" s="10">
        <v>200000</v>
      </c>
      <c r="F267" s="10">
        <v>0.02</v>
      </c>
      <c r="G267" s="9">
        <v>45478</v>
      </c>
      <c r="H267" s="12">
        <f t="shared" si="4"/>
        <v>4000</v>
      </c>
      <c r="I267" s="10" t="s">
        <v>10</v>
      </c>
      <c r="J267" s="13">
        <v>45404</v>
      </c>
    </row>
    <row r="268" customFormat="1" spans="1:14">
      <c r="A268" t="s">
        <v>319</v>
      </c>
      <c r="B268" s="86">
        <v>232402301</v>
      </c>
      <c r="C268" s="9">
        <v>45364</v>
      </c>
      <c r="D268" s="87" t="s">
        <v>202</v>
      </c>
      <c r="E268" s="10">
        <v>200000</v>
      </c>
      <c r="F268" s="10">
        <v>0.04</v>
      </c>
      <c r="G268" s="9">
        <v>45478</v>
      </c>
      <c r="H268" s="12">
        <f t="shared" si="4"/>
        <v>8000</v>
      </c>
      <c r="I268" s="10" t="s">
        <v>10</v>
      </c>
      <c r="J268" s="13">
        <v>45404</v>
      </c>
    </row>
    <row r="269" customFormat="1" spans="1:14">
      <c r="A269" t="s">
        <v>319</v>
      </c>
      <c r="B269" s="86">
        <v>232402302</v>
      </c>
      <c r="C269" s="9">
        <v>45364</v>
      </c>
      <c r="D269" s="87" t="s">
        <v>207</v>
      </c>
      <c r="E269" s="10">
        <v>20000</v>
      </c>
      <c r="F269" s="10">
        <v>0.03</v>
      </c>
      <c r="G269" s="9">
        <v>45387</v>
      </c>
      <c r="H269" s="12">
        <f t="shared" si="4"/>
        <v>600</v>
      </c>
      <c r="I269" s="10" t="s">
        <v>10</v>
      </c>
      <c r="J269" s="13">
        <v>45376</v>
      </c>
    </row>
    <row r="270" customFormat="1" spans="1:14">
      <c r="A270" t="s">
        <v>319</v>
      </c>
      <c r="B270" s="86">
        <v>232402302</v>
      </c>
      <c r="C270" s="9">
        <v>45364</v>
      </c>
      <c r="D270" s="10" t="s">
        <v>78</v>
      </c>
      <c r="E270" s="10">
        <v>200000</v>
      </c>
      <c r="F270" s="10">
        <v>0.02</v>
      </c>
      <c r="G270" s="9">
        <v>45387</v>
      </c>
      <c r="H270" s="12">
        <f t="shared" si="4"/>
        <v>4000</v>
      </c>
      <c r="I270" s="10" t="s">
        <v>10</v>
      </c>
      <c r="J270" s="13">
        <v>45376</v>
      </c>
    </row>
    <row r="271" customFormat="1" spans="1:14">
      <c r="A271" t="s">
        <v>319</v>
      </c>
      <c r="B271" s="86">
        <v>232402302</v>
      </c>
      <c r="C271" s="9">
        <v>45364</v>
      </c>
      <c r="D271" s="10" t="s">
        <v>78</v>
      </c>
      <c r="E271" s="10">
        <v>100000</v>
      </c>
      <c r="F271" s="10">
        <v>0.02</v>
      </c>
      <c r="G271" s="9">
        <v>45418</v>
      </c>
      <c r="H271" s="12">
        <f t="shared" si="4"/>
        <v>2000</v>
      </c>
      <c r="I271" s="10" t="s">
        <v>10</v>
      </c>
      <c r="J271" s="13">
        <v>45376</v>
      </c>
    </row>
    <row r="272" customFormat="1" spans="1:14">
      <c r="A272" t="s">
        <v>319</v>
      </c>
      <c r="B272" s="86">
        <v>232402302</v>
      </c>
      <c r="C272" s="9">
        <v>45364</v>
      </c>
      <c r="D272" s="87" t="s">
        <v>204</v>
      </c>
      <c r="E272" s="10">
        <v>200000</v>
      </c>
      <c r="F272" s="10">
        <v>0.036</v>
      </c>
      <c r="G272" s="9">
        <v>45418</v>
      </c>
      <c r="H272" s="12">
        <f t="shared" si="4"/>
        <v>7200</v>
      </c>
      <c r="I272" s="10" t="s">
        <v>10</v>
      </c>
      <c r="J272" s="13">
        <v>45376</v>
      </c>
    </row>
    <row r="273" customFormat="1" spans="1:10">
      <c r="A273" t="s">
        <v>319</v>
      </c>
      <c r="B273" s="86">
        <v>232402302</v>
      </c>
      <c r="C273" s="9">
        <v>45364</v>
      </c>
      <c r="D273" s="87" t="s">
        <v>204</v>
      </c>
      <c r="E273" s="10">
        <v>200000</v>
      </c>
      <c r="F273" s="10">
        <v>0.036</v>
      </c>
      <c r="G273" s="9">
        <v>45418</v>
      </c>
      <c r="H273" s="12">
        <f t="shared" si="4"/>
        <v>7200</v>
      </c>
      <c r="I273" s="10" t="s">
        <v>10</v>
      </c>
      <c r="J273" s="13">
        <v>45376</v>
      </c>
    </row>
    <row r="274" customFormat="1" spans="1:10">
      <c r="A274" t="s">
        <v>319</v>
      </c>
      <c r="B274" s="86">
        <v>232402302</v>
      </c>
      <c r="C274" s="9">
        <v>45364</v>
      </c>
      <c r="D274" s="87" t="s">
        <v>270</v>
      </c>
      <c r="E274" s="10">
        <v>20000</v>
      </c>
      <c r="F274" s="10">
        <v>0.0238</v>
      </c>
      <c r="G274" s="9">
        <v>45387</v>
      </c>
      <c r="H274" s="12">
        <f t="shared" si="4"/>
        <v>476</v>
      </c>
      <c r="I274" s="10" t="s">
        <v>10</v>
      </c>
      <c r="J274" s="13">
        <v>45376</v>
      </c>
    </row>
    <row r="275" customFormat="1" spans="1:10">
      <c r="A275" t="s">
        <v>319</v>
      </c>
      <c r="B275" s="86">
        <v>232402302</v>
      </c>
      <c r="C275" s="9">
        <v>45364</v>
      </c>
      <c r="D275" s="10" t="s">
        <v>100</v>
      </c>
      <c r="E275" s="10">
        <v>20000</v>
      </c>
      <c r="F275" s="10">
        <v>0.03</v>
      </c>
      <c r="G275" s="9">
        <v>45418</v>
      </c>
      <c r="H275" s="12">
        <f t="shared" si="4"/>
        <v>600</v>
      </c>
      <c r="I275" s="10" t="s">
        <v>10</v>
      </c>
      <c r="J275" s="13">
        <v>45376</v>
      </c>
    </row>
    <row r="276" customFormat="1" spans="1:10">
      <c r="A276" t="s">
        <v>319</v>
      </c>
      <c r="B276" s="86">
        <v>232402303</v>
      </c>
      <c r="C276" s="9">
        <v>45364</v>
      </c>
      <c r="D276" s="10" t="s">
        <v>100</v>
      </c>
      <c r="E276" s="10">
        <v>20000</v>
      </c>
      <c r="F276" s="10">
        <v>0.03</v>
      </c>
      <c r="G276" s="9">
        <v>45373</v>
      </c>
      <c r="H276" s="12">
        <f t="shared" si="4"/>
        <v>600</v>
      </c>
      <c r="I276" s="10" t="s">
        <v>10</v>
      </c>
      <c r="J276" s="13">
        <v>45376</v>
      </c>
    </row>
    <row r="277" customFormat="1" spans="1:10">
      <c r="A277" t="s">
        <v>319</v>
      </c>
      <c r="B277" s="86">
        <v>232402308</v>
      </c>
      <c r="C277" s="9">
        <v>45364</v>
      </c>
      <c r="D277" s="87" t="s">
        <v>237</v>
      </c>
      <c r="E277" s="10">
        <v>20000</v>
      </c>
      <c r="F277" s="10">
        <v>0.18</v>
      </c>
      <c r="G277" s="9">
        <v>45434</v>
      </c>
      <c r="H277" s="12">
        <f t="shared" si="4"/>
        <v>3600</v>
      </c>
      <c r="I277" s="10" t="s">
        <v>10</v>
      </c>
      <c r="J277" s="13">
        <v>45378</v>
      </c>
    </row>
    <row r="278" customFormat="1" spans="1:10">
      <c r="A278" t="s">
        <v>319</v>
      </c>
      <c r="B278" s="86">
        <v>232402308</v>
      </c>
      <c r="C278" s="9">
        <v>45364</v>
      </c>
      <c r="D278" s="87" t="s">
        <v>227</v>
      </c>
      <c r="E278" s="10">
        <v>8000</v>
      </c>
      <c r="F278" s="10">
        <v>0.5</v>
      </c>
      <c r="G278" s="9">
        <v>45404</v>
      </c>
      <c r="H278" s="12">
        <f t="shared" si="4"/>
        <v>4000</v>
      </c>
      <c r="I278" s="10" t="s">
        <v>10</v>
      </c>
      <c r="J278" s="13">
        <v>45376</v>
      </c>
    </row>
    <row r="279" customFormat="1" spans="1:10">
      <c r="A279" t="s">
        <v>319</v>
      </c>
      <c r="B279" s="86">
        <v>232402308</v>
      </c>
      <c r="C279" s="9">
        <v>45364</v>
      </c>
      <c r="D279" s="87" t="s">
        <v>216</v>
      </c>
      <c r="E279" s="10">
        <v>20000</v>
      </c>
      <c r="F279" s="10">
        <v>0.045</v>
      </c>
      <c r="G279" s="9">
        <v>45434</v>
      </c>
      <c r="H279" s="12">
        <f t="shared" si="4"/>
        <v>900</v>
      </c>
      <c r="I279" s="10" t="s">
        <v>10</v>
      </c>
      <c r="J279" s="13">
        <v>45378</v>
      </c>
    </row>
    <row r="280" customFormat="1" spans="1:10">
      <c r="A280" t="s">
        <v>319</v>
      </c>
      <c r="B280" s="86">
        <v>232402308</v>
      </c>
      <c r="C280" s="9">
        <v>45364</v>
      </c>
      <c r="D280" s="87" t="s">
        <v>322</v>
      </c>
      <c r="E280" s="10">
        <v>32000</v>
      </c>
      <c r="F280" s="10">
        <v>0.015</v>
      </c>
      <c r="G280" s="9">
        <v>45373</v>
      </c>
      <c r="H280" s="12">
        <f t="shared" si="4"/>
        <v>480</v>
      </c>
      <c r="I280" s="10" t="s">
        <v>10</v>
      </c>
      <c r="J280" s="13">
        <v>45376</v>
      </c>
    </row>
    <row r="281" customFormat="1" spans="1:10">
      <c r="A281" t="s">
        <v>319</v>
      </c>
      <c r="B281" s="86">
        <v>232402308</v>
      </c>
      <c r="C281" s="9">
        <v>45364</v>
      </c>
      <c r="D281" s="87" t="s">
        <v>322</v>
      </c>
      <c r="E281" s="10">
        <v>32000</v>
      </c>
      <c r="F281" s="10">
        <v>0.015</v>
      </c>
      <c r="G281" s="9">
        <v>45404</v>
      </c>
      <c r="H281" s="12">
        <f t="shared" si="4"/>
        <v>480</v>
      </c>
      <c r="I281" s="10" t="s">
        <v>10</v>
      </c>
      <c r="J281" s="13">
        <v>45376</v>
      </c>
    </row>
    <row r="282" customFormat="1" spans="1:10">
      <c r="A282" t="s">
        <v>319</v>
      </c>
      <c r="B282" s="86">
        <v>232402308</v>
      </c>
      <c r="C282" s="9">
        <v>45364</v>
      </c>
      <c r="D282" s="87" t="s">
        <v>322</v>
      </c>
      <c r="E282" s="10">
        <v>48000</v>
      </c>
      <c r="F282" s="10">
        <v>0.015</v>
      </c>
      <c r="G282" s="9">
        <v>45434</v>
      </c>
      <c r="H282" s="12">
        <f t="shared" si="4"/>
        <v>720</v>
      </c>
      <c r="I282" s="10" t="s">
        <v>10</v>
      </c>
      <c r="J282" s="13">
        <v>45378</v>
      </c>
    </row>
    <row r="283" customFormat="1" spans="1:10">
      <c r="A283" t="s">
        <v>319</v>
      </c>
      <c r="B283" s="86">
        <v>232402308</v>
      </c>
      <c r="C283" s="9">
        <v>45364</v>
      </c>
      <c r="D283" s="87" t="s">
        <v>248</v>
      </c>
      <c r="E283" s="10">
        <v>50000</v>
      </c>
      <c r="F283" s="10">
        <v>0.065</v>
      </c>
      <c r="G283" s="9">
        <v>45373</v>
      </c>
      <c r="H283" s="12">
        <f t="shared" si="4"/>
        <v>3250</v>
      </c>
      <c r="I283" s="10" t="s">
        <v>10</v>
      </c>
      <c r="J283" s="13">
        <v>45376</v>
      </c>
    </row>
    <row r="284" customFormat="1" spans="1:10">
      <c r="A284" t="s">
        <v>319</v>
      </c>
      <c r="B284" s="86">
        <v>232402308</v>
      </c>
      <c r="C284" s="9">
        <v>45364</v>
      </c>
      <c r="D284" s="87" t="s">
        <v>248</v>
      </c>
      <c r="E284" s="10">
        <v>50000</v>
      </c>
      <c r="F284" s="10">
        <v>0.065</v>
      </c>
      <c r="G284" s="9">
        <v>45404</v>
      </c>
      <c r="H284" s="12">
        <f t="shared" si="4"/>
        <v>3250</v>
      </c>
      <c r="I284" s="10" t="s">
        <v>10</v>
      </c>
      <c r="J284" s="13">
        <v>45376</v>
      </c>
    </row>
    <row r="285" customFormat="1" spans="1:10">
      <c r="A285" t="s">
        <v>319</v>
      </c>
      <c r="B285" s="86">
        <v>232402308</v>
      </c>
      <c r="C285" s="9">
        <v>45364</v>
      </c>
      <c r="D285" s="87" t="s">
        <v>248</v>
      </c>
      <c r="E285" s="10">
        <v>50000</v>
      </c>
      <c r="F285" s="10">
        <v>0.065</v>
      </c>
      <c r="G285" s="9">
        <v>45434</v>
      </c>
      <c r="H285" s="12">
        <f t="shared" si="4"/>
        <v>3250</v>
      </c>
      <c r="I285" s="10" t="s">
        <v>10</v>
      </c>
      <c r="J285" s="13">
        <v>45376</v>
      </c>
    </row>
    <row r="286" customFormat="1" spans="1:10">
      <c r="A286" t="s">
        <v>319</v>
      </c>
      <c r="B286" s="86">
        <v>232402309</v>
      </c>
      <c r="C286" s="9">
        <v>45364</v>
      </c>
      <c r="D286" s="87" t="s">
        <v>215</v>
      </c>
      <c r="E286" s="10">
        <v>200000</v>
      </c>
      <c r="F286" s="10">
        <v>0.028</v>
      </c>
      <c r="G286" s="9">
        <v>45434</v>
      </c>
      <c r="H286" s="12">
        <f t="shared" si="4"/>
        <v>5600</v>
      </c>
      <c r="I286" s="10" t="s">
        <v>10</v>
      </c>
      <c r="J286" s="13">
        <v>45425</v>
      </c>
    </row>
    <row r="287" customFormat="1" spans="1:10">
      <c r="A287" t="s">
        <v>319</v>
      </c>
      <c r="B287" s="86">
        <v>232402310</v>
      </c>
      <c r="C287" s="9">
        <v>45364</v>
      </c>
      <c r="D287" s="87" t="s">
        <v>297</v>
      </c>
      <c r="E287" s="10">
        <v>400000</v>
      </c>
      <c r="F287" s="10">
        <v>0.15</v>
      </c>
      <c r="G287" s="9">
        <v>45464</v>
      </c>
      <c r="H287" s="12">
        <f t="shared" si="4"/>
        <v>60000</v>
      </c>
      <c r="I287" s="10" t="s">
        <v>10</v>
      </c>
      <c r="J287" s="13">
        <v>45418</v>
      </c>
    </row>
    <row r="288" customFormat="1" spans="1:10">
      <c r="A288" t="s">
        <v>319</v>
      </c>
      <c r="B288" s="86">
        <v>232402310</v>
      </c>
      <c r="C288" s="9">
        <v>45364</v>
      </c>
      <c r="D288" s="87" t="s">
        <v>254</v>
      </c>
      <c r="E288" s="10">
        <v>500000</v>
      </c>
      <c r="F288" s="10">
        <v>0.027</v>
      </c>
      <c r="G288" s="9">
        <v>45434</v>
      </c>
      <c r="H288" s="12">
        <f t="shared" si="4"/>
        <v>13500</v>
      </c>
      <c r="I288" s="10" t="s">
        <v>10</v>
      </c>
      <c r="J288" s="13">
        <v>45378</v>
      </c>
    </row>
    <row r="289" customFormat="1" spans="1:10">
      <c r="A289" t="s">
        <v>319</v>
      </c>
      <c r="B289" s="86">
        <v>232402310</v>
      </c>
      <c r="C289" s="9">
        <v>45364</v>
      </c>
      <c r="D289" s="87" t="s">
        <v>254</v>
      </c>
      <c r="E289" s="10">
        <v>500000</v>
      </c>
      <c r="F289" s="10">
        <v>0.027</v>
      </c>
      <c r="G289" s="9">
        <v>45434</v>
      </c>
      <c r="H289" s="12">
        <f t="shared" si="4"/>
        <v>13500</v>
      </c>
      <c r="I289" s="10" t="s">
        <v>10</v>
      </c>
      <c r="J289" s="13">
        <v>45378</v>
      </c>
    </row>
    <row r="290" customFormat="1" spans="1:10">
      <c r="A290" t="s">
        <v>319</v>
      </c>
      <c r="B290" s="86">
        <v>232402310</v>
      </c>
      <c r="C290" s="9">
        <v>45364</v>
      </c>
      <c r="D290" s="87" t="s">
        <v>254</v>
      </c>
      <c r="E290" s="10">
        <v>500000</v>
      </c>
      <c r="F290" s="10">
        <v>0.027</v>
      </c>
      <c r="G290" s="9">
        <v>45434</v>
      </c>
      <c r="H290" s="12">
        <f t="shared" si="4"/>
        <v>13500</v>
      </c>
      <c r="I290" s="10" t="s">
        <v>10</v>
      </c>
      <c r="J290" s="13">
        <v>45378</v>
      </c>
    </row>
    <row r="291" customFormat="1" spans="1:10">
      <c r="A291" t="s">
        <v>319</v>
      </c>
      <c r="B291" s="86">
        <v>232402310</v>
      </c>
      <c r="C291" s="9">
        <v>45364</v>
      </c>
      <c r="D291" s="87" t="s">
        <v>248</v>
      </c>
      <c r="E291" s="10">
        <v>150000</v>
      </c>
      <c r="F291" s="10">
        <v>0.065</v>
      </c>
      <c r="G291" s="9">
        <v>45434</v>
      </c>
      <c r="H291" s="12">
        <f t="shared" si="4"/>
        <v>9750</v>
      </c>
      <c r="I291" s="10" t="s">
        <v>10</v>
      </c>
      <c r="J291" s="13">
        <v>45378</v>
      </c>
    </row>
    <row r="292" customFormat="1" spans="1:10">
      <c r="A292" t="s">
        <v>319</v>
      </c>
      <c r="B292" s="86">
        <v>232402311</v>
      </c>
      <c r="C292" s="9">
        <v>45365</v>
      </c>
      <c r="D292" s="10" t="s">
        <v>12</v>
      </c>
      <c r="E292" s="10">
        <v>60000</v>
      </c>
      <c r="F292" s="10">
        <v>0.06</v>
      </c>
      <c r="G292" s="9">
        <v>45387</v>
      </c>
      <c r="H292" s="12">
        <f t="shared" si="4"/>
        <v>3600</v>
      </c>
      <c r="I292" s="10" t="s">
        <v>10</v>
      </c>
      <c r="J292" s="13">
        <v>45376</v>
      </c>
    </row>
    <row r="293" customFormat="1" spans="1:10">
      <c r="A293" t="s">
        <v>319</v>
      </c>
      <c r="B293" s="86">
        <v>232402311</v>
      </c>
      <c r="C293" s="9">
        <v>45365</v>
      </c>
      <c r="D293" s="10" t="s">
        <v>12</v>
      </c>
      <c r="E293" s="10">
        <v>50000</v>
      </c>
      <c r="F293" s="10">
        <v>0.06</v>
      </c>
      <c r="G293" s="9">
        <v>45418</v>
      </c>
      <c r="H293" s="12">
        <f t="shared" si="4"/>
        <v>3000</v>
      </c>
      <c r="I293" s="10" t="s">
        <v>10</v>
      </c>
      <c r="J293" s="13">
        <v>45376</v>
      </c>
    </row>
    <row r="294" customFormat="1" spans="1:10">
      <c r="A294" t="s">
        <v>319</v>
      </c>
      <c r="B294" s="86">
        <v>232402311</v>
      </c>
      <c r="C294" s="9">
        <v>45365</v>
      </c>
      <c r="D294" s="10" t="s">
        <v>100</v>
      </c>
      <c r="E294" s="10">
        <v>300000</v>
      </c>
      <c r="F294" s="10">
        <v>0.03</v>
      </c>
      <c r="G294" s="9">
        <v>45418</v>
      </c>
      <c r="H294" s="12">
        <f t="shared" si="4"/>
        <v>9000</v>
      </c>
      <c r="I294" s="10" t="s">
        <v>10</v>
      </c>
      <c r="J294" s="13">
        <v>45376</v>
      </c>
    </row>
    <row r="295" customFormat="1" spans="1:10">
      <c r="A295" t="s">
        <v>319</v>
      </c>
      <c r="B295" s="86">
        <v>232402311</v>
      </c>
      <c r="C295" s="9">
        <v>45365</v>
      </c>
      <c r="D295" s="87" t="s">
        <v>202</v>
      </c>
      <c r="E295" s="10">
        <v>500000</v>
      </c>
      <c r="F295" s="10">
        <v>0.04</v>
      </c>
      <c r="G295" s="9">
        <v>45418</v>
      </c>
      <c r="H295" s="12">
        <f t="shared" si="4"/>
        <v>20000</v>
      </c>
      <c r="I295" s="10" t="s">
        <v>10</v>
      </c>
      <c r="J295" s="13">
        <v>45378</v>
      </c>
    </row>
    <row r="296" customFormat="1" spans="1:10">
      <c r="A296" t="s">
        <v>319</v>
      </c>
      <c r="B296" s="86">
        <v>232402339</v>
      </c>
      <c r="C296" s="9">
        <v>45366</v>
      </c>
      <c r="D296" s="10" t="s">
        <v>220</v>
      </c>
      <c r="E296" s="10">
        <v>120000</v>
      </c>
      <c r="F296" s="10">
        <v>0.0115</v>
      </c>
      <c r="G296" s="9">
        <v>45404</v>
      </c>
      <c r="H296" s="12">
        <f t="shared" si="4"/>
        <v>1380</v>
      </c>
      <c r="I296" s="10" t="s">
        <v>10</v>
      </c>
      <c r="J296" s="13">
        <v>45405</v>
      </c>
    </row>
    <row r="297" customFormat="1" spans="1:10">
      <c r="A297" t="s">
        <v>319</v>
      </c>
      <c r="B297" s="86">
        <v>232402339</v>
      </c>
      <c r="C297" s="9">
        <v>45366</v>
      </c>
      <c r="D297" s="10" t="s">
        <v>220</v>
      </c>
      <c r="E297" s="10">
        <v>120000</v>
      </c>
      <c r="F297" s="10">
        <v>0.0115</v>
      </c>
      <c r="G297" s="9">
        <v>45434</v>
      </c>
      <c r="H297" s="12">
        <f t="shared" si="4"/>
        <v>1380</v>
      </c>
      <c r="I297" s="10" t="s">
        <v>10</v>
      </c>
      <c r="J297" s="13">
        <v>45405</v>
      </c>
    </row>
    <row r="298" customFormat="1" spans="1:10">
      <c r="A298" t="s">
        <v>319</v>
      </c>
      <c r="B298" s="86">
        <v>232402339</v>
      </c>
      <c r="C298" s="9">
        <v>45366</v>
      </c>
      <c r="D298" s="10" t="s">
        <v>220</v>
      </c>
      <c r="E298" s="10">
        <v>120000</v>
      </c>
      <c r="F298" s="10">
        <v>0.0115</v>
      </c>
      <c r="G298" s="9">
        <v>45465</v>
      </c>
      <c r="H298" s="12">
        <f t="shared" si="4"/>
        <v>1380</v>
      </c>
      <c r="I298" s="10" t="s">
        <v>10</v>
      </c>
      <c r="J298" s="13">
        <v>45405</v>
      </c>
    </row>
    <row r="299" customFormat="1" spans="1:10">
      <c r="A299" t="s">
        <v>319</v>
      </c>
      <c r="B299" s="86">
        <v>232402340</v>
      </c>
      <c r="C299" s="9">
        <v>45366</v>
      </c>
      <c r="D299" s="10" t="s">
        <v>289</v>
      </c>
      <c r="E299" s="10">
        <v>20000</v>
      </c>
      <c r="F299" s="10">
        <v>0.033</v>
      </c>
      <c r="G299" s="9">
        <v>45434</v>
      </c>
      <c r="H299" s="12">
        <f t="shared" si="4"/>
        <v>660</v>
      </c>
      <c r="I299" s="10" t="s">
        <v>10</v>
      </c>
      <c r="J299" s="13">
        <v>45378</v>
      </c>
    </row>
    <row r="300" customFormat="1" spans="1:10">
      <c r="A300" t="s">
        <v>319</v>
      </c>
      <c r="B300" s="86">
        <v>232402341</v>
      </c>
      <c r="C300" s="9">
        <v>45366</v>
      </c>
      <c r="D300" s="87" t="s">
        <v>200</v>
      </c>
      <c r="E300" s="10">
        <v>50000</v>
      </c>
      <c r="F300" s="10">
        <v>0.05</v>
      </c>
      <c r="G300" s="9">
        <v>45373</v>
      </c>
      <c r="H300" s="12">
        <f t="shared" si="4"/>
        <v>2500</v>
      </c>
      <c r="I300" s="10" t="s">
        <v>10</v>
      </c>
      <c r="J300" s="13">
        <v>45376</v>
      </c>
    </row>
    <row r="301" customFormat="1" spans="1:10">
      <c r="A301" t="s">
        <v>319</v>
      </c>
      <c r="B301" s="86">
        <v>232402341</v>
      </c>
      <c r="C301" s="9">
        <v>45366</v>
      </c>
      <c r="D301" s="87" t="s">
        <v>200</v>
      </c>
      <c r="E301" s="10">
        <v>50000</v>
      </c>
      <c r="F301" s="10">
        <v>0.05</v>
      </c>
      <c r="G301" s="9">
        <v>45404</v>
      </c>
      <c r="H301" s="12">
        <f t="shared" si="4"/>
        <v>2500</v>
      </c>
      <c r="I301" s="10" t="s">
        <v>10</v>
      </c>
      <c r="J301" s="13">
        <v>45376</v>
      </c>
    </row>
    <row r="302" customFormat="1" spans="1:10">
      <c r="A302" t="s">
        <v>319</v>
      </c>
      <c r="B302" s="86">
        <v>232402343</v>
      </c>
      <c r="C302" s="9">
        <v>45366</v>
      </c>
      <c r="D302" s="87" t="s">
        <v>323</v>
      </c>
      <c r="E302" s="10">
        <v>50000</v>
      </c>
      <c r="F302" s="10">
        <v>0.1</v>
      </c>
      <c r="G302" s="9">
        <v>45404</v>
      </c>
      <c r="H302" s="12">
        <f t="shared" si="4"/>
        <v>5000</v>
      </c>
      <c r="I302" s="10" t="s">
        <v>10</v>
      </c>
      <c r="J302" s="13">
        <v>45376</v>
      </c>
    </row>
    <row r="303" customFormat="1" spans="1:10">
      <c r="A303" t="s">
        <v>319</v>
      </c>
      <c r="B303" s="86">
        <v>232402343</v>
      </c>
      <c r="C303" s="9">
        <v>45366</v>
      </c>
      <c r="D303" s="87" t="s">
        <v>323</v>
      </c>
      <c r="E303" s="10">
        <v>50000</v>
      </c>
      <c r="F303" s="10">
        <v>0.1</v>
      </c>
      <c r="G303" s="9">
        <v>45434</v>
      </c>
      <c r="H303" s="12">
        <f t="shared" si="4"/>
        <v>5000</v>
      </c>
      <c r="I303" s="10" t="s">
        <v>10</v>
      </c>
      <c r="J303" s="13">
        <v>45378</v>
      </c>
    </row>
    <row r="304" customFormat="1" spans="1:10">
      <c r="A304" t="s">
        <v>319</v>
      </c>
      <c r="B304" s="86">
        <v>232402343</v>
      </c>
      <c r="C304" s="9">
        <v>45366</v>
      </c>
      <c r="D304" s="87" t="s">
        <v>323</v>
      </c>
      <c r="E304" s="10">
        <v>50000</v>
      </c>
      <c r="F304" s="10">
        <v>0.1</v>
      </c>
      <c r="G304" s="9">
        <v>45464</v>
      </c>
      <c r="H304" s="12">
        <f t="shared" si="4"/>
        <v>5000</v>
      </c>
      <c r="I304" s="10" t="s">
        <v>10</v>
      </c>
      <c r="J304" s="13">
        <v>45378</v>
      </c>
    </row>
    <row r="305" customFormat="1" spans="1:10">
      <c r="A305" t="s">
        <v>319</v>
      </c>
      <c r="B305" s="86">
        <v>232402362</v>
      </c>
      <c r="C305" s="9">
        <v>45366</v>
      </c>
      <c r="D305" s="87" t="s">
        <v>324</v>
      </c>
      <c r="E305" s="10">
        <v>10000</v>
      </c>
      <c r="F305" s="10">
        <v>0.22</v>
      </c>
      <c r="G305" s="9">
        <v>45387</v>
      </c>
      <c r="H305" s="12">
        <f t="shared" si="4"/>
        <v>2200</v>
      </c>
      <c r="I305" s="10" t="s">
        <v>10</v>
      </c>
      <c r="J305" s="13" t="s">
        <v>325</v>
      </c>
    </row>
    <row r="306" customFormat="1" spans="1:10">
      <c r="A306" t="s">
        <v>319</v>
      </c>
      <c r="B306" s="86">
        <v>232402362</v>
      </c>
      <c r="C306" s="9">
        <v>45366</v>
      </c>
      <c r="D306" s="87" t="s">
        <v>324</v>
      </c>
      <c r="E306" s="10">
        <v>10000</v>
      </c>
      <c r="F306" s="10">
        <v>0.22</v>
      </c>
      <c r="G306" s="9">
        <v>45448</v>
      </c>
      <c r="H306" s="12">
        <f t="shared" si="4"/>
        <v>2200</v>
      </c>
      <c r="I306" s="10" t="s">
        <v>10</v>
      </c>
      <c r="J306" s="13" t="s">
        <v>325</v>
      </c>
    </row>
    <row r="307" customFormat="1" spans="1:10">
      <c r="A307" t="s">
        <v>319</v>
      </c>
      <c r="B307" s="86">
        <v>232402362</v>
      </c>
      <c r="C307" s="9">
        <v>45366</v>
      </c>
      <c r="D307" s="87" t="s">
        <v>324</v>
      </c>
      <c r="E307" s="10">
        <v>10000</v>
      </c>
      <c r="F307" s="10">
        <v>0.22</v>
      </c>
      <c r="G307" s="9">
        <v>45495</v>
      </c>
      <c r="H307" s="12">
        <f t="shared" si="4"/>
        <v>2200</v>
      </c>
      <c r="I307" s="10" t="s">
        <v>10</v>
      </c>
      <c r="J307" s="13" t="s">
        <v>325</v>
      </c>
    </row>
    <row r="308" customFormat="1" spans="1:10">
      <c r="A308" t="s">
        <v>319</v>
      </c>
      <c r="B308" s="86">
        <v>232402362</v>
      </c>
      <c r="C308" s="9">
        <v>45366</v>
      </c>
      <c r="D308" s="10" t="s">
        <v>326</v>
      </c>
      <c r="E308" s="10">
        <v>10035</v>
      </c>
      <c r="F308" s="10">
        <v>0.2</v>
      </c>
      <c r="G308" s="9">
        <v>45387</v>
      </c>
      <c r="H308" s="12">
        <f t="shared" si="4"/>
        <v>2007</v>
      </c>
      <c r="I308" s="10" t="s">
        <v>10</v>
      </c>
      <c r="J308" s="15"/>
    </row>
    <row r="309" customFormat="1" spans="1:10">
      <c r="A309" t="s">
        <v>319</v>
      </c>
      <c r="B309" s="86">
        <v>232402362</v>
      </c>
      <c r="C309" s="9">
        <v>45366</v>
      </c>
      <c r="D309" s="10" t="s">
        <v>326</v>
      </c>
      <c r="E309" s="10">
        <v>19980</v>
      </c>
      <c r="F309" s="10">
        <v>0.2</v>
      </c>
      <c r="G309" s="9">
        <v>45448</v>
      </c>
      <c r="H309" s="12">
        <f t="shared" si="4"/>
        <v>3996</v>
      </c>
      <c r="I309" s="10" t="s">
        <v>10</v>
      </c>
      <c r="J309" s="15"/>
    </row>
    <row r="310" customFormat="1" spans="1:10">
      <c r="A310" t="s">
        <v>319</v>
      </c>
      <c r="B310" s="86">
        <v>232402362</v>
      </c>
      <c r="C310" s="9">
        <v>45366</v>
      </c>
      <c r="D310" s="10" t="s">
        <v>326</v>
      </c>
      <c r="E310" s="10">
        <v>19980</v>
      </c>
      <c r="F310" s="10">
        <v>0.2</v>
      </c>
      <c r="G310" s="9">
        <v>45495</v>
      </c>
      <c r="H310" s="12">
        <f t="shared" si="4"/>
        <v>3996</v>
      </c>
      <c r="I310" s="10" t="s">
        <v>10</v>
      </c>
      <c r="J310" s="15"/>
    </row>
    <row r="311" customFormat="1" spans="1:10">
      <c r="A311" t="s">
        <v>319</v>
      </c>
      <c r="B311" s="86">
        <v>232402364</v>
      </c>
      <c r="C311" s="9">
        <v>45367</v>
      </c>
      <c r="D311" s="87" t="s">
        <v>298</v>
      </c>
      <c r="E311" s="10">
        <v>600000</v>
      </c>
      <c r="F311" s="10">
        <v>0.15</v>
      </c>
      <c r="G311" s="9">
        <v>45381</v>
      </c>
      <c r="H311" s="12">
        <f t="shared" si="4"/>
        <v>90000</v>
      </c>
      <c r="I311" s="10" t="s">
        <v>10</v>
      </c>
      <c r="J311" s="13">
        <v>45371</v>
      </c>
    </row>
    <row r="312" s="26" customFormat="1" spans="1:10">
      <c r="A312" t="s">
        <v>319</v>
      </c>
      <c r="B312" s="86">
        <v>232402429</v>
      </c>
      <c r="C312" s="9">
        <v>45371</v>
      </c>
      <c r="D312" s="87" t="s">
        <v>207</v>
      </c>
      <c r="E312" s="10">
        <v>54000</v>
      </c>
      <c r="F312" s="10">
        <v>0.03</v>
      </c>
      <c r="G312" s="9">
        <v>45418</v>
      </c>
      <c r="H312" s="12">
        <f t="shared" si="4"/>
        <v>1620</v>
      </c>
      <c r="I312" s="10" t="s">
        <v>10</v>
      </c>
      <c r="J312" s="13">
        <v>45406</v>
      </c>
    </row>
    <row r="313" s="26" customFormat="1" spans="1:10">
      <c r="A313" t="s">
        <v>319</v>
      </c>
      <c r="B313" s="86">
        <v>232402429</v>
      </c>
      <c r="C313" s="9">
        <v>45371</v>
      </c>
      <c r="D313" s="87" t="s">
        <v>207</v>
      </c>
      <c r="E313" s="10">
        <v>294000</v>
      </c>
      <c r="F313" s="10">
        <v>0.03</v>
      </c>
      <c r="G313" s="9">
        <v>45418</v>
      </c>
      <c r="H313" s="12">
        <f t="shared" si="4"/>
        <v>8820</v>
      </c>
      <c r="I313" s="10" t="s">
        <v>10</v>
      </c>
      <c r="J313" s="13">
        <v>45406</v>
      </c>
    </row>
    <row r="314" s="26" customFormat="1" spans="1:10">
      <c r="A314" t="s">
        <v>319</v>
      </c>
      <c r="B314" s="86">
        <v>232402430</v>
      </c>
      <c r="C314" s="9">
        <v>45371</v>
      </c>
      <c r="D314" s="87" t="s">
        <v>286</v>
      </c>
      <c r="E314" s="10">
        <v>24000</v>
      </c>
      <c r="F314" s="10">
        <v>0.0235</v>
      </c>
      <c r="G314" s="9">
        <v>45448</v>
      </c>
      <c r="H314" s="12">
        <f t="shared" si="4"/>
        <v>564</v>
      </c>
      <c r="I314" s="10" t="s">
        <v>10</v>
      </c>
      <c r="J314" s="13">
        <v>45406</v>
      </c>
    </row>
    <row r="315" s="26" customFormat="1" spans="1:10">
      <c r="A315" t="s">
        <v>319</v>
      </c>
      <c r="B315" s="86">
        <v>232402430</v>
      </c>
      <c r="C315" s="9">
        <v>45371</v>
      </c>
      <c r="D315" s="87" t="s">
        <v>285</v>
      </c>
      <c r="E315" s="10">
        <v>24000</v>
      </c>
      <c r="F315" s="10">
        <v>0.02</v>
      </c>
      <c r="G315" s="9">
        <v>45448</v>
      </c>
      <c r="H315" s="12">
        <f t="shared" si="4"/>
        <v>480</v>
      </c>
      <c r="I315" s="10" t="s">
        <v>10</v>
      </c>
      <c r="J315" s="13">
        <v>45406</v>
      </c>
    </row>
    <row r="316" s="26" customFormat="1" spans="1:10">
      <c r="A316" t="s">
        <v>319</v>
      </c>
      <c r="B316" s="86">
        <v>232402430</v>
      </c>
      <c r="C316" s="9">
        <v>45371</v>
      </c>
      <c r="D316" s="87" t="s">
        <v>287</v>
      </c>
      <c r="E316" s="10">
        <v>20000</v>
      </c>
      <c r="F316" s="10">
        <v>0.018</v>
      </c>
      <c r="G316" s="9">
        <v>45478</v>
      </c>
      <c r="H316" s="12">
        <f t="shared" si="4"/>
        <v>360</v>
      </c>
      <c r="I316" s="10" t="s">
        <v>10</v>
      </c>
      <c r="J316" s="13">
        <v>45406</v>
      </c>
    </row>
    <row r="317" s="26" customFormat="1" spans="1:10">
      <c r="A317" t="s">
        <v>319</v>
      </c>
      <c r="B317" s="86">
        <v>232402431</v>
      </c>
      <c r="C317" s="9">
        <v>45371</v>
      </c>
      <c r="D317" s="87" t="s">
        <v>182</v>
      </c>
      <c r="E317" s="10">
        <v>148000</v>
      </c>
      <c r="F317" s="10">
        <v>0.025</v>
      </c>
      <c r="G317" s="9">
        <v>45418</v>
      </c>
      <c r="H317" s="12">
        <f t="shared" si="4"/>
        <v>3700</v>
      </c>
      <c r="I317" s="10" t="s">
        <v>10</v>
      </c>
      <c r="J317" s="13">
        <v>45406</v>
      </c>
    </row>
    <row r="318" s="26" customFormat="1" spans="1:10">
      <c r="A318" t="s">
        <v>319</v>
      </c>
      <c r="B318" s="86">
        <v>232402432</v>
      </c>
      <c r="C318" s="9">
        <v>45371</v>
      </c>
      <c r="D318" s="87" t="s">
        <v>246</v>
      </c>
      <c r="E318" s="10">
        <v>20000</v>
      </c>
      <c r="F318" s="10">
        <v>0.07</v>
      </c>
      <c r="G318" s="9">
        <v>45465</v>
      </c>
      <c r="H318" s="12">
        <f t="shared" si="4"/>
        <v>1400</v>
      </c>
      <c r="I318" s="10" t="s">
        <v>10</v>
      </c>
      <c r="J318" s="13">
        <v>45406</v>
      </c>
    </row>
    <row r="319" s="26" customFormat="1" spans="1:10">
      <c r="A319" t="s">
        <v>319</v>
      </c>
      <c r="B319" s="86">
        <v>232402432</v>
      </c>
      <c r="C319" s="9">
        <v>45371</v>
      </c>
      <c r="D319" s="87" t="s">
        <v>254</v>
      </c>
      <c r="E319" s="10">
        <v>500000</v>
      </c>
      <c r="F319" s="10">
        <v>0.027</v>
      </c>
      <c r="G319" s="9">
        <v>45448</v>
      </c>
      <c r="H319" s="12">
        <f t="shared" si="4"/>
        <v>13500</v>
      </c>
      <c r="I319" s="10" t="s">
        <v>10</v>
      </c>
      <c r="J319" s="13">
        <v>45406</v>
      </c>
    </row>
    <row r="320" s="26" customFormat="1" spans="1:10">
      <c r="A320" t="s">
        <v>319</v>
      </c>
      <c r="B320" s="86">
        <v>232402432</v>
      </c>
      <c r="C320" s="9">
        <v>45371</v>
      </c>
      <c r="D320" s="87" t="s">
        <v>254</v>
      </c>
      <c r="E320" s="10">
        <v>500000</v>
      </c>
      <c r="F320" s="10">
        <v>0.027</v>
      </c>
      <c r="G320" s="9">
        <v>45448</v>
      </c>
      <c r="H320" s="12">
        <f t="shared" si="4"/>
        <v>13500</v>
      </c>
      <c r="I320" s="10" t="s">
        <v>10</v>
      </c>
      <c r="J320" s="13">
        <v>45406</v>
      </c>
    </row>
    <row r="321" s="26" customFormat="1" spans="1:10">
      <c r="A321" t="s">
        <v>319</v>
      </c>
      <c r="B321" s="86">
        <v>232402432</v>
      </c>
      <c r="C321" s="9">
        <v>45371</v>
      </c>
      <c r="D321" s="87" t="s">
        <v>254</v>
      </c>
      <c r="E321" s="10">
        <v>500000</v>
      </c>
      <c r="F321" s="10">
        <v>0.027</v>
      </c>
      <c r="G321" s="9">
        <v>45448</v>
      </c>
      <c r="H321" s="12">
        <f t="shared" si="4"/>
        <v>13500</v>
      </c>
      <c r="I321" s="10" t="s">
        <v>10</v>
      </c>
      <c r="J321" s="13">
        <v>45406</v>
      </c>
    </row>
    <row r="322" s="26" customFormat="1" spans="1:10">
      <c r="A322" t="s">
        <v>319</v>
      </c>
      <c r="B322" s="86">
        <v>232402432</v>
      </c>
      <c r="C322" s="9">
        <v>45371</v>
      </c>
      <c r="D322" s="87" t="s">
        <v>248</v>
      </c>
      <c r="E322" s="10">
        <v>200000</v>
      </c>
      <c r="F322" s="10">
        <v>0.065</v>
      </c>
      <c r="G322" s="9">
        <v>45465</v>
      </c>
      <c r="H322" s="12">
        <f t="shared" ref="H322:H385" si="5">E322*F322</f>
        <v>13000</v>
      </c>
      <c r="I322" s="10" t="s">
        <v>10</v>
      </c>
      <c r="J322" s="13">
        <v>45406</v>
      </c>
    </row>
    <row r="323" s="26" customFormat="1" spans="1:10">
      <c r="A323" t="s">
        <v>319</v>
      </c>
      <c r="B323" s="86">
        <v>232402433</v>
      </c>
      <c r="C323" s="9">
        <v>45371</v>
      </c>
      <c r="D323" s="87" t="s">
        <v>207</v>
      </c>
      <c r="E323" s="10">
        <v>60000</v>
      </c>
      <c r="F323" s="10">
        <v>0.03</v>
      </c>
      <c r="G323" s="9">
        <v>45387</v>
      </c>
      <c r="H323" s="12">
        <f t="shared" si="5"/>
        <v>1800</v>
      </c>
      <c r="I323" s="10" t="s">
        <v>10</v>
      </c>
      <c r="J323" s="13">
        <v>45406</v>
      </c>
    </row>
    <row r="324" s="26" customFormat="1" spans="1:10">
      <c r="A324" t="s">
        <v>319</v>
      </c>
      <c r="B324" s="86">
        <v>232402433</v>
      </c>
      <c r="C324" s="9">
        <v>45371</v>
      </c>
      <c r="D324" s="87" t="s">
        <v>207</v>
      </c>
      <c r="E324" s="10">
        <v>60000</v>
      </c>
      <c r="F324" s="10">
        <v>0.03</v>
      </c>
      <c r="G324" s="9">
        <v>45418</v>
      </c>
      <c r="H324" s="12">
        <f t="shared" si="5"/>
        <v>1800</v>
      </c>
      <c r="I324" s="10" t="s">
        <v>10</v>
      </c>
      <c r="J324" s="13">
        <v>45406</v>
      </c>
    </row>
    <row r="325" s="26" customFormat="1" spans="1:10">
      <c r="A325" t="s">
        <v>319</v>
      </c>
      <c r="B325" s="86">
        <v>232402434</v>
      </c>
      <c r="C325" s="9">
        <v>45371</v>
      </c>
      <c r="D325" s="87" t="s">
        <v>207</v>
      </c>
      <c r="E325" s="10">
        <v>50000</v>
      </c>
      <c r="F325" s="10">
        <v>0.03</v>
      </c>
      <c r="G325" s="9">
        <v>45387</v>
      </c>
      <c r="H325" s="12">
        <f t="shared" si="5"/>
        <v>1500</v>
      </c>
      <c r="I325" s="10" t="s">
        <v>10</v>
      </c>
      <c r="J325" s="13">
        <v>45425</v>
      </c>
    </row>
    <row r="326" s="26" customFormat="1" spans="1:10">
      <c r="A326" t="s">
        <v>319</v>
      </c>
      <c r="B326" s="86">
        <v>232402434</v>
      </c>
      <c r="C326" s="9">
        <v>45371</v>
      </c>
      <c r="D326" s="87" t="s">
        <v>207</v>
      </c>
      <c r="E326" s="10">
        <v>50000</v>
      </c>
      <c r="F326" s="10">
        <v>0.03</v>
      </c>
      <c r="G326" s="9">
        <v>45418</v>
      </c>
      <c r="H326" s="12">
        <f t="shared" si="5"/>
        <v>1500</v>
      </c>
      <c r="I326" s="10" t="s">
        <v>10</v>
      </c>
      <c r="J326" s="13">
        <v>45425</v>
      </c>
    </row>
    <row r="327" s="26" customFormat="1" spans="1:10">
      <c r="A327" t="s">
        <v>319</v>
      </c>
      <c r="B327" s="86">
        <v>232402435</v>
      </c>
      <c r="C327" s="9">
        <v>45371</v>
      </c>
      <c r="D327" s="87" t="s">
        <v>255</v>
      </c>
      <c r="E327" s="10">
        <v>50000</v>
      </c>
      <c r="F327" s="10">
        <v>0.0238</v>
      </c>
      <c r="G327" s="9">
        <v>45465</v>
      </c>
      <c r="H327" s="12">
        <f t="shared" si="5"/>
        <v>1190</v>
      </c>
      <c r="I327" s="10" t="s">
        <v>10</v>
      </c>
      <c r="J327" s="13">
        <v>45435</v>
      </c>
    </row>
    <row r="328" s="26" customFormat="1" spans="1:10">
      <c r="A328" t="s">
        <v>319</v>
      </c>
      <c r="B328" s="86">
        <v>232402436</v>
      </c>
      <c r="C328" s="9">
        <v>45371</v>
      </c>
      <c r="D328" s="87" t="s">
        <v>273</v>
      </c>
      <c r="E328" s="10">
        <v>70000</v>
      </c>
      <c r="F328" s="10">
        <v>0.028</v>
      </c>
      <c r="G328" s="9">
        <v>45434</v>
      </c>
      <c r="H328" s="12">
        <f t="shared" si="5"/>
        <v>1960</v>
      </c>
      <c r="I328" s="10" t="s">
        <v>10</v>
      </c>
      <c r="J328" s="13">
        <v>45406</v>
      </c>
    </row>
    <row r="329" s="26" customFormat="1" spans="1:10">
      <c r="A329" t="s">
        <v>319</v>
      </c>
      <c r="B329" s="86">
        <v>232402436</v>
      </c>
      <c r="C329" s="9">
        <v>45371</v>
      </c>
      <c r="D329" s="87" t="s">
        <v>273</v>
      </c>
      <c r="E329" s="10">
        <v>70000</v>
      </c>
      <c r="F329" s="10">
        <v>0.028</v>
      </c>
      <c r="G329" s="9">
        <v>45464</v>
      </c>
      <c r="H329" s="12">
        <f t="shared" si="5"/>
        <v>1960</v>
      </c>
      <c r="I329" s="10" t="s">
        <v>10</v>
      </c>
      <c r="J329" s="13">
        <v>45406</v>
      </c>
    </row>
    <row r="330" s="26" customFormat="1" spans="1:10">
      <c r="A330" t="s">
        <v>319</v>
      </c>
      <c r="B330" s="86">
        <v>232402436</v>
      </c>
      <c r="C330" s="9">
        <v>45371</v>
      </c>
      <c r="D330" s="87" t="s">
        <v>259</v>
      </c>
      <c r="E330" s="10">
        <v>120000</v>
      </c>
      <c r="F330" s="10">
        <v>0.028</v>
      </c>
      <c r="G330" s="9">
        <v>45434</v>
      </c>
      <c r="H330" s="12">
        <f t="shared" si="5"/>
        <v>3360</v>
      </c>
      <c r="I330" s="10" t="s">
        <v>10</v>
      </c>
      <c r="J330" s="13">
        <v>45406</v>
      </c>
    </row>
    <row r="331" s="26" customFormat="1" spans="1:10">
      <c r="A331" t="s">
        <v>319</v>
      </c>
      <c r="B331" s="86">
        <v>232402436</v>
      </c>
      <c r="C331" s="9">
        <v>45371</v>
      </c>
      <c r="D331" s="87" t="s">
        <v>259</v>
      </c>
      <c r="E331" s="10">
        <v>150000</v>
      </c>
      <c r="F331" s="10">
        <v>0.028</v>
      </c>
      <c r="G331" s="9">
        <v>45448</v>
      </c>
      <c r="H331" s="12">
        <f t="shared" si="5"/>
        <v>4200</v>
      </c>
      <c r="I331" s="10" t="s">
        <v>10</v>
      </c>
      <c r="J331" s="13">
        <v>45406</v>
      </c>
    </row>
    <row r="332" s="26" customFormat="1" spans="1:10">
      <c r="A332" t="s">
        <v>319</v>
      </c>
      <c r="B332" s="86">
        <v>232402436</v>
      </c>
      <c r="C332" s="9">
        <v>45371</v>
      </c>
      <c r="D332" s="87" t="s">
        <v>255</v>
      </c>
      <c r="E332" s="10">
        <v>300000</v>
      </c>
      <c r="F332" s="10">
        <v>0.0238</v>
      </c>
      <c r="G332" s="9">
        <v>45465</v>
      </c>
      <c r="H332" s="12">
        <f t="shared" si="5"/>
        <v>7140</v>
      </c>
      <c r="I332" s="10" t="s">
        <v>10</v>
      </c>
      <c r="J332" s="13">
        <v>45435</v>
      </c>
    </row>
    <row r="333" s="26" customFormat="1" spans="1:10">
      <c r="A333" t="s">
        <v>319</v>
      </c>
      <c r="B333" s="86">
        <v>232402436</v>
      </c>
      <c r="C333" s="9">
        <v>45371</v>
      </c>
      <c r="D333" s="87" t="s">
        <v>296</v>
      </c>
      <c r="E333" s="10">
        <v>24000</v>
      </c>
      <c r="F333" s="10">
        <v>0.04</v>
      </c>
      <c r="G333" s="9">
        <v>45434</v>
      </c>
      <c r="H333" s="12">
        <f t="shared" si="5"/>
        <v>960</v>
      </c>
      <c r="I333" s="10" t="s">
        <v>10</v>
      </c>
      <c r="J333" s="13">
        <v>45406</v>
      </c>
    </row>
    <row r="334" s="26" customFormat="1" spans="1:10">
      <c r="A334" t="s">
        <v>319</v>
      </c>
      <c r="B334" s="86">
        <v>232402436</v>
      </c>
      <c r="C334" s="9">
        <v>45371</v>
      </c>
      <c r="D334" s="87" t="s">
        <v>231</v>
      </c>
      <c r="E334" s="10">
        <v>249000</v>
      </c>
      <c r="F334" s="10">
        <v>0.0082</v>
      </c>
      <c r="G334" s="9">
        <v>45434</v>
      </c>
      <c r="H334" s="12">
        <f t="shared" si="5"/>
        <v>2041.8</v>
      </c>
      <c r="I334" s="10" t="s">
        <v>10</v>
      </c>
      <c r="J334" s="13">
        <v>45406</v>
      </c>
    </row>
    <row r="335" s="26" customFormat="1" spans="1:10">
      <c r="A335" t="s">
        <v>319</v>
      </c>
      <c r="B335" s="86">
        <v>232402436</v>
      </c>
      <c r="C335" s="9">
        <v>45371</v>
      </c>
      <c r="D335" s="87" t="s">
        <v>231</v>
      </c>
      <c r="E335" s="10">
        <v>252000</v>
      </c>
      <c r="F335" s="10">
        <v>0.0082</v>
      </c>
      <c r="G335" s="9">
        <v>45448</v>
      </c>
      <c r="H335" s="12">
        <f t="shared" si="5"/>
        <v>2066.4</v>
      </c>
      <c r="I335" s="10" t="s">
        <v>10</v>
      </c>
      <c r="J335" s="13">
        <v>45406</v>
      </c>
    </row>
    <row r="336" s="26" customFormat="1" spans="1:10">
      <c r="A336" t="s">
        <v>319</v>
      </c>
      <c r="B336" s="86">
        <v>232402437</v>
      </c>
      <c r="C336" s="9">
        <v>45371</v>
      </c>
      <c r="D336" s="87" t="s">
        <v>223</v>
      </c>
      <c r="E336" s="10">
        <v>80000</v>
      </c>
      <c r="F336" s="10">
        <v>0.08</v>
      </c>
      <c r="G336" s="9">
        <v>45387</v>
      </c>
      <c r="H336" s="12">
        <f t="shared" si="5"/>
        <v>6400</v>
      </c>
      <c r="I336" s="10" t="s">
        <v>10</v>
      </c>
      <c r="J336" s="13">
        <v>45406</v>
      </c>
    </row>
    <row r="337" s="26" customFormat="1" spans="1:15">
      <c r="A337" t="s">
        <v>319</v>
      </c>
      <c r="B337" s="86">
        <v>232402437</v>
      </c>
      <c r="C337" s="9">
        <v>45371</v>
      </c>
      <c r="D337" s="87" t="s">
        <v>223</v>
      </c>
      <c r="E337" s="10">
        <v>80000</v>
      </c>
      <c r="F337" s="10">
        <v>0.08</v>
      </c>
      <c r="G337" s="9">
        <v>45418</v>
      </c>
      <c r="H337" s="12">
        <f t="shared" si="5"/>
        <v>6400</v>
      </c>
      <c r="I337" s="10" t="s">
        <v>10</v>
      </c>
      <c r="J337" s="13">
        <v>45406</v>
      </c>
    </row>
    <row r="338" s="26" customFormat="1" spans="1:15">
      <c r="A338" t="s">
        <v>319</v>
      </c>
      <c r="B338" s="86">
        <v>232402437</v>
      </c>
      <c r="C338" s="9">
        <v>45371</v>
      </c>
      <c r="D338" s="87" t="s">
        <v>206</v>
      </c>
      <c r="E338" s="88">
        <v>200000</v>
      </c>
      <c r="F338" s="10">
        <v>0.065</v>
      </c>
      <c r="G338" s="9">
        <v>45465</v>
      </c>
      <c r="H338" s="12">
        <f t="shared" si="5"/>
        <v>13000</v>
      </c>
      <c r="I338" s="10" t="s">
        <v>10</v>
      </c>
      <c r="J338" s="13">
        <v>45406</v>
      </c>
    </row>
    <row r="339" customFormat="1" spans="1:15">
      <c r="A339" t="s">
        <v>319</v>
      </c>
      <c r="B339" s="86">
        <v>232402439</v>
      </c>
      <c r="C339" s="9">
        <v>45371</v>
      </c>
      <c r="D339" s="10" t="s">
        <v>33</v>
      </c>
      <c r="E339" s="10">
        <v>200000</v>
      </c>
      <c r="F339" s="10">
        <v>0.02</v>
      </c>
      <c r="G339" s="9">
        <v>45509</v>
      </c>
      <c r="H339" s="12">
        <f t="shared" si="5"/>
        <v>4000</v>
      </c>
      <c r="I339" s="10" t="s">
        <v>10</v>
      </c>
      <c r="J339" s="13">
        <v>45418</v>
      </c>
    </row>
    <row r="340" customFormat="1" spans="1:15">
      <c r="A340" t="s">
        <v>319</v>
      </c>
      <c r="B340" s="86">
        <v>232402439</v>
      </c>
      <c r="C340" s="9">
        <v>45371</v>
      </c>
      <c r="D340" s="10" t="s">
        <v>33</v>
      </c>
      <c r="E340" s="10">
        <v>200000</v>
      </c>
      <c r="F340" s="10">
        <v>0.02</v>
      </c>
      <c r="G340" s="9">
        <v>45509</v>
      </c>
      <c r="H340" s="12">
        <f t="shared" si="5"/>
        <v>4000</v>
      </c>
      <c r="I340" s="10" t="s">
        <v>10</v>
      </c>
      <c r="J340" s="13">
        <v>45418</v>
      </c>
    </row>
    <row r="341" customFormat="1" spans="1:15">
      <c r="A341" t="s">
        <v>319</v>
      </c>
      <c r="B341" s="86">
        <v>232402439</v>
      </c>
      <c r="C341" s="9">
        <v>45371</v>
      </c>
      <c r="D341" s="10" t="s">
        <v>58</v>
      </c>
      <c r="E341" s="10">
        <v>200000</v>
      </c>
      <c r="F341" s="10">
        <v>0.019</v>
      </c>
      <c r="G341" s="9">
        <v>45509</v>
      </c>
      <c r="H341" s="12">
        <f t="shared" si="5"/>
        <v>3800</v>
      </c>
      <c r="I341" s="10" t="s">
        <v>10</v>
      </c>
      <c r="J341" s="13">
        <v>45418</v>
      </c>
    </row>
    <row r="342" customFormat="1" spans="1:15">
      <c r="A342" t="s">
        <v>319</v>
      </c>
      <c r="B342" s="86">
        <v>232402439</v>
      </c>
      <c r="C342" s="9">
        <v>45371</v>
      </c>
      <c r="D342" s="10" t="s">
        <v>58</v>
      </c>
      <c r="E342" s="10">
        <v>200000</v>
      </c>
      <c r="F342" s="10">
        <v>0.019</v>
      </c>
      <c r="G342" s="9">
        <v>45509</v>
      </c>
      <c r="H342" s="12">
        <f t="shared" si="5"/>
        <v>3800</v>
      </c>
      <c r="I342" s="10" t="s">
        <v>10</v>
      </c>
      <c r="J342" s="13">
        <v>45418</v>
      </c>
    </row>
    <row r="343" customFormat="1" spans="1:15">
      <c r="A343" t="s">
        <v>319</v>
      </c>
      <c r="B343" s="86">
        <v>232402439</v>
      </c>
      <c r="C343" s="9">
        <v>45371</v>
      </c>
      <c r="D343" s="10" t="s">
        <v>58</v>
      </c>
      <c r="E343" s="10">
        <v>100000</v>
      </c>
      <c r="F343" s="10">
        <v>0.019</v>
      </c>
      <c r="G343" s="9">
        <v>45509</v>
      </c>
      <c r="H343" s="12">
        <f t="shared" si="5"/>
        <v>1900</v>
      </c>
      <c r="I343" s="10" t="s">
        <v>10</v>
      </c>
      <c r="J343" s="13">
        <v>45418</v>
      </c>
    </row>
    <row r="344" customFormat="1" spans="1:15">
      <c r="A344" t="s">
        <v>319</v>
      </c>
      <c r="B344" s="86">
        <v>232402439</v>
      </c>
      <c r="C344" s="9">
        <v>45371</v>
      </c>
      <c r="D344" s="10" t="s">
        <v>32</v>
      </c>
      <c r="E344" s="10">
        <v>200000</v>
      </c>
      <c r="F344" s="10">
        <v>0.02</v>
      </c>
      <c r="G344" s="9">
        <v>45509</v>
      </c>
      <c r="H344" s="12">
        <f t="shared" si="5"/>
        <v>4000</v>
      </c>
      <c r="I344" s="10" t="s">
        <v>10</v>
      </c>
      <c r="J344" s="13">
        <v>45418</v>
      </c>
      <c r="O344">
        <f>949+290</f>
        <v>1239</v>
      </c>
    </row>
    <row r="345" customFormat="1" spans="1:15">
      <c r="A345" t="s">
        <v>319</v>
      </c>
      <c r="B345" s="86">
        <v>232402439</v>
      </c>
      <c r="C345" s="9">
        <v>45371</v>
      </c>
      <c r="D345" s="10" t="s">
        <v>32</v>
      </c>
      <c r="E345" s="10">
        <v>200000</v>
      </c>
      <c r="F345" s="10">
        <v>0.02</v>
      </c>
      <c r="G345" s="9">
        <v>45509</v>
      </c>
      <c r="H345" s="12">
        <f t="shared" si="5"/>
        <v>4000</v>
      </c>
      <c r="I345" s="10" t="s">
        <v>10</v>
      </c>
      <c r="J345" s="13">
        <v>45418</v>
      </c>
    </row>
    <row r="346" customFormat="1" spans="1:15">
      <c r="A346" t="s">
        <v>319</v>
      </c>
      <c r="B346" s="86">
        <v>232402439</v>
      </c>
      <c r="C346" s="9">
        <v>45371</v>
      </c>
      <c r="D346" s="10" t="s">
        <v>32</v>
      </c>
      <c r="E346" s="10">
        <v>100000</v>
      </c>
      <c r="F346" s="10">
        <v>0.02</v>
      </c>
      <c r="G346" s="9">
        <v>45509</v>
      </c>
      <c r="H346" s="12">
        <f t="shared" si="5"/>
        <v>2000</v>
      </c>
      <c r="I346" s="10" t="s">
        <v>10</v>
      </c>
      <c r="J346" s="13">
        <v>45418</v>
      </c>
    </row>
    <row r="347" customFormat="1" spans="1:15">
      <c r="A347" t="s">
        <v>319</v>
      </c>
      <c r="B347" s="86">
        <v>232402439</v>
      </c>
      <c r="C347" s="9">
        <v>45371</v>
      </c>
      <c r="D347" s="87" t="s">
        <v>202</v>
      </c>
      <c r="E347" s="10">
        <v>200000</v>
      </c>
      <c r="F347" s="10">
        <v>0.04</v>
      </c>
      <c r="G347" s="9">
        <v>45509</v>
      </c>
      <c r="H347" s="12">
        <f t="shared" si="5"/>
        <v>8000</v>
      </c>
      <c r="I347" s="10" t="s">
        <v>10</v>
      </c>
      <c r="J347" s="13">
        <v>45418</v>
      </c>
    </row>
    <row r="348" customFormat="1" spans="1:15">
      <c r="A348" t="s">
        <v>319</v>
      </c>
      <c r="B348" s="86">
        <v>232402440</v>
      </c>
      <c r="C348" s="9">
        <v>45371</v>
      </c>
      <c r="D348" s="87" t="s">
        <v>203</v>
      </c>
      <c r="E348" s="10">
        <v>500000</v>
      </c>
      <c r="F348" s="10">
        <v>0.027</v>
      </c>
      <c r="G348" s="9">
        <v>45509</v>
      </c>
      <c r="H348" s="12">
        <f t="shared" si="5"/>
        <v>13500</v>
      </c>
      <c r="I348" s="10" t="s">
        <v>10</v>
      </c>
      <c r="J348" s="13">
        <v>45519</v>
      </c>
      <c r="K348" t="s">
        <v>327</v>
      </c>
    </row>
    <row r="349" customFormat="1" spans="1:15">
      <c r="A349" t="s">
        <v>319</v>
      </c>
      <c r="B349" s="86">
        <v>232402440</v>
      </c>
      <c r="C349" s="9">
        <v>45371</v>
      </c>
      <c r="D349" s="87" t="s">
        <v>203</v>
      </c>
      <c r="E349" s="10">
        <v>500000</v>
      </c>
      <c r="F349" s="10">
        <v>0.027</v>
      </c>
      <c r="G349" s="9">
        <v>45509</v>
      </c>
      <c r="H349" s="12">
        <f t="shared" si="5"/>
        <v>13500</v>
      </c>
      <c r="I349" s="10" t="s">
        <v>10</v>
      </c>
      <c r="J349" s="13">
        <v>45519</v>
      </c>
      <c r="K349" t="s">
        <v>327</v>
      </c>
    </row>
    <row r="350" customFormat="1" spans="1:15">
      <c r="A350" t="s">
        <v>319</v>
      </c>
      <c r="B350" s="86">
        <v>232402440</v>
      </c>
      <c r="C350" s="9">
        <v>45371</v>
      </c>
      <c r="D350" s="87" t="s">
        <v>203</v>
      </c>
      <c r="E350" s="10">
        <v>500000</v>
      </c>
      <c r="F350" s="10">
        <v>0.027</v>
      </c>
      <c r="G350" s="9">
        <v>45509</v>
      </c>
      <c r="H350" s="12">
        <f t="shared" si="5"/>
        <v>13500</v>
      </c>
      <c r="I350" s="10" t="s">
        <v>10</v>
      </c>
      <c r="J350" s="13">
        <v>45519</v>
      </c>
      <c r="K350" t="s">
        <v>327</v>
      </c>
      <c r="L350" t="s">
        <v>328</v>
      </c>
    </row>
    <row r="351" customFormat="1" spans="1:15">
      <c r="A351" t="s">
        <v>319</v>
      </c>
      <c r="B351" s="86">
        <v>232402441</v>
      </c>
      <c r="C351" s="9">
        <v>45371</v>
      </c>
      <c r="D351" s="87" t="s">
        <v>207</v>
      </c>
      <c r="E351" s="10">
        <v>20000</v>
      </c>
      <c r="F351" s="10">
        <v>0.03</v>
      </c>
      <c r="G351" s="9">
        <v>45448</v>
      </c>
      <c r="H351" s="12">
        <f t="shared" si="5"/>
        <v>600</v>
      </c>
      <c r="I351" s="10" t="s">
        <v>10</v>
      </c>
      <c r="J351" s="13">
        <v>45449</v>
      </c>
    </row>
    <row r="352" customFormat="1" spans="1:15">
      <c r="A352" t="s">
        <v>319</v>
      </c>
      <c r="B352" s="86">
        <v>232402441</v>
      </c>
      <c r="C352" s="9">
        <v>45371</v>
      </c>
      <c r="D352" s="10" t="s">
        <v>78</v>
      </c>
      <c r="E352" s="10">
        <v>100000</v>
      </c>
      <c r="F352" s="10">
        <v>0.02</v>
      </c>
      <c r="G352" s="9">
        <v>45448</v>
      </c>
      <c r="H352" s="12">
        <f t="shared" si="5"/>
        <v>2000</v>
      </c>
      <c r="I352" s="10" t="s">
        <v>10</v>
      </c>
      <c r="J352" s="13">
        <v>45457</v>
      </c>
    </row>
    <row r="353" customFormat="1" spans="1:10">
      <c r="A353" t="s">
        <v>319</v>
      </c>
      <c r="B353" s="86">
        <v>232402441</v>
      </c>
      <c r="C353" s="9">
        <v>45371</v>
      </c>
      <c r="D353" s="87" t="s">
        <v>204</v>
      </c>
      <c r="E353" s="10">
        <v>200000</v>
      </c>
      <c r="F353" s="10">
        <v>0.036</v>
      </c>
      <c r="G353" s="9">
        <v>45448</v>
      </c>
      <c r="H353" s="12">
        <f t="shared" si="5"/>
        <v>7200</v>
      </c>
      <c r="I353" s="10" t="s">
        <v>10</v>
      </c>
      <c r="J353" s="13">
        <v>45449</v>
      </c>
    </row>
    <row r="354" customFormat="1" spans="1:10">
      <c r="A354" t="s">
        <v>319</v>
      </c>
      <c r="B354" s="86">
        <v>232402441</v>
      </c>
      <c r="C354" s="9">
        <v>45371</v>
      </c>
      <c r="D354" s="87" t="s">
        <v>204</v>
      </c>
      <c r="E354" s="10">
        <v>200000</v>
      </c>
      <c r="F354" s="10">
        <v>0.036</v>
      </c>
      <c r="G354" s="9">
        <v>45448</v>
      </c>
      <c r="H354" s="12">
        <f t="shared" si="5"/>
        <v>7200</v>
      </c>
      <c r="I354" s="10" t="s">
        <v>10</v>
      </c>
      <c r="J354" s="13">
        <v>45449</v>
      </c>
    </row>
    <row r="355" customFormat="1" spans="1:10">
      <c r="A355" t="s">
        <v>319</v>
      </c>
      <c r="B355" s="86">
        <v>232402441</v>
      </c>
      <c r="C355" s="9">
        <v>45371</v>
      </c>
      <c r="D355" s="87" t="s">
        <v>204</v>
      </c>
      <c r="E355" s="10">
        <v>200000</v>
      </c>
      <c r="F355" s="10">
        <v>0.036</v>
      </c>
      <c r="G355" s="9">
        <v>45478</v>
      </c>
      <c r="H355" s="12">
        <f t="shared" si="5"/>
        <v>7200</v>
      </c>
      <c r="I355" s="10" t="s">
        <v>10</v>
      </c>
      <c r="J355" s="13">
        <v>45449</v>
      </c>
    </row>
    <row r="356" customFormat="1" spans="1:10">
      <c r="A356" t="s">
        <v>319</v>
      </c>
      <c r="B356" s="86">
        <v>232402441</v>
      </c>
      <c r="C356" s="9">
        <v>45371</v>
      </c>
      <c r="D356" s="87" t="s">
        <v>204</v>
      </c>
      <c r="E356" s="10">
        <v>200000</v>
      </c>
      <c r="F356" s="10">
        <v>0.036</v>
      </c>
      <c r="G356" s="9">
        <v>45478</v>
      </c>
      <c r="H356" s="12">
        <f t="shared" si="5"/>
        <v>7200</v>
      </c>
      <c r="I356" s="10" t="s">
        <v>10</v>
      </c>
      <c r="J356" s="13">
        <v>45449</v>
      </c>
    </row>
    <row r="357" customFormat="1" spans="1:10">
      <c r="A357" t="s">
        <v>319</v>
      </c>
      <c r="B357" s="86">
        <v>232402441</v>
      </c>
      <c r="C357" s="9">
        <v>45371</v>
      </c>
      <c r="D357" s="87" t="s">
        <v>204</v>
      </c>
      <c r="E357" s="10">
        <v>100000</v>
      </c>
      <c r="F357" s="10">
        <v>0.036</v>
      </c>
      <c r="G357" s="9">
        <v>45478</v>
      </c>
      <c r="H357" s="12">
        <f t="shared" si="5"/>
        <v>3600</v>
      </c>
      <c r="I357" s="10" t="s">
        <v>10</v>
      </c>
      <c r="J357" s="13">
        <v>45449</v>
      </c>
    </row>
    <row r="358" customFormat="1" spans="1:10">
      <c r="A358" t="s">
        <v>319</v>
      </c>
      <c r="B358" s="86">
        <v>232402441</v>
      </c>
      <c r="C358" s="9">
        <v>45371</v>
      </c>
      <c r="D358" s="87" t="s">
        <v>204</v>
      </c>
      <c r="E358" s="10">
        <v>200000</v>
      </c>
      <c r="F358" s="10">
        <v>0.036</v>
      </c>
      <c r="G358" s="9">
        <v>45509</v>
      </c>
      <c r="H358" s="12">
        <f t="shared" si="5"/>
        <v>7200</v>
      </c>
      <c r="I358" s="10" t="s">
        <v>10</v>
      </c>
      <c r="J358" s="13">
        <v>45449</v>
      </c>
    </row>
    <row r="359" customFormat="1" spans="1:10">
      <c r="A359" t="s">
        <v>319</v>
      </c>
      <c r="B359" s="86">
        <v>232402441</v>
      </c>
      <c r="C359" s="9">
        <v>45371</v>
      </c>
      <c r="D359" s="87" t="s">
        <v>204</v>
      </c>
      <c r="E359" s="10">
        <v>200000</v>
      </c>
      <c r="F359" s="10">
        <v>0.036</v>
      </c>
      <c r="G359" s="9">
        <v>45509</v>
      </c>
      <c r="H359" s="12">
        <f t="shared" si="5"/>
        <v>7200</v>
      </c>
      <c r="I359" s="10" t="s">
        <v>10</v>
      </c>
      <c r="J359" s="13">
        <v>45449</v>
      </c>
    </row>
    <row r="360" customFormat="1" spans="1:10">
      <c r="A360" t="s">
        <v>319</v>
      </c>
      <c r="B360" s="86">
        <v>232402441</v>
      </c>
      <c r="C360" s="9">
        <v>45371</v>
      </c>
      <c r="D360" s="87" t="s">
        <v>204</v>
      </c>
      <c r="E360" s="10">
        <v>100000</v>
      </c>
      <c r="F360" s="10">
        <v>0.036</v>
      </c>
      <c r="G360" s="9">
        <v>45509</v>
      </c>
      <c r="H360" s="12">
        <f t="shared" si="5"/>
        <v>3600</v>
      </c>
      <c r="I360" s="10" t="s">
        <v>10</v>
      </c>
      <c r="J360" s="13">
        <v>45449</v>
      </c>
    </row>
    <row r="361" customFormat="1" spans="1:10">
      <c r="A361" t="s">
        <v>319</v>
      </c>
      <c r="B361" s="86">
        <v>232402441</v>
      </c>
      <c r="C361" s="9">
        <v>45371</v>
      </c>
      <c r="D361" s="10" t="s">
        <v>100</v>
      </c>
      <c r="E361" s="10">
        <v>20000</v>
      </c>
      <c r="F361" s="10">
        <v>0.03</v>
      </c>
      <c r="G361" s="9">
        <v>45478</v>
      </c>
      <c r="H361" s="12">
        <f t="shared" si="5"/>
        <v>600</v>
      </c>
      <c r="I361" s="10" t="s">
        <v>10</v>
      </c>
      <c r="J361" s="13">
        <v>45457</v>
      </c>
    </row>
    <row r="362" customFormat="1" spans="1:10">
      <c r="A362" t="s">
        <v>319</v>
      </c>
      <c r="B362" s="86">
        <v>232402442</v>
      </c>
      <c r="C362" s="9">
        <v>45371</v>
      </c>
      <c r="D362" s="87" t="s">
        <v>215</v>
      </c>
      <c r="E362" s="10">
        <v>404000</v>
      </c>
      <c r="F362" s="10">
        <v>0.028</v>
      </c>
      <c r="G362" s="9">
        <v>45478</v>
      </c>
      <c r="H362" s="12">
        <f t="shared" si="5"/>
        <v>11312</v>
      </c>
      <c r="I362" s="10" t="s">
        <v>10</v>
      </c>
      <c r="J362" s="13">
        <v>45449</v>
      </c>
    </row>
    <row r="363" customFormat="1" spans="1:10">
      <c r="A363" t="s">
        <v>319</v>
      </c>
      <c r="B363" s="86">
        <v>232402442</v>
      </c>
      <c r="C363" s="9">
        <v>45371</v>
      </c>
      <c r="D363" s="87" t="s">
        <v>215</v>
      </c>
      <c r="E363" s="10">
        <v>406000</v>
      </c>
      <c r="F363" s="10">
        <v>0.028</v>
      </c>
      <c r="G363" s="9">
        <v>45478</v>
      </c>
      <c r="H363" s="12">
        <f t="shared" si="5"/>
        <v>11368</v>
      </c>
      <c r="I363" s="10" t="s">
        <v>10</v>
      </c>
      <c r="J363" s="13">
        <v>45449</v>
      </c>
    </row>
    <row r="364" customFormat="1" spans="1:10">
      <c r="A364" t="s">
        <v>319</v>
      </c>
      <c r="B364" s="86">
        <v>232402442</v>
      </c>
      <c r="C364" s="9">
        <v>45371</v>
      </c>
      <c r="D364" s="87" t="s">
        <v>215</v>
      </c>
      <c r="E364" s="10">
        <v>404000</v>
      </c>
      <c r="F364" s="10">
        <v>0.028</v>
      </c>
      <c r="G364" s="9">
        <v>45509</v>
      </c>
      <c r="H364" s="12">
        <f t="shared" si="5"/>
        <v>11312</v>
      </c>
      <c r="I364" s="10" t="s">
        <v>10</v>
      </c>
      <c r="J364" s="13">
        <v>45449</v>
      </c>
    </row>
    <row r="365" customFormat="1" spans="1:10">
      <c r="A365" t="s">
        <v>319</v>
      </c>
      <c r="B365" s="86">
        <v>232402442</v>
      </c>
      <c r="C365" s="9">
        <v>45371</v>
      </c>
      <c r="D365" s="87" t="s">
        <v>215</v>
      </c>
      <c r="E365" s="10">
        <v>406000</v>
      </c>
      <c r="F365" s="10">
        <v>0.028</v>
      </c>
      <c r="G365" s="9">
        <v>45509</v>
      </c>
      <c r="H365" s="12">
        <f t="shared" si="5"/>
        <v>11368</v>
      </c>
      <c r="I365" s="10" t="s">
        <v>10</v>
      </c>
      <c r="J365" s="13">
        <v>45449</v>
      </c>
    </row>
    <row r="366" customFormat="1" spans="1:10">
      <c r="A366" t="s">
        <v>319</v>
      </c>
      <c r="B366" s="86">
        <v>232402443</v>
      </c>
      <c r="C366" s="9">
        <v>45371</v>
      </c>
      <c r="D366" s="10" t="s">
        <v>12</v>
      </c>
      <c r="E366" s="10">
        <v>50000</v>
      </c>
      <c r="F366" s="10">
        <v>0.06</v>
      </c>
      <c r="G366" s="9">
        <v>45448</v>
      </c>
      <c r="H366" s="12">
        <f t="shared" si="5"/>
        <v>3000</v>
      </c>
      <c r="I366" s="10" t="s">
        <v>10</v>
      </c>
      <c r="J366" s="13">
        <v>45425</v>
      </c>
    </row>
    <row r="367" customFormat="1" spans="1:10">
      <c r="A367" t="s">
        <v>319</v>
      </c>
      <c r="B367" s="86">
        <v>232402443</v>
      </c>
      <c r="C367" s="9">
        <v>45371</v>
      </c>
      <c r="D367" s="10" t="s">
        <v>12</v>
      </c>
      <c r="E367" s="10">
        <v>50000</v>
      </c>
      <c r="F367" s="10">
        <v>0.06</v>
      </c>
      <c r="G367" s="9">
        <v>45478</v>
      </c>
      <c r="H367" s="12">
        <f t="shared" si="5"/>
        <v>3000</v>
      </c>
      <c r="I367" s="10" t="s">
        <v>10</v>
      </c>
      <c r="J367" s="13">
        <v>45425</v>
      </c>
    </row>
    <row r="368" customFormat="1" spans="1:10">
      <c r="A368" t="s">
        <v>319</v>
      </c>
      <c r="B368" s="86">
        <v>232402443</v>
      </c>
      <c r="C368" s="9">
        <v>45371</v>
      </c>
      <c r="D368" s="10" t="s">
        <v>100</v>
      </c>
      <c r="E368" s="10">
        <v>300000</v>
      </c>
      <c r="F368" s="10">
        <v>0.03</v>
      </c>
      <c r="G368" s="9">
        <v>45448</v>
      </c>
      <c r="H368" s="12">
        <f t="shared" si="5"/>
        <v>9000</v>
      </c>
      <c r="I368" s="10" t="s">
        <v>10</v>
      </c>
      <c r="J368" s="13">
        <v>45425</v>
      </c>
    </row>
    <row r="369" customFormat="1" spans="1:10">
      <c r="A369" t="s">
        <v>319</v>
      </c>
      <c r="B369" s="86">
        <v>232402443</v>
      </c>
      <c r="C369" s="9">
        <v>45371</v>
      </c>
      <c r="D369" s="10" t="s">
        <v>100</v>
      </c>
      <c r="E369" s="10">
        <v>300000</v>
      </c>
      <c r="F369" s="10">
        <v>0.03</v>
      </c>
      <c r="G369" s="9">
        <v>45478</v>
      </c>
      <c r="H369" s="12">
        <f t="shared" si="5"/>
        <v>9000</v>
      </c>
      <c r="I369" s="10" t="s">
        <v>10</v>
      </c>
      <c r="J369" s="13">
        <v>45425</v>
      </c>
    </row>
    <row r="370" customFormat="1" spans="1:10">
      <c r="A370" t="s">
        <v>319</v>
      </c>
      <c r="B370" s="86">
        <v>232402443</v>
      </c>
      <c r="C370" s="9">
        <v>45371</v>
      </c>
      <c r="D370" s="87" t="s">
        <v>202</v>
      </c>
      <c r="E370" s="10">
        <v>450000</v>
      </c>
      <c r="F370" s="10">
        <v>0.04</v>
      </c>
      <c r="G370" s="9">
        <v>45448</v>
      </c>
      <c r="H370" s="12">
        <f t="shared" si="5"/>
        <v>18000</v>
      </c>
      <c r="I370" s="10" t="s">
        <v>10</v>
      </c>
      <c r="J370" s="13">
        <v>45425</v>
      </c>
    </row>
    <row r="371" customFormat="1" spans="1:10">
      <c r="A371" t="s">
        <v>319</v>
      </c>
      <c r="B371" s="86">
        <v>232402443</v>
      </c>
      <c r="C371" s="9">
        <v>45371</v>
      </c>
      <c r="D371" s="87" t="s">
        <v>202</v>
      </c>
      <c r="E371" s="10">
        <v>450000</v>
      </c>
      <c r="F371" s="10">
        <v>0.04</v>
      </c>
      <c r="G371" s="9">
        <v>45478</v>
      </c>
      <c r="H371" s="12">
        <f t="shared" si="5"/>
        <v>18000</v>
      </c>
      <c r="I371" s="10" t="s">
        <v>10</v>
      </c>
      <c r="J371" s="13">
        <v>45425</v>
      </c>
    </row>
    <row r="372" customFormat="1" spans="1:10">
      <c r="A372" t="s">
        <v>319</v>
      </c>
      <c r="B372" s="86">
        <v>232402444</v>
      </c>
      <c r="C372" s="9">
        <v>45371</v>
      </c>
      <c r="D372" s="10" t="s">
        <v>12</v>
      </c>
      <c r="E372" s="10">
        <v>40000</v>
      </c>
      <c r="F372" s="10">
        <v>0.06</v>
      </c>
      <c r="G372" s="9">
        <v>45509</v>
      </c>
      <c r="H372" s="12">
        <f t="shared" si="5"/>
        <v>2400</v>
      </c>
      <c r="I372" s="10" t="s">
        <v>10</v>
      </c>
      <c r="J372" s="13">
        <v>45406</v>
      </c>
    </row>
    <row r="373" customFormat="1" spans="1:10">
      <c r="A373" t="s">
        <v>319</v>
      </c>
      <c r="B373" s="86">
        <v>232402444</v>
      </c>
      <c r="C373" s="9">
        <v>45371</v>
      </c>
      <c r="D373" s="10" t="s">
        <v>100</v>
      </c>
      <c r="E373" s="10">
        <v>200000</v>
      </c>
      <c r="F373" s="10">
        <v>0.03</v>
      </c>
      <c r="G373" s="9">
        <v>45509</v>
      </c>
      <c r="H373" s="12">
        <f t="shared" si="5"/>
        <v>6000</v>
      </c>
      <c r="I373" s="10" t="s">
        <v>10</v>
      </c>
      <c r="J373" s="13">
        <v>45406</v>
      </c>
    </row>
    <row r="374" customFormat="1" spans="1:10">
      <c r="A374" t="s">
        <v>319</v>
      </c>
      <c r="B374" s="86">
        <v>232402456</v>
      </c>
      <c r="C374" s="9">
        <v>45371</v>
      </c>
      <c r="D374" s="87" t="s">
        <v>202</v>
      </c>
      <c r="E374" s="10">
        <v>96000</v>
      </c>
      <c r="F374" s="10">
        <v>0.04</v>
      </c>
      <c r="G374" s="9">
        <v>45404</v>
      </c>
      <c r="H374" s="12">
        <f t="shared" si="5"/>
        <v>3840</v>
      </c>
      <c r="I374" s="10" t="s">
        <v>10</v>
      </c>
      <c r="J374" s="13">
        <v>45463</v>
      </c>
    </row>
    <row r="375" customFormat="1" spans="1:10">
      <c r="A375" t="s">
        <v>319</v>
      </c>
      <c r="B375" s="86">
        <v>232402456</v>
      </c>
      <c r="C375" s="9">
        <v>45371</v>
      </c>
      <c r="D375" s="87" t="s">
        <v>202</v>
      </c>
      <c r="E375" s="10">
        <v>112000</v>
      </c>
      <c r="F375" s="10">
        <v>0.04</v>
      </c>
      <c r="G375" s="9">
        <v>45418</v>
      </c>
      <c r="H375" s="12">
        <f t="shared" si="5"/>
        <v>4480</v>
      </c>
      <c r="I375" s="10" t="s">
        <v>10</v>
      </c>
      <c r="J375" s="13">
        <v>45463</v>
      </c>
    </row>
    <row r="376" customFormat="1" spans="1:10">
      <c r="A376" t="s">
        <v>319</v>
      </c>
      <c r="B376" s="86">
        <v>232402456</v>
      </c>
      <c r="C376" s="9">
        <v>45371</v>
      </c>
      <c r="D376" s="87" t="s">
        <v>202</v>
      </c>
      <c r="E376" s="10">
        <v>96000</v>
      </c>
      <c r="F376" s="10">
        <v>0.04</v>
      </c>
      <c r="G376" s="9">
        <v>45448</v>
      </c>
      <c r="H376" s="12">
        <f t="shared" si="5"/>
        <v>3840</v>
      </c>
      <c r="I376" s="10" t="s">
        <v>10</v>
      </c>
      <c r="J376" s="13">
        <v>45463</v>
      </c>
    </row>
    <row r="377" customFormat="1" spans="1:10">
      <c r="A377" t="s">
        <v>319</v>
      </c>
      <c r="B377" s="86">
        <v>232402456</v>
      </c>
      <c r="C377" s="9">
        <v>45371</v>
      </c>
      <c r="D377" s="87" t="s">
        <v>202</v>
      </c>
      <c r="E377" s="10">
        <v>96000</v>
      </c>
      <c r="F377" s="10">
        <v>0.04</v>
      </c>
      <c r="G377" s="9">
        <v>45478</v>
      </c>
      <c r="H377" s="12">
        <f t="shared" si="5"/>
        <v>3840</v>
      </c>
      <c r="I377" s="10" t="s">
        <v>10</v>
      </c>
      <c r="J377" s="13">
        <v>45463</v>
      </c>
    </row>
    <row r="378" customFormat="1" spans="1:10">
      <c r="A378" t="s">
        <v>319</v>
      </c>
      <c r="B378" s="86">
        <v>232402463</v>
      </c>
      <c r="C378" s="9">
        <v>45372</v>
      </c>
      <c r="D378" s="10" t="s">
        <v>329</v>
      </c>
      <c r="E378" s="10">
        <v>30000</v>
      </c>
      <c r="F378" s="10">
        <v>0.023</v>
      </c>
      <c r="G378" s="9">
        <v>45387</v>
      </c>
      <c r="H378" s="12">
        <f t="shared" si="5"/>
        <v>690</v>
      </c>
      <c r="I378" s="10" t="s">
        <v>10</v>
      </c>
      <c r="J378" s="13">
        <v>45391</v>
      </c>
    </row>
    <row r="379" customFormat="1" spans="1:10">
      <c r="A379" t="s">
        <v>319</v>
      </c>
      <c r="B379" s="86">
        <v>232402463</v>
      </c>
      <c r="C379" s="9">
        <v>45372</v>
      </c>
      <c r="D379" s="10" t="s">
        <v>329</v>
      </c>
      <c r="E379" s="10">
        <v>30000</v>
      </c>
      <c r="F379" s="10">
        <v>0.023</v>
      </c>
      <c r="G379" s="9">
        <v>45418</v>
      </c>
      <c r="H379" s="12">
        <f t="shared" si="5"/>
        <v>690</v>
      </c>
      <c r="I379" s="10" t="s">
        <v>10</v>
      </c>
      <c r="J379" s="13">
        <v>45391</v>
      </c>
    </row>
    <row r="380" customFormat="1" spans="1:10">
      <c r="A380" t="s">
        <v>319</v>
      </c>
      <c r="B380" s="86">
        <v>232402463</v>
      </c>
      <c r="C380" s="9">
        <v>45372</v>
      </c>
      <c r="D380" s="10" t="s">
        <v>150</v>
      </c>
      <c r="E380" s="10">
        <v>120000</v>
      </c>
      <c r="F380" s="10">
        <v>0.022</v>
      </c>
      <c r="G380" s="9">
        <v>45387</v>
      </c>
      <c r="H380" s="12">
        <f t="shared" si="5"/>
        <v>2640</v>
      </c>
      <c r="I380" s="10" t="s">
        <v>10</v>
      </c>
      <c r="J380" s="13">
        <v>45391</v>
      </c>
    </row>
    <row r="381" customFormat="1" spans="1:10">
      <c r="A381" t="s">
        <v>319</v>
      </c>
      <c r="B381" s="86">
        <v>232402463</v>
      </c>
      <c r="C381" s="9">
        <v>45372</v>
      </c>
      <c r="D381" s="10" t="s">
        <v>150</v>
      </c>
      <c r="E381" s="10">
        <v>120000</v>
      </c>
      <c r="F381" s="10">
        <v>0.022</v>
      </c>
      <c r="G381" s="9">
        <v>45418</v>
      </c>
      <c r="H381" s="12">
        <f t="shared" si="5"/>
        <v>2640</v>
      </c>
      <c r="I381" s="10" t="s">
        <v>10</v>
      </c>
      <c r="J381" s="13">
        <v>45391</v>
      </c>
    </row>
    <row r="382" customFormat="1" spans="1:10">
      <c r="A382" t="s">
        <v>319</v>
      </c>
      <c r="B382" s="86">
        <v>232402464</v>
      </c>
      <c r="C382" s="9">
        <v>45372</v>
      </c>
      <c r="D382" s="87" t="s">
        <v>252</v>
      </c>
      <c r="E382" s="10">
        <v>90000</v>
      </c>
      <c r="F382" s="10">
        <v>0.032</v>
      </c>
      <c r="G382" s="9">
        <v>45434</v>
      </c>
      <c r="H382" s="12">
        <f t="shared" si="5"/>
        <v>2880</v>
      </c>
      <c r="I382" s="10" t="s">
        <v>10</v>
      </c>
      <c r="J382" s="13">
        <v>45391</v>
      </c>
    </row>
    <row r="383" customFormat="1" spans="1:10">
      <c r="A383" t="s">
        <v>319</v>
      </c>
      <c r="B383" s="86">
        <v>232402464</v>
      </c>
      <c r="C383" s="9">
        <v>45372</v>
      </c>
      <c r="D383" s="87" t="s">
        <v>250</v>
      </c>
      <c r="E383" s="10">
        <v>50000</v>
      </c>
      <c r="F383" s="10">
        <v>0.04</v>
      </c>
      <c r="G383" s="9">
        <v>45387</v>
      </c>
      <c r="H383" s="12">
        <f t="shared" si="5"/>
        <v>2000</v>
      </c>
      <c r="I383" s="10" t="s">
        <v>10</v>
      </c>
      <c r="J383" s="13">
        <v>45391</v>
      </c>
    </row>
    <row r="384" customFormat="1" spans="1:10">
      <c r="A384" t="s">
        <v>319</v>
      </c>
      <c r="B384" s="86">
        <v>232402464</v>
      </c>
      <c r="C384" s="9">
        <v>45372</v>
      </c>
      <c r="D384" s="87" t="s">
        <v>250</v>
      </c>
      <c r="E384" s="10">
        <v>50000</v>
      </c>
      <c r="F384" s="10">
        <v>0.04</v>
      </c>
      <c r="G384" s="9">
        <v>45418</v>
      </c>
      <c r="H384" s="12">
        <f t="shared" si="5"/>
        <v>2000</v>
      </c>
      <c r="I384" s="10" t="s">
        <v>10</v>
      </c>
      <c r="J384" s="13">
        <v>45391</v>
      </c>
    </row>
    <row r="385" customFormat="1" spans="1:11">
      <c r="A385" t="s">
        <v>319</v>
      </c>
      <c r="B385" s="86">
        <v>232402464</v>
      </c>
      <c r="C385" s="9">
        <v>45372</v>
      </c>
      <c r="D385" s="87" t="s">
        <v>264</v>
      </c>
      <c r="E385" s="10">
        <v>60000</v>
      </c>
      <c r="F385" s="10">
        <v>0.03</v>
      </c>
      <c r="G385" s="9">
        <v>45387</v>
      </c>
      <c r="H385" s="12">
        <f t="shared" si="5"/>
        <v>1800</v>
      </c>
      <c r="I385" s="10" t="s">
        <v>10</v>
      </c>
      <c r="J385" s="13">
        <v>45391</v>
      </c>
    </row>
    <row r="386" customFormat="1" spans="1:11">
      <c r="A386" t="s">
        <v>319</v>
      </c>
      <c r="B386" s="86">
        <v>232402464</v>
      </c>
      <c r="C386" s="9">
        <v>45372</v>
      </c>
      <c r="D386" s="87" t="s">
        <v>264</v>
      </c>
      <c r="E386" s="10">
        <v>60000</v>
      </c>
      <c r="F386" s="10">
        <v>0.03</v>
      </c>
      <c r="G386" s="9">
        <v>45418</v>
      </c>
      <c r="H386" s="12">
        <f t="shared" ref="H386:H449" si="6">E386*F386</f>
        <v>1800</v>
      </c>
      <c r="I386" s="10" t="s">
        <v>10</v>
      </c>
      <c r="J386" s="13">
        <v>45391</v>
      </c>
    </row>
    <row r="387" customFormat="1" spans="1:11">
      <c r="A387" t="s">
        <v>319</v>
      </c>
      <c r="B387" s="86">
        <v>232402465</v>
      </c>
      <c r="C387" s="9">
        <v>45372</v>
      </c>
      <c r="D387" s="87" t="s">
        <v>204</v>
      </c>
      <c r="E387" s="10">
        <v>250000</v>
      </c>
      <c r="F387" s="10">
        <v>0.036</v>
      </c>
      <c r="G387" s="9">
        <v>45448</v>
      </c>
      <c r="H387" s="12">
        <f t="shared" si="6"/>
        <v>9000</v>
      </c>
      <c r="I387" s="10" t="s">
        <v>10</v>
      </c>
      <c r="J387" s="13">
        <v>45406</v>
      </c>
    </row>
    <row r="388" customFormat="1" spans="1:11">
      <c r="A388" t="s">
        <v>319</v>
      </c>
      <c r="B388" s="86">
        <v>232402465</v>
      </c>
      <c r="C388" s="9">
        <v>45372</v>
      </c>
      <c r="D388" s="87" t="s">
        <v>270</v>
      </c>
      <c r="E388" s="10">
        <v>150000</v>
      </c>
      <c r="F388" s="10">
        <v>0.0238</v>
      </c>
      <c r="G388" s="9">
        <v>45465</v>
      </c>
      <c r="H388" s="12">
        <f t="shared" si="6"/>
        <v>3570</v>
      </c>
      <c r="I388" s="10" t="s">
        <v>10</v>
      </c>
      <c r="J388" s="13">
        <v>45435</v>
      </c>
    </row>
    <row r="389" customFormat="1" spans="1:11">
      <c r="A389" t="s">
        <v>319</v>
      </c>
      <c r="B389" s="86">
        <v>232402465</v>
      </c>
      <c r="C389" s="9">
        <v>45372</v>
      </c>
      <c r="D389" s="10" t="s">
        <v>213</v>
      </c>
      <c r="E389" s="10">
        <v>180000</v>
      </c>
      <c r="F389" s="10">
        <v>0.05</v>
      </c>
      <c r="G389" s="9">
        <v>45465</v>
      </c>
      <c r="H389" s="12">
        <f t="shared" si="6"/>
        <v>9000</v>
      </c>
      <c r="I389" s="10" t="s">
        <v>10</v>
      </c>
      <c r="J389" s="13">
        <v>45406</v>
      </c>
    </row>
    <row r="390" customFormat="1" spans="1:11">
      <c r="A390" t="s">
        <v>319</v>
      </c>
      <c r="B390" s="86">
        <v>232402465</v>
      </c>
      <c r="C390" s="9">
        <v>45372</v>
      </c>
      <c r="D390" s="10" t="s">
        <v>108</v>
      </c>
      <c r="E390" s="10">
        <v>20000</v>
      </c>
      <c r="F390" s="10">
        <v>0.04</v>
      </c>
      <c r="G390" s="9">
        <v>45540</v>
      </c>
      <c r="H390" s="12">
        <f t="shared" si="6"/>
        <v>800</v>
      </c>
      <c r="I390" s="10" t="s">
        <v>10</v>
      </c>
      <c r="J390" s="13">
        <v>45406</v>
      </c>
    </row>
    <row r="391" customFormat="1" spans="1:11">
      <c r="A391" t="s">
        <v>319</v>
      </c>
      <c r="B391" s="86">
        <v>232402466</v>
      </c>
      <c r="C391" s="9">
        <v>45372</v>
      </c>
      <c r="D391" s="10" t="s">
        <v>78</v>
      </c>
      <c r="E391" s="10">
        <v>130000</v>
      </c>
      <c r="F391" s="10">
        <v>0.02</v>
      </c>
      <c r="G391" s="9">
        <v>45404</v>
      </c>
      <c r="H391" s="12">
        <f t="shared" si="6"/>
        <v>2600</v>
      </c>
      <c r="I391" s="10" t="s">
        <v>10</v>
      </c>
      <c r="J391" s="13">
        <v>45406</v>
      </c>
    </row>
    <row r="392" customFormat="1" spans="1:11">
      <c r="A392" t="s">
        <v>319</v>
      </c>
      <c r="B392" s="86">
        <v>232402466</v>
      </c>
      <c r="C392" s="9">
        <v>45372</v>
      </c>
      <c r="D392" s="10" t="s">
        <v>78</v>
      </c>
      <c r="E392" s="10">
        <v>130000</v>
      </c>
      <c r="F392" s="10">
        <v>0.02</v>
      </c>
      <c r="G392" s="9">
        <v>45434</v>
      </c>
      <c r="H392" s="12">
        <f t="shared" si="6"/>
        <v>2600</v>
      </c>
      <c r="I392" s="10" t="s">
        <v>10</v>
      </c>
      <c r="J392" s="13">
        <v>45406</v>
      </c>
    </row>
    <row r="393" customFormat="1" spans="1:11">
      <c r="A393" t="s">
        <v>319</v>
      </c>
      <c r="B393" s="86">
        <v>232402467</v>
      </c>
      <c r="C393" s="9">
        <v>45372</v>
      </c>
      <c r="D393" s="10" t="s">
        <v>78</v>
      </c>
      <c r="E393" s="10">
        <v>130000</v>
      </c>
      <c r="F393" s="10">
        <v>0.02</v>
      </c>
      <c r="G393" s="9">
        <v>45448</v>
      </c>
      <c r="H393" s="12">
        <f t="shared" si="6"/>
        <v>2600</v>
      </c>
      <c r="I393" s="10" t="s">
        <v>10</v>
      </c>
      <c r="J393" s="13">
        <v>45411</v>
      </c>
    </row>
    <row r="394" customFormat="1" spans="1:11">
      <c r="A394" t="s">
        <v>319</v>
      </c>
      <c r="B394" s="86">
        <v>232402467</v>
      </c>
      <c r="C394" s="9">
        <v>45372</v>
      </c>
      <c r="D394" s="87" t="s">
        <v>204</v>
      </c>
      <c r="E394" s="10">
        <v>82000</v>
      </c>
      <c r="F394" s="10">
        <v>0.036</v>
      </c>
      <c r="G394" s="9">
        <v>45448</v>
      </c>
      <c r="H394" s="12">
        <f t="shared" si="6"/>
        <v>2952</v>
      </c>
      <c r="I394" s="10" t="s">
        <v>10</v>
      </c>
      <c r="J394" s="13">
        <v>45411</v>
      </c>
    </row>
    <row r="395" customFormat="1" spans="1:11">
      <c r="A395" t="s">
        <v>319</v>
      </c>
      <c r="B395" s="86">
        <v>232402468</v>
      </c>
      <c r="C395" s="9">
        <v>45372</v>
      </c>
      <c r="D395" s="87" t="s">
        <v>204</v>
      </c>
      <c r="E395" s="10">
        <v>350000</v>
      </c>
      <c r="F395" s="10">
        <v>0.036</v>
      </c>
      <c r="G395" s="9">
        <v>45448</v>
      </c>
      <c r="H395" s="12">
        <f t="shared" si="6"/>
        <v>12600</v>
      </c>
      <c r="I395" s="10" t="s">
        <v>10</v>
      </c>
      <c r="J395" s="13">
        <v>45489</v>
      </c>
      <c r="K395" t="s">
        <v>327</v>
      </c>
    </row>
    <row r="396" customFormat="1" spans="1:11">
      <c r="A396" t="s">
        <v>319</v>
      </c>
      <c r="B396" s="86">
        <v>232402469</v>
      </c>
      <c r="C396" s="9">
        <v>45372</v>
      </c>
      <c r="D396" s="87" t="s">
        <v>204</v>
      </c>
      <c r="E396" s="10">
        <v>250000</v>
      </c>
      <c r="F396" s="10">
        <v>0.036</v>
      </c>
      <c r="G396" s="9">
        <v>45448</v>
      </c>
      <c r="H396" s="12">
        <f t="shared" si="6"/>
        <v>9000</v>
      </c>
      <c r="I396" s="10" t="s">
        <v>10</v>
      </c>
      <c r="J396" s="13">
        <v>45406</v>
      </c>
    </row>
    <row r="397" customFormat="1" spans="1:11">
      <c r="A397" t="s">
        <v>319</v>
      </c>
      <c r="B397" s="86">
        <v>232402469</v>
      </c>
      <c r="C397" s="9">
        <v>45372</v>
      </c>
      <c r="D397" s="87" t="s">
        <v>231</v>
      </c>
      <c r="E397" s="10">
        <v>300000</v>
      </c>
      <c r="F397" s="10">
        <v>0.0082</v>
      </c>
      <c r="G397" s="9">
        <v>45434</v>
      </c>
      <c r="H397" s="12">
        <f t="shared" si="6"/>
        <v>2460</v>
      </c>
      <c r="I397" s="10" t="s">
        <v>10</v>
      </c>
      <c r="J397" s="13">
        <v>45406</v>
      </c>
    </row>
    <row r="398" customFormat="1" spans="1:11">
      <c r="A398" t="s">
        <v>319</v>
      </c>
      <c r="B398" s="86">
        <v>232402469</v>
      </c>
      <c r="C398" s="9">
        <v>45372</v>
      </c>
      <c r="D398" s="87" t="s">
        <v>231</v>
      </c>
      <c r="E398" s="10">
        <v>300000</v>
      </c>
      <c r="F398" s="10">
        <v>0.0082</v>
      </c>
      <c r="G398" s="9">
        <v>45448</v>
      </c>
      <c r="H398" s="12">
        <f t="shared" si="6"/>
        <v>2460</v>
      </c>
      <c r="I398" s="10" t="s">
        <v>10</v>
      </c>
      <c r="J398" s="13">
        <v>45406</v>
      </c>
    </row>
    <row r="399" customFormat="1" spans="1:11">
      <c r="A399" t="s">
        <v>319</v>
      </c>
      <c r="B399" s="86">
        <v>232402470</v>
      </c>
      <c r="C399" s="9">
        <v>45372</v>
      </c>
      <c r="D399" s="87" t="s">
        <v>204</v>
      </c>
      <c r="E399" s="10">
        <v>80000</v>
      </c>
      <c r="F399" s="10">
        <v>0.036</v>
      </c>
      <c r="G399" s="9">
        <v>45448</v>
      </c>
      <c r="H399" s="12">
        <f t="shared" si="6"/>
        <v>2880</v>
      </c>
      <c r="I399" s="10" t="s">
        <v>10</v>
      </c>
      <c r="J399" s="13">
        <v>45406</v>
      </c>
    </row>
    <row r="400" customFormat="1" spans="1:11">
      <c r="A400" t="s">
        <v>319</v>
      </c>
      <c r="B400" s="86">
        <v>232402470</v>
      </c>
      <c r="C400" s="9">
        <v>45372</v>
      </c>
      <c r="D400" s="87" t="s">
        <v>231</v>
      </c>
      <c r="E400" s="10">
        <v>30000</v>
      </c>
      <c r="F400" s="10">
        <v>0.0082</v>
      </c>
      <c r="G400" s="9">
        <v>45434</v>
      </c>
      <c r="H400" s="12">
        <f t="shared" si="6"/>
        <v>246</v>
      </c>
      <c r="I400" s="10" t="s">
        <v>10</v>
      </c>
      <c r="J400" s="13">
        <v>45406</v>
      </c>
    </row>
    <row r="401" customFormat="1" spans="1:11">
      <c r="A401" t="s">
        <v>319</v>
      </c>
      <c r="B401" s="86">
        <v>232402470</v>
      </c>
      <c r="C401" s="9">
        <v>45372</v>
      </c>
      <c r="D401" s="87" t="s">
        <v>231</v>
      </c>
      <c r="E401" s="10">
        <v>30000</v>
      </c>
      <c r="F401" s="10">
        <v>0.0082</v>
      </c>
      <c r="G401" s="9">
        <v>45448</v>
      </c>
      <c r="H401" s="12">
        <f t="shared" si="6"/>
        <v>246</v>
      </c>
      <c r="I401" s="10" t="s">
        <v>10</v>
      </c>
      <c r="J401" s="13">
        <v>45406</v>
      </c>
    </row>
    <row r="402" customFormat="1" spans="1:11">
      <c r="A402" t="s">
        <v>319</v>
      </c>
      <c r="B402" s="86">
        <v>232402471</v>
      </c>
      <c r="C402" s="9">
        <v>45372</v>
      </c>
      <c r="D402" s="87" t="s">
        <v>202</v>
      </c>
      <c r="E402" s="10">
        <v>200000</v>
      </c>
      <c r="F402" s="10">
        <v>0.04</v>
      </c>
      <c r="G402" s="9">
        <v>45418</v>
      </c>
      <c r="H402" s="12">
        <f t="shared" si="6"/>
        <v>8000</v>
      </c>
      <c r="I402" s="10" t="s">
        <v>10</v>
      </c>
      <c r="J402" s="13">
        <v>45411</v>
      </c>
    </row>
    <row r="403" customFormat="1" spans="1:11">
      <c r="A403" t="s">
        <v>319</v>
      </c>
      <c r="B403" s="86">
        <v>232402471</v>
      </c>
      <c r="C403" s="9">
        <v>45372</v>
      </c>
      <c r="D403" s="87" t="s">
        <v>202</v>
      </c>
      <c r="E403" s="10">
        <v>200000</v>
      </c>
      <c r="F403" s="10">
        <v>0.04</v>
      </c>
      <c r="G403" s="9">
        <v>45448</v>
      </c>
      <c r="H403" s="12">
        <f t="shared" si="6"/>
        <v>8000</v>
      </c>
      <c r="I403" s="10" t="s">
        <v>10</v>
      </c>
      <c r="J403" s="13">
        <v>45411</v>
      </c>
    </row>
    <row r="404" customFormat="1" spans="1:11">
      <c r="A404" t="s">
        <v>319</v>
      </c>
      <c r="B404" s="86">
        <v>232402471</v>
      </c>
      <c r="C404" s="9">
        <v>45372</v>
      </c>
      <c r="D404" s="87" t="s">
        <v>202</v>
      </c>
      <c r="E404" s="10">
        <v>200000</v>
      </c>
      <c r="F404" s="10">
        <v>0.04</v>
      </c>
      <c r="G404" s="9">
        <v>45418</v>
      </c>
      <c r="H404" s="12">
        <f t="shared" si="6"/>
        <v>8000</v>
      </c>
      <c r="I404" s="10" t="s">
        <v>10</v>
      </c>
      <c r="J404" s="13">
        <v>45411</v>
      </c>
    </row>
    <row r="405" customFormat="1" spans="1:11">
      <c r="A405" t="s">
        <v>319</v>
      </c>
      <c r="B405" s="86">
        <v>232402471</v>
      </c>
      <c r="C405" s="9">
        <v>45372</v>
      </c>
      <c r="D405" s="87" t="s">
        <v>202</v>
      </c>
      <c r="E405" s="10">
        <v>200000</v>
      </c>
      <c r="F405" s="10">
        <v>0.04</v>
      </c>
      <c r="G405" s="9">
        <v>45448</v>
      </c>
      <c r="H405" s="12">
        <f t="shared" si="6"/>
        <v>8000</v>
      </c>
      <c r="I405" s="10" t="s">
        <v>10</v>
      </c>
      <c r="J405" s="13">
        <v>45411</v>
      </c>
    </row>
    <row r="406" customFormat="1" spans="1:11">
      <c r="A406" t="s">
        <v>319</v>
      </c>
      <c r="B406" s="86">
        <v>232402472</v>
      </c>
      <c r="C406" s="9">
        <v>45372</v>
      </c>
      <c r="D406" s="87" t="s">
        <v>330</v>
      </c>
      <c r="E406" s="10">
        <v>200000</v>
      </c>
      <c r="F406" s="10">
        <v>0.04</v>
      </c>
      <c r="G406" s="9">
        <v>45601</v>
      </c>
      <c r="H406" s="12">
        <f t="shared" si="6"/>
        <v>8000</v>
      </c>
      <c r="I406" s="10" t="s">
        <v>10</v>
      </c>
      <c r="J406" s="13">
        <v>45573</v>
      </c>
      <c r="K406" t="s">
        <v>331</v>
      </c>
    </row>
    <row r="407" customFormat="1" spans="1:11">
      <c r="A407" t="s">
        <v>319</v>
      </c>
      <c r="B407" s="86">
        <v>232402472</v>
      </c>
      <c r="C407" s="9">
        <v>45372</v>
      </c>
      <c r="D407" s="87" t="s">
        <v>330</v>
      </c>
      <c r="E407" s="10">
        <v>200000</v>
      </c>
      <c r="F407" s="10">
        <v>0.04</v>
      </c>
      <c r="G407" s="9">
        <v>45601</v>
      </c>
      <c r="H407" s="12">
        <f t="shared" si="6"/>
        <v>8000</v>
      </c>
      <c r="I407" s="10" t="s">
        <v>10</v>
      </c>
      <c r="J407" s="13">
        <v>45573</v>
      </c>
      <c r="K407" t="s">
        <v>331</v>
      </c>
    </row>
    <row r="408" customFormat="1" spans="1:11">
      <c r="A408" t="s">
        <v>319</v>
      </c>
      <c r="B408" s="86">
        <v>232402473</v>
      </c>
      <c r="C408" s="9">
        <v>45372</v>
      </c>
      <c r="D408" s="87" t="s">
        <v>202</v>
      </c>
      <c r="E408" s="10">
        <v>300000</v>
      </c>
      <c r="F408" s="10">
        <v>0.04</v>
      </c>
      <c r="G408" s="9">
        <v>45418</v>
      </c>
      <c r="H408" s="12">
        <f t="shared" si="6"/>
        <v>12000</v>
      </c>
      <c r="I408" s="10" t="s">
        <v>10</v>
      </c>
      <c r="J408" s="13">
        <v>45449</v>
      </c>
    </row>
    <row r="409" customFormat="1" spans="1:11">
      <c r="A409" t="s">
        <v>319</v>
      </c>
      <c r="B409" s="86">
        <v>232402473</v>
      </c>
      <c r="C409" s="9">
        <v>45372</v>
      </c>
      <c r="D409" s="87" t="s">
        <v>202</v>
      </c>
      <c r="E409" s="10">
        <v>300000</v>
      </c>
      <c r="F409" s="10">
        <v>0.04</v>
      </c>
      <c r="G409" s="9">
        <v>45448</v>
      </c>
      <c r="H409" s="12">
        <f t="shared" si="6"/>
        <v>12000</v>
      </c>
      <c r="I409" s="10" t="s">
        <v>10</v>
      </c>
      <c r="J409" s="13">
        <v>45449</v>
      </c>
    </row>
    <row r="410" customFormat="1" spans="1:11">
      <c r="A410" t="s">
        <v>319</v>
      </c>
      <c r="B410" s="86">
        <v>232402473</v>
      </c>
      <c r="C410" s="9">
        <v>45372</v>
      </c>
      <c r="D410" s="87" t="s">
        <v>202</v>
      </c>
      <c r="E410" s="10">
        <v>300000</v>
      </c>
      <c r="F410" s="10">
        <v>0.04</v>
      </c>
      <c r="G410" s="9">
        <v>45418</v>
      </c>
      <c r="H410" s="12">
        <f t="shared" si="6"/>
        <v>12000</v>
      </c>
      <c r="I410" s="10" t="s">
        <v>10</v>
      </c>
      <c r="J410" s="13">
        <v>45449</v>
      </c>
    </row>
    <row r="411" customFormat="1" spans="1:11">
      <c r="A411" t="s">
        <v>319</v>
      </c>
      <c r="B411" s="86">
        <v>232402473</v>
      </c>
      <c r="C411" s="9">
        <v>45372</v>
      </c>
      <c r="D411" s="87" t="s">
        <v>202</v>
      </c>
      <c r="E411" s="10">
        <v>300000</v>
      </c>
      <c r="F411" s="10">
        <v>0.04</v>
      </c>
      <c r="G411" s="9">
        <v>45448</v>
      </c>
      <c r="H411" s="12">
        <f t="shared" si="6"/>
        <v>12000</v>
      </c>
      <c r="I411" s="10" t="s">
        <v>10</v>
      </c>
      <c r="J411" s="13">
        <v>45449</v>
      </c>
    </row>
    <row r="412" customFormat="1" spans="1:11">
      <c r="A412" t="s">
        <v>319</v>
      </c>
      <c r="B412" s="86">
        <v>232402474</v>
      </c>
      <c r="C412" s="9">
        <v>45372</v>
      </c>
      <c r="D412" s="87" t="s">
        <v>330</v>
      </c>
      <c r="E412" s="10">
        <v>300000</v>
      </c>
      <c r="F412" s="10">
        <v>0.04</v>
      </c>
      <c r="G412" s="9">
        <v>45601</v>
      </c>
      <c r="H412" s="12">
        <f t="shared" si="6"/>
        <v>12000</v>
      </c>
      <c r="I412" s="10" t="s">
        <v>10</v>
      </c>
      <c r="J412" s="13">
        <v>45573</v>
      </c>
      <c r="K412" t="s">
        <v>332</v>
      </c>
    </row>
    <row r="413" customFormat="1" spans="1:11">
      <c r="A413" t="s">
        <v>319</v>
      </c>
      <c r="B413" s="86">
        <v>232402474</v>
      </c>
      <c r="C413" s="9">
        <v>45372</v>
      </c>
      <c r="D413" s="87" t="s">
        <v>330</v>
      </c>
      <c r="E413" s="10">
        <v>300000</v>
      </c>
      <c r="F413" s="10">
        <v>0.04</v>
      </c>
      <c r="G413" s="9">
        <v>45601</v>
      </c>
      <c r="H413" s="12">
        <f t="shared" si="6"/>
        <v>12000</v>
      </c>
      <c r="I413" s="10" t="s">
        <v>10</v>
      </c>
      <c r="J413" s="13">
        <v>45573</v>
      </c>
      <c r="K413" t="s">
        <v>332</v>
      </c>
    </row>
    <row r="414" customFormat="1" spans="1:11">
      <c r="A414" t="s">
        <v>319</v>
      </c>
      <c r="B414" s="86">
        <v>232402475</v>
      </c>
      <c r="C414" s="9">
        <v>45372</v>
      </c>
      <c r="D414" s="10" t="s">
        <v>9</v>
      </c>
      <c r="E414" s="10">
        <v>20000</v>
      </c>
      <c r="F414" s="10">
        <v>0.0254</v>
      </c>
      <c r="G414" s="9">
        <v>45387</v>
      </c>
      <c r="H414" s="12">
        <f t="shared" si="6"/>
        <v>508</v>
      </c>
      <c r="I414" s="10" t="s">
        <v>10</v>
      </c>
      <c r="J414" s="13">
        <v>45391</v>
      </c>
    </row>
    <row r="415" customFormat="1" spans="1:11">
      <c r="A415" t="s">
        <v>319</v>
      </c>
      <c r="B415" s="86">
        <v>232402475</v>
      </c>
      <c r="C415" s="9">
        <v>45372</v>
      </c>
      <c r="D415" s="10" t="s">
        <v>9</v>
      </c>
      <c r="E415" s="10">
        <v>20000</v>
      </c>
      <c r="F415" s="10">
        <v>0.0254</v>
      </c>
      <c r="G415" s="9">
        <v>45418</v>
      </c>
      <c r="H415" s="12">
        <f t="shared" si="6"/>
        <v>508</v>
      </c>
      <c r="I415" s="10" t="s">
        <v>10</v>
      </c>
      <c r="J415" s="13">
        <v>45391</v>
      </c>
    </row>
    <row r="416" customFormat="1" spans="1:11">
      <c r="A416" t="s">
        <v>319</v>
      </c>
      <c r="B416" s="86">
        <v>232402476</v>
      </c>
      <c r="C416" s="9">
        <v>45372</v>
      </c>
      <c r="D416" s="87" t="s">
        <v>202</v>
      </c>
      <c r="E416" s="10">
        <v>200000</v>
      </c>
      <c r="F416" s="10">
        <v>0.04</v>
      </c>
      <c r="G416" s="9">
        <v>45418</v>
      </c>
      <c r="H416" s="12">
        <f t="shared" si="6"/>
        <v>8000</v>
      </c>
      <c r="I416" s="10" t="s">
        <v>10</v>
      </c>
      <c r="J416" s="13">
        <v>45463</v>
      </c>
    </row>
    <row r="417" customFormat="1" spans="1:11">
      <c r="A417" t="s">
        <v>319</v>
      </c>
      <c r="B417" s="86">
        <v>232402476</v>
      </c>
      <c r="C417" s="9">
        <v>45372</v>
      </c>
      <c r="D417" s="87" t="s">
        <v>202</v>
      </c>
      <c r="E417" s="10">
        <v>200000</v>
      </c>
      <c r="F417" s="10">
        <v>0.04</v>
      </c>
      <c r="G417" s="9">
        <v>45448</v>
      </c>
      <c r="H417" s="12">
        <f t="shared" si="6"/>
        <v>8000</v>
      </c>
      <c r="I417" s="10" t="s">
        <v>10</v>
      </c>
      <c r="J417" s="13">
        <v>45463</v>
      </c>
    </row>
    <row r="418" customFormat="1" spans="1:11">
      <c r="A418" t="s">
        <v>319</v>
      </c>
      <c r="B418" s="86">
        <v>232402477</v>
      </c>
      <c r="C418" s="9">
        <v>45372</v>
      </c>
      <c r="D418" s="87" t="s">
        <v>202</v>
      </c>
      <c r="E418" s="10">
        <v>100000</v>
      </c>
      <c r="F418" s="10">
        <v>0.04</v>
      </c>
      <c r="G418" s="9">
        <v>45478</v>
      </c>
      <c r="H418" s="12">
        <f t="shared" si="6"/>
        <v>4000</v>
      </c>
      <c r="I418" s="10" t="s">
        <v>10</v>
      </c>
      <c r="J418" s="13">
        <v>45411</v>
      </c>
    </row>
    <row r="419" customFormat="1" spans="1:11">
      <c r="A419" t="s">
        <v>319</v>
      </c>
      <c r="B419" s="86">
        <v>232402477</v>
      </c>
      <c r="C419" s="9">
        <v>45372</v>
      </c>
      <c r="D419" s="87" t="s">
        <v>202</v>
      </c>
      <c r="E419" s="10">
        <v>100000</v>
      </c>
      <c r="F419" s="10">
        <v>0.04</v>
      </c>
      <c r="G419" s="9">
        <v>45478</v>
      </c>
      <c r="H419" s="12">
        <f t="shared" si="6"/>
        <v>4000</v>
      </c>
      <c r="I419" s="10" t="s">
        <v>10</v>
      </c>
      <c r="J419" s="13">
        <v>45411</v>
      </c>
    </row>
    <row r="420" customFormat="1" spans="1:11">
      <c r="A420" t="s">
        <v>319</v>
      </c>
      <c r="B420" s="86">
        <v>232402478</v>
      </c>
      <c r="C420" s="9">
        <v>45372</v>
      </c>
      <c r="D420" s="10" t="s">
        <v>281</v>
      </c>
      <c r="E420" s="10">
        <v>30060</v>
      </c>
      <c r="F420" s="10">
        <v>0.08</v>
      </c>
      <c r="G420" s="9">
        <v>45404</v>
      </c>
      <c r="H420" s="12">
        <f t="shared" si="6"/>
        <v>2404.8</v>
      </c>
      <c r="I420" s="10" t="s">
        <v>10</v>
      </c>
      <c r="J420" s="13">
        <v>45391</v>
      </c>
    </row>
    <row r="421" customFormat="1" spans="1:11">
      <c r="A421" t="s">
        <v>319</v>
      </c>
      <c r="B421" s="86">
        <v>232402478</v>
      </c>
      <c r="C421" s="9">
        <v>45372</v>
      </c>
      <c r="D421" s="10" t="s">
        <v>281</v>
      </c>
      <c r="E421" s="10">
        <v>30060</v>
      </c>
      <c r="F421" s="10">
        <v>0.08</v>
      </c>
      <c r="G421" s="9">
        <v>45404</v>
      </c>
      <c r="H421" s="12">
        <f t="shared" si="6"/>
        <v>2404.8</v>
      </c>
      <c r="I421" s="10" t="s">
        <v>10</v>
      </c>
      <c r="J421" s="13">
        <v>45391</v>
      </c>
    </row>
    <row r="422" customFormat="1" spans="1:11">
      <c r="A422" t="s">
        <v>319</v>
      </c>
      <c r="B422" s="86">
        <v>232402478</v>
      </c>
      <c r="C422" s="9">
        <v>45372</v>
      </c>
      <c r="D422" s="10" t="s">
        <v>281</v>
      </c>
      <c r="E422" s="10">
        <v>30060</v>
      </c>
      <c r="F422" s="10">
        <v>0.08</v>
      </c>
      <c r="G422" s="9">
        <v>45418</v>
      </c>
      <c r="H422" s="12">
        <f t="shared" si="6"/>
        <v>2404.8</v>
      </c>
      <c r="I422" s="10" t="s">
        <v>10</v>
      </c>
      <c r="J422" s="13">
        <v>45391</v>
      </c>
    </row>
    <row r="423" customFormat="1" spans="1:11">
      <c r="A423" t="s">
        <v>319</v>
      </c>
      <c r="B423" s="86">
        <v>232402478</v>
      </c>
      <c r="C423" s="9">
        <v>45372</v>
      </c>
      <c r="D423" s="10" t="s">
        <v>281</v>
      </c>
      <c r="E423" s="10">
        <v>30060</v>
      </c>
      <c r="F423" s="10">
        <v>0.08</v>
      </c>
      <c r="G423" s="9">
        <v>45418</v>
      </c>
      <c r="H423" s="12">
        <f t="shared" si="6"/>
        <v>2404.8</v>
      </c>
      <c r="I423" s="10" t="s">
        <v>10</v>
      </c>
      <c r="J423" s="13">
        <v>45391</v>
      </c>
    </row>
    <row r="424" customFormat="1" spans="1:11">
      <c r="A424" t="s">
        <v>319</v>
      </c>
      <c r="B424" s="86">
        <v>232402478</v>
      </c>
      <c r="C424" s="9">
        <v>45372</v>
      </c>
      <c r="D424" s="10" t="s">
        <v>281</v>
      </c>
      <c r="E424" s="10">
        <v>30060</v>
      </c>
      <c r="F424" s="10">
        <v>0.08</v>
      </c>
      <c r="G424" s="9">
        <v>45418</v>
      </c>
      <c r="H424" s="12">
        <f t="shared" si="6"/>
        <v>2404.8</v>
      </c>
      <c r="I424" s="10" t="s">
        <v>10</v>
      </c>
      <c r="J424" s="13">
        <v>45391</v>
      </c>
    </row>
    <row r="425" customFormat="1" spans="1:11">
      <c r="A425" t="s">
        <v>319</v>
      </c>
      <c r="B425" s="86">
        <v>232402478</v>
      </c>
      <c r="C425" s="9">
        <v>45372</v>
      </c>
      <c r="D425" s="10" t="s">
        <v>281</v>
      </c>
      <c r="E425" s="10">
        <v>30060</v>
      </c>
      <c r="F425" s="10">
        <v>0.08</v>
      </c>
      <c r="G425" s="9">
        <v>45418</v>
      </c>
      <c r="H425" s="12">
        <f t="shared" si="6"/>
        <v>2404.8</v>
      </c>
      <c r="I425" s="10" t="s">
        <v>10</v>
      </c>
      <c r="J425" s="13">
        <v>45391</v>
      </c>
    </row>
    <row r="426" customFormat="1" spans="1:11">
      <c r="A426" t="s">
        <v>319</v>
      </c>
      <c r="B426" s="86">
        <v>232402478</v>
      </c>
      <c r="C426" s="9">
        <v>45372</v>
      </c>
      <c r="D426" s="10" t="s">
        <v>281</v>
      </c>
      <c r="E426" s="10">
        <v>30060</v>
      </c>
      <c r="F426" s="10">
        <v>0.08</v>
      </c>
      <c r="G426" s="9">
        <v>45434</v>
      </c>
      <c r="H426" s="12">
        <f t="shared" si="6"/>
        <v>2404.8</v>
      </c>
      <c r="I426" s="10" t="s">
        <v>10</v>
      </c>
      <c r="J426" s="13">
        <v>45391</v>
      </c>
    </row>
    <row r="427" customFormat="1" spans="1:11">
      <c r="A427" t="s">
        <v>319</v>
      </c>
      <c r="B427" s="86">
        <v>232402478</v>
      </c>
      <c r="C427" s="9">
        <v>45372</v>
      </c>
      <c r="D427" s="10" t="s">
        <v>281</v>
      </c>
      <c r="E427" s="10">
        <v>30060</v>
      </c>
      <c r="F427" s="10">
        <v>0.08</v>
      </c>
      <c r="G427" s="9">
        <v>45434</v>
      </c>
      <c r="H427" s="12">
        <f t="shared" si="6"/>
        <v>2404.8</v>
      </c>
      <c r="I427" s="10" t="s">
        <v>10</v>
      </c>
      <c r="J427" s="13">
        <v>45391</v>
      </c>
    </row>
    <row r="428" customFormat="1" spans="1:11">
      <c r="A428" t="s">
        <v>319</v>
      </c>
      <c r="B428" s="86">
        <v>232402485</v>
      </c>
      <c r="C428" s="9">
        <v>45373</v>
      </c>
      <c r="D428" s="87" t="s">
        <v>257</v>
      </c>
      <c r="E428" s="10">
        <v>300000</v>
      </c>
      <c r="F428" s="10">
        <v>0.01</v>
      </c>
      <c r="G428" s="9">
        <v>45387</v>
      </c>
      <c r="H428" s="12">
        <f t="shared" si="6"/>
        <v>3000</v>
      </c>
      <c r="I428" s="10" t="s">
        <v>10</v>
      </c>
      <c r="J428" s="13">
        <v>45378</v>
      </c>
    </row>
    <row r="429" customFormat="1" spans="1:11">
      <c r="A429" t="s">
        <v>319</v>
      </c>
      <c r="B429" s="86">
        <v>232402485</v>
      </c>
      <c r="C429" s="9">
        <v>45373</v>
      </c>
      <c r="D429" s="87" t="s">
        <v>257</v>
      </c>
      <c r="E429" s="10">
        <v>300000</v>
      </c>
      <c r="F429" s="10">
        <v>0.01</v>
      </c>
      <c r="G429" s="9">
        <v>45387</v>
      </c>
      <c r="H429" s="12">
        <f t="shared" si="6"/>
        <v>3000</v>
      </c>
      <c r="I429" s="10" t="s">
        <v>10</v>
      </c>
      <c r="J429" s="13">
        <v>45378</v>
      </c>
    </row>
    <row r="430" customFormat="1" spans="1:11">
      <c r="A430" t="s">
        <v>319</v>
      </c>
      <c r="B430" s="86">
        <v>232402485</v>
      </c>
      <c r="C430" s="9">
        <v>45373</v>
      </c>
      <c r="D430" s="87" t="s">
        <v>257</v>
      </c>
      <c r="E430" s="10">
        <v>300000</v>
      </c>
      <c r="F430" s="10">
        <v>0.01</v>
      </c>
      <c r="G430" s="9">
        <v>45417</v>
      </c>
      <c r="H430" s="12">
        <f t="shared" si="6"/>
        <v>3000</v>
      </c>
      <c r="I430" s="10" t="s">
        <v>10</v>
      </c>
      <c r="J430" s="13">
        <v>45378</v>
      </c>
    </row>
    <row r="431" customFormat="1" spans="1:11">
      <c r="A431" t="s">
        <v>319</v>
      </c>
      <c r="B431" s="86">
        <v>232402485</v>
      </c>
      <c r="C431" s="9">
        <v>45373</v>
      </c>
      <c r="D431" s="87" t="s">
        <v>257</v>
      </c>
      <c r="E431" s="10">
        <v>300000</v>
      </c>
      <c r="F431" s="10">
        <v>0.01</v>
      </c>
      <c r="G431" s="9">
        <v>45417</v>
      </c>
      <c r="H431" s="12">
        <f t="shared" si="6"/>
        <v>3000</v>
      </c>
      <c r="I431" s="10" t="s">
        <v>10</v>
      </c>
      <c r="J431" s="13">
        <v>45378</v>
      </c>
    </row>
    <row r="432" customFormat="1" spans="1:11">
      <c r="A432" t="s">
        <v>319</v>
      </c>
      <c r="B432" s="86">
        <v>232402516</v>
      </c>
      <c r="C432" s="9">
        <v>45379</v>
      </c>
      <c r="D432" s="87" t="s">
        <v>248</v>
      </c>
      <c r="E432" s="10">
        <v>100000</v>
      </c>
      <c r="F432" s="10">
        <v>0.065</v>
      </c>
      <c r="G432" s="9">
        <v>45495</v>
      </c>
      <c r="H432" s="12">
        <f t="shared" si="6"/>
        <v>6500</v>
      </c>
      <c r="I432" s="10" t="s">
        <v>10</v>
      </c>
      <c r="J432" s="13">
        <v>45443</v>
      </c>
      <c r="K432" t="s">
        <v>333</v>
      </c>
    </row>
    <row r="433" customFormat="1" spans="1:11">
      <c r="A433" t="s">
        <v>319</v>
      </c>
      <c r="B433" s="86">
        <v>232402516</v>
      </c>
      <c r="C433" s="9">
        <v>45379</v>
      </c>
      <c r="D433" s="87" t="s">
        <v>248</v>
      </c>
      <c r="E433" s="10">
        <v>100000</v>
      </c>
      <c r="F433" s="10">
        <v>0.065</v>
      </c>
      <c r="G433" s="9">
        <v>45495</v>
      </c>
      <c r="H433" s="12">
        <f t="shared" si="6"/>
        <v>6500</v>
      </c>
      <c r="I433" s="10" t="s">
        <v>10</v>
      </c>
      <c r="J433" s="13">
        <v>45443</v>
      </c>
      <c r="K433" t="s">
        <v>333</v>
      </c>
    </row>
    <row r="434" customFormat="1" spans="1:11">
      <c r="A434" t="s">
        <v>319</v>
      </c>
      <c r="B434" s="86">
        <v>232402517</v>
      </c>
      <c r="C434" s="9">
        <v>45379</v>
      </c>
      <c r="D434" s="87" t="s">
        <v>290</v>
      </c>
      <c r="E434" s="10">
        <v>20000</v>
      </c>
      <c r="F434" s="10">
        <v>0.03</v>
      </c>
      <c r="G434" s="9">
        <v>45495</v>
      </c>
      <c r="H434" s="12">
        <f t="shared" si="6"/>
        <v>600</v>
      </c>
      <c r="I434" s="10" t="s">
        <v>10</v>
      </c>
      <c r="J434" s="13">
        <v>45406</v>
      </c>
    </row>
    <row r="435" customFormat="1" spans="1:11">
      <c r="A435" t="s">
        <v>319</v>
      </c>
      <c r="B435" s="86">
        <v>232402526</v>
      </c>
      <c r="C435" s="9">
        <v>45379</v>
      </c>
      <c r="D435" s="87" t="s">
        <v>334</v>
      </c>
      <c r="E435" s="10">
        <v>20000</v>
      </c>
      <c r="F435" s="10">
        <v>0.15</v>
      </c>
      <c r="G435" s="9">
        <v>45387</v>
      </c>
      <c r="H435" s="12">
        <f t="shared" si="6"/>
        <v>3000</v>
      </c>
      <c r="I435" s="10" t="s">
        <v>10</v>
      </c>
      <c r="J435" s="13">
        <v>45418</v>
      </c>
    </row>
    <row r="436" customFormat="1" spans="1:11">
      <c r="A436" t="s">
        <v>319</v>
      </c>
      <c r="B436" s="86">
        <v>232402527</v>
      </c>
      <c r="C436" s="9">
        <v>45380</v>
      </c>
      <c r="D436" s="87" t="s">
        <v>211</v>
      </c>
      <c r="E436" s="10">
        <v>208000</v>
      </c>
      <c r="F436" s="10">
        <v>0.022</v>
      </c>
      <c r="G436" s="9">
        <v>45458</v>
      </c>
      <c r="H436" s="12">
        <f t="shared" si="6"/>
        <v>4576</v>
      </c>
      <c r="I436" s="10" t="s">
        <v>10</v>
      </c>
      <c r="J436" s="13">
        <v>45443</v>
      </c>
      <c r="K436" t="s">
        <v>333</v>
      </c>
    </row>
    <row r="437" customFormat="1" spans="1:11">
      <c r="A437" t="s">
        <v>319</v>
      </c>
      <c r="B437" s="86">
        <v>242500027</v>
      </c>
      <c r="C437" s="9">
        <v>45385</v>
      </c>
      <c r="D437" s="10" t="s">
        <v>163</v>
      </c>
      <c r="E437" s="10">
        <v>400000</v>
      </c>
      <c r="F437" s="10">
        <v>0.0025</v>
      </c>
      <c r="G437" s="9">
        <v>45387</v>
      </c>
      <c r="H437" s="12">
        <f t="shared" si="6"/>
        <v>1000</v>
      </c>
      <c r="I437" s="10" t="s">
        <v>10</v>
      </c>
      <c r="J437" s="13">
        <v>45406</v>
      </c>
    </row>
    <row r="438" customFormat="1" spans="1:11">
      <c r="A438" t="s">
        <v>319</v>
      </c>
      <c r="B438" s="86">
        <v>242500029</v>
      </c>
      <c r="C438" s="9">
        <v>45385</v>
      </c>
      <c r="D438" s="10" t="s">
        <v>242</v>
      </c>
      <c r="E438" s="10">
        <v>30000</v>
      </c>
      <c r="F438" s="10">
        <v>0.043</v>
      </c>
      <c r="G438" s="9">
        <v>45387</v>
      </c>
      <c r="H438" s="12">
        <f t="shared" si="6"/>
        <v>1290</v>
      </c>
      <c r="I438" s="10" t="s">
        <v>10</v>
      </c>
      <c r="J438" s="13">
        <v>45406</v>
      </c>
    </row>
    <row r="439" customFormat="1" spans="1:11">
      <c r="A439" t="s">
        <v>319</v>
      </c>
      <c r="B439" s="86">
        <v>242500045</v>
      </c>
      <c r="C439" s="9">
        <v>45390</v>
      </c>
      <c r="D439" s="87" t="s">
        <v>253</v>
      </c>
      <c r="E439" s="10">
        <v>80000</v>
      </c>
      <c r="F439" s="10">
        <v>0.08</v>
      </c>
      <c r="G439" s="9">
        <v>45434</v>
      </c>
      <c r="H439" s="12">
        <f t="shared" si="6"/>
        <v>6400</v>
      </c>
      <c r="I439" s="10" t="s">
        <v>10</v>
      </c>
      <c r="J439" s="13">
        <v>45406</v>
      </c>
    </row>
    <row r="440" customFormat="1" spans="1:11">
      <c r="A440" t="s">
        <v>319</v>
      </c>
      <c r="B440" s="86">
        <v>242500046</v>
      </c>
      <c r="C440" s="9">
        <v>45390</v>
      </c>
      <c r="D440" s="87" t="s">
        <v>202</v>
      </c>
      <c r="E440" s="10">
        <v>20000</v>
      </c>
      <c r="F440" s="10">
        <v>0.04</v>
      </c>
      <c r="G440" s="9">
        <v>45434</v>
      </c>
      <c r="H440" s="12">
        <f t="shared" si="6"/>
        <v>800</v>
      </c>
      <c r="I440" s="10" t="s">
        <v>10</v>
      </c>
      <c r="J440" s="13">
        <v>45406</v>
      </c>
    </row>
    <row r="441" customFormat="1" spans="1:11">
      <c r="A441" t="s">
        <v>319</v>
      </c>
      <c r="B441" s="86">
        <v>242500046</v>
      </c>
      <c r="C441" s="9">
        <v>45390</v>
      </c>
      <c r="D441" s="87" t="s">
        <v>202</v>
      </c>
      <c r="E441" s="10">
        <v>20000</v>
      </c>
      <c r="F441" s="10">
        <v>0.04</v>
      </c>
      <c r="G441" s="9">
        <v>45464</v>
      </c>
      <c r="H441" s="12">
        <f t="shared" si="6"/>
        <v>800</v>
      </c>
      <c r="I441" s="10" t="s">
        <v>10</v>
      </c>
      <c r="J441" s="13">
        <v>45406</v>
      </c>
    </row>
    <row r="442" customFormat="1" spans="1:11">
      <c r="A442" t="s">
        <v>319</v>
      </c>
      <c r="B442" s="86">
        <v>242500087</v>
      </c>
      <c r="C442" s="9">
        <v>45394</v>
      </c>
      <c r="D442" s="87" t="s">
        <v>272</v>
      </c>
      <c r="E442" s="10">
        <v>20000</v>
      </c>
      <c r="F442" s="10">
        <v>0.034</v>
      </c>
      <c r="G442" s="9">
        <v>45404</v>
      </c>
      <c r="H442" s="12">
        <f t="shared" si="6"/>
        <v>680</v>
      </c>
      <c r="I442" s="10" t="s">
        <v>10</v>
      </c>
      <c r="J442" s="13">
        <v>45406</v>
      </c>
    </row>
    <row r="443" customFormat="1" spans="1:11">
      <c r="A443" t="s">
        <v>319</v>
      </c>
      <c r="B443" s="86">
        <v>242500087</v>
      </c>
      <c r="C443" s="9">
        <v>45394</v>
      </c>
      <c r="D443" s="87" t="s">
        <v>272</v>
      </c>
      <c r="E443" s="10">
        <v>20000</v>
      </c>
      <c r="F443" s="10">
        <v>0.034</v>
      </c>
      <c r="G443" s="9">
        <v>45418</v>
      </c>
      <c r="H443" s="12">
        <f t="shared" si="6"/>
        <v>680</v>
      </c>
      <c r="I443" s="10" t="s">
        <v>10</v>
      </c>
      <c r="J443" s="13">
        <v>45406</v>
      </c>
    </row>
    <row r="444" customFormat="1" spans="1:11">
      <c r="A444" t="s">
        <v>319</v>
      </c>
      <c r="B444" s="86">
        <v>242500087</v>
      </c>
      <c r="C444" s="9">
        <v>45394</v>
      </c>
      <c r="D444" s="87" t="s">
        <v>272</v>
      </c>
      <c r="E444" s="10">
        <v>20000</v>
      </c>
      <c r="F444" s="10">
        <v>0.034</v>
      </c>
      <c r="G444" s="9">
        <v>45448</v>
      </c>
      <c r="H444" s="12">
        <f t="shared" si="6"/>
        <v>680</v>
      </c>
      <c r="I444" s="10" t="s">
        <v>10</v>
      </c>
      <c r="J444" s="13">
        <v>45406</v>
      </c>
    </row>
    <row r="445" customFormat="1" spans="1:11">
      <c r="A445" t="s">
        <v>319</v>
      </c>
      <c r="B445" s="86">
        <v>242500102</v>
      </c>
      <c r="C445" s="9">
        <v>45397</v>
      </c>
      <c r="D445" s="10" t="s">
        <v>236</v>
      </c>
      <c r="E445" s="10">
        <v>64000</v>
      </c>
      <c r="F445" s="10">
        <v>0.006</v>
      </c>
      <c r="G445" s="9">
        <v>45418</v>
      </c>
      <c r="H445" s="12">
        <f t="shared" si="6"/>
        <v>384</v>
      </c>
      <c r="I445" s="10" t="s">
        <v>10</v>
      </c>
      <c r="J445" s="13">
        <v>45441</v>
      </c>
    </row>
    <row r="446" customFormat="1" spans="1:11">
      <c r="A446" t="s">
        <v>319</v>
      </c>
      <c r="B446" s="86">
        <v>242500102</v>
      </c>
      <c r="C446" s="9">
        <v>45397</v>
      </c>
      <c r="D446" s="10" t="s">
        <v>236</v>
      </c>
      <c r="E446" s="10">
        <v>64000</v>
      </c>
      <c r="F446" s="10">
        <v>0.006</v>
      </c>
      <c r="G446" s="9">
        <v>45448</v>
      </c>
      <c r="H446" s="12">
        <f t="shared" si="6"/>
        <v>384</v>
      </c>
      <c r="I446" s="10" t="s">
        <v>10</v>
      </c>
      <c r="J446" s="13">
        <v>45441</v>
      </c>
    </row>
    <row r="447" customFormat="1" spans="1:11">
      <c r="A447" t="s">
        <v>319</v>
      </c>
      <c r="B447" s="86">
        <v>242500102</v>
      </c>
      <c r="C447" s="9">
        <v>45397</v>
      </c>
      <c r="D447" s="87" t="s">
        <v>243</v>
      </c>
      <c r="E447" s="10">
        <v>32000</v>
      </c>
      <c r="F447" s="10">
        <v>0.022</v>
      </c>
      <c r="G447" s="9">
        <v>45434</v>
      </c>
      <c r="H447" s="12">
        <f t="shared" si="6"/>
        <v>704</v>
      </c>
      <c r="I447" s="10" t="s">
        <v>10</v>
      </c>
      <c r="J447" s="13">
        <v>45441</v>
      </c>
    </row>
    <row r="448" customFormat="1" spans="1:11">
      <c r="A448" t="s">
        <v>319</v>
      </c>
      <c r="B448" s="86">
        <v>242500102</v>
      </c>
      <c r="C448" s="9">
        <v>45397</v>
      </c>
      <c r="D448" s="87" t="s">
        <v>243</v>
      </c>
      <c r="E448" s="10">
        <v>32000</v>
      </c>
      <c r="F448" s="10">
        <v>0.022</v>
      </c>
      <c r="G448" s="9">
        <v>45464</v>
      </c>
      <c r="H448" s="12">
        <f t="shared" si="6"/>
        <v>704</v>
      </c>
      <c r="I448" s="10" t="s">
        <v>10</v>
      </c>
      <c r="J448" s="13">
        <v>45441</v>
      </c>
    </row>
    <row r="449" customFormat="1" spans="1:15">
      <c r="A449" t="s">
        <v>319</v>
      </c>
      <c r="B449" s="86">
        <v>242500102</v>
      </c>
      <c r="C449" s="9">
        <v>45397</v>
      </c>
      <c r="D449" s="87" t="s">
        <v>257</v>
      </c>
      <c r="E449" s="10">
        <v>52000</v>
      </c>
      <c r="F449" s="10">
        <v>0.01</v>
      </c>
      <c r="G449" s="9">
        <v>45478</v>
      </c>
      <c r="H449" s="12">
        <f t="shared" si="6"/>
        <v>520</v>
      </c>
      <c r="I449" s="10" t="s">
        <v>10</v>
      </c>
      <c r="J449" s="13">
        <v>45441</v>
      </c>
      <c r="M449" s="82"/>
      <c r="N449" s="82"/>
    </row>
    <row r="450" customFormat="1" spans="1:15">
      <c r="A450" t="s">
        <v>319</v>
      </c>
      <c r="B450" s="86">
        <v>242500102</v>
      </c>
      <c r="C450" s="9">
        <v>45397</v>
      </c>
      <c r="D450" s="87" t="s">
        <v>257</v>
      </c>
      <c r="E450" s="10">
        <v>52000</v>
      </c>
      <c r="F450" s="10">
        <v>0.01</v>
      </c>
      <c r="G450" s="9">
        <v>45495</v>
      </c>
      <c r="H450" s="12">
        <f t="shared" ref="H450:H513" si="7">E450*F450</f>
        <v>520</v>
      </c>
      <c r="I450" s="10" t="s">
        <v>10</v>
      </c>
      <c r="J450" s="13">
        <v>45441</v>
      </c>
      <c r="M450" s="82"/>
      <c r="N450" s="82"/>
    </row>
    <row r="451" customFormat="1" spans="1:15">
      <c r="A451" t="s">
        <v>319</v>
      </c>
      <c r="B451" s="86">
        <v>242500102</v>
      </c>
      <c r="C451" s="9">
        <v>45397</v>
      </c>
      <c r="D451" s="87" t="s">
        <v>210</v>
      </c>
      <c r="E451" s="10">
        <v>120000</v>
      </c>
      <c r="F451" s="10">
        <v>0.024</v>
      </c>
      <c r="G451" s="9">
        <v>45434</v>
      </c>
      <c r="H451" s="12">
        <f t="shared" si="7"/>
        <v>2880</v>
      </c>
      <c r="I451" s="10" t="s">
        <v>10</v>
      </c>
      <c r="J451" s="13">
        <v>45454</v>
      </c>
    </row>
    <row r="452" customFormat="1" spans="1:15">
      <c r="A452" t="s">
        <v>319</v>
      </c>
      <c r="B452" s="86">
        <v>242500102</v>
      </c>
      <c r="C452" s="9">
        <v>45397</v>
      </c>
      <c r="D452" s="87" t="s">
        <v>210</v>
      </c>
      <c r="E452" s="10">
        <v>120000</v>
      </c>
      <c r="F452" s="10">
        <v>0.024</v>
      </c>
      <c r="G452" s="9">
        <v>45448</v>
      </c>
      <c r="H452" s="12">
        <f t="shared" si="7"/>
        <v>2880</v>
      </c>
      <c r="I452" s="10" t="s">
        <v>10</v>
      </c>
      <c r="J452" s="13">
        <v>45454</v>
      </c>
    </row>
    <row r="453" customFormat="1" spans="1:15">
      <c r="A453" t="s">
        <v>319</v>
      </c>
      <c r="B453" s="86">
        <v>242500102</v>
      </c>
      <c r="C453" s="9">
        <v>45397</v>
      </c>
      <c r="D453" s="87" t="s">
        <v>210</v>
      </c>
      <c r="E453" s="10">
        <v>120000</v>
      </c>
      <c r="F453" s="10">
        <v>0.024</v>
      </c>
      <c r="G453" s="9">
        <v>45464</v>
      </c>
      <c r="H453" s="12">
        <f t="shared" si="7"/>
        <v>2880</v>
      </c>
      <c r="I453" s="10" t="s">
        <v>10</v>
      </c>
      <c r="J453" s="13">
        <v>45454</v>
      </c>
    </row>
    <row r="454" customFormat="1" spans="1:15">
      <c r="A454" t="s">
        <v>319</v>
      </c>
      <c r="B454" s="86">
        <v>242500102</v>
      </c>
      <c r="C454" s="9">
        <v>45397</v>
      </c>
      <c r="D454" s="87" t="s">
        <v>210</v>
      </c>
      <c r="E454" s="10">
        <v>120000</v>
      </c>
      <c r="F454" s="10">
        <v>0.024</v>
      </c>
      <c r="G454" s="9">
        <v>45509</v>
      </c>
      <c r="H454" s="12">
        <f t="shared" si="7"/>
        <v>2880</v>
      </c>
      <c r="I454" s="10" t="s">
        <v>10</v>
      </c>
      <c r="J454" s="13">
        <v>45454</v>
      </c>
    </row>
    <row r="455" customFormat="1" spans="1:15">
      <c r="A455" t="s">
        <v>319</v>
      </c>
      <c r="B455" s="86">
        <v>242500102</v>
      </c>
      <c r="C455" s="9">
        <v>45397</v>
      </c>
      <c r="D455" s="10" t="s">
        <v>163</v>
      </c>
      <c r="E455" s="10">
        <v>96000</v>
      </c>
      <c r="F455" s="10">
        <v>0.0025</v>
      </c>
      <c r="G455" s="9">
        <v>45418</v>
      </c>
      <c r="H455" s="12">
        <f t="shared" si="7"/>
        <v>240</v>
      </c>
      <c r="I455" s="10" t="s">
        <v>10</v>
      </c>
      <c r="J455" s="13">
        <v>45441</v>
      </c>
    </row>
    <row r="456" customFormat="1" spans="1:15">
      <c r="A456" t="s">
        <v>319</v>
      </c>
      <c r="B456" s="86">
        <v>242500102</v>
      </c>
      <c r="C456" s="9">
        <v>45397</v>
      </c>
      <c r="D456" s="10" t="s">
        <v>163</v>
      </c>
      <c r="E456" s="10">
        <v>96000</v>
      </c>
      <c r="F456" s="10">
        <v>0.0025</v>
      </c>
      <c r="G456" s="9">
        <v>45448</v>
      </c>
      <c r="H456" s="12">
        <f t="shared" si="7"/>
        <v>240</v>
      </c>
      <c r="I456" s="10" t="s">
        <v>10</v>
      </c>
      <c r="J456" s="13">
        <v>45441</v>
      </c>
      <c r="O456">
        <f>3800+2170+10080+12240+75000</f>
        <v>103290</v>
      </c>
    </row>
    <row r="457" customFormat="1" spans="1:15">
      <c r="B457" s="86">
        <v>242500134</v>
      </c>
      <c r="C457" s="9">
        <v>45399</v>
      </c>
      <c r="D457" s="87" t="s">
        <v>335</v>
      </c>
      <c r="E457" s="10">
        <v>3500</v>
      </c>
      <c r="F457" s="10">
        <v>0.12</v>
      </c>
      <c r="G457" s="9">
        <v>45399</v>
      </c>
      <c r="H457" s="12">
        <f t="shared" si="7"/>
        <v>420</v>
      </c>
      <c r="I457" s="10" t="s">
        <v>51</v>
      </c>
      <c r="J457" s="10"/>
    </row>
    <row r="458" customFormat="1" spans="1:15">
      <c r="A458" t="s">
        <v>319</v>
      </c>
      <c r="B458" s="86">
        <v>242500137</v>
      </c>
      <c r="C458" s="9">
        <v>45399</v>
      </c>
      <c r="D458" s="87" t="s">
        <v>243</v>
      </c>
      <c r="E458" s="10">
        <v>40000</v>
      </c>
      <c r="F458" s="10">
        <v>0.022</v>
      </c>
      <c r="G458" s="9">
        <v>45404</v>
      </c>
      <c r="H458" s="12">
        <f t="shared" si="7"/>
        <v>880</v>
      </c>
      <c r="I458" s="10" t="s">
        <v>10</v>
      </c>
      <c r="J458" s="13">
        <v>45418</v>
      </c>
    </row>
    <row r="459" customFormat="1" spans="1:15">
      <c r="A459" t="s">
        <v>319</v>
      </c>
      <c r="B459" s="86">
        <v>242500137</v>
      </c>
      <c r="C459" s="9">
        <v>45399</v>
      </c>
      <c r="D459" s="87" t="s">
        <v>243</v>
      </c>
      <c r="E459" s="10">
        <v>20000</v>
      </c>
      <c r="F459" s="10">
        <v>0.022</v>
      </c>
      <c r="G459" s="9">
        <v>45418</v>
      </c>
      <c r="H459" s="12">
        <f t="shared" si="7"/>
        <v>440</v>
      </c>
      <c r="I459" s="10" t="s">
        <v>10</v>
      </c>
      <c r="J459" s="13">
        <v>45418</v>
      </c>
    </row>
    <row r="460" customFormat="1" spans="1:15">
      <c r="A460" t="s">
        <v>319</v>
      </c>
      <c r="B460" s="86">
        <v>242500137</v>
      </c>
      <c r="C460" s="9">
        <v>45399</v>
      </c>
      <c r="D460" s="87" t="s">
        <v>243</v>
      </c>
      <c r="E460" s="10">
        <v>20000</v>
      </c>
      <c r="F460" s="10">
        <v>0.022</v>
      </c>
      <c r="G460" s="9">
        <v>45448</v>
      </c>
      <c r="H460" s="12">
        <f t="shared" si="7"/>
        <v>440</v>
      </c>
      <c r="I460" s="10" t="s">
        <v>10</v>
      </c>
      <c r="J460" s="13">
        <v>45418</v>
      </c>
    </row>
    <row r="461" customFormat="1" spans="1:15">
      <c r="A461" t="s">
        <v>319</v>
      </c>
      <c r="B461" s="86">
        <v>242500137</v>
      </c>
      <c r="C461" s="9">
        <v>45399</v>
      </c>
      <c r="D461" s="87" t="s">
        <v>243</v>
      </c>
      <c r="E461" s="10">
        <v>20000</v>
      </c>
      <c r="F461" s="10">
        <v>0.022</v>
      </c>
      <c r="G461" s="9">
        <v>45478</v>
      </c>
      <c r="H461" s="12">
        <f t="shared" si="7"/>
        <v>440</v>
      </c>
      <c r="I461" s="10" t="s">
        <v>10</v>
      </c>
      <c r="J461" s="13">
        <v>45418</v>
      </c>
    </row>
    <row r="462" customFormat="1" spans="1:15">
      <c r="A462" t="s">
        <v>319</v>
      </c>
      <c r="B462" s="86">
        <v>242500137</v>
      </c>
      <c r="C462" s="9">
        <v>45399</v>
      </c>
      <c r="D462" s="87" t="s">
        <v>257</v>
      </c>
      <c r="E462" s="10">
        <v>120000</v>
      </c>
      <c r="F462" s="10">
        <v>0.01</v>
      </c>
      <c r="G462" s="9">
        <v>45404</v>
      </c>
      <c r="H462" s="12">
        <f t="shared" si="7"/>
        <v>1200</v>
      </c>
      <c r="I462" s="10" t="s">
        <v>10</v>
      </c>
      <c r="J462" s="13">
        <v>45411</v>
      </c>
      <c r="M462" s="82"/>
    </row>
    <row r="463" customFormat="1" spans="1:15">
      <c r="A463" t="s">
        <v>319</v>
      </c>
      <c r="B463" s="86">
        <v>242500137</v>
      </c>
      <c r="C463" s="9">
        <v>45399</v>
      </c>
      <c r="D463" s="87" t="s">
        <v>257</v>
      </c>
      <c r="E463" s="10">
        <v>60000</v>
      </c>
      <c r="F463" s="10">
        <v>0.01</v>
      </c>
      <c r="G463" s="9">
        <v>45418</v>
      </c>
      <c r="H463" s="12">
        <f t="shared" si="7"/>
        <v>600</v>
      </c>
      <c r="I463" s="10" t="s">
        <v>10</v>
      </c>
      <c r="J463" s="13">
        <v>45411</v>
      </c>
      <c r="M463" s="82"/>
      <c r="N463" s="82"/>
    </row>
    <row r="464" customFormat="1" spans="1:15">
      <c r="A464" t="s">
        <v>319</v>
      </c>
      <c r="B464" s="86">
        <v>242500137</v>
      </c>
      <c r="C464" s="9">
        <v>45399</v>
      </c>
      <c r="D464" s="87" t="s">
        <v>257</v>
      </c>
      <c r="E464" s="10">
        <v>60000</v>
      </c>
      <c r="F464" s="10">
        <v>0.01</v>
      </c>
      <c r="G464" s="9">
        <v>45448</v>
      </c>
      <c r="H464" s="12">
        <f t="shared" si="7"/>
        <v>600</v>
      </c>
      <c r="I464" s="10" t="s">
        <v>10</v>
      </c>
      <c r="J464" s="13">
        <v>45411</v>
      </c>
    </row>
    <row r="465" customFormat="1" spans="1:10">
      <c r="A465" t="s">
        <v>319</v>
      </c>
      <c r="B465" s="86">
        <v>242500137</v>
      </c>
      <c r="C465" s="9">
        <v>45399</v>
      </c>
      <c r="D465" s="87" t="s">
        <v>257</v>
      </c>
      <c r="E465" s="10">
        <v>60000</v>
      </c>
      <c r="F465" s="10">
        <v>0.01</v>
      </c>
      <c r="G465" s="9">
        <v>45478</v>
      </c>
      <c r="H465" s="12">
        <f t="shared" si="7"/>
        <v>600</v>
      </c>
      <c r="I465" s="10" t="s">
        <v>10</v>
      </c>
      <c r="J465" s="13">
        <v>45411</v>
      </c>
    </row>
    <row r="466" customFormat="1" spans="1:10">
      <c r="A466" t="s">
        <v>319</v>
      </c>
      <c r="B466" s="86">
        <v>242500139</v>
      </c>
      <c r="C466" s="9">
        <v>45399</v>
      </c>
      <c r="D466" s="10" t="s">
        <v>56</v>
      </c>
      <c r="E466" s="10">
        <v>50000</v>
      </c>
      <c r="F466" s="10">
        <v>0.035</v>
      </c>
      <c r="G466" s="9">
        <v>45434</v>
      </c>
      <c r="H466" s="12">
        <f t="shared" si="7"/>
        <v>1750</v>
      </c>
      <c r="I466" s="10" t="s">
        <v>10</v>
      </c>
      <c r="J466" s="13">
        <v>45425</v>
      </c>
    </row>
    <row r="467" customFormat="1" spans="1:10">
      <c r="A467" t="s">
        <v>319</v>
      </c>
      <c r="B467" s="86">
        <v>242500139</v>
      </c>
      <c r="C467" s="9">
        <v>45399</v>
      </c>
      <c r="D467" s="10" t="s">
        <v>56</v>
      </c>
      <c r="E467" s="10">
        <v>50000</v>
      </c>
      <c r="F467" s="10">
        <v>0.035</v>
      </c>
      <c r="G467" s="9">
        <v>45465</v>
      </c>
      <c r="H467" s="12">
        <f t="shared" si="7"/>
        <v>1750</v>
      </c>
      <c r="I467" s="10" t="s">
        <v>10</v>
      </c>
      <c r="J467" s="13">
        <v>45425</v>
      </c>
    </row>
    <row r="468" customFormat="1" spans="1:10">
      <c r="A468" t="s">
        <v>319</v>
      </c>
      <c r="B468" s="86">
        <v>242500139</v>
      </c>
      <c r="C468" s="9">
        <v>45399</v>
      </c>
      <c r="D468" s="10" t="s">
        <v>56</v>
      </c>
      <c r="E468" s="10">
        <v>50000</v>
      </c>
      <c r="F468" s="10">
        <v>0.035</v>
      </c>
      <c r="G468" s="9">
        <v>45495</v>
      </c>
      <c r="H468" s="12">
        <f t="shared" si="7"/>
        <v>1750</v>
      </c>
      <c r="I468" s="10" t="s">
        <v>10</v>
      </c>
      <c r="J468" s="13">
        <v>45436</v>
      </c>
    </row>
    <row r="469" customFormat="1" spans="1:10">
      <c r="A469" t="s">
        <v>319</v>
      </c>
      <c r="B469" s="86">
        <v>242500139</v>
      </c>
      <c r="C469" s="9">
        <v>45399</v>
      </c>
      <c r="D469" s="10" t="s">
        <v>58</v>
      </c>
      <c r="E469" s="10">
        <v>30000</v>
      </c>
      <c r="F469" s="10">
        <v>0.019</v>
      </c>
      <c r="G469" s="9">
        <v>45496</v>
      </c>
      <c r="H469" s="12">
        <f t="shared" si="7"/>
        <v>570</v>
      </c>
      <c r="I469" s="10" t="s">
        <v>10</v>
      </c>
      <c r="J469" s="13">
        <v>45436</v>
      </c>
    </row>
    <row r="470" customFormat="1" spans="1:10">
      <c r="A470" t="s">
        <v>319</v>
      </c>
      <c r="B470" s="86">
        <v>242500139</v>
      </c>
      <c r="C470" s="9">
        <v>45399</v>
      </c>
      <c r="D470" s="87" t="s">
        <v>207</v>
      </c>
      <c r="E470" s="10">
        <v>50000</v>
      </c>
      <c r="F470" s="10">
        <v>0.03</v>
      </c>
      <c r="G470" s="9">
        <v>45404</v>
      </c>
      <c r="H470" s="12">
        <f t="shared" si="7"/>
        <v>1500</v>
      </c>
      <c r="I470" s="10" t="s">
        <v>10</v>
      </c>
      <c r="J470" s="13">
        <v>45436</v>
      </c>
    </row>
    <row r="471" customFormat="1" spans="1:10">
      <c r="A471" t="s">
        <v>319</v>
      </c>
      <c r="B471" s="86">
        <v>242500139</v>
      </c>
      <c r="C471" s="9">
        <v>45399</v>
      </c>
      <c r="D471" s="87" t="s">
        <v>207</v>
      </c>
      <c r="E471" s="10">
        <v>50000</v>
      </c>
      <c r="F471" s="10">
        <v>0.03</v>
      </c>
      <c r="G471" s="9">
        <v>45434</v>
      </c>
      <c r="H471" s="12">
        <f t="shared" si="7"/>
        <v>1500</v>
      </c>
      <c r="I471" s="10" t="s">
        <v>10</v>
      </c>
      <c r="J471" s="13">
        <v>45436</v>
      </c>
    </row>
    <row r="472" customFormat="1" spans="1:10">
      <c r="A472" t="s">
        <v>319</v>
      </c>
      <c r="B472" s="86">
        <v>242500139</v>
      </c>
      <c r="C472" s="9">
        <v>45399</v>
      </c>
      <c r="D472" s="87" t="s">
        <v>207</v>
      </c>
      <c r="E472" s="10">
        <v>50000</v>
      </c>
      <c r="F472" s="10">
        <v>0.03</v>
      </c>
      <c r="G472" s="9">
        <v>45465</v>
      </c>
      <c r="H472" s="12">
        <f t="shared" si="7"/>
        <v>1500</v>
      </c>
      <c r="I472" s="10" t="s">
        <v>10</v>
      </c>
      <c r="J472" s="13">
        <v>45436</v>
      </c>
    </row>
    <row r="473" customFormat="1" spans="1:10">
      <c r="A473" t="s">
        <v>319</v>
      </c>
      <c r="B473" s="86">
        <v>242500139</v>
      </c>
      <c r="C473" s="9">
        <v>45399</v>
      </c>
      <c r="D473" s="87" t="s">
        <v>207</v>
      </c>
      <c r="E473" s="10">
        <v>50000</v>
      </c>
      <c r="F473" s="10">
        <v>0.03</v>
      </c>
      <c r="G473" s="9">
        <v>45495</v>
      </c>
      <c r="H473" s="12">
        <f t="shared" si="7"/>
        <v>1500</v>
      </c>
      <c r="I473" s="10" t="s">
        <v>10</v>
      </c>
      <c r="J473" s="13">
        <v>45436</v>
      </c>
    </row>
    <row r="474" customFormat="1" spans="1:10">
      <c r="A474" t="s">
        <v>319</v>
      </c>
      <c r="B474" s="86">
        <v>242500139</v>
      </c>
      <c r="C474" s="9">
        <v>45399</v>
      </c>
      <c r="D474" s="10" t="s">
        <v>32</v>
      </c>
      <c r="E474" s="10">
        <v>90000</v>
      </c>
      <c r="F474" s="10">
        <v>0.02</v>
      </c>
      <c r="G474" s="9">
        <v>45466</v>
      </c>
      <c r="H474" s="12">
        <f t="shared" si="7"/>
        <v>1800</v>
      </c>
      <c r="I474" s="10" t="s">
        <v>10</v>
      </c>
      <c r="J474" s="13">
        <v>45436</v>
      </c>
    </row>
    <row r="475" customFormat="1" spans="1:10">
      <c r="A475" t="s">
        <v>319</v>
      </c>
      <c r="B475" s="86">
        <v>242500139</v>
      </c>
      <c r="C475" s="9">
        <v>45399</v>
      </c>
      <c r="D475" s="10" t="s">
        <v>32</v>
      </c>
      <c r="E475" s="10">
        <v>90000</v>
      </c>
      <c r="F475" s="10">
        <v>0.02</v>
      </c>
      <c r="G475" s="9">
        <v>45496</v>
      </c>
      <c r="H475" s="12">
        <f t="shared" si="7"/>
        <v>1800</v>
      </c>
      <c r="I475" s="10" t="s">
        <v>10</v>
      </c>
      <c r="J475" s="13">
        <v>45436</v>
      </c>
    </row>
    <row r="476" customFormat="1" spans="1:10">
      <c r="A476" t="s">
        <v>319</v>
      </c>
      <c r="B476" s="86">
        <v>242500139</v>
      </c>
      <c r="C476" s="9">
        <v>45399</v>
      </c>
      <c r="D476" s="10" t="s">
        <v>32</v>
      </c>
      <c r="E476" s="10">
        <v>90000</v>
      </c>
      <c r="F476" s="10">
        <v>0.02</v>
      </c>
      <c r="G476" s="9">
        <v>45527</v>
      </c>
      <c r="H476" s="12">
        <f t="shared" si="7"/>
        <v>1800</v>
      </c>
      <c r="I476" s="10" t="s">
        <v>10</v>
      </c>
      <c r="J476" s="13">
        <v>45436</v>
      </c>
    </row>
    <row r="477" customFormat="1" spans="1:10">
      <c r="A477" t="s">
        <v>319</v>
      </c>
      <c r="B477" s="86">
        <v>242500139</v>
      </c>
      <c r="C477" s="9">
        <v>45399</v>
      </c>
      <c r="D477" s="87" t="s">
        <v>270</v>
      </c>
      <c r="E477" s="10">
        <v>150000</v>
      </c>
      <c r="F477" s="10">
        <v>0.0238</v>
      </c>
      <c r="G477" s="9">
        <v>45496</v>
      </c>
      <c r="H477" s="12">
        <f t="shared" si="7"/>
        <v>3570</v>
      </c>
      <c r="I477" s="10" t="s">
        <v>10</v>
      </c>
      <c r="J477" s="13">
        <v>45436</v>
      </c>
    </row>
    <row r="478" customFormat="1" spans="1:10">
      <c r="A478" t="s">
        <v>319</v>
      </c>
      <c r="B478" s="86">
        <v>242500139</v>
      </c>
      <c r="C478" s="9">
        <v>45399</v>
      </c>
      <c r="D478" s="10" t="s">
        <v>100</v>
      </c>
      <c r="E478" s="10">
        <v>20000</v>
      </c>
      <c r="F478" s="10">
        <v>0.03</v>
      </c>
      <c r="G478" s="9">
        <v>45465</v>
      </c>
      <c r="H478" s="12">
        <f t="shared" si="7"/>
        <v>600</v>
      </c>
      <c r="I478" s="10" t="s">
        <v>10</v>
      </c>
      <c r="J478" s="13">
        <v>45436</v>
      </c>
    </row>
    <row r="479" customFormat="1" spans="1:10">
      <c r="A479" t="s">
        <v>319</v>
      </c>
      <c r="B479" s="86">
        <v>242500139</v>
      </c>
      <c r="C479" s="9">
        <v>45399</v>
      </c>
      <c r="D479" s="10" t="s">
        <v>100</v>
      </c>
      <c r="E479" s="10">
        <v>20000</v>
      </c>
      <c r="F479" s="10">
        <v>0.03</v>
      </c>
      <c r="G479" s="9">
        <v>45495</v>
      </c>
      <c r="H479" s="12">
        <f t="shared" si="7"/>
        <v>600</v>
      </c>
      <c r="I479" s="10" t="s">
        <v>10</v>
      </c>
      <c r="J479" s="13">
        <v>45436</v>
      </c>
    </row>
    <row r="480" customFormat="1" spans="1:10">
      <c r="A480" t="s">
        <v>319</v>
      </c>
      <c r="B480" s="86">
        <v>242500139</v>
      </c>
      <c r="C480" s="9">
        <v>45399</v>
      </c>
      <c r="D480" s="10" t="s">
        <v>213</v>
      </c>
      <c r="E480" s="10">
        <v>200000</v>
      </c>
      <c r="F480" s="10">
        <v>0.05</v>
      </c>
      <c r="G480" s="9">
        <v>45434</v>
      </c>
      <c r="H480" s="12">
        <f t="shared" si="7"/>
        <v>10000</v>
      </c>
      <c r="I480" s="10" t="s">
        <v>10</v>
      </c>
      <c r="J480" s="13">
        <v>45436</v>
      </c>
    </row>
    <row r="481" customFormat="1" spans="1:10">
      <c r="A481" t="s">
        <v>319</v>
      </c>
      <c r="B481" s="86">
        <v>242500139</v>
      </c>
      <c r="C481" s="9">
        <v>45399</v>
      </c>
      <c r="D481" s="10" t="s">
        <v>213</v>
      </c>
      <c r="E481" s="10">
        <v>250000</v>
      </c>
      <c r="F481" s="10">
        <v>0.05</v>
      </c>
      <c r="G481" s="9">
        <v>45465</v>
      </c>
      <c r="H481" s="12">
        <f t="shared" si="7"/>
        <v>12500</v>
      </c>
      <c r="I481" s="10" t="s">
        <v>10</v>
      </c>
      <c r="J481" s="13">
        <v>45436</v>
      </c>
    </row>
    <row r="482" customFormat="1" spans="1:10">
      <c r="A482" t="s">
        <v>319</v>
      </c>
      <c r="B482" s="86">
        <v>242500139</v>
      </c>
      <c r="C482" s="9">
        <v>45399</v>
      </c>
      <c r="D482" s="10" t="s">
        <v>25</v>
      </c>
      <c r="E482" s="10">
        <v>20000</v>
      </c>
      <c r="F482" s="10">
        <v>0.016</v>
      </c>
      <c r="G482" s="9">
        <v>45448</v>
      </c>
      <c r="H482" s="12">
        <f t="shared" si="7"/>
        <v>320</v>
      </c>
      <c r="I482" s="10" t="s">
        <v>10</v>
      </c>
      <c r="J482" s="13">
        <v>45436</v>
      </c>
    </row>
    <row r="483" customFormat="1" spans="1:10">
      <c r="A483" t="s">
        <v>319</v>
      </c>
      <c r="B483" s="86">
        <v>242500139</v>
      </c>
      <c r="C483" s="9">
        <v>45399</v>
      </c>
      <c r="D483" s="10" t="s">
        <v>70</v>
      </c>
      <c r="E483" s="10">
        <v>20000</v>
      </c>
      <c r="F483" s="10">
        <v>0.028</v>
      </c>
      <c r="G483" s="9">
        <v>45404</v>
      </c>
      <c r="H483" s="12">
        <f t="shared" si="7"/>
        <v>560</v>
      </c>
      <c r="I483" s="10" t="s">
        <v>10</v>
      </c>
      <c r="J483" s="13">
        <v>45436</v>
      </c>
    </row>
    <row r="484" customFormat="1" spans="1:10">
      <c r="A484" t="s">
        <v>319</v>
      </c>
      <c r="B484" s="86">
        <v>242500140</v>
      </c>
      <c r="C484" s="9">
        <v>45399</v>
      </c>
      <c r="D484" s="87" t="s">
        <v>235</v>
      </c>
      <c r="E484" s="10">
        <v>100000</v>
      </c>
      <c r="F484" s="10">
        <v>0.04</v>
      </c>
      <c r="G484" s="9">
        <v>45495</v>
      </c>
      <c r="H484" s="12">
        <f t="shared" si="7"/>
        <v>4000</v>
      </c>
      <c r="I484" s="10" t="s">
        <v>10</v>
      </c>
      <c r="J484" s="13">
        <v>45415</v>
      </c>
    </row>
    <row r="485" customFormat="1" spans="1:10">
      <c r="A485" t="s">
        <v>319</v>
      </c>
      <c r="B485" s="86">
        <v>242500140</v>
      </c>
      <c r="C485" s="9">
        <v>45399</v>
      </c>
      <c r="D485" s="87" t="s">
        <v>235</v>
      </c>
      <c r="E485" s="10">
        <v>100000</v>
      </c>
      <c r="F485" s="10">
        <v>0.04</v>
      </c>
      <c r="G485" s="9">
        <v>45526</v>
      </c>
      <c r="H485" s="12">
        <f t="shared" si="7"/>
        <v>4000</v>
      </c>
      <c r="I485" s="10" t="s">
        <v>10</v>
      </c>
      <c r="J485" s="13">
        <v>45415</v>
      </c>
    </row>
    <row r="486" customFormat="1" spans="1:10">
      <c r="A486" t="s">
        <v>319</v>
      </c>
      <c r="B486" s="86">
        <v>242500140</v>
      </c>
      <c r="C486" s="9">
        <v>45399</v>
      </c>
      <c r="D486" s="10" t="s">
        <v>213</v>
      </c>
      <c r="E486" s="10">
        <v>250000</v>
      </c>
      <c r="F486" s="10">
        <v>0.05</v>
      </c>
      <c r="G486" s="9">
        <v>45495</v>
      </c>
      <c r="H486" s="12">
        <f t="shared" si="7"/>
        <v>12500</v>
      </c>
      <c r="I486" s="10" t="s">
        <v>10</v>
      </c>
      <c r="J486" s="13">
        <v>45415</v>
      </c>
    </row>
    <row r="487" customFormat="1" spans="1:10">
      <c r="A487" t="s">
        <v>319</v>
      </c>
      <c r="B487" s="86">
        <v>242500140</v>
      </c>
      <c r="C487" s="9">
        <v>45399</v>
      </c>
      <c r="D487" s="87" t="s">
        <v>252</v>
      </c>
      <c r="E487" s="10">
        <v>120000</v>
      </c>
      <c r="F487" s="10">
        <v>0.032</v>
      </c>
      <c r="G487" s="9">
        <v>45417</v>
      </c>
      <c r="H487" s="12">
        <f t="shared" si="7"/>
        <v>3840</v>
      </c>
      <c r="I487" s="10" t="s">
        <v>10</v>
      </c>
      <c r="J487" s="13">
        <v>45415</v>
      </c>
    </row>
    <row r="488" customFormat="1" spans="1:10">
      <c r="A488" t="s">
        <v>319</v>
      </c>
      <c r="B488" s="86">
        <v>242500140</v>
      </c>
      <c r="C488" s="9">
        <v>45399</v>
      </c>
      <c r="D488" s="87" t="s">
        <v>252</v>
      </c>
      <c r="E488" s="10">
        <v>120000</v>
      </c>
      <c r="F488" s="10">
        <v>0.032</v>
      </c>
      <c r="G488" s="9">
        <v>45435</v>
      </c>
      <c r="H488" s="12">
        <f t="shared" si="7"/>
        <v>3840</v>
      </c>
      <c r="I488" s="10" t="s">
        <v>10</v>
      </c>
      <c r="J488" s="13">
        <v>45415</v>
      </c>
    </row>
    <row r="489" customFormat="1" spans="1:10">
      <c r="A489" t="s">
        <v>319</v>
      </c>
      <c r="B489" s="86">
        <v>242500140</v>
      </c>
      <c r="C489" s="9">
        <v>45399</v>
      </c>
      <c r="D489" s="87" t="s">
        <v>252</v>
      </c>
      <c r="E489" s="10">
        <v>120000</v>
      </c>
      <c r="F489" s="10">
        <v>0.032</v>
      </c>
      <c r="G489" s="9">
        <v>45496</v>
      </c>
      <c r="H489" s="12">
        <f t="shared" si="7"/>
        <v>3840</v>
      </c>
      <c r="I489" s="10" t="s">
        <v>10</v>
      </c>
      <c r="J489" s="13">
        <v>45415</v>
      </c>
    </row>
    <row r="490" customFormat="1" spans="1:10">
      <c r="A490" t="s">
        <v>319</v>
      </c>
      <c r="B490" s="86">
        <v>242500140</v>
      </c>
      <c r="C490" s="9">
        <v>45399</v>
      </c>
      <c r="D490" s="87" t="s">
        <v>250</v>
      </c>
      <c r="E490" s="10">
        <v>50000</v>
      </c>
      <c r="F490" s="10">
        <v>0.04</v>
      </c>
      <c r="G490" s="9">
        <v>45417</v>
      </c>
      <c r="H490" s="12">
        <f t="shared" si="7"/>
        <v>2000</v>
      </c>
      <c r="I490" s="10" t="s">
        <v>10</v>
      </c>
      <c r="J490" s="13">
        <v>45415</v>
      </c>
    </row>
    <row r="491" customFormat="1" spans="1:10">
      <c r="A491" t="s">
        <v>319</v>
      </c>
      <c r="B491" s="86">
        <v>242500140</v>
      </c>
      <c r="C491" s="9">
        <v>45399</v>
      </c>
      <c r="D491" s="87" t="s">
        <v>250</v>
      </c>
      <c r="E491" s="10">
        <v>50000</v>
      </c>
      <c r="F491" s="10">
        <v>0.04</v>
      </c>
      <c r="G491" s="9">
        <v>45448</v>
      </c>
      <c r="H491" s="12">
        <f t="shared" si="7"/>
        <v>2000</v>
      </c>
      <c r="I491" s="10" t="s">
        <v>10</v>
      </c>
      <c r="J491" s="13">
        <v>45415</v>
      </c>
    </row>
    <row r="492" customFormat="1" spans="1:10">
      <c r="A492" t="s">
        <v>319</v>
      </c>
      <c r="B492" s="86">
        <v>242500140</v>
      </c>
      <c r="C492" s="9">
        <v>45399</v>
      </c>
      <c r="D492" s="87" t="s">
        <v>250</v>
      </c>
      <c r="E492" s="10">
        <v>50000</v>
      </c>
      <c r="F492" s="10">
        <v>0.04</v>
      </c>
      <c r="G492" s="9">
        <v>45478</v>
      </c>
      <c r="H492" s="12">
        <f t="shared" si="7"/>
        <v>2000</v>
      </c>
      <c r="I492" s="10" t="s">
        <v>10</v>
      </c>
      <c r="J492" s="13">
        <v>45415</v>
      </c>
    </row>
    <row r="493" customFormat="1" spans="1:10">
      <c r="A493" t="s">
        <v>319</v>
      </c>
      <c r="B493" s="86">
        <v>242500140</v>
      </c>
      <c r="C493" s="9">
        <v>45399</v>
      </c>
      <c r="D493" s="87" t="s">
        <v>264</v>
      </c>
      <c r="E493" s="10">
        <v>60000</v>
      </c>
      <c r="F493" s="10">
        <v>0.03</v>
      </c>
      <c r="G493" s="9">
        <v>45417</v>
      </c>
      <c r="H493" s="12">
        <f t="shared" si="7"/>
        <v>1800</v>
      </c>
      <c r="I493" s="10" t="s">
        <v>10</v>
      </c>
      <c r="J493" s="13">
        <v>45415</v>
      </c>
    </row>
    <row r="494" customFormat="1" spans="1:10">
      <c r="A494" t="s">
        <v>319</v>
      </c>
      <c r="B494" s="86">
        <v>242500140</v>
      </c>
      <c r="C494" s="9">
        <v>45399</v>
      </c>
      <c r="D494" s="87" t="s">
        <v>264</v>
      </c>
      <c r="E494" s="10">
        <v>60000</v>
      </c>
      <c r="F494" s="10">
        <v>0.03</v>
      </c>
      <c r="G494" s="9">
        <v>45448</v>
      </c>
      <c r="H494" s="12">
        <f t="shared" si="7"/>
        <v>1800</v>
      </c>
      <c r="I494" s="10" t="s">
        <v>10</v>
      </c>
      <c r="J494" s="13">
        <v>45415</v>
      </c>
    </row>
    <row r="495" customFormat="1" spans="1:10">
      <c r="A495" t="s">
        <v>319</v>
      </c>
      <c r="B495" s="86">
        <v>242500140</v>
      </c>
      <c r="C495" s="9">
        <v>45399</v>
      </c>
      <c r="D495" s="87" t="s">
        <v>264</v>
      </c>
      <c r="E495" s="10">
        <v>60000</v>
      </c>
      <c r="F495" s="10">
        <v>0.03</v>
      </c>
      <c r="G495" s="9">
        <v>45478</v>
      </c>
      <c r="H495" s="12">
        <f t="shared" si="7"/>
        <v>1800</v>
      </c>
      <c r="I495" s="10" t="s">
        <v>10</v>
      </c>
      <c r="J495" s="13">
        <v>45415</v>
      </c>
    </row>
    <row r="496" customFormat="1" spans="1:10">
      <c r="A496" t="s">
        <v>319</v>
      </c>
      <c r="B496" s="86">
        <v>242500140</v>
      </c>
      <c r="C496" s="9">
        <v>45399</v>
      </c>
      <c r="D496" s="10" t="s">
        <v>108</v>
      </c>
      <c r="E496" s="10">
        <v>20000</v>
      </c>
      <c r="F496" s="10">
        <v>0.04</v>
      </c>
      <c r="G496" s="9">
        <v>45495</v>
      </c>
      <c r="H496" s="12">
        <f t="shared" si="7"/>
        <v>800</v>
      </c>
      <c r="I496" s="10" t="s">
        <v>10</v>
      </c>
      <c r="J496" s="13">
        <v>45415</v>
      </c>
    </row>
    <row r="497" customFormat="1" spans="1:11">
      <c r="A497" t="s">
        <v>319</v>
      </c>
      <c r="B497" s="86">
        <v>242500140</v>
      </c>
      <c r="C497" s="9">
        <v>45399</v>
      </c>
      <c r="D497" s="10" t="s">
        <v>108</v>
      </c>
      <c r="E497" s="10">
        <v>20000</v>
      </c>
      <c r="F497" s="10">
        <v>0.04</v>
      </c>
      <c r="G497" s="9">
        <v>45526</v>
      </c>
      <c r="H497" s="12">
        <f t="shared" si="7"/>
        <v>800</v>
      </c>
      <c r="I497" s="10" t="s">
        <v>10</v>
      </c>
      <c r="J497" s="13">
        <v>45415</v>
      </c>
    </row>
    <row r="498" customFormat="1" spans="1:11">
      <c r="A498" t="s">
        <v>319</v>
      </c>
      <c r="B498" s="86">
        <v>242500142</v>
      </c>
      <c r="C498" s="9">
        <v>45399</v>
      </c>
      <c r="D498" s="10" t="s">
        <v>9</v>
      </c>
      <c r="E498" s="10">
        <v>30000</v>
      </c>
      <c r="F498" s="10">
        <v>0.0254</v>
      </c>
      <c r="G498" s="9">
        <v>45434</v>
      </c>
      <c r="H498" s="12">
        <f t="shared" si="7"/>
        <v>762</v>
      </c>
      <c r="I498" s="10" t="s">
        <v>10</v>
      </c>
      <c r="J498" s="13">
        <v>45406</v>
      </c>
    </row>
    <row r="499" customFormat="1" spans="1:11">
      <c r="A499" t="s">
        <v>319</v>
      </c>
      <c r="B499" s="86">
        <v>242500142</v>
      </c>
      <c r="C499" s="9">
        <v>45399</v>
      </c>
      <c r="D499" s="10" t="s">
        <v>9</v>
      </c>
      <c r="E499" s="10">
        <v>20000</v>
      </c>
      <c r="F499" s="10">
        <v>0.0254</v>
      </c>
      <c r="G499" s="9">
        <v>45465</v>
      </c>
      <c r="H499" s="12">
        <f t="shared" si="7"/>
        <v>508</v>
      </c>
      <c r="I499" s="10" t="s">
        <v>10</v>
      </c>
      <c r="J499" s="13">
        <v>45406</v>
      </c>
    </row>
    <row r="500" customFormat="1" spans="1:11">
      <c r="A500" t="s">
        <v>319</v>
      </c>
      <c r="B500" s="86">
        <v>242500142</v>
      </c>
      <c r="C500" s="9">
        <v>45399</v>
      </c>
      <c r="D500" s="10" t="s">
        <v>9</v>
      </c>
      <c r="E500" s="10">
        <v>20000</v>
      </c>
      <c r="F500" s="10">
        <v>0.0254</v>
      </c>
      <c r="G500" s="9">
        <v>45495</v>
      </c>
      <c r="H500" s="12">
        <f t="shared" si="7"/>
        <v>508</v>
      </c>
      <c r="I500" s="10" t="s">
        <v>10</v>
      </c>
      <c r="J500" s="13">
        <v>45406</v>
      </c>
    </row>
    <row r="501" customFormat="1" spans="1:11">
      <c r="A501" t="s">
        <v>319</v>
      </c>
      <c r="B501" s="86">
        <v>242500143</v>
      </c>
      <c r="C501" s="9">
        <v>45399</v>
      </c>
      <c r="D501" s="10" t="s">
        <v>82</v>
      </c>
      <c r="E501" s="10">
        <v>120000</v>
      </c>
      <c r="F501" s="10">
        <v>0.022</v>
      </c>
      <c r="G501" s="9">
        <v>45434</v>
      </c>
      <c r="H501" s="12">
        <f t="shared" si="7"/>
        <v>2640</v>
      </c>
      <c r="I501" s="10" t="s">
        <v>10</v>
      </c>
      <c r="J501" s="13">
        <v>45441</v>
      </c>
    </row>
    <row r="502" customFormat="1" spans="1:11">
      <c r="A502" t="s">
        <v>319</v>
      </c>
      <c r="B502" s="86">
        <v>242500143</v>
      </c>
      <c r="C502" s="9">
        <v>45399</v>
      </c>
      <c r="D502" s="10" t="s">
        <v>82</v>
      </c>
      <c r="E502" s="10">
        <v>120000</v>
      </c>
      <c r="F502" s="10">
        <v>0.022</v>
      </c>
      <c r="G502" s="9">
        <v>45465</v>
      </c>
      <c r="H502" s="12">
        <f t="shared" si="7"/>
        <v>2640</v>
      </c>
      <c r="I502" s="10" t="s">
        <v>10</v>
      </c>
      <c r="J502" s="13">
        <v>45441</v>
      </c>
    </row>
    <row r="503" customFormat="1" spans="1:11">
      <c r="A503" t="s">
        <v>319</v>
      </c>
      <c r="B503" s="86">
        <v>242500143</v>
      </c>
      <c r="C503" s="9">
        <v>45399</v>
      </c>
      <c r="D503" s="10" t="s">
        <v>329</v>
      </c>
      <c r="E503" s="10">
        <v>30000</v>
      </c>
      <c r="F503" s="10">
        <v>0.023</v>
      </c>
      <c r="G503" s="9">
        <v>45465</v>
      </c>
      <c r="H503" s="12">
        <f t="shared" si="7"/>
        <v>690</v>
      </c>
      <c r="I503" s="10" t="s">
        <v>10</v>
      </c>
      <c r="J503" s="13">
        <v>45441</v>
      </c>
    </row>
    <row r="504" customFormat="1" spans="1:11">
      <c r="A504" t="s">
        <v>319</v>
      </c>
      <c r="B504" s="86">
        <v>242500143</v>
      </c>
      <c r="C504" s="9">
        <v>45399</v>
      </c>
      <c r="D504" s="10" t="s">
        <v>336</v>
      </c>
      <c r="E504" s="10">
        <v>30000</v>
      </c>
      <c r="F504" s="10">
        <v>0.023</v>
      </c>
      <c r="G504" s="9">
        <v>45434</v>
      </c>
      <c r="H504" s="12">
        <f t="shared" si="7"/>
        <v>690</v>
      </c>
      <c r="I504" s="10" t="s">
        <v>10</v>
      </c>
      <c r="J504" s="13">
        <v>45441</v>
      </c>
    </row>
    <row r="505" customFormat="1" spans="1:11">
      <c r="A505" t="s">
        <v>319</v>
      </c>
      <c r="B505" s="86">
        <v>242500151</v>
      </c>
      <c r="C505" s="9">
        <v>45399</v>
      </c>
      <c r="D505" s="87" t="s">
        <v>254</v>
      </c>
      <c r="E505" s="10">
        <v>500000</v>
      </c>
      <c r="F505" s="10">
        <v>0.027</v>
      </c>
      <c r="G505" s="9">
        <v>45448</v>
      </c>
      <c r="H505" s="12">
        <f t="shared" si="7"/>
        <v>13500</v>
      </c>
      <c r="I505" s="10" t="s">
        <v>10</v>
      </c>
      <c r="J505" s="13">
        <v>45436</v>
      </c>
    </row>
    <row r="506" customFormat="1" spans="1:11">
      <c r="A506" t="s">
        <v>319</v>
      </c>
      <c r="B506" s="86">
        <v>242500151</v>
      </c>
      <c r="C506" s="9">
        <v>45399</v>
      </c>
      <c r="D506" s="87" t="s">
        <v>254</v>
      </c>
      <c r="E506" s="10">
        <v>500000</v>
      </c>
      <c r="F506" s="10">
        <v>0.027</v>
      </c>
      <c r="G506" s="9">
        <v>45448</v>
      </c>
      <c r="H506" s="12">
        <f t="shared" si="7"/>
        <v>13500</v>
      </c>
      <c r="I506" s="10" t="s">
        <v>10</v>
      </c>
      <c r="J506" s="13">
        <v>45436</v>
      </c>
    </row>
    <row r="507" customFormat="1" spans="1:11">
      <c r="A507" t="s">
        <v>319</v>
      </c>
      <c r="B507" s="86">
        <v>242500151</v>
      </c>
      <c r="C507" s="9">
        <v>45399</v>
      </c>
      <c r="D507" s="87" t="s">
        <v>254</v>
      </c>
      <c r="E507" s="10">
        <v>500000</v>
      </c>
      <c r="F507" s="10">
        <v>0.027</v>
      </c>
      <c r="G507" s="9">
        <v>45478</v>
      </c>
      <c r="H507" s="12">
        <f t="shared" si="7"/>
        <v>13500</v>
      </c>
      <c r="I507" s="10" t="s">
        <v>10</v>
      </c>
      <c r="J507" s="13">
        <v>45436</v>
      </c>
    </row>
    <row r="508" customFormat="1" spans="1:11">
      <c r="A508" t="s">
        <v>319</v>
      </c>
      <c r="B508" s="86">
        <v>242500151</v>
      </c>
      <c r="C508" s="9">
        <v>45399</v>
      </c>
      <c r="D508" s="87" t="s">
        <v>254</v>
      </c>
      <c r="E508" s="10">
        <v>200000</v>
      </c>
      <c r="F508" s="10">
        <v>0.027</v>
      </c>
      <c r="G508" s="9">
        <v>45478</v>
      </c>
      <c r="H508" s="12">
        <f t="shared" si="7"/>
        <v>5400</v>
      </c>
      <c r="I508" s="10" t="s">
        <v>10</v>
      </c>
      <c r="J508" s="13">
        <v>45436</v>
      </c>
      <c r="K508" t="s">
        <v>333</v>
      </c>
    </row>
    <row r="509" customFormat="1" spans="1:11">
      <c r="A509" t="s">
        <v>319</v>
      </c>
      <c r="B509" s="86">
        <v>242500152</v>
      </c>
      <c r="C509" s="9">
        <v>45399</v>
      </c>
      <c r="D509" s="87" t="s">
        <v>254</v>
      </c>
      <c r="E509" s="10">
        <v>500000</v>
      </c>
      <c r="F509" s="10">
        <v>0.027</v>
      </c>
      <c r="G509" s="9">
        <v>45478</v>
      </c>
      <c r="H509" s="12">
        <f t="shared" si="7"/>
        <v>13500</v>
      </c>
      <c r="I509" s="10" t="s">
        <v>10</v>
      </c>
      <c r="J509" s="13">
        <v>45457</v>
      </c>
    </row>
    <row r="510" customFormat="1" spans="1:11">
      <c r="A510" t="s">
        <v>319</v>
      </c>
      <c r="B510" s="86">
        <v>242500152</v>
      </c>
      <c r="C510" s="9">
        <v>45399</v>
      </c>
      <c r="D510" s="87" t="s">
        <v>254</v>
      </c>
      <c r="E510" s="10">
        <v>500000</v>
      </c>
      <c r="F510" s="10">
        <v>0.027</v>
      </c>
      <c r="G510" s="9">
        <v>45478</v>
      </c>
      <c r="H510" s="12">
        <f t="shared" si="7"/>
        <v>13500</v>
      </c>
      <c r="I510" s="10" t="s">
        <v>10</v>
      </c>
      <c r="J510" s="13">
        <v>45457</v>
      </c>
    </row>
    <row r="511" customFormat="1" spans="1:11">
      <c r="A511" t="s">
        <v>319</v>
      </c>
      <c r="B511" s="86">
        <v>242500152</v>
      </c>
      <c r="C511" s="9">
        <v>45399</v>
      </c>
      <c r="D511" s="87" t="s">
        <v>254</v>
      </c>
      <c r="E511" s="10">
        <v>500000</v>
      </c>
      <c r="F511" s="10">
        <v>0.027</v>
      </c>
      <c r="G511" s="9">
        <v>45509</v>
      </c>
      <c r="H511" s="12">
        <f t="shared" si="7"/>
        <v>13500</v>
      </c>
      <c r="I511" s="10" t="s">
        <v>10</v>
      </c>
      <c r="J511" s="13">
        <v>45457</v>
      </c>
    </row>
    <row r="512" customFormat="1" spans="1:11">
      <c r="A512" t="s">
        <v>319</v>
      </c>
      <c r="B512" s="86">
        <v>242500152</v>
      </c>
      <c r="C512" s="9">
        <v>45399</v>
      </c>
      <c r="D512" s="87" t="s">
        <v>254</v>
      </c>
      <c r="E512" s="10">
        <v>200000</v>
      </c>
      <c r="F512" s="10">
        <v>0.027</v>
      </c>
      <c r="G512" s="9">
        <v>45509</v>
      </c>
      <c r="H512" s="12">
        <f t="shared" si="7"/>
        <v>5400</v>
      </c>
      <c r="I512" s="10" t="s">
        <v>10</v>
      </c>
      <c r="J512" s="13">
        <v>45457</v>
      </c>
    </row>
    <row r="513" customFormat="1" spans="1:11">
      <c r="A513" t="s">
        <v>319</v>
      </c>
      <c r="B513" s="86">
        <v>242500154</v>
      </c>
      <c r="C513" s="9">
        <v>45399</v>
      </c>
      <c r="D513" s="87" t="s">
        <v>254</v>
      </c>
      <c r="E513" s="10">
        <v>500000</v>
      </c>
      <c r="F513" s="10">
        <v>0.022</v>
      </c>
      <c r="G513" s="9">
        <v>45509</v>
      </c>
      <c r="H513" s="12">
        <f t="shared" si="7"/>
        <v>11000</v>
      </c>
      <c r="I513" s="10" t="s">
        <v>10</v>
      </c>
      <c r="J513" s="13">
        <v>45484</v>
      </c>
      <c r="K513" t="s">
        <v>337</v>
      </c>
    </row>
    <row r="514" customFormat="1" spans="1:11">
      <c r="A514" t="s">
        <v>319</v>
      </c>
      <c r="B514" s="86">
        <v>242500154</v>
      </c>
      <c r="C514" s="9">
        <v>45399</v>
      </c>
      <c r="D514" s="87" t="s">
        <v>254</v>
      </c>
      <c r="E514" s="10">
        <v>500000</v>
      </c>
      <c r="F514" s="10">
        <v>0.022</v>
      </c>
      <c r="G514" s="9">
        <v>45509</v>
      </c>
      <c r="H514" s="12">
        <f t="shared" ref="H514:H577" si="8">E514*F514</f>
        <v>11000</v>
      </c>
      <c r="I514" s="10" t="s">
        <v>10</v>
      </c>
      <c r="J514" s="13">
        <v>45484</v>
      </c>
      <c r="K514" t="s">
        <v>337</v>
      </c>
    </row>
    <row r="515" customFormat="1" spans="1:11">
      <c r="A515" t="s">
        <v>319</v>
      </c>
      <c r="B515" s="90">
        <v>242500154</v>
      </c>
      <c r="C515" s="9">
        <v>45399</v>
      </c>
      <c r="D515" s="87" t="s">
        <v>254</v>
      </c>
      <c r="E515" s="10">
        <v>500000</v>
      </c>
      <c r="F515" s="10">
        <v>0.022</v>
      </c>
      <c r="G515" s="9">
        <v>45570</v>
      </c>
      <c r="H515" s="12">
        <f t="shared" si="8"/>
        <v>11000</v>
      </c>
      <c r="I515" s="10" t="s">
        <v>10</v>
      </c>
      <c r="J515" s="13">
        <v>45492</v>
      </c>
      <c r="K515" t="s">
        <v>337</v>
      </c>
    </row>
    <row r="516" customFormat="1" spans="1:11">
      <c r="A516" t="s">
        <v>319</v>
      </c>
      <c r="B516" s="90">
        <v>242500154</v>
      </c>
      <c r="C516" s="9">
        <v>45399</v>
      </c>
      <c r="D516" s="87" t="s">
        <v>254</v>
      </c>
      <c r="E516" s="10">
        <v>500000</v>
      </c>
      <c r="F516" s="10">
        <v>0.022</v>
      </c>
      <c r="G516" s="9">
        <v>45570</v>
      </c>
      <c r="H516" s="12">
        <f t="shared" si="8"/>
        <v>11000</v>
      </c>
      <c r="I516" s="10" t="s">
        <v>10</v>
      </c>
      <c r="J516" s="13">
        <v>45492</v>
      </c>
      <c r="K516" t="s">
        <v>337</v>
      </c>
    </row>
    <row r="517" customFormat="1" spans="1:11">
      <c r="A517" t="s">
        <v>319</v>
      </c>
      <c r="B517" s="86">
        <v>242500180</v>
      </c>
      <c r="C517" s="9">
        <v>45401</v>
      </c>
      <c r="D517" s="87" t="s">
        <v>259</v>
      </c>
      <c r="E517" s="10">
        <v>150000</v>
      </c>
      <c r="F517" s="10">
        <v>0.028</v>
      </c>
      <c r="G517" s="9">
        <v>45465</v>
      </c>
      <c r="H517" s="12">
        <f t="shared" si="8"/>
        <v>4200</v>
      </c>
      <c r="I517" s="10" t="s">
        <v>10</v>
      </c>
      <c r="J517" s="13">
        <v>45443</v>
      </c>
      <c r="K517" t="s">
        <v>333</v>
      </c>
    </row>
    <row r="518" customFormat="1" spans="1:11">
      <c r="A518" t="s">
        <v>319</v>
      </c>
      <c r="B518" s="86">
        <v>242500180</v>
      </c>
      <c r="C518" s="9">
        <v>45401</v>
      </c>
      <c r="D518" s="87" t="s">
        <v>259</v>
      </c>
      <c r="E518" s="10">
        <v>150000</v>
      </c>
      <c r="F518" s="10">
        <v>0.028</v>
      </c>
      <c r="G518" s="9">
        <v>45495</v>
      </c>
      <c r="H518" s="12">
        <f t="shared" si="8"/>
        <v>4200</v>
      </c>
      <c r="I518" s="10" t="s">
        <v>10</v>
      </c>
      <c r="J518" s="13">
        <v>45443</v>
      </c>
      <c r="K518" t="s">
        <v>333</v>
      </c>
    </row>
    <row r="519" customFormat="1" spans="1:11">
      <c r="A519" t="s">
        <v>319</v>
      </c>
      <c r="B519" s="86">
        <v>242500180</v>
      </c>
      <c r="C519" s="9">
        <v>45401</v>
      </c>
      <c r="D519" s="87" t="s">
        <v>259</v>
      </c>
      <c r="E519" s="10">
        <v>150000</v>
      </c>
      <c r="F519" s="10">
        <v>0.028</v>
      </c>
      <c r="G519" s="9">
        <v>45526</v>
      </c>
      <c r="H519" s="12">
        <f t="shared" si="8"/>
        <v>4200</v>
      </c>
      <c r="I519" s="10" t="s">
        <v>10</v>
      </c>
      <c r="J519" s="13">
        <v>45443</v>
      </c>
      <c r="K519" t="s">
        <v>338</v>
      </c>
    </row>
    <row r="520" customFormat="1" spans="1:11">
      <c r="A520" t="s">
        <v>319</v>
      </c>
      <c r="B520" s="86">
        <v>242500180</v>
      </c>
      <c r="C520" s="9">
        <v>45401</v>
      </c>
      <c r="D520" s="87" t="s">
        <v>272</v>
      </c>
      <c r="E520" s="10">
        <v>20000</v>
      </c>
      <c r="F520" s="10">
        <v>0.034</v>
      </c>
      <c r="G520" s="9">
        <v>45465</v>
      </c>
      <c r="H520" s="12">
        <f t="shared" si="8"/>
        <v>680</v>
      </c>
      <c r="I520" s="10" t="s">
        <v>10</v>
      </c>
      <c r="J520" s="13">
        <v>45443</v>
      </c>
      <c r="K520" t="s">
        <v>333</v>
      </c>
    </row>
    <row r="521" customFormat="1" spans="1:11">
      <c r="A521" t="s">
        <v>319</v>
      </c>
      <c r="B521" s="86">
        <v>242500183</v>
      </c>
      <c r="C521" s="9">
        <v>45401</v>
      </c>
      <c r="D521" s="10" t="s">
        <v>339</v>
      </c>
      <c r="E521" s="10">
        <v>300000</v>
      </c>
      <c r="F521" s="10">
        <v>0.015</v>
      </c>
      <c r="G521" s="9">
        <v>45434</v>
      </c>
      <c r="H521" s="12">
        <f t="shared" si="8"/>
        <v>4500</v>
      </c>
      <c r="I521" s="10" t="s">
        <v>10</v>
      </c>
      <c r="J521" s="15" t="s">
        <v>325</v>
      </c>
    </row>
    <row r="522" customFormat="1" spans="1:11">
      <c r="A522" t="s">
        <v>319</v>
      </c>
      <c r="B522" s="86">
        <v>242500183</v>
      </c>
      <c r="C522" s="9">
        <v>45401</v>
      </c>
      <c r="D522" s="10" t="s">
        <v>339</v>
      </c>
      <c r="E522" s="10">
        <v>300000</v>
      </c>
      <c r="F522" s="10">
        <v>0.015</v>
      </c>
      <c r="G522" s="9">
        <v>45495</v>
      </c>
      <c r="H522" s="12">
        <f t="shared" si="8"/>
        <v>4500</v>
      </c>
      <c r="I522" s="10" t="s">
        <v>10</v>
      </c>
      <c r="J522" s="15" t="s">
        <v>325</v>
      </c>
    </row>
    <row r="523" customFormat="1" spans="1:11">
      <c r="A523" t="s">
        <v>319</v>
      </c>
      <c r="B523" s="86">
        <v>242500183</v>
      </c>
      <c r="C523" s="9">
        <v>45401</v>
      </c>
      <c r="D523" s="10" t="s">
        <v>339</v>
      </c>
      <c r="E523" s="10">
        <v>300000</v>
      </c>
      <c r="F523" s="10">
        <v>0.015</v>
      </c>
      <c r="G523" s="9">
        <v>45557</v>
      </c>
      <c r="H523" s="12">
        <f t="shared" si="8"/>
        <v>4500</v>
      </c>
      <c r="I523" s="10" t="s">
        <v>10</v>
      </c>
      <c r="J523" s="15" t="s">
        <v>325</v>
      </c>
    </row>
    <row r="524" customFormat="1" spans="1:11">
      <c r="A524" t="s">
        <v>319</v>
      </c>
      <c r="B524" s="86">
        <v>242500183</v>
      </c>
      <c r="C524" s="9">
        <v>45401</v>
      </c>
      <c r="D524" s="10" t="s">
        <v>339</v>
      </c>
      <c r="E524" s="10">
        <v>300000</v>
      </c>
      <c r="F524" s="10">
        <v>0.015</v>
      </c>
      <c r="G524" s="9">
        <v>45618</v>
      </c>
      <c r="H524" s="12">
        <f t="shared" si="8"/>
        <v>4500</v>
      </c>
      <c r="I524" s="10" t="s">
        <v>10</v>
      </c>
      <c r="J524" s="15" t="s">
        <v>325</v>
      </c>
    </row>
    <row r="525" customFormat="1" spans="1:11">
      <c r="A525" t="s">
        <v>319</v>
      </c>
      <c r="B525" s="86">
        <v>242500183</v>
      </c>
      <c r="C525" s="9">
        <v>45401</v>
      </c>
      <c r="D525" s="10" t="s">
        <v>339</v>
      </c>
      <c r="E525" s="10">
        <v>300000</v>
      </c>
      <c r="F525" s="10">
        <v>0.015</v>
      </c>
      <c r="G525" s="9">
        <v>45648</v>
      </c>
      <c r="H525" s="12">
        <f t="shared" si="8"/>
        <v>4500</v>
      </c>
      <c r="I525" s="10" t="s">
        <v>10</v>
      </c>
      <c r="J525" s="15" t="s">
        <v>325</v>
      </c>
    </row>
    <row r="526" customFormat="1" spans="1:11">
      <c r="A526" t="s">
        <v>319</v>
      </c>
      <c r="B526" s="86">
        <v>242500183</v>
      </c>
      <c r="C526" s="9">
        <v>45401</v>
      </c>
      <c r="D526" s="10" t="s">
        <v>340</v>
      </c>
      <c r="E526" s="10">
        <v>200000</v>
      </c>
      <c r="F526" s="10">
        <v>0.015</v>
      </c>
      <c r="G526" s="9">
        <v>45434</v>
      </c>
      <c r="H526" s="12">
        <f t="shared" si="8"/>
        <v>3000</v>
      </c>
      <c r="I526" s="10" t="s">
        <v>10</v>
      </c>
      <c r="J526" s="15" t="s">
        <v>325</v>
      </c>
    </row>
    <row r="527" customFormat="1" spans="1:11">
      <c r="A527" t="s">
        <v>319</v>
      </c>
      <c r="B527" s="86">
        <v>242500183</v>
      </c>
      <c r="C527" s="9">
        <v>45401</v>
      </c>
      <c r="D527" s="10" t="s">
        <v>340</v>
      </c>
      <c r="E527" s="10">
        <v>200000</v>
      </c>
      <c r="F527" s="10">
        <v>0.015</v>
      </c>
      <c r="G527" s="9">
        <v>45495</v>
      </c>
      <c r="H527" s="12">
        <f t="shared" si="8"/>
        <v>3000</v>
      </c>
      <c r="I527" s="10" t="s">
        <v>10</v>
      </c>
      <c r="J527" s="15" t="s">
        <v>325</v>
      </c>
    </row>
    <row r="528" customFormat="1" spans="1:11">
      <c r="A528" t="s">
        <v>319</v>
      </c>
      <c r="B528" s="86">
        <v>242500183</v>
      </c>
      <c r="C528" s="9">
        <v>45401</v>
      </c>
      <c r="D528" s="10" t="s">
        <v>340</v>
      </c>
      <c r="E528" s="10">
        <v>200000</v>
      </c>
      <c r="F528" s="10">
        <v>0.015</v>
      </c>
      <c r="G528" s="9">
        <v>45557</v>
      </c>
      <c r="H528" s="12">
        <f t="shared" si="8"/>
        <v>3000</v>
      </c>
      <c r="I528" s="10" t="s">
        <v>10</v>
      </c>
      <c r="J528" s="15" t="s">
        <v>325</v>
      </c>
    </row>
    <row r="529" customFormat="1" spans="1:10">
      <c r="A529" t="s">
        <v>319</v>
      </c>
      <c r="B529" s="86">
        <v>242500183</v>
      </c>
      <c r="C529" s="9">
        <v>45401</v>
      </c>
      <c r="D529" s="10" t="s">
        <v>340</v>
      </c>
      <c r="E529" s="10">
        <v>200000</v>
      </c>
      <c r="F529" s="10">
        <v>0.015</v>
      </c>
      <c r="G529" s="9">
        <v>45618</v>
      </c>
      <c r="H529" s="12">
        <f t="shared" si="8"/>
        <v>3000</v>
      </c>
      <c r="I529" s="10" t="s">
        <v>10</v>
      </c>
      <c r="J529" s="15" t="s">
        <v>325</v>
      </c>
    </row>
    <row r="530" customFormat="1" spans="1:10">
      <c r="A530" t="s">
        <v>319</v>
      </c>
      <c r="B530" s="86">
        <v>242500183</v>
      </c>
      <c r="C530" s="9">
        <v>45401</v>
      </c>
      <c r="D530" s="10" t="s">
        <v>340</v>
      </c>
      <c r="E530" s="10">
        <v>200000</v>
      </c>
      <c r="F530" s="10">
        <v>0.015</v>
      </c>
      <c r="G530" s="9">
        <v>45648</v>
      </c>
      <c r="H530" s="12">
        <f t="shared" si="8"/>
        <v>3000</v>
      </c>
      <c r="I530" s="10" t="s">
        <v>10</v>
      </c>
      <c r="J530" s="15" t="s">
        <v>325</v>
      </c>
    </row>
    <row r="531" customFormat="1" spans="1:10">
      <c r="A531" t="s">
        <v>319</v>
      </c>
      <c r="B531" s="86">
        <v>242500183</v>
      </c>
      <c r="C531" s="9">
        <v>45401</v>
      </c>
      <c r="D531" s="10" t="s">
        <v>341</v>
      </c>
      <c r="E531" s="10">
        <v>200000</v>
      </c>
      <c r="F531" s="10">
        <v>0.015</v>
      </c>
      <c r="G531" s="9">
        <v>45434</v>
      </c>
      <c r="H531" s="12">
        <f t="shared" si="8"/>
        <v>3000</v>
      </c>
      <c r="I531" s="10" t="s">
        <v>10</v>
      </c>
      <c r="J531" s="15" t="s">
        <v>325</v>
      </c>
    </row>
    <row r="532" customFormat="1" spans="1:10">
      <c r="A532" t="s">
        <v>319</v>
      </c>
      <c r="B532" s="86">
        <v>242500183</v>
      </c>
      <c r="C532" s="9">
        <v>45401</v>
      </c>
      <c r="D532" s="10" t="s">
        <v>341</v>
      </c>
      <c r="E532" s="10">
        <v>200000</v>
      </c>
      <c r="F532" s="10">
        <v>0.015</v>
      </c>
      <c r="G532" s="9">
        <v>45495</v>
      </c>
      <c r="H532" s="12">
        <f t="shared" si="8"/>
        <v>3000</v>
      </c>
      <c r="I532" s="10" t="s">
        <v>10</v>
      </c>
      <c r="J532" s="15" t="s">
        <v>325</v>
      </c>
    </row>
    <row r="533" customFormat="1" spans="1:10">
      <c r="A533" t="s">
        <v>319</v>
      </c>
      <c r="B533" s="86">
        <v>242500183</v>
      </c>
      <c r="C533" s="9">
        <v>45401</v>
      </c>
      <c r="D533" s="10" t="s">
        <v>341</v>
      </c>
      <c r="E533" s="10">
        <v>200000</v>
      </c>
      <c r="F533" s="10">
        <v>0.015</v>
      </c>
      <c r="G533" s="9">
        <v>45557</v>
      </c>
      <c r="H533" s="12">
        <f t="shared" si="8"/>
        <v>3000</v>
      </c>
      <c r="I533" s="10" t="s">
        <v>10</v>
      </c>
      <c r="J533" s="15" t="s">
        <v>325</v>
      </c>
    </row>
    <row r="534" customFormat="1" spans="1:10">
      <c r="A534" t="s">
        <v>319</v>
      </c>
      <c r="B534" s="86">
        <v>242500183</v>
      </c>
      <c r="C534" s="9">
        <v>45401</v>
      </c>
      <c r="D534" s="10" t="s">
        <v>341</v>
      </c>
      <c r="E534" s="10">
        <v>200000</v>
      </c>
      <c r="F534" s="10">
        <v>0.015</v>
      </c>
      <c r="G534" s="9">
        <v>45618</v>
      </c>
      <c r="H534" s="12">
        <f t="shared" si="8"/>
        <v>3000</v>
      </c>
      <c r="I534" s="10" t="s">
        <v>10</v>
      </c>
      <c r="J534" s="15" t="s">
        <v>325</v>
      </c>
    </row>
    <row r="535" customFormat="1" spans="1:10">
      <c r="A535" t="s">
        <v>319</v>
      </c>
      <c r="B535" s="86">
        <v>242500183</v>
      </c>
      <c r="C535" s="9">
        <v>45401</v>
      </c>
      <c r="D535" s="10" t="s">
        <v>341</v>
      </c>
      <c r="E535" s="10">
        <v>200000</v>
      </c>
      <c r="F535" s="10">
        <v>0.015</v>
      </c>
      <c r="G535" s="9">
        <v>45648</v>
      </c>
      <c r="H535" s="12">
        <f t="shared" si="8"/>
        <v>3000</v>
      </c>
      <c r="I535" s="10" t="s">
        <v>10</v>
      </c>
      <c r="J535" s="15" t="s">
        <v>325</v>
      </c>
    </row>
    <row r="536" customFormat="1" spans="1:10">
      <c r="A536" t="s">
        <v>319</v>
      </c>
      <c r="B536" s="86">
        <v>242500184</v>
      </c>
      <c r="C536" s="9">
        <v>45401</v>
      </c>
      <c r="D536" s="10" t="s">
        <v>342</v>
      </c>
      <c r="E536" s="10">
        <v>200000</v>
      </c>
      <c r="F536" s="10">
        <v>0.0174</v>
      </c>
      <c r="G536" s="9">
        <v>45434</v>
      </c>
      <c r="H536" s="12">
        <f t="shared" si="8"/>
        <v>3480</v>
      </c>
      <c r="I536" s="10" t="s">
        <v>10</v>
      </c>
      <c r="J536" s="15" t="s">
        <v>325</v>
      </c>
    </row>
    <row r="537" customFormat="1" spans="1:10">
      <c r="A537" t="s">
        <v>319</v>
      </c>
      <c r="B537" s="86">
        <v>242500184</v>
      </c>
      <c r="C537" s="9">
        <v>45401</v>
      </c>
      <c r="D537" s="10" t="s">
        <v>342</v>
      </c>
      <c r="E537" s="10">
        <v>200000</v>
      </c>
      <c r="F537" s="10">
        <v>0.0174</v>
      </c>
      <c r="G537" s="9">
        <v>45495</v>
      </c>
      <c r="H537" s="12">
        <f t="shared" si="8"/>
        <v>3480</v>
      </c>
      <c r="I537" s="10" t="s">
        <v>10</v>
      </c>
      <c r="J537" s="15" t="s">
        <v>325</v>
      </c>
    </row>
    <row r="538" customFormat="1" spans="1:10">
      <c r="A538" t="s">
        <v>319</v>
      </c>
      <c r="B538" s="86">
        <v>242500184</v>
      </c>
      <c r="C538" s="9">
        <v>45401</v>
      </c>
      <c r="D538" s="10" t="s">
        <v>342</v>
      </c>
      <c r="E538" s="10">
        <v>200000</v>
      </c>
      <c r="F538" s="10">
        <v>0.0174</v>
      </c>
      <c r="G538" s="9">
        <v>45557</v>
      </c>
      <c r="H538" s="12">
        <f t="shared" si="8"/>
        <v>3480</v>
      </c>
      <c r="I538" s="10" t="s">
        <v>10</v>
      </c>
      <c r="J538" s="15" t="s">
        <v>325</v>
      </c>
    </row>
    <row r="539" customFormat="1" spans="1:10">
      <c r="A539" t="s">
        <v>319</v>
      </c>
      <c r="B539" s="86">
        <v>242500184</v>
      </c>
      <c r="C539" s="9">
        <v>45401</v>
      </c>
      <c r="D539" s="10" t="s">
        <v>342</v>
      </c>
      <c r="E539" s="10">
        <v>200000</v>
      </c>
      <c r="F539" s="10">
        <v>0.0174</v>
      </c>
      <c r="G539" s="9">
        <v>45618</v>
      </c>
      <c r="H539" s="12">
        <f t="shared" si="8"/>
        <v>3480</v>
      </c>
      <c r="I539" s="10" t="s">
        <v>10</v>
      </c>
      <c r="J539" s="15" t="s">
        <v>325</v>
      </c>
    </row>
    <row r="540" customFormat="1" spans="1:10">
      <c r="A540" t="s">
        <v>319</v>
      </c>
      <c r="B540" s="86">
        <v>242500184</v>
      </c>
      <c r="C540" s="9">
        <v>45401</v>
      </c>
      <c r="D540" s="10" t="s">
        <v>342</v>
      </c>
      <c r="E540" s="10">
        <v>200000</v>
      </c>
      <c r="F540" s="10">
        <v>0.0174</v>
      </c>
      <c r="G540" s="9">
        <v>45648</v>
      </c>
      <c r="H540" s="12">
        <f t="shared" si="8"/>
        <v>3480</v>
      </c>
      <c r="I540" s="10" t="s">
        <v>10</v>
      </c>
      <c r="J540" s="15" t="s">
        <v>325</v>
      </c>
    </row>
    <row r="541" customFormat="1" spans="1:10">
      <c r="A541" t="s">
        <v>319</v>
      </c>
      <c r="B541" s="86">
        <v>242500184</v>
      </c>
      <c r="C541" s="9">
        <v>45401</v>
      </c>
      <c r="D541" s="10" t="s">
        <v>343</v>
      </c>
      <c r="E541" s="10">
        <v>100000</v>
      </c>
      <c r="F541" s="10">
        <v>0.015</v>
      </c>
      <c r="G541" s="9">
        <v>45434</v>
      </c>
      <c r="H541" s="12">
        <f t="shared" si="8"/>
        <v>1500</v>
      </c>
      <c r="I541" s="10" t="s">
        <v>10</v>
      </c>
      <c r="J541" s="15" t="s">
        <v>325</v>
      </c>
    </row>
    <row r="542" customFormat="1" spans="1:10">
      <c r="A542" t="s">
        <v>319</v>
      </c>
      <c r="B542" s="86">
        <v>242500184</v>
      </c>
      <c r="C542" s="9">
        <v>45401</v>
      </c>
      <c r="D542" s="10" t="s">
        <v>343</v>
      </c>
      <c r="E542" s="10">
        <v>100000</v>
      </c>
      <c r="F542" s="10">
        <v>0.015</v>
      </c>
      <c r="G542" s="9">
        <v>45495</v>
      </c>
      <c r="H542" s="12">
        <f t="shared" si="8"/>
        <v>1500</v>
      </c>
      <c r="I542" s="10" t="s">
        <v>10</v>
      </c>
      <c r="J542" s="15" t="s">
        <v>325</v>
      </c>
    </row>
    <row r="543" customFormat="1" spans="1:10">
      <c r="A543" t="s">
        <v>319</v>
      </c>
      <c r="B543" s="86">
        <v>242500184</v>
      </c>
      <c r="C543" s="9">
        <v>45401</v>
      </c>
      <c r="D543" s="10" t="s">
        <v>343</v>
      </c>
      <c r="E543" s="10">
        <v>100000</v>
      </c>
      <c r="F543" s="10">
        <v>0.015</v>
      </c>
      <c r="G543" s="9">
        <v>45557</v>
      </c>
      <c r="H543" s="12">
        <f t="shared" si="8"/>
        <v>1500</v>
      </c>
      <c r="I543" s="10" t="s">
        <v>10</v>
      </c>
      <c r="J543" s="15" t="s">
        <v>325</v>
      </c>
    </row>
    <row r="544" customFormat="1" spans="1:10">
      <c r="A544" t="s">
        <v>319</v>
      </c>
      <c r="B544" s="86">
        <v>242500184</v>
      </c>
      <c r="C544" s="9">
        <v>45401</v>
      </c>
      <c r="D544" s="10" t="s">
        <v>343</v>
      </c>
      <c r="E544" s="10">
        <v>100000</v>
      </c>
      <c r="F544" s="10">
        <v>0.015</v>
      </c>
      <c r="G544" s="9">
        <v>45618</v>
      </c>
      <c r="H544" s="12">
        <f t="shared" si="8"/>
        <v>1500</v>
      </c>
      <c r="I544" s="10" t="s">
        <v>10</v>
      </c>
      <c r="J544" s="15" t="s">
        <v>325</v>
      </c>
    </row>
    <row r="545" customFormat="1" spans="1:14">
      <c r="A545" t="s">
        <v>319</v>
      </c>
      <c r="B545" s="86">
        <v>242500184</v>
      </c>
      <c r="C545" s="9">
        <v>45401</v>
      </c>
      <c r="D545" s="10" t="s">
        <v>343</v>
      </c>
      <c r="E545" s="10">
        <v>100000</v>
      </c>
      <c r="F545" s="10">
        <v>0.015</v>
      </c>
      <c r="G545" s="9">
        <v>45648</v>
      </c>
      <c r="H545" s="12">
        <f t="shared" si="8"/>
        <v>1500</v>
      </c>
      <c r="I545" s="10" t="s">
        <v>10</v>
      </c>
      <c r="J545" s="15" t="s">
        <v>325</v>
      </c>
      <c r="M545" s="52"/>
      <c r="N545" s="52"/>
    </row>
    <row r="546" customFormat="1" spans="1:14">
      <c r="A546" t="s">
        <v>319</v>
      </c>
      <c r="B546" s="86">
        <v>242500184</v>
      </c>
      <c r="C546" s="9">
        <v>45401</v>
      </c>
      <c r="D546" s="10" t="s">
        <v>344</v>
      </c>
      <c r="E546" s="10">
        <v>199500</v>
      </c>
      <c r="F546" s="10">
        <v>0.017</v>
      </c>
      <c r="G546" s="9">
        <v>45434</v>
      </c>
      <c r="H546" s="12">
        <f t="shared" si="8"/>
        <v>3391.5</v>
      </c>
      <c r="I546" s="10" t="s">
        <v>10</v>
      </c>
      <c r="J546" s="15" t="s">
        <v>325</v>
      </c>
      <c r="M546" s="52"/>
      <c r="N546" s="52"/>
    </row>
    <row r="547" customFormat="1" spans="1:14">
      <c r="A547" t="s">
        <v>319</v>
      </c>
      <c r="B547" s="86">
        <v>242500184</v>
      </c>
      <c r="C547" s="9">
        <v>45401</v>
      </c>
      <c r="D547" s="10" t="s">
        <v>344</v>
      </c>
      <c r="E547" s="10">
        <v>199500</v>
      </c>
      <c r="F547" s="10">
        <v>0.017</v>
      </c>
      <c r="G547" s="9">
        <v>45495</v>
      </c>
      <c r="H547" s="12">
        <f t="shared" si="8"/>
        <v>3391.5</v>
      </c>
      <c r="I547" s="10" t="s">
        <v>10</v>
      </c>
      <c r="J547" s="15" t="s">
        <v>325</v>
      </c>
      <c r="M547" s="91"/>
    </row>
    <row r="548" customFormat="1" spans="1:14">
      <c r="A548" t="s">
        <v>319</v>
      </c>
      <c r="B548" s="86">
        <v>242500184</v>
      </c>
      <c r="C548" s="9">
        <v>45401</v>
      </c>
      <c r="D548" s="10" t="s">
        <v>344</v>
      </c>
      <c r="E548" s="10">
        <v>199500</v>
      </c>
      <c r="F548" s="10">
        <v>0.017</v>
      </c>
      <c r="G548" s="9">
        <v>45557</v>
      </c>
      <c r="H548" s="12">
        <f t="shared" si="8"/>
        <v>3391.5</v>
      </c>
      <c r="I548" s="10" t="s">
        <v>10</v>
      </c>
      <c r="J548" s="15" t="s">
        <v>325</v>
      </c>
      <c r="M548" s="52"/>
      <c r="N548" s="52"/>
    </row>
    <row r="549" customFormat="1" spans="1:14">
      <c r="A549" t="s">
        <v>319</v>
      </c>
      <c r="B549" s="86">
        <v>242500184</v>
      </c>
      <c r="C549" s="9">
        <v>45401</v>
      </c>
      <c r="D549" s="10" t="s">
        <v>344</v>
      </c>
      <c r="E549" s="10">
        <v>201000</v>
      </c>
      <c r="F549" s="10">
        <v>0.017</v>
      </c>
      <c r="G549" s="9">
        <v>45618</v>
      </c>
      <c r="H549" s="12">
        <f t="shared" si="8"/>
        <v>3417</v>
      </c>
      <c r="I549" s="10" t="s">
        <v>10</v>
      </c>
      <c r="J549" s="15" t="s">
        <v>325</v>
      </c>
    </row>
    <row r="550" customFormat="1" spans="1:14">
      <c r="A550" t="s">
        <v>319</v>
      </c>
      <c r="B550" s="86">
        <v>242500184</v>
      </c>
      <c r="C550" s="9">
        <v>45401</v>
      </c>
      <c r="D550" s="10" t="s">
        <v>344</v>
      </c>
      <c r="E550" s="10">
        <v>201000</v>
      </c>
      <c r="F550" s="10">
        <v>0.017</v>
      </c>
      <c r="G550" s="9">
        <v>45648</v>
      </c>
      <c r="H550" s="12">
        <f t="shared" si="8"/>
        <v>3417</v>
      </c>
      <c r="I550" s="10" t="s">
        <v>10</v>
      </c>
      <c r="J550" s="15" t="s">
        <v>325</v>
      </c>
    </row>
    <row r="551" customFormat="1" spans="1:14">
      <c r="A551" t="s">
        <v>319</v>
      </c>
      <c r="B551" s="86">
        <v>242500184</v>
      </c>
      <c r="C551" s="9">
        <v>45401</v>
      </c>
      <c r="D551" s="10" t="s">
        <v>345</v>
      </c>
      <c r="E551" s="10">
        <v>199500</v>
      </c>
      <c r="F551" s="10">
        <v>0.017</v>
      </c>
      <c r="G551" s="9">
        <v>45434</v>
      </c>
      <c r="H551" s="12">
        <f t="shared" si="8"/>
        <v>3391.5</v>
      </c>
      <c r="I551" s="10" t="s">
        <v>10</v>
      </c>
      <c r="J551" s="15" t="s">
        <v>325</v>
      </c>
    </row>
    <row r="552" customFormat="1" spans="1:14">
      <c r="A552" t="s">
        <v>319</v>
      </c>
      <c r="B552" s="86">
        <v>242500184</v>
      </c>
      <c r="C552" s="9">
        <v>45401</v>
      </c>
      <c r="D552" s="10" t="s">
        <v>345</v>
      </c>
      <c r="E552" s="10">
        <v>199500</v>
      </c>
      <c r="F552" s="10">
        <v>0.017</v>
      </c>
      <c r="G552" s="9">
        <v>45495</v>
      </c>
      <c r="H552" s="12">
        <f t="shared" si="8"/>
        <v>3391.5</v>
      </c>
      <c r="I552" s="10" t="s">
        <v>10</v>
      </c>
      <c r="J552" s="15" t="s">
        <v>325</v>
      </c>
    </row>
    <row r="553" customFormat="1" spans="1:14">
      <c r="A553" t="s">
        <v>319</v>
      </c>
      <c r="B553" s="86">
        <v>242500184</v>
      </c>
      <c r="C553" s="9">
        <v>45401</v>
      </c>
      <c r="D553" s="10" t="s">
        <v>345</v>
      </c>
      <c r="E553" s="10">
        <v>199500</v>
      </c>
      <c r="F553" s="10">
        <v>0.017</v>
      </c>
      <c r="G553" s="9">
        <v>45557</v>
      </c>
      <c r="H553" s="12">
        <f t="shared" si="8"/>
        <v>3391.5</v>
      </c>
      <c r="I553" s="10" t="s">
        <v>10</v>
      </c>
      <c r="J553" s="15" t="s">
        <v>325</v>
      </c>
    </row>
    <row r="554" customFormat="1" spans="1:14">
      <c r="A554" t="s">
        <v>319</v>
      </c>
      <c r="B554" s="86">
        <v>242500184</v>
      </c>
      <c r="C554" s="9">
        <v>45401</v>
      </c>
      <c r="D554" s="10" t="s">
        <v>345</v>
      </c>
      <c r="E554" s="10">
        <v>201000</v>
      </c>
      <c r="F554" s="10">
        <v>0.017</v>
      </c>
      <c r="G554" s="9">
        <v>45618</v>
      </c>
      <c r="H554" s="12">
        <f t="shared" si="8"/>
        <v>3417</v>
      </c>
      <c r="I554" s="10" t="s">
        <v>10</v>
      </c>
      <c r="J554" s="15" t="s">
        <v>325</v>
      </c>
    </row>
    <row r="555" customFormat="1" spans="1:14">
      <c r="A555" t="s">
        <v>319</v>
      </c>
      <c r="B555" s="86">
        <v>242500184</v>
      </c>
      <c r="C555" s="9">
        <v>45401</v>
      </c>
      <c r="D555" s="10" t="s">
        <v>345</v>
      </c>
      <c r="E555" s="10">
        <v>201000</v>
      </c>
      <c r="F555" s="10">
        <v>0.017</v>
      </c>
      <c r="G555" s="9">
        <v>45648</v>
      </c>
      <c r="H555" s="12">
        <f t="shared" si="8"/>
        <v>3417</v>
      </c>
      <c r="I555" s="10" t="s">
        <v>10</v>
      </c>
      <c r="J555" s="15" t="s">
        <v>325</v>
      </c>
    </row>
    <row r="556" customFormat="1" spans="1:14">
      <c r="A556" t="s">
        <v>319</v>
      </c>
      <c r="B556" s="86">
        <v>242500185</v>
      </c>
      <c r="C556" s="9">
        <v>45401</v>
      </c>
      <c r="D556" s="10" t="s">
        <v>346</v>
      </c>
      <c r="E556" s="10">
        <v>199500</v>
      </c>
      <c r="F556" s="10">
        <v>0.0185</v>
      </c>
      <c r="G556" s="9">
        <v>45434</v>
      </c>
      <c r="H556" s="12">
        <f t="shared" si="8"/>
        <v>3690.75</v>
      </c>
      <c r="I556" s="10" t="s">
        <v>10</v>
      </c>
      <c r="J556" s="15" t="s">
        <v>325</v>
      </c>
    </row>
    <row r="557" customFormat="1" spans="1:14">
      <c r="A557" t="s">
        <v>319</v>
      </c>
      <c r="B557" s="86">
        <v>242500185</v>
      </c>
      <c r="C557" s="9">
        <v>45401</v>
      </c>
      <c r="D557" s="10" t="s">
        <v>346</v>
      </c>
      <c r="E557" s="10">
        <v>249000</v>
      </c>
      <c r="F557" s="10">
        <v>0.0185</v>
      </c>
      <c r="G557" s="9">
        <v>45495</v>
      </c>
      <c r="H557" s="12">
        <f t="shared" si="8"/>
        <v>4606.5</v>
      </c>
      <c r="I557" s="10" t="s">
        <v>10</v>
      </c>
      <c r="J557" s="15" t="s">
        <v>325</v>
      </c>
    </row>
    <row r="558" customFormat="1" spans="1:14">
      <c r="A558" t="s">
        <v>319</v>
      </c>
      <c r="B558" s="86">
        <v>242500185</v>
      </c>
      <c r="C558" s="9">
        <v>45401</v>
      </c>
      <c r="D558" s="10" t="s">
        <v>346</v>
      </c>
      <c r="E558" s="10">
        <v>250500</v>
      </c>
      <c r="F558" s="10">
        <v>0.0185</v>
      </c>
      <c r="G558" s="9">
        <v>45557</v>
      </c>
      <c r="H558" s="12">
        <f t="shared" si="8"/>
        <v>4634.25</v>
      </c>
      <c r="I558" s="10" t="s">
        <v>10</v>
      </c>
      <c r="J558" s="15" t="s">
        <v>325</v>
      </c>
    </row>
    <row r="559" customFormat="1" spans="1:14">
      <c r="A559" t="s">
        <v>319</v>
      </c>
      <c r="B559" s="86">
        <v>242500185</v>
      </c>
      <c r="C559" s="9">
        <v>45401</v>
      </c>
      <c r="D559" s="10" t="s">
        <v>346</v>
      </c>
      <c r="E559" s="10">
        <v>250500</v>
      </c>
      <c r="F559" s="10">
        <v>0.0185</v>
      </c>
      <c r="G559" s="9">
        <v>45618</v>
      </c>
      <c r="H559" s="12">
        <f t="shared" si="8"/>
        <v>4634.25</v>
      </c>
      <c r="I559" s="10" t="s">
        <v>10</v>
      </c>
      <c r="J559" s="15" t="s">
        <v>325</v>
      </c>
    </row>
    <row r="560" customFormat="1" spans="1:14">
      <c r="A560" t="s">
        <v>319</v>
      </c>
      <c r="B560" s="86">
        <v>242500185</v>
      </c>
      <c r="C560" s="9">
        <v>45401</v>
      </c>
      <c r="D560" s="10" t="s">
        <v>346</v>
      </c>
      <c r="E560" s="10">
        <v>250500</v>
      </c>
      <c r="F560" s="10">
        <v>0.0185</v>
      </c>
      <c r="G560" s="9">
        <v>45648</v>
      </c>
      <c r="H560" s="12">
        <f t="shared" si="8"/>
        <v>4634.25</v>
      </c>
      <c r="I560" s="10" t="s">
        <v>10</v>
      </c>
      <c r="J560" s="15" t="s">
        <v>325</v>
      </c>
    </row>
    <row r="561" customFormat="1" spans="1:10">
      <c r="A561" t="s">
        <v>319</v>
      </c>
      <c r="B561" s="86">
        <v>242500185</v>
      </c>
      <c r="C561" s="9">
        <v>45401</v>
      </c>
      <c r="D561" s="10" t="s">
        <v>347</v>
      </c>
      <c r="E561" s="10">
        <v>199500</v>
      </c>
      <c r="F561" s="10">
        <v>0.017</v>
      </c>
      <c r="G561" s="9">
        <v>45434</v>
      </c>
      <c r="H561" s="12">
        <f t="shared" si="8"/>
        <v>3391.5</v>
      </c>
      <c r="I561" s="10" t="s">
        <v>10</v>
      </c>
      <c r="J561" s="15" t="s">
        <v>325</v>
      </c>
    </row>
    <row r="562" customFormat="1" spans="1:10">
      <c r="A562" t="s">
        <v>319</v>
      </c>
      <c r="B562" s="86">
        <v>242500185</v>
      </c>
      <c r="C562" s="9">
        <v>45401</v>
      </c>
      <c r="D562" s="10" t="s">
        <v>347</v>
      </c>
      <c r="E562" s="10">
        <v>249000</v>
      </c>
      <c r="F562" s="10">
        <v>0.017</v>
      </c>
      <c r="G562" s="9">
        <v>45495</v>
      </c>
      <c r="H562" s="12">
        <f t="shared" si="8"/>
        <v>4233</v>
      </c>
      <c r="I562" s="10" t="s">
        <v>10</v>
      </c>
      <c r="J562" s="15" t="s">
        <v>325</v>
      </c>
    </row>
    <row r="563" customFormat="1" spans="1:10">
      <c r="A563" t="s">
        <v>319</v>
      </c>
      <c r="B563" s="86">
        <v>242500185</v>
      </c>
      <c r="C563" s="9">
        <v>45401</v>
      </c>
      <c r="D563" s="10" t="s">
        <v>347</v>
      </c>
      <c r="E563" s="10">
        <v>250500</v>
      </c>
      <c r="F563" s="10">
        <v>0.017</v>
      </c>
      <c r="G563" s="9">
        <v>45557</v>
      </c>
      <c r="H563" s="12">
        <f t="shared" si="8"/>
        <v>4258.5</v>
      </c>
      <c r="I563" s="10" t="s">
        <v>10</v>
      </c>
      <c r="J563" s="15" t="s">
        <v>325</v>
      </c>
    </row>
    <row r="564" customFormat="1" spans="1:10">
      <c r="A564" t="s">
        <v>319</v>
      </c>
      <c r="B564" s="86">
        <v>242500185</v>
      </c>
      <c r="C564" s="9">
        <v>45401</v>
      </c>
      <c r="D564" s="10" t="s">
        <v>347</v>
      </c>
      <c r="E564" s="10">
        <v>250500</v>
      </c>
      <c r="F564" s="10">
        <v>0.017</v>
      </c>
      <c r="G564" s="9">
        <v>45618</v>
      </c>
      <c r="H564" s="12">
        <f t="shared" si="8"/>
        <v>4258.5</v>
      </c>
      <c r="I564" s="10" t="s">
        <v>10</v>
      </c>
      <c r="J564" s="15" t="s">
        <v>325</v>
      </c>
    </row>
    <row r="565" customFormat="1" spans="1:10">
      <c r="A565" t="s">
        <v>319</v>
      </c>
      <c r="B565" s="86">
        <v>242500185</v>
      </c>
      <c r="C565" s="9">
        <v>45401</v>
      </c>
      <c r="D565" s="10" t="s">
        <v>347</v>
      </c>
      <c r="E565" s="10">
        <v>250500</v>
      </c>
      <c r="F565" s="10">
        <v>0.017</v>
      </c>
      <c r="G565" s="9">
        <v>45648</v>
      </c>
      <c r="H565" s="12">
        <f t="shared" si="8"/>
        <v>4258.5</v>
      </c>
      <c r="I565" s="10" t="s">
        <v>10</v>
      </c>
      <c r="J565" s="15" t="s">
        <v>325</v>
      </c>
    </row>
    <row r="566" customFormat="1" spans="1:10">
      <c r="A566" t="s">
        <v>319</v>
      </c>
      <c r="B566" s="86">
        <v>242500185</v>
      </c>
      <c r="C566" s="9">
        <v>45401</v>
      </c>
      <c r="D566" s="10" t="s">
        <v>348</v>
      </c>
      <c r="E566" s="10">
        <v>200000</v>
      </c>
      <c r="F566" s="10">
        <v>0.0165</v>
      </c>
      <c r="G566" s="9">
        <v>45434</v>
      </c>
      <c r="H566" s="12">
        <f t="shared" si="8"/>
        <v>3300</v>
      </c>
      <c r="I566" s="10" t="s">
        <v>10</v>
      </c>
      <c r="J566" s="15" t="s">
        <v>325</v>
      </c>
    </row>
    <row r="567" customFormat="1" spans="1:10">
      <c r="A567" t="s">
        <v>319</v>
      </c>
      <c r="B567" s="86">
        <v>242500185</v>
      </c>
      <c r="C567" s="9">
        <v>45401</v>
      </c>
      <c r="D567" s="10" t="s">
        <v>348</v>
      </c>
      <c r="E567" s="10">
        <v>200000</v>
      </c>
      <c r="F567" s="10">
        <v>0.0165</v>
      </c>
      <c r="G567" s="9">
        <v>45495</v>
      </c>
      <c r="H567" s="12">
        <f t="shared" si="8"/>
        <v>3300</v>
      </c>
      <c r="I567" s="10" t="s">
        <v>10</v>
      </c>
      <c r="J567" s="15" t="s">
        <v>325</v>
      </c>
    </row>
    <row r="568" customFormat="1" spans="1:10">
      <c r="A568" t="s">
        <v>319</v>
      </c>
      <c r="B568" s="86">
        <v>242500185</v>
      </c>
      <c r="C568" s="9">
        <v>45401</v>
      </c>
      <c r="D568" s="10" t="s">
        <v>348</v>
      </c>
      <c r="E568" s="10">
        <v>200000</v>
      </c>
      <c r="F568" s="10">
        <v>0.0165</v>
      </c>
      <c r="G568" s="9">
        <v>45557</v>
      </c>
      <c r="H568" s="12">
        <f t="shared" si="8"/>
        <v>3300</v>
      </c>
      <c r="I568" s="10" t="s">
        <v>10</v>
      </c>
      <c r="J568" s="15" t="s">
        <v>325</v>
      </c>
    </row>
    <row r="569" customFormat="1" spans="1:10">
      <c r="A569" t="s">
        <v>319</v>
      </c>
      <c r="B569" s="86">
        <v>242500185</v>
      </c>
      <c r="C569" s="9">
        <v>45401</v>
      </c>
      <c r="D569" s="10" t="s">
        <v>348</v>
      </c>
      <c r="E569" s="10">
        <v>200000</v>
      </c>
      <c r="F569" s="10">
        <v>0.0165</v>
      </c>
      <c r="G569" s="9">
        <v>45618</v>
      </c>
      <c r="H569" s="12">
        <f t="shared" si="8"/>
        <v>3300</v>
      </c>
      <c r="I569" s="10" t="s">
        <v>10</v>
      </c>
      <c r="J569" s="15" t="s">
        <v>325</v>
      </c>
    </row>
    <row r="570" customFormat="1" spans="1:10">
      <c r="A570" t="s">
        <v>319</v>
      </c>
      <c r="B570" s="86">
        <v>242500185</v>
      </c>
      <c r="C570" s="9">
        <v>45401</v>
      </c>
      <c r="D570" s="10" t="s">
        <v>348</v>
      </c>
      <c r="E570" s="10">
        <v>200000</v>
      </c>
      <c r="F570" s="10">
        <v>0.0165</v>
      </c>
      <c r="G570" s="9">
        <v>45648</v>
      </c>
      <c r="H570" s="12">
        <f t="shared" si="8"/>
        <v>3300</v>
      </c>
      <c r="I570" s="10" t="s">
        <v>10</v>
      </c>
      <c r="J570" s="15" t="s">
        <v>325</v>
      </c>
    </row>
    <row r="571" customFormat="1" spans="1:10">
      <c r="A571" t="s">
        <v>319</v>
      </c>
      <c r="B571" s="86">
        <v>242500186</v>
      </c>
      <c r="C571" s="9">
        <v>45401</v>
      </c>
      <c r="D571" s="87" t="s">
        <v>349</v>
      </c>
      <c r="E571" s="10">
        <v>50000</v>
      </c>
      <c r="F571" s="10">
        <v>0.0072</v>
      </c>
      <c r="G571" s="9">
        <v>45434</v>
      </c>
      <c r="H571" s="12">
        <f t="shared" si="8"/>
        <v>360</v>
      </c>
      <c r="I571" s="10" t="s">
        <v>10</v>
      </c>
      <c r="J571" s="15" t="s">
        <v>325</v>
      </c>
    </row>
    <row r="572" customFormat="1" spans="1:10">
      <c r="A572" t="s">
        <v>319</v>
      </c>
      <c r="B572" s="86">
        <v>242500186</v>
      </c>
      <c r="C572" s="9">
        <v>45401</v>
      </c>
      <c r="D572" s="87" t="s">
        <v>349</v>
      </c>
      <c r="E572" s="10">
        <v>50000</v>
      </c>
      <c r="F572" s="10">
        <v>0.0072</v>
      </c>
      <c r="G572" s="9">
        <v>45495</v>
      </c>
      <c r="H572" s="12">
        <f t="shared" si="8"/>
        <v>360</v>
      </c>
      <c r="I572" s="10" t="s">
        <v>10</v>
      </c>
      <c r="J572" s="15" t="s">
        <v>325</v>
      </c>
    </row>
    <row r="573" customFormat="1" spans="1:10">
      <c r="A573" t="s">
        <v>319</v>
      </c>
      <c r="B573" s="86">
        <v>242500186</v>
      </c>
      <c r="C573" s="9">
        <v>45401</v>
      </c>
      <c r="D573" s="87" t="s">
        <v>349</v>
      </c>
      <c r="E573" s="10">
        <v>50000</v>
      </c>
      <c r="F573" s="10">
        <v>0.0072</v>
      </c>
      <c r="G573" s="9">
        <v>45557</v>
      </c>
      <c r="H573" s="12">
        <f t="shared" si="8"/>
        <v>360</v>
      </c>
      <c r="I573" s="10" t="s">
        <v>10</v>
      </c>
      <c r="J573" s="15" t="s">
        <v>325</v>
      </c>
    </row>
    <row r="574" customFormat="1" spans="1:10">
      <c r="A574" t="s">
        <v>319</v>
      </c>
      <c r="B574" s="86">
        <v>242500186</v>
      </c>
      <c r="C574" s="9">
        <v>45401</v>
      </c>
      <c r="D574" s="87" t="s">
        <v>349</v>
      </c>
      <c r="E574" s="10">
        <v>75000</v>
      </c>
      <c r="F574" s="10">
        <v>0.0072</v>
      </c>
      <c r="G574" s="9">
        <v>45618</v>
      </c>
      <c r="H574" s="12">
        <f t="shared" si="8"/>
        <v>540</v>
      </c>
      <c r="I574" s="10" t="s">
        <v>10</v>
      </c>
      <c r="J574" s="15" t="s">
        <v>350</v>
      </c>
    </row>
    <row r="575" customFormat="1" spans="1:10">
      <c r="A575" t="s">
        <v>319</v>
      </c>
      <c r="B575" s="92">
        <v>242500186</v>
      </c>
      <c r="C575" s="54">
        <v>45401</v>
      </c>
      <c r="D575" s="93" t="s">
        <v>349</v>
      </c>
      <c r="E575" s="56">
        <v>75000</v>
      </c>
      <c r="F575" s="56">
        <v>0.0072</v>
      </c>
      <c r="G575" s="54">
        <v>45648</v>
      </c>
      <c r="H575" s="58">
        <f t="shared" si="8"/>
        <v>540</v>
      </c>
      <c r="I575" s="56" t="s">
        <v>317</v>
      </c>
      <c r="J575" s="15" t="s">
        <v>325</v>
      </c>
    </row>
    <row r="576" customFormat="1" spans="1:10">
      <c r="A576" t="s">
        <v>319</v>
      </c>
      <c r="B576" s="92">
        <v>242500186</v>
      </c>
      <c r="C576" s="54">
        <v>45401</v>
      </c>
      <c r="D576" s="93" t="s">
        <v>351</v>
      </c>
      <c r="E576" s="56">
        <v>50000</v>
      </c>
      <c r="F576" s="56">
        <v>0.0072</v>
      </c>
      <c r="G576" s="54">
        <v>45434</v>
      </c>
      <c r="H576" s="58">
        <f t="shared" si="8"/>
        <v>360</v>
      </c>
      <c r="I576" s="56" t="s">
        <v>317</v>
      </c>
      <c r="J576" s="15" t="s">
        <v>325</v>
      </c>
    </row>
    <row r="577" customFormat="1" spans="1:10">
      <c r="A577" t="s">
        <v>319</v>
      </c>
      <c r="B577" s="92">
        <v>242500186</v>
      </c>
      <c r="C577" s="54">
        <v>45401</v>
      </c>
      <c r="D577" s="93" t="s">
        <v>351</v>
      </c>
      <c r="E577" s="56">
        <v>50000</v>
      </c>
      <c r="F577" s="56">
        <v>0.0072</v>
      </c>
      <c r="G577" s="54">
        <v>45495</v>
      </c>
      <c r="H577" s="58">
        <f t="shared" si="8"/>
        <v>360</v>
      </c>
      <c r="I577" s="56" t="s">
        <v>317</v>
      </c>
      <c r="J577" s="15" t="s">
        <v>325</v>
      </c>
    </row>
    <row r="578" customFormat="1" spans="1:10">
      <c r="A578" t="s">
        <v>319</v>
      </c>
      <c r="B578" s="92">
        <v>242500186</v>
      </c>
      <c r="C578" s="54">
        <v>45401</v>
      </c>
      <c r="D578" s="93" t="s">
        <v>351</v>
      </c>
      <c r="E578" s="56">
        <v>50000</v>
      </c>
      <c r="F578" s="56">
        <v>0.0072</v>
      </c>
      <c r="G578" s="54">
        <v>45557</v>
      </c>
      <c r="H578" s="58">
        <f t="shared" ref="H578:H641" si="9">E578*F578</f>
        <v>360</v>
      </c>
      <c r="I578" s="56" t="s">
        <v>317</v>
      </c>
      <c r="J578" s="15" t="s">
        <v>325</v>
      </c>
    </row>
    <row r="579" customFormat="1" spans="1:10">
      <c r="A579" t="s">
        <v>319</v>
      </c>
      <c r="B579" s="92">
        <v>242500186</v>
      </c>
      <c r="C579" s="54">
        <v>45401</v>
      </c>
      <c r="D579" s="93" t="s">
        <v>351</v>
      </c>
      <c r="E579" s="56">
        <v>75000</v>
      </c>
      <c r="F579" s="56">
        <v>0.0072</v>
      </c>
      <c r="G579" s="54">
        <v>45618</v>
      </c>
      <c r="H579" s="58">
        <f t="shared" si="9"/>
        <v>540</v>
      </c>
      <c r="I579" s="56" t="s">
        <v>317</v>
      </c>
      <c r="J579" s="15" t="s">
        <v>325</v>
      </c>
    </row>
    <row r="580" customFormat="1" spans="1:10">
      <c r="A580" t="s">
        <v>319</v>
      </c>
      <c r="B580" s="92">
        <v>242500186</v>
      </c>
      <c r="C580" s="54">
        <v>45401</v>
      </c>
      <c r="D580" s="93" t="s">
        <v>351</v>
      </c>
      <c r="E580" s="56">
        <v>75000</v>
      </c>
      <c r="F580" s="56">
        <v>0.0072</v>
      </c>
      <c r="G580" s="54">
        <v>45648</v>
      </c>
      <c r="H580" s="58">
        <f t="shared" si="9"/>
        <v>540</v>
      </c>
      <c r="I580" s="56" t="s">
        <v>317</v>
      </c>
      <c r="J580" s="15" t="s">
        <v>325</v>
      </c>
    </row>
    <row r="581" customFormat="1" spans="1:10">
      <c r="A581" t="s">
        <v>319</v>
      </c>
      <c r="B581" s="86">
        <v>242500186</v>
      </c>
      <c r="C581" s="9">
        <v>45401</v>
      </c>
      <c r="D581" s="87" t="s">
        <v>352</v>
      </c>
      <c r="E581" s="10">
        <v>100000</v>
      </c>
      <c r="F581" s="10">
        <v>0.0072</v>
      </c>
      <c r="G581" s="9">
        <v>45434</v>
      </c>
      <c r="H581" s="12">
        <f t="shared" si="9"/>
        <v>720</v>
      </c>
      <c r="I581" s="10" t="s">
        <v>10</v>
      </c>
      <c r="J581" s="15" t="s">
        <v>325</v>
      </c>
    </row>
    <row r="582" customFormat="1" spans="1:10">
      <c r="A582" t="s">
        <v>319</v>
      </c>
      <c r="B582" s="86">
        <v>242500186</v>
      </c>
      <c r="C582" s="9">
        <v>45401</v>
      </c>
      <c r="D582" s="87" t="s">
        <v>352</v>
      </c>
      <c r="E582" s="10">
        <v>100000</v>
      </c>
      <c r="F582" s="10">
        <v>0.0072</v>
      </c>
      <c r="G582" s="9">
        <v>45495</v>
      </c>
      <c r="H582" s="12">
        <f t="shared" si="9"/>
        <v>720</v>
      </c>
      <c r="I582" s="10" t="s">
        <v>10</v>
      </c>
      <c r="J582" s="15" t="s">
        <v>325</v>
      </c>
    </row>
    <row r="583" customFormat="1" spans="1:10">
      <c r="A583" t="s">
        <v>319</v>
      </c>
      <c r="B583" s="86">
        <v>242500186</v>
      </c>
      <c r="C583" s="9">
        <v>45401</v>
      </c>
      <c r="D583" s="87" t="s">
        <v>352</v>
      </c>
      <c r="E583" s="10">
        <v>100000</v>
      </c>
      <c r="F583" s="10">
        <v>0.0072</v>
      </c>
      <c r="G583" s="9">
        <v>45557</v>
      </c>
      <c r="H583" s="12">
        <f t="shared" si="9"/>
        <v>720</v>
      </c>
      <c r="I583" s="10" t="s">
        <v>10</v>
      </c>
      <c r="J583" s="15" t="s">
        <v>325</v>
      </c>
    </row>
    <row r="584" customFormat="1" spans="1:10">
      <c r="A584" t="s">
        <v>319</v>
      </c>
      <c r="B584" s="86">
        <v>242500186</v>
      </c>
      <c r="C584" s="9">
        <v>45401</v>
      </c>
      <c r="D584" s="87" t="s">
        <v>352</v>
      </c>
      <c r="E584" s="10">
        <v>150000</v>
      </c>
      <c r="F584" s="10">
        <v>0.0072</v>
      </c>
      <c r="G584" s="9">
        <v>45618</v>
      </c>
      <c r="H584" s="12">
        <f t="shared" si="9"/>
        <v>1080</v>
      </c>
      <c r="I584" s="10" t="s">
        <v>10</v>
      </c>
      <c r="J584" s="15" t="s">
        <v>350</v>
      </c>
    </row>
    <row r="585" customFormat="1" spans="1:10">
      <c r="A585" t="s">
        <v>319</v>
      </c>
      <c r="B585" s="92">
        <v>242500186</v>
      </c>
      <c r="C585" s="54">
        <v>45401</v>
      </c>
      <c r="D585" s="93" t="s">
        <v>352</v>
      </c>
      <c r="E585" s="56">
        <v>150000</v>
      </c>
      <c r="F585" s="56">
        <v>0.0072</v>
      </c>
      <c r="G585" s="54">
        <v>45648</v>
      </c>
      <c r="H585" s="58">
        <f t="shared" si="9"/>
        <v>1080</v>
      </c>
      <c r="I585" s="56" t="s">
        <v>317</v>
      </c>
      <c r="J585" s="15" t="s">
        <v>325</v>
      </c>
    </row>
    <row r="586" customFormat="1" spans="1:10">
      <c r="A586" t="s">
        <v>319</v>
      </c>
      <c r="B586" s="86">
        <v>242500187</v>
      </c>
      <c r="C586" s="9">
        <v>45401</v>
      </c>
      <c r="D586" s="87" t="s">
        <v>353</v>
      </c>
      <c r="E586" s="10">
        <v>50000</v>
      </c>
      <c r="F586" s="10">
        <v>0.007</v>
      </c>
      <c r="G586" s="9">
        <v>45434</v>
      </c>
      <c r="H586" s="12">
        <f t="shared" si="9"/>
        <v>350</v>
      </c>
      <c r="I586" s="10" t="s">
        <v>10</v>
      </c>
      <c r="J586" s="15" t="s">
        <v>325</v>
      </c>
    </row>
    <row r="587" customFormat="1" spans="1:10">
      <c r="A587" t="s">
        <v>319</v>
      </c>
      <c r="B587" s="86">
        <v>242500187</v>
      </c>
      <c r="C587" s="9">
        <v>45401</v>
      </c>
      <c r="D587" s="87" t="s">
        <v>353</v>
      </c>
      <c r="E587" s="10">
        <v>50000</v>
      </c>
      <c r="F587" s="10">
        <v>0.007</v>
      </c>
      <c r="G587" s="9">
        <v>45495</v>
      </c>
      <c r="H587" s="12">
        <f t="shared" si="9"/>
        <v>350</v>
      </c>
      <c r="I587" s="10" t="s">
        <v>10</v>
      </c>
      <c r="J587" s="15" t="s">
        <v>325</v>
      </c>
    </row>
    <row r="588" customFormat="1" spans="1:10">
      <c r="A588" t="s">
        <v>319</v>
      </c>
      <c r="B588" s="86">
        <v>242500187</v>
      </c>
      <c r="C588" s="9">
        <v>45401</v>
      </c>
      <c r="D588" s="87" t="s">
        <v>353</v>
      </c>
      <c r="E588" s="10">
        <v>50000</v>
      </c>
      <c r="F588" s="10">
        <v>0.007</v>
      </c>
      <c r="G588" s="9">
        <v>45557</v>
      </c>
      <c r="H588" s="12">
        <f t="shared" si="9"/>
        <v>350</v>
      </c>
      <c r="I588" s="10" t="s">
        <v>10</v>
      </c>
      <c r="J588" s="15" t="s">
        <v>325</v>
      </c>
    </row>
    <row r="589" customFormat="1" spans="1:10">
      <c r="A589" t="s">
        <v>319</v>
      </c>
      <c r="B589" s="86">
        <v>242500187</v>
      </c>
      <c r="C589" s="9">
        <v>45401</v>
      </c>
      <c r="D589" s="87" t="s">
        <v>353</v>
      </c>
      <c r="E589" s="10">
        <v>75000</v>
      </c>
      <c r="F589" s="10">
        <v>0.007</v>
      </c>
      <c r="G589" s="9">
        <v>45618</v>
      </c>
      <c r="H589" s="12">
        <f t="shared" si="9"/>
        <v>525</v>
      </c>
      <c r="I589" s="10" t="s">
        <v>10</v>
      </c>
      <c r="J589" s="13" t="s">
        <v>354</v>
      </c>
    </row>
    <row r="590" customFormat="1" spans="1:10">
      <c r="A590" t="s">
        <v>319</v>
      </c>
      <c r="B590" s="86">
        <v>242500187</v>
      </c>
      <c r="C590" s="9">
        <v>45401</v>
      </c>
      <c r="D590" s="87" t="s">
        <v>353</v>
      </c>
      <c r="E590" s="10">
        <v>75000</v>
      </c>
      <c r="F590" s="10">
        <v>0.007</v>
      </c>
      <c r="G590" s="9">
        <v>45648</v>
      </c>
      <c r="H590" s="12">
        <f t="shared" si="9"/>
        <v>525</v>
      </c>
      <c r="I590" s="10" t="s">
        <v>10</v>
      </c>
      <c r="J590" s="15" t="s">
        <v>325</v>
      </c>
    </row>
    <row r="591" customFormat="1" spans="1:10">
      <c r="A591" t="s">
        <v>319</v>
      </c>
      <c r="B591" s="86">
        <v>242500187</v>
      </c>
      <c r="C591" s="9">
        <v>45401</v>
      </c>
      <c r="D591" s="87" t="s">
        <v>355</v>
      </c>
      <c r="E591" s="10">
        <v>50000</v>
      </c>
      <c r="F591" s="10">
        <v>0.007</v>
      </c>
      <c r="G591" s="9">
        <v>45434</v>
      </c>
      <c r="H591" s="12">
        <f t="shared" si="9"/>
        <v>350</v>
      </c>
      <c r="I591" s="10" t="s">
        <v>10</v>
      </c>
      <c r="J591" s="15" t="s">
        <v>325</v>
      </c>
    </row>
    <row r="592" customFormat="1" spans="1:10">
      <c r="A592" t="s">
        <v>319</v>
      </c>
      <c r="B592" s="86">
        <v>242500187</v>
      </c>
      <c r="C592" s="9">
        <v>45401</v>
      </c>
      <c r="D592" s="87" t="s">
        <v>355</v>
      </c>
      <c r="E592" s="10">
        <v>50000</v>
      </c>
      <c r="F592" s="10">
        <v>0.007</v>
      </c>
      <c r="G592" s="9">
        <v>45495</v>
      </c>
      <c r="H592" s="12">
        <f t="shared" si="9"/>
        <v>350</v>
      </c>
      <c r="I592" s="10" t="s">
        <v>10</v>
      </c>
      <c r="J592" s="15" t="s">
        <v>325</v>
      </c>
    </row>
    <row r="593" customFormat="1" spans="1:10">
      <c r="A593" t="s">
        <v>319</v>
      </c>
      <c r="B593" s="86">
        <v>242500187</v>
      </c>
      <c r="C593" s="9">
        <v>45401</v>
      </c>
      <c r="D593" s="87" t="s">
        <v>355</v>
      </c>
      <c r="E593" s="10">
        <v>50000</v>
      </c>
      <c r="F593" s="10">
        <v>0.007</v>
      </c>
      <c r="G593" s="9">
        <v>45557</v>
      </c>
      <c r="H593" s="12">
        <f t="shared" si="9"/>
        <v>350</v>
      </c>
      <c r="I593" s="10" t="s">
        <v>10</v>
      </c>
      <c r="J593" s="15" t="s">
        <v>325</v>
      </c>
    </row>
    <row r="594" customFormat="1" spans="1:10">
      <c r="A594" t="s">
        <v>319</v>
      </c>
      <c r="B594" s="86">
        <v>242500187</v>
      </c>
      <c r="C594" s="9">
        <v>45401</v>
      </c>
      <c r="D594" s="87" t="s">
        <v>355</v>
      </c>
      <c r="E594" s="10">
        <v>75000</v>
      </c>
      <c r="F594" s="10">
        <v>0.007</v>
      </c>
      <c r="G594" s="9">
        <v>45618</v>
      </c>
      <c r="H594" s="12">
        <f t="shared" si="9"/>
        <v>525</v>
      </c>
      <c r="I594" s="10" t="s">
        <v>10</v>
      </c>
      <c r="J594" s="13" t="s">
        <v>354</v>
      </c>
    </row>
    <row r="595" customFormat="1" spans="1:10">
      <c r="A595" t="s">
        <v>319</v>
      </c>
      <c r="B595" s="86">
        <v>242500187</v>
      </c>
      <c r="C595" s="9">
        <v>45401</v>
      </c>
      <c r="D595" s="87" t="s">
        <v>355</v>
      </c>
      <c r="E595" s="10">
        <v>75000</v>
      </c>
      <c r="F595" s="10">
        <v>0.007</v>
      </c>
      <c r="G595" s="9">
        <v>45648</v>
      </c>
      <c r="H595" s="12">
        <f t="shared" si="9"/>
        <v>525</v>
      </c>
      <c r="I595" s="10" t="s">
        <v>10</v>
      </c>
      <c r="J595" s="15" t="s">
        <v>325</v>
      </c>
    </row>
    <row r="596" customFormat="1" spans="1:10">
      <c r="A596" t="s">
        <v>319</v>
      </c>
      <c r="B596" s="86">
        <v>242500187</v>
      </c>
      <c r="C596" s="9">
        <v>45401</v>
      </c>
      <c r="D596" s="87" t="s">
        <v>356</v>
      </c>
      <c r="E596" s="10">
        <v>150000</v>
      </c>
      <c r="F596" s="10">
        <v>0.007</v>
      </c>
      <c r="G596" s="9">
        <v>45434</v>
      </c>
      <c r="H596" s="12">
        <f t="shared" si="9"/>
        <v>1050</v>
      </c>
      <c r="I596" s="10" t="s">
        <v>10</v>
      </c>
      <c r="J596" s="15" t="s">
        <v>325</v>
      </c>
    </row>
    <row r="597" customFormat="1" spans="1:10">
      <c r="A597" t="s">
        <v>319</v>
      </c>
      <c r="B597" s="86">
        <v>242500187</v>
      </c>
      <c r="C597" s="9">
        <v>45401</v>
      </c>
      <c r="D597" s="87" t="s">
        <v>356</v>
      </c>
      <c r="E597" s="10">
        <v>150000</v>
      </c>
      <c r="F597" s="10">
        <v>0.007</v>
      </c>
      <c r="G597" s="9">
        <v>45495</v>
      </c>
      <c r="H597" s="12">
        <f t="shared" si="9"/>
        <v>1050</v>
      </c>
      <c r="I597" s="10" t="s">
        <v>10</v>
      </c>
      <c r="J597" s="15" t="s">
        <v>325</v>
      </c>
    </row>
    <row r="598" customFormat="1" spans="1:10">
      <c r="A598" t="s">
        <v>319</v>
      </c>
      <c r="B598" s="86">
        <v>242500187</v>
      </c>
      <c r="C598" s="9">
        <v>45401</v>
      </c>
      <c r="D598" s="87" t="s">
        <v>356</v>
      </c>
      <c r="E598" s="10">
        <v>150000</v>
      </c>
      <c r="F598" s="10">
        <v>0.007</v>
      </c>
      <c r="G598" s="9">
        <v>45557</v>
      </c>
      <c r="H598" s="12">
        <f t="shared" si="9"/>
        <v>1050</v>
      </c>
      <c r="I598" s="10" t="s">
        <v>10</v>
      </c>
      <c r="J598" s="15" t="s">
        <v>325</v>
      </c>
    </row>
    <row r="599" customFormat="1" spans="1:10">
      <c r="A599" t="s">
        <v>319</v>
      </c>
      <c r="B599" s="86">
        <v>242500187</v>
      </c>
      <c r="C599" s="9">
        <v>45401</v>
      </c>
      <c r="D599" s="87" t="s">
        <v>356</v>
      </c>
      <c r="E599" s="10">
        <v>150000</v>
      </c>
      <c r="F599" s="10">
        <v>0.007</v>
      </c>
      <c r="G599" s="9">
        <v>45618</v>
      </c>
      <c r="H599" s="12">
        <f t="shared" si="9"/>
        <v>1050</v>
      </c>
      <c r="I599" s="10" t="s">
        <v>10</v>
      </c>
      <c r="J599" s="13" t="s">
        <v>354</v>
      </c>
    </row>
    <row r="600" customFormat="1" spans="1:10">
      <c r="A600" t="s">
        <v>319</v>
      </c>
      <c r="B600" s="86">
        <v>242500187</v>
      </c>
      <c r="C600" s="9">
        <v>45401</v>
      </c>
      <c r="D600" s="87" t="s">
        <v>356</v>
      </c>
      <c r="E600" s="10">
        <v>150000</v>
      </c>
      <c r="F600" s="10">
        <v>0.007</v>
      </c>
      <c r="G600" s="9">
        <v>45648</v>
      </c>
      <c r="H600" s="12">
        <f t="shared" si="9"/>
        <v>1050</v>
      </c>
      <c r="I600" s="10" t="s">
        <v>10</v>
      </c>
      <c r="J600" s="15" t="s">
        <v>325</v>
      </c>
    </row>
    <row r="601" customFormat="1" spans="1:10">
      <c r="A601" t="s">
        <v>319</v>
      </c>
      <c r="B601" s="86">
        <v>242500187</v>
      </c>
      <c r="C601" s="9">
        <v>45401</v>
      </c>
      <c r="D601" s="87" t="s">
        <v>357</v>
      </c>
      <c r="E601" s="10">
        <v>50000</v>
      </c>
      <c r="F601" s="10">
        <v>0.0072</v>
      </c>
      <c r="G601" s="9">
        <v>45434</v>
      </c>
      <c r="H601" s="12">
        <f t="shared" si="9"/>
        <v>360</v>
      </c>
      <c r="I601" s="10" t="s">
        <v>10</v>
      </c>
      <c r="J601" s="15" t="s">
        <v>325</v>
      </c>
    </row>
    <row r="602" customFormat="1" spans="1:10">
      <c r="A602" t="s">
        <v>319</v>
      </c>
      <c r="B602" s="86">
        <v>242500187</v>
      </c>
      <c r="C602" s="9">
        <v>45401</v>
      </c>
      <c r="D602" s="87" t="s">
        <v>357</v>
      </c>
      <c r="E602" s="10">
        <v>50000</v>
      </c>
      <c r="F602" s="10">
        <v>0.0072</v>
      </c>
      <c r="G602" s="9">
        <v>45495</v>
      </c>
      <c r="H602" s="12">
        <f t="shared" si="9"/>
        <v>360</v>
      </c>
      <c r="I602" s="10" t="s">
        <v>10</v>
      </c>
      <c r="J602" s="15" t="s">
        <v>325</v>
      </c>
    </row>
    <row r="603" customFormat="1" spans="1:10">
      <c r="A603" t="s">
        <v>319</v>
      </c>
      <c r="B603" s="86">
        <v>242500187</v>
      </c>
      <c r="C603" s="9">
        <v>45401</v>
      </c>
      <c r="D603" s="87" t="s">
        <v>357</v>
      </c>
      <c r="E603" s="10">
        <v>50000</v>
      </c>
      <c r="F603" s="10">
        <v>0.0072</v>
      </c>
      <c r="G603" s="9">
        <v>45557</v>
      </c>
      <c r="H603" s="12">
        <f t="shared" si="9"/>
        <v>360</v>
      </c>
      <c r="I603" s="10" t="s">
        <v>10</v>
      </c>
      <c r="J603" s="15" t="s">
        <v>325</v>
      </c>
    </row>
    <row r="604" customFormat="1" spans="1:10">
      <c r="A604" t="s">
        <v>319</v>
      </c>
      <c r="B604" s="86">
        <v>242500187</v>
      </c>
      <c r="C604" s="9">
        <v>45401</v>
      </c>
      <c r="D604" s="87" t="s">
        <v>357</v>
      </c>
      <c r="E604" s="10">
        <v>75000</v>
      </c>
      <c r="F604" s="10">
        <v>0.0072</v>
      </c>
      <c r="G604" s="9">
        <v>45618</v>
      </c>
      <c r="H604" s="12">
        <f t="shared" si="9"/>
        <v>540</v>
      </c>
      <c r="I604" s="10" t="s">
        <v>10</v>
      </c>
      <c r="J604" s="13" t="s">
        <v>354</v>
      </c>
    </row>
    <row r="605" customFormat="1" spans="1:10">
      <c r="A605" t="s">
        <v>319</v>
      </c>
      <c r="B605" s="90">
        <v>242500187</v>
      </c>
      <c r="C605" s="9">
        <v>45401</v>
      </c>
      <c r="D605" s="87" t="s">
        <v>357</v>
      </c>
      <c r="E605" s="10">
        <v>75000</v>
      </c>
      <c r="F605" s="10">
        <v>0.0072</v>
      </c>
      <c r="G605" s="9">
        <v>45648</v>
      </c>
      <c r="H605" s="12">
        <f t="shared" si="9"/>
        <v>540</v>
      </c>
      <c r="I605" s="10" t="s">
        <v>10</v>
      </c>
      <c r="J605" s="15" t="s">
        <v>358</v>
      </c>
    </row>
    <row r="606" customFormat="1" spans="1:10">
      <c r="A606" t="s">
        <v>319</v>
      </c>
      <c r="B606" s="86">
        <v>242500188</v>
      </c>
      <c r="C606" s="9">
        <v>45401</v>
      </c>
      <c r="D606" s="10" t="s">
        <v>359</v>
      </c>
      <c r="E606" s="10">
        <v>150000</v>
      </c>
      <c r="F606" s="10">
        <v>0.0072</v>
      </c>
      <c r="G606" s="9">
        <v>45434</v>
      </c>
      <c r="H606" s="12">
        <f t="shared" si="9"/>
        <v>1080</v>
      </c>
      <c r="I606" s="10" t="s">
        <v>10</v>
      </c>
      <c r="J606" s="15" t="s">
        <v>325</v>
      </c>
    </row>
    <row r="607" customFormat="1" spans="1:10">
      <c r="A607" t="s">
        <v>319</v>
      </c>
      <c r="B607" s="86">
        <v>242500188</v>
      </c>
      <c r="C607" s="9">
        <v>45401</v>
      </c>
      <c r="D607" s="10" t="s">
        <v>359</v>
      </c>
      <c r="E607" s="10">
        <v>150000</v>
      </c>
      <c r="F607" s="10">
        <v>0.0072</v>
      </c>
      <c r="G607" s="9">
        <v>45495</v>
      </c>
      <c r="H607" s="12">
        <f t="shared" si="9"/>
        <v>1080</v>
      </c>
      <c r="I607" s="10" t="s">
        <v>10</v>
      </c>
      <c r="J607" s="15" t="s">
        <v>325</v>
      </c>
    </row>
    <row r="608" customFormat="1" spans="1:10">
      <c r="A608" t="s">
        <v>319</v>
      </c>
      <c r="B608" s="86">
        <v>242500188</v>
      </c>
      <c r="C608" s="9">
        <v>45401</v>
      </c>
      <c r="D608" s="10" t="s">
        <v>359</v>
      </c>
      <c r="E608" s="10">
        <v>150000</v>
      </c>
      <c r="F608" s="10">
        <v>0.0072</v>
      </c>
      <c r="G608" s="9">
        <v>45557</v>
      </c>
      <c r="H608" s="12">
        <f t="shared" si="9"/>
        <v>1080</v>
      </c>
      <c r="I608" s="10" t="s">
        <v>10</v>
      </c>
      <c r="J608" s="15" t="s">
        <v>325</v>
      </c>
    </row>
    <row r="609" customFormat="1" spans="1:10">
      <c r="A609" t="s">
        <v>319</v>
      </c>
      <c r="B609" s="86">
        <v>242500188</v>
      </c>
      <c r="C609" s="9">
        <v>45401</v>
      </c>
      <c r="D609" s="10" t="s">
        <v>359</v>
      </c>
      <c r="E609" s="10">
        <v>150000</v>
      </c>
      <c r="F609" s="10">
        <v>0.0072</v>
      </c>
      <c r="G609" s="9">
        <v>45618</v>
      </c>
      <c r="H609" s="12">
        <f t="shared" si="9"/>
        <v>1080</v>
      </c>
      <c r="I609" s="10" t="s">
        <v>10</v>
      </c>
      <c r="J609" s="15" t="s">
        <v>350</v>
      </c>
    </row>
    <row r="610" customFormat="1" spans="1:10">
      <c r="A610" t="s">
        <v>319</v>
      </c>
      <c r="B610" s="86">
        <v>242500188</v>
      </c>
      <c r="C610" s="9">
        <v>45401</v>
      </c>
      <c r="D610" s="10" t="s">
        <v>359</v>
      </c>
      <c r="E610" s="10">
        <v>150000</v>
      </c>
      <c r="F610" s="10">
        <v>0.0072</v>
      </c>
      <c r="G610" s="9">
        <v>45648</v>
      </c>
      <c r="H610" s="12">
        <f t="shared" si="9"/>
        <v>1080</v>
      </c>
      <c r="I610" s="10" t="s">
        <v>10</v>
      </c>
      <c r="J610" s="15" t="s">
        <v>325</v>
      </c>
    </row>
    <row r="611" customFormat="1" spans="1:10">
      <c r="A611" t="s">
        <v>319</v>
      </c>
      <c r="B611" s="92">
        <v>242500199</v>
      </c>
      <c r="C611" s="54">
        <v>45404</v>
      </c>
      <c r="D611" s="94" t="s">
        <v>220</v>
      </c>
      <c r="E611" s="56">
        <v>120000</v>
      </c>
      <c r="F611" s="56">
        <v>0.0115</v>
      </c>
      <c r="G611" s="54">
        <v>45540</v>
      </c>
      <c r="H611" s="58">
        <f t="shared" si="9"/>
        <v>1380</v>
      </c>
      <c r="I611" s="56" t="s">
        <v>360</v>
      </c>
      <c r="J611" s="15"/>
    </row>
    <row r="612" customFormat="1" spans="1:10">
      <c r="A612" t="s">
        <v>319</v>
      </c>
      <c r="B612" s="92">
        <v>242500199</v>
      </c>
      <c r="C612" s="54">
        <v>45404</v>
      </c>
      <c r="D612" s="94" t="s">
        <v>220</v>
      </c>
      <c r="E612" s="56">
        <v>150000</v>
      </c>
      <c r="F612" s="56">
        <v>0.0115</v>
      </c>
      <c r="G612" s="54">
        <v>45631</v>
      </c>
      <c r="H612" s="58">
        <f t="shared" si="9"/>
        <v>1725</v>
      </c>
      <c r="I612" s="56" t="s">
        <v>360</v>
      </c>
      <c r="J612" s="15"/>
    </row>
    <row r="613" customFormat="1" spans="1:10">
      <c r="A613" t="s">
        <v>319</v>
      </c>
      <c r="B613" s="86">
        <v>242500199</v>
      </c>
      <c r="C613" s="9">
        <v>45404</v>
      </c>
      <c r="D613" s="10" t="s">
        <v>246</v>
      </c>
      <c r="E613" s="10">
        <v>30000</v>
      </c>
      <c r="F613" s="10">
        <v>0.07</v>
      </c>
      <c r="G613" s="9">
        <v>45478</v>
      </c>
      <c r="H613" s="12">
        <f t="shared" si="9"/>
        <v>2100</v>
      </c>
      <c r="I613" s="10" t="s">
        <v>10</v>
      </c>
      <c r="J613" s="13">
        <v>45454</v>
      </c>
    </row>
    <row r="614" customFormat="1" spans="1:10">
      <c r="A614" t="s">
        <v>319</v>
      </c>
      <c r="B614" s="86">
        <v>242500199</v>
      </c>
      <c r="C614" s="9">
        <v>45404</v>
      </c>
      <c r="D614" s="10" t="s">
        <v>246</v>
      </c>
      <c r="E614" s="10">
        <v>20000</v>
      </c>
      <c r="F614" s="10">
        <v>0.07</v>
      </c>
      <c r="G614" s="9">
        <v>45478</v>
      </c>
      <c r="H614" s="12">
        <f t="shared" si="9"/>
        <v>1400</v>
      </c>
      <c r="I614" s="10" t="s">
        <v>10</v>
      </c>
      <c r="J614" s="13">
        <v>45454</v>
      </c>
    </row>
    <row r="615" customFormat="1" spans="1:10">
      <c r="A615" t="s">
        <v>319</v>
      </c>
      <c r="B615" s="86">
        <v>242500199</v>
      </c>
      <c r="C615" s="9">
        <v>45404</v>
      </c>
      <c r="D615" s="87" t="s">
        <v>210</v>
      </c>
      <c r="E615" s="10">
        <v>200000</v>
      </c>
      <c r="F615" s="10">
        <v>0.024</v>
      </c>
      <c r="G615" s="9">
        <v>45478</v>
      </c>
      <c r="H615" s="12">
        <f t="shared" si="9"/>
        <v>4800</v>
      </c>
      <c r="I615" s="10" t="s">
        <v>10</v>
      </c>
      <c r="J615" s="13">
        <v>45454</v>
      </c>
    </row>
    <row r="616" customFormat="1" spans="1:10">
      <c r="A616" t="s">
        <v>319</v>
      </c>
      <c r="B616" s="86">
        <v>242500199</v>
      </c>
      <c r="C616" s="9">
        <v>45404</v>
      </c>
      <c r="D616" s="87" t="s">
        <v>210</v>
      </c>
      <c r="E616" s="10">
        <v>200000</v>
      </c>
      <c r="F616" s="10">
        <v>0.024</v>
      </c>
      <c r="G616" s="9">
        <v>45509</v>
      </c>
      <c r="H616" s="12">
        <f t="shared" si="9"/>
        <v>4800</v>
      </c>
      <c r="I616" s="10" t="s">
        <v>10</v>
      </c>
      <c r="J616" s="13">
        <v>45454</v>
      </c>
    </row>
    <row r="617" customFormat="1" spans="1:10">
      <c r="A617" t="s">
        <v>319</v>
      </c>
      <c r="B617" s="86">
        <v>242500199</v>
      </c>
      <c r="C617" s="9">
        <v>45404</v>
      </c>
      <c r="D617" s="87" t="s">
        <v>248</v>
      </c>
      <c r="E617" s="10">
        <v>150000</v>
      </c>
      <c r="F617" s="10">
        <v>0.065</v>
      </c>
      <c r="G617" s="9">
        <v>45478</v>
      </c>
      <c r="H617" s="12">
        <f t="shared" si="9"/>
        <v>9750</v>
      </c>
      <c r="I617" s="10" t="s">
        <v>10</v>
      </c>
      <c r="J617" s="13">
        <v>45454</v>
      </c>
    </row>
    <row r="618" customFormat="1" spans="1:10">
      <c r="A618" t="s">
        <v>319</v>
      </c>
      <c r="B618" s="86">
        <v>242500199</v>
      </c>
      <c r="C618" s="9">
        <v>45404</v>
      </c>
      <c r="D618" s="87" t="s">
        <v>248</v>
      </c>
      <c r="E618" s="10">
        <v>150000</v>
      </c>
      <c r="F618" s="10">
        <v>0.065</v>
      </c>
      <c r="G618" s="9">
        <v>45509</v>
      </c>
      <c r="H618" s="12">
        <f t="shared" si="9"/>
        <v>9750</v>
      </c>
      <c r="I618" s="10" t="s">
        <v>10</v>
      </c>
      <c r="J618" s="13">
        <v>45454</v>
      </c>
    </row>
    <row r="619" customFormat="1" spans="1:10">
      <c r="A619" t="s">
        <v>319</v>
      </c>
      <c r="B619" s="86">
        <v>242500200</v>
      </c>
      <c r="C619" s="9">
        <v>45404</v>
      </c>
      <c r="D619" s="10" t="s">
        <v>226</v>
      </c>
      <c r="E619" s="10">
        <v>300000</v>
      </c>
      <c r="F619" s="10">
        <v>0.08</v>
      </c>
      <c r="G619" s="9">
        <v>45509</v>
      </c>
      <c r="H619" s="12">
        <f t="shared" si="9"/>
        <v>24000</v>
      </c>
      <c r="I619" s="10" t="s">
        <v>10</v>
      </c>
      <c r="J619" s="13">
        <v>45411</v>
      </c>
    </row>
    <row r="620" customFormat="1" spans="1:10">
      <c r="A620" t="s">
        <v>319</v>
      </c>
      <c r="B620" s="86">
        <v>242500200</v>
      </c>
      <c r="C620" s="9">
        <v>45404</v>
      </c>
      <c r="D620" s="87" t="s">
        <v>222</v>
      </c>
      <c r="E620" s="10">
        <v>30000</v>
      </c>
      <c r="F620" s="10">
        <v>0.285</v>
      </c>
      <c r="G620" s="9">
        <v>45448</v>
      </c>
      <c r="H620" s="12">
        <f t="shared" si="9"/>
        <v>8550</v>
      </c>
      <c r="I620" s="10" t="s">
        <v>10</v>
      </c>
      <c r="J620" s="13">
        <v>45406</v>
      </c>
    </row>
    <row r="621" customFormat="1" spans="1:10">
      <c r="A621" t="s">
        <v>319</v>
      </c>
      <c r="B621" s="86">
        <v>242500200</v>
      </c>
      <c r="C621" s="9">
        <v>45404</v>
      </c>
      <c r="D621" s="87" t="s">
        <v>222</v>
      </c>
      <c r="E621" s="10">
        <v>30000</v>
      </c>
      <c r="F621" s="10">
        <v>0.285</v>
      </c>
      <c r="G621" s="9">
        <v>45478</v>
      </c>
      <c r="H621" s="12">
        <f t="shared" si="9"/>
        <v>8550</v>
      </c>
      <c r="I621" s="10" t="s">
        <v>10</v>
      </c>
      <c r="J621" s="13">
        <v>45406</v>
      </c>
    </row>
    <row r="622" customFormat="1" spans="1:10">
      <c r="A622" t="s">
        <v>319</v>
      </c>
      <c r="B622" s="86">
        <v>242500200</v>
      </c>
      <c r="C622" s="9">
        <v>45404</v>
      </c>
      <c r="D622" s="87" t="s">
        <v>222</v>
      </c>
      <c r="E622" s="10">
        <v>30000</v>
      </c>
      <c r="F622" s="10">
        <v>0.285</v>
      </c>
      <c r="G622" s="9">
        <v>45540</v>
      </c>
      <c r="H622" s="12">
        <f t="shared" si="9"/>
        <v>8550</v>
      </c>
      <c r="I622" s="10" t="s">
        <v>10</v>
      </c>
      <c r="J622" s="13">
        <v>45411</v>
      </c>
    </row>
    <row r="623" customFormat="1" spans="1:10">
      <c r="A623" t="s">
        <v>319</v>
      </c>
      <c r="B623" s="86">
        <v>242500201</v>
      </c>
      <c r="C623" s="9">
        <v>45404</v>
      </c>
      <c r="D623" s="10" t="s">
        <v>226</v>
      </c>
      <c r="E623" s="10">
        <v>300000</v>
      </c>
      <c r="F623" s="10">
        <v>0.08</v>
      </c>
      <c r="G623" s="9">
        <v>45448</v>
      </c>
      <c r="H623" s="12">
        <f t="shared" si="9"/>
        <v>24000</v>
      </c>
      <c r="I623" s="10" t="s">
        <v>10</v>
      </c>
      <c r="J623" s="13">
        <v>45415</v>
      </c>
    </row>
    <row r="624" customFormat="1" spans="1:10">
      <c r="A624" t="s">
        <v>319</v>
      </c>
      <c r="B624" s="86">
        <v>242500201</v>
      </c>
      <c r="C624" s="9">
        <v>45404</v>
      </c>
      <c r="D624" s="10" t="s">
        <v>226</v>
      </c>
      <c r="E624" s="10">
        <v>300000</v>
      </c>
      <c r="F624" s="10">
        <v>0.08</v>
      </c>
      <c r="G624" s="9">
        <v>45478</v>
      </c>
      <c r="H624" s="12">
        <f t="shared" si="9"/>
        <v>24000</v>
      </c>
      <c r="I624" s="10" t="s">
        <v>10</v>
      </c>
      <c r="J624" s="13">
        <v>45415</v>
      </c>
    </row>
    <row r="625" customFormat="1" spans="1:14">
      <c r="A625" t="s">
        <v>319</v>
      </c>
      <c r="B625" s="86">
        <v>242500202</v>
      </c>
      <c r="C625" s="9">
        <v>45401</v>
      </c>
      <c r="D625" s="10" t="s">
        <v>226</v>
      </c>
      <c r="E625" s="10">
        <v>50000</v>
      </c>
      <c r="F625" s="10">
        <v>0.08</v>
      </c>
      <c r="G625" s="9">
        <v>45417</v>
      </c>
      <c r="H625" s="12">
        <f t="shared" si="9"/>
        <v>4000</v>
      </c>
      <c r="I625" s="10" t="s">
        <v>10</v>
      </c>
      <c r="J625" s="13">
        <v>45415</v>
      </c>
    </row>
    <row r="626" customFormat="1" spans="1:14">
      <c r="A626" t="s">
        <v>319</v>
      </c>
      <c r="B626" s="86">
        <v>242500202</v>
      </c>
      <c r="C626" s="9">
        <v>45401</v>
      </c>
      <c r="D626" s="10" t="s">
        <v>226</v>
      </c>
      <c r="E626" s="10">
        <v>50000</v>
      </c>
      <c r="F626" s="10">
        <v>0.08</v>
      </c>
      <c r="G626" s="9">
        <v>45434</v>
      </c>
      <c r="H626" s="12">
        <f t="shared" si="9"/>
        <v>4000</v>
      </c>
      <c r="I626" s="10" t="s">
        <v>10</v>
      </c>
      <c r="J626" s="13">
        <v>45415</v>
      </c>
    </row>
    <row r="627" customFormat="1" spans="1:14">
      <c r="A627" t="s">
        <v>319</v>
      </c>
      <c r="B627" s="86">
        <v>242500202</v>
      </c>
      <c r="C627" s="9">
        <v>45401</v>
      </c>
      <c r="D627" s="10" t="s">
        <v>226</v>
      </c>
      <c r="E627" s="10">
        <v>50000</v>
      </c>
      <c r="F627" s="10">
        <v>0.08</v>
      </c>
      <c r="G627" s="9">
        <v>45465</v>
      </c>
      <c r="H627" s="12">
        <f t="shared" si="9"/>
        <v>4000</v>
      </c>
      <c r="I627" s="10" t="s">
        <v>10</v>
      </c>
      <c r="J627" s="13">
        <v>45415</v>
      </c>
    </row>
    <row r="628" customFormat="1" spans="1:14">
      <c r="A628" t="s">
        <v>319</v>
      </c>
      <c r="B628" s="86">
        <v>242500202</v>
      </c>
      <c r="C628" s="9">
        <v>45401</v>
      </c>
      <c r="D628" s="87" t="s">
        <v>237</v>
      </c>
      <c r="E628" s="10">
        <v>20000</v>
      </c>
      <c r="F628" s="10">
        <v>0.18</v>
      </c>
      <c r="G628" s="9">
        <v>45417</v>
      </c>
      <c r="H628" s="12">
        <f t="shared" si="9"/>
        <v>3600</v>
      </c>
      <c r="I628" s="10" t="s">
        <v>10</v>
      </c>
      <c r="J628" s="13">
        <v>45415</v>
      </c>
    </row>
    <row r="629" customFormat="1" spans="1:14">
      <c r="A629" t="s">
        <v>319</v>
      </c>
      <c r="B629" s="86">
        <v>242500202</v>
      </c>
      <c r="C629" s="9">
        <v>45401</v>
      </c>
      <c r="D629" s="88" t="s">
        <v>105</v>
      </c>
      <c r="E629" s="10">
        <v>20000</v>
      </c>
      <c r="F629" s="10">
        <v>0.18</v>
      </c>
      <c r="G629" s="9">
        <v>45448</v>
      </c>
      <c r="H629" s="12">
        <f t="shared" si="9"/>
        <v>3600</v>
      </c>
      <c r="I629" s="10" t="s">
        <v>10</v>
      </c>
      <c r="J629" s="13">
        <v>45415</v>
      </c>
    </row>
    <row r="630" customFormat="1" spans="1:14">
      <c r="A630" t="s">
        <v>319</v>
      </c>
      <c r="B630" s="86">
        <v>242500202</v>
      </c>
      <c r="C630" s="9">
        <v>45401</v>
      </c>
      <c r="D630" s="87" t="s">
        <v>227</v>
      </c>
      <c r="E630" s="10">
        <v>20000</v>
      </c>
      <c r="F630" s="10">
        <v>0.5</v>
      </c>
      <c r="G630" s="9">
        <v>45434</v>
      </c>
      <c r="H630" s="12">
        <f t="shared" si="9"/>
        <v>10000</v>
      </c>
      <c r="I630" s="10" t="s">
        <v>10</v>
      </c>
      <c r="J630" s="13">
        <v>45415</v>
      </c>
    </row>
    <row r="631" customFormat="1" spans="1:14">
      <c r="A631" t="s">
        <v>319</v>
      </c>
      <c r="B631" s="86">
        <v>242500202</v>
      </c>
      <c r="C631" s="9">
        <v>45401</v>
      </c>
      <c r="D631" s="87" t="s">
        <v>323</v>
      </c>
      <c r="E631" s="10">
        <v>50000</v>
      </c>
      <c r="F631" s="10">
        <v>0.1</v>
      </c>
      <c r="G631" s="9">
        <v>45434</v>
      </c>
      <c r="H631" s="12">
        <f t="shared" si="9"/>
        <v>5000</v>
      </c>
      <c r="I631" s="10" t="s">
        <v>10</v>
      </c>
      <c r="J631" s="13">
        <v>45415</v>
      </c>
    </row>
    <row r="632" customFormat="1" spans="1:14">
      <c r="A632" t="s">
        <v>319</v>
      </c>
      <c r="B632" s="86">
        <v>242500202</v>
      </c>
      <c r="C632" s="9">
        <v>45401</v>
      </c>
      <c r="D632" s="87" t="s">
        <v>216</v>
      </c>
      <c r="E632" s="10">
        <v>30000</v>
      </c>
      <c r="F632" s="10">
        <v>0.045</v>
      </c>
      <c r="G632" s="9">
        <v>45465</v>
      </c>
      <c r="H632" s="12">
        <f t="shared" si="9"/>
        <v>1350</v>
      </c>
      <c r="I632" s="10" t="s">
        <v>10</v>
      </c>
      <c r="J632" s="13">
        <v>45415</v>
      </c>
    </row>
    <row r="633" customFormat="1" spans="1:14">
      <c r="A633" t="s">
        <v>319</v>
      </c>
      <c r="B633" s="86">
        <v>242500202</v>
      </c>
      <c r="C633" s="9">
        <v>45401</v>
      </c>
      <c r="D633" s="87" t="s">
        <v>243</v>
      </c>
      <c r="E633" s="10">
        <v>32000</v>
      </c>
      <c r="F633" s="10">
        <v>0.022</v>
      </c>
      <c r="G633" s="9">
        <v>45465</v>
      </c>
      <c r="H633" s="12">
        <f t="shared" si="9"/>
        <v>704</v>
      </c>
      <c r="I633" s="10" t="s">
        <v>10</v>
      </c>
      <c r="J633" s="13">
        <v>45415</v>
      </c>
    </row>
    <row r="634" customFormat="1" spans="1:14">
      <c r="A634" t="s">
        <v>319</v>
      </c>
      <c r="B634" s="86">
        <v>242500202</v>
      </c>
      <c r="C634" s="9">
        <v>45401</v>
      </c>
      <c r="D634" s="87" t="s">
        <v>248</v>
      </c>
      <c r="E634" s="10">
        <v>50000</v>
      </c>
      <c r="F634" s="10">
        <v>0.065</v>
      </c>
      <c r="G634" s="9">
        <v>45434</v>
      </c>
      <c r="H634" s="12">
        <f t="shared" si="9"/>
        <v>3250</v>
      </c>
      <c r="I634" s="10" t="s">
        <v>10</v>
      </c>
      <c r="J634" s="13">
        <v>45415</v>
      </c>
    </row>
    <row r="635" customFormat="1" spans="1:14">
      <c r="A635" t="s">
        <v>319</v>
      </c>
      <c r="B635" s="86">
        <v>242500205</v>
      </c>
      <c r="C635" s="9">
        <v>45404</v>
      </c>
      <c r="D635" s="87" t="s">
        <v>215</v>
      </c>
      <c r="E635" s="10">
        <v>30000</v>
      </c>
      <c r="F635" s="10">
        <v>0.028</v>
      </c>
      <c r="G635" s="9">
        <v>45434</v>
      </c>
      <c r="H635" s="12">
        <f t="shared" si="9"/>
        <v>840</v>
      </c>
      <c r="I635" s="10" t="s">
        <v>10</v>
      </c>
      <c r="J635" s="13">
        <v>45462</v>
      </c>
      <c r="M635" s="95"/>
      <c r="N635" s="95"/>
    </row>
    <row r="636" customFormat="1" spans="1:14">
      <c r="A636" t="s">
        <v>319</v>
      </c>
      <c r="B636" s="86">
        <v>242500205</v>
      </c>
      <c r="C636" s="9">
        <v>45404</v>
      </c>
      <c r="D636" s="87" t="s">
        <v>215</v>
      </c>
      <c r="E636" s="10">
        <v>30000</v>
      </c>
      <c r="F636" s="10">
        <v>0.028</v>
      </c>
      <c r="G636" s="9">
        <v>45465</v>
      </c>
      <c r="H636" s="12">
        <f t="shared" si="9"/>
        <v>840</v>
      </c>
      <c r="I636" s="10" t="s">
        <v>10</v>
      </c>
      <c r="J636" s="13">
        <v>45462</v>
      </c>
      <c r="M636" s="83"/>
      <c r="N636" s="83"/>
    </row>
    <row r="637" customFormat="1" spans="1:14">
      <c r="A637" t="s">
        <v>319</v>
      </c>
      <c r="B637" s="86">
        <v>242500227</v>
      </c>
      <c r="C637" s="9">
        <v>45406</v>
      </c>
      <c r="D637" s="87" t="s">
        <v>228</v>
      </c>
      <c r="E637" s="10">
        <v>20000</v>
      </c>
      <c r="F637" s="10">
        <v>0.22</v>
      </c>
      <c r="G637" s="9">
        <v>45404</v>
      </c>
      <c r="H637" s="12">
        <f t="shared" si="9"/>
        <v>4400</v>
      </c>
      <c r="I637" s="10" t="s">
        <v>10</v>
      </c>
      <c r="J637" s="13">
        <v>45408</v>
      </c>
      <c r="M637" s="96" t="s">
        <v>82</v>
      </c>
    </row>
    <row r="638" customFormat="1" spans="1:14">
      <c r="A638" t="s">
        <v>319</v>
      </c>
      <c r="B638" s="90">
        <v>242500236</v>
      </c>
      <c r="C638" s="9">
        <v>45406</v>
      </c>
      <c r="D638" s="87" t="s">
        <v>297</v>
      </c>
      <c r="E638" s="10">
        <v>1146000</v>
      </c>
      <c r="F638" s="10">
        <v>0.15</v>
      </c>
      <c r="G638" s="9">
        <v>45407</v>
      </c>
      <c r="H638" s="12">
        <f t="shared" si="9"/>
        <v>171900</v>
      </c>
      <c r="I638" s="10" t="s">
        <v>10</v>
      </c>
      <c r="J638" s="13">
        <v>45530</v>
      </c>
      <c r="M638" s="83" t="s">
        <v>82</v>
      </c>
      <c r="N638" s="83" t="s">
        <v>361</v>
      </c>
    </row>
    <row r="639" customFormat="1" spans="1:14">
      <c r="A639" t="s">
        <v>319</v>
      </c>
      <c r="B639" s="86">
        <v>242500242</v>
      </c>
      <c r="C639" s="9">
        <v>45406</v>
      </c>
      <c r="D639" s="10" t="s">
        <v>182</v>
      </c>
      <c r="E639" s="10">
        <v>148000</v>
      </c>
      <c r="F639" s="10">
        <v>0.025</v>
      </c>
      <c r="G639" s="9">
        <v>45418</v>
      </c>
      <c r="H639" s="12">
        <f t="shared" si="9"/>
        <v>3700</v>
      </c>
      <c r="I639" s="10" t="s">
        <v>10</v>
      </c>
      <c r="J639" s="13">
        <v>45425</v>
      </c>
      <c r="M639" s="26"/>
      <c r="N639" s="26"/>
    </row>
    <row r="640" customFormat="1" spans="1:14">
      <c r="A640" t="s">
        <v>319</v>
      </c>
      <c r="B640" s="86">
        <v>242500242</v>
      </c>
      <c r="C640" s="9">
        <v>45406</v>
      </c>
      <c r="D640" s="10" t="s">
        <v>182</v>
      </c>
      <c r="E640" s="10">
        <v>100000</v>
      </c>
      <c r="F640" s="10">
        <v>0.025</v>
      </c>
      <c r="G640" s="9">
        <v>45434</v>
      </c>
      <c r="H640" s="12">
        <f t="shared" si="9"/>
        <v>2500</v>
      </c>
      <c r="I640" s="10" t="s">
        <v>10</v>
      </c>
      <c r="J640" s="13">
        <v>45425</v>
      </c>
    </row>
    <row r="641" customFormat="1" spans="1:10">
      <c r="A641" t="s">
        <v>319</v>
      </c>
      <c r="B641" s="86">
        <v>242500242</v>
      </c>
      <c r="C641" s="9">
        <v>45406</v>
      </c>
      <c r="D641" s="10" t="s">
        <v>182</v>
      </c>
      <c r="E641" s="10">
        <v>100000</v>
      </c>
      <c r="F641" s="10">
        <v>0.025</v>
      </c>
      <c r="G641" s="9">
        <v>45464</v>
      </c>
      <c r="H641" s="12">
        <f t="shared" si="9"/>
        <v>2500</v>
      </c>
      <c r="I641" s="10" t="s">
        <v>10</v>
      </c>
      <c r="J641" s="13">
        <v>45425</v>
      </c>
    </row>
    <row r="642" customFormat="1" spans="1:10">
      <c r="A642" t="s">
        <v>319</v>
      </c>
      <c r="B642" s="86">
        <v>242500242</v>
      </c>
      <c r="C642" s="9">
        <v>45406</v>
      </c>
      <c r="D642" s="10" t="s">
        <v>182</v>
      </c>
      <c r="E642" s="10">
        <v>100000</v>
      </c>
      <c r="F642" s="10">
        <v>0.025</v>
      </c>
      <c r="G642" s="9">
        <v>45495</v>
      </c>
      <c r="H642" s="12">
        <f t="shared" ref="H642:H705" si="10">E642*F642</f>
        <v>2500</v>
      </c>
      <c r="I642" s="10" t="s">
        <v>10</v>
      </c>
      <c r="J642" s="13">
        <v>45425</v>
      </c>
    </row>
    <row r="643" customFormat="1" spans="1:10">
      <c r="A643" t="s">
        <v>319</v>
      </c>
      <c r="B643" s="86">
        <v>242500242</v>
      </c>
      <c r="C643" s="9">
        <v>45406</v>
      </c>
      <c r="D643" s="10" t="s">
        <v>182</v>
      </c>
      <c r="E643" s="10">
        <v>100000</v>
      </c>
      <c r="F643" s="10">
        <v>0.025</v>
      </c>
      <c r="G643" s="9">
        <v>45526</v>
      </c>
      <c r="H643" s="12">
        <f t="shared" si="10"/>
        <v>2500</v>
      </c>
      <c r="I643" s="10" t="s">
        <v>10</v>
      </c>
      <c r="J643" s="13">
        <v>45425</v>
      </c>
    </row>
    <row r="644" customFormat="1" spans="1:10">
      <c r="A644" t="s">
        <v>319</v>
      </c>
      <c r="B644" s="86">
        <v>242500244</v>
      </c>
      <c r="C644" s="9">
        <v>45407</v>
      </c>
      <c r="D644" s="87" t="s">
        <v>305</v>
      </c>
      <c r="E644" s="10">
        <v>20000</v>
      </c>
      <c r="F644" s="10">
        <v>0.06</v>
      </c>
      <c r="G644" s="9">
        <v>45408</v>
      </c>
      <c r="H644" s="12">
        <f t="shared" si="10"/>
        <v>1200</v>
      </c>
      <c r="I644" s="10" t="s">
        <v>10</v>
      </c>
      <c r="J644" s="13">
        <v>45408</v>
      </c>
    </row>
    <row r="645" customFormat="1" spans="1:10">
      <c r="A645" t="s">
        <v>319</v>
      </c>
      <c r="B645" s="86">
        <v>242500246</v>
      </c>
      <c r="C645" s="9">
        <v>45407</v>
      </c>
      <c r="D645" s="10" t="s">
        <v>82</v>
      </c>
      <c r="E645" s="10">
        <v>230000</v>
      </c>
      <c r="F645" s="10">
        <v>0.022</v>
      </c>
      <c r="G645" s="9">
        <v>45465</v>
      </c>
      <c r="H645" s="12">
        <f t="shared" si="10"/>
        <v>5060</v>
      </c>
      <c r="I645" s="10" t="s">
        <v>10</v>
      </c>
      <c r="J645" s="13">
        <v>45468</v>
      </c>
    </row>
    <row r="646" customFormat="1" spans="1:10">
      <c r="A646" t="s">
        <v>319</v>
      </c>
      <c r="B646" s="86">
        <v>242500246</v>
      </c>
      <c r="C646" s="9">
        <v>45407</v>
      </c>
      <c r="D646" s="10" t="s">
        <v>82</v>
      </c>
      <c r="E646" s="10">
        <v>230000</v>
      </c>
      <c r="F646" s="10">
        <v>0.022</v>
      </c>
      <c r="G646" s="9">
        <v>45495</v>
      </c>
      <c r="H646" s="12">
        <f t="shared" si="10"/>
        <v>5060</v>
      </c>
      <c r="I646" s="10" t="s">
        <v>10</v>
      </c>
      <c r="J646" s="13">
        <v>45468</v>
      </c>
    </row>
    <row r="647" customFormat="1" spans="1:10">
      <c r="A647" t="s">
        <v>319</v>
      </c>
      <c r="B647" s="86">
        <v>242500246</v>
      </c>
      <c r="C647" s="9">
        <v>45407</v>
      </c>
      <c r="D647" s="10" t="s">
        <v>336</v>
      </c>
      <c r="E647" s="10">
        <v>60000</v>
      </c>
      <c r="F647" s="10">
        <v>0.023</v>
      </c>
      <c r="G647" s="9">
        <v>45465</v>
      </c>
      <c r="H647" s="12">
        <f t="shared" si="10"/>
        <v>1380</v>
      </c>
      <c r="I647" s="10" t="s">
        <v>10</v>
      </c>
      <c r="J647" s="13">
        <v>45468</v>
      </c>
    </row>
    <row r="648" customFormat="1" spans="1:10">
      <c r="A648" t="s">
        <v>319</v>
      </c>
      <c r="B648" s="86">
        <v>242500246</v>
      </c>
      <c r="C648" s="9">
        <v>45407</v>
      </c>
      <c r="D648" s="10" t="s">
        <v>336</v>
      </c>
      <c r="E648" s="10">
        <v>60000</v>
      </c>
      <c r="F648" s="10">
        <v>0.023</v>
      </c>
      <c r="G648" s="9">
        <v>45495</v>
      </c>
      <c r="H648" s="12">
        <f t="shared" si="10"/>
        <v>1380</v>
      </c>
      <c r="I648" s="10" t="s">
        <v>10</v>
      </c>
      <c r="J648" s="13">
        <v>45468</v>
      </c>
    </row>
    <row r="649" customFormat="1" spans="1:10">
      <c r="A649" t="s">
        <v>319</v>
      </c>
      <c r="B649" s="86">
        <v>242500247</v>
      </c>
      <c r="C649" s="9">
        <v>45407</v>
      </c>
      <c r="D649" s="87" t="s">
        <v>239</v>
      </c>
      <c r="E649" s="10">
        <v>90000</v>
      </c>
      <c r="F649" s="10">
        <v>0.0278</v>
      </c>
      <c r="G649" s="9">
        <v>45434</v>
      </c>
      <c r="H649" s="12">
        <f t="shared" si="10"/>
        <v>2502</v>
      </c>
      <c r="I649" s="10" t="s">
        <v>10</v>
      </c>
      <c r="J649" s="13">
        <v>45435</v>
      </c>
    </row>
    <row r="650" customFormat="1" spans="1:10">
      <c r="A650" t="s">
        <v>319</v>
      </c>
      <c r="B650" s="86">
        <v>242500247</v>
      </c>
      <c r="C650" s="9">
        <v>45407</v>
      </c>
      <c r="D650" s="87" t="s">
        <v>239</v>
      </c>
      <c r="E650" s="10">
        <v>180000</v>
      </c>
      <c r="F650" s="10">
        <v>0.0278</v>
      </c>
      <c r="G650" s="9">
        <v>45465</v>
      </c>
      <c r="H650" s="12">
        <f t="shared" si="10"/>
        <v>5004</v>
      </c>
      <c r="I650" s="10" t="s">
        <v>10</v>
      </c>
      <c r="J650" s="13">
        <v>45435</v>
      </c>
    </row>
    <row r="651" customFormat="1" spans="1:10">
      <c r="A651" t="s">
        <v>319</v>
      </c>
      <c r="B651" s="86">
        <v>242500247</v>
      </c>
      <c r="C651" s="9">
        <v>45407</v>
      </c>
      <c r="D651" s="87" t="s">
        <v>239</v>
      </c>
      <c r="E651" s="10">
        <v>180000</v>
      </c>
      <c r="F651" s="10">
        <v>0.0278</v>
      </c>
      <c r="G651" s="9">
        <v>45495</v>
      </c>
      <c r="H651" s="12">
        <f t="shared" si="10"/>
        <v>5004</v>
      </c>
      <c r="I651" s="10" t="s">
        <v>10</v>
      </c>
      <c r="J651" s="13">
        <v>45435</v>
      </c>
    </row>
    <row r="652" customFormat="1" spans="1:10">
      <c r="A652" t="s">
        <v>319</v>
      </c>
      <c r="B652" s="86">
        <v>242500247</v>
      </c>
      <c r="C652" s="9">
        <v>45407</v>
      </c>
      <c r="D652" s="87" t="s">
        <v>239</v>
      </c>
      <c r="E652" s="10">
        <v>180000</v>
      </c>
      <c r="F652" s="10">
        <v>0.0278</v>
      </c>
      <c r="G652" s="9">
        <v>45526</v>
      </c>
      <c r="H652" s="12">
        <f t="shared" si="10"/>
        <v>5004</v>
      </c>
      <c r="I652" s="10" t="s">
        <v>10</v>
      </c>
      <c r="J652" s="13">
        <v>45435</v>
      </c>
    </row>
    <row r="653" customFormat="1" spans="1:10">
      <c r="A653" t="s">
        <v>319</v>
      </c>
      <c r="B653" s="86">
        <v>242500247</v>
      </c>
      <c r="C653" s="9">
        <v>45407</v>
      </c>
      <c r="D653" s="87" t="s">
        <v>238</v>
      </c>
      <c r="E653" s="10">
        <v>100000</v>
      </c>
      <c r="F653" s="10">
        <v>0.0325</v>
      </c>
      <c r="G653" s="9">
        <v>45434</v>
      </c>
      <c r="H653" s="12">
        <f t="shared" si="10"/>
        <v>3250</v>
      </c>
      <c r="I653" s="10" t="s">
        <v>10</v>
      </c>
      <c r="J653" s="13">
        <v>45435</v>
      </c>
    </row>
    <row r="654" customFormat="1" spans="1:10">
      <c r="A654" t="s">
        <v>319</v>
      </c>
      <c r="B654" s="86">
        <v>242500247</v>
      </c>
      <c r="C654" s="9">
        <v>45407</v>
      </c>
      <c r="D654" s="87" t="s">
        <v>238</v>
      </c>
      <c r="E654" s="10">
        <v>200000</v>
      </c>
      <c r="F654" s="10">
        <v>0.0325</v>
      </c>
      <c r="G654" s="9">
        <v>45465</v>
      </c>
      <c r="H654" s="12">
        <f t="shared" si="10"/>
        <v>6500</v>
      </c>
      <c r="I654" s="10" t="s">
        <v>10</v>
      </c>
      <c r="J654" s="13">
        <v>45435</v>
      </c>
    </row>
    <row r="655" customFormat="1" spans="1:10">
      <c r="A655" t="s">
        <v>319</v>
      </c>
      <c r="B655" s="86">
        <v>242500247</v>
      </c>
      <c r="C655" s="9">
        <v>45407</v>
      </c>
      <c r="D655" s="87" t="s">
        <v>238</v>
      </c>
      <c r="E655" s="10">
        <v>200000</v>
      </c>
      <c r="F655" s="10">
        <v>0.0325</v>
      </c>
      <c r="G655" s="9">
        <v>45465</v>
      </c>
      <c r="H655" s="12">
        <f t="shared" si="10"/>
        <v>6500</v>
      </c>
      <c r="I655" s="10" t="s">
        <v>10</v>
      </c>
      <c r="J655" s="13">
        <v>45435</v>
      </c>
    </row>
    <row r="656" customFormat="1" spans="1:10">
      <c r="A656" t="s">
        <v>319</v>
      </c>
      <c r="B656" s="86">
        <v>242500247</v>
      </c>
      <c r="C656" s="9">
        <v>45407</v>
      </c>
      <c r="D656" s="87" t="s">
        <v>238</v>
      </c>
      <c r="E656" s="10">
        <v>200000</v>
      </c>
      <c r="F656" s="10">
        <v>0.0325</v>
      </c>
      <c r="G656" s="9">
        <v>45495</v>
      </c>
      <c r="H656" s="12">
        <f t="shared" si="10"/>
        <v>6500</v>
      </c>
      <c r="I656" s="10" t="s">
        <v>10</v>
      </c>
      <c r="J656" s="13">
        <v>45435</v>
      </c>
    </row>
    <row r="657" customFormat="1" spans="1:10">
      <c r="A657" t="s">
        <v>319</v>
      </c>
      <c r="B657" s="86">
        <v>242500247</v>
      </c>
      <c r="C657" s="9">
        <v>45407</v>
      </c>
      <c r="D657" s="87" t="s">
        <v>238</v>
      </c>
      <c r="E657" s="10">
        <v>200000</v>
      </c>
      <c r="F657" s="10">
        <v>0.0325</v>
      </c>
      <c r="G657" s="9">
        <v>45495</v>
      </c>
      <c r="H657" s="12">
        <f t="shared" si="10"/>
        <v>6500</v>
      </c>
      <c r="I657" s="10" t="s">
        <v>10</v>
      </c>
      <c r="J657" s="13">
        <v>45435</v>
      </c>
    </row>
    <row r="658" customFormat="1" ht="29" spans="1:10">
      <c r="A658" t="s">
        <v>319</v>
      </c>
      <c r="B658" s="86">
        <v>242500247</v>
      </c>
      <c r="C658" s="9">
        <v>45407</v>
      </c>
      <c r="D658" s="88" t="s">
        <v>238</v>
      </c>
      <c r="E658" s="10">
        <v>200000</v>
      </c>
      <c r="F658" s="10">
        <v>0.0325</v>
      </c>
      <c r="G658" s="9">
        <v>45526</v>
      </c>
      <c r="H658" s="12">
        <f t="shared" si="10"/>
        <v>6500</v>
      </c>
      <c r="I658" s="10" t="s">
        <v>10</v>
      </c>
      <c r="J658" s="13">
        <v>45435</v>
      </c>
    </row>
    <row r="659" customFormat="1" spans="1:10">
      <c r="A659" t="s">
        <v>319</v>
      </c>
      <c r="B659" s="86">
        <v>242500247</v>
      </c>
      <c r="C659" s="9">
        <v>45407</v>
      </c>
      <c r="D659" s="87" t="s">
        <v>238</v>
      </c>
      <c r="E659" s="10">
        <v>200000</v>
      </c>
      <c r="F659" s="10">
        <v>0.0325</v>
      </c>
      <c r="G659" s="9">
        <v>45526</v>
      </c>
      <c r="H659" s="12">
        <f t="shared" si="10"/>
        <v>6500</v>
      </c>
      <c r="I659" s="10" t="s">
        <v>10</v>
      </c>
      <c r="J659" s="13">
        <v>45435</v>
      </c>
    </row>
    <row r="660" customFormat="1" spans="1:10">
      <c r="A660" t="s">
        <v>319</v>
      </c>
      <c r="B660" s="86">
        <v>242500249</v>
      </c>
      <c r="C660" s="9">
        <v>45407</v>
      </c>
      <c r="D660" s="87" t="s">
        <v>240</v>
      </c>
      <c r="E660" s="10">
        <v>80000</v>
      </c>
      <c r="F660" s="10">
        <v>0.0278</v>
      </c>
      <c r="G660" s="9">
        <v>45434</v>
      </c>
      <c r="H660" s="12">
        <f t="shared" si="10"/>
        <v>2224</v>
      </c>
      <c r="I660" s="10" t="s">
        <v>10</v>
      </c>
      <c r="J660" s="13">
        <v>45435</v>
      </c>
    </row>
    <row r="661" customFormat="1" spans="1:10">
      <c r="A661" t="s">
        <v>319</v>
      </c>
      <c r="B661" s="86">
        <v>242500249</v>
      </c>
      <c r="C661" s="9">
        <v>45407</v>
      </c>
      <c r="D661" s="87" t="s">
        <v>240</v>
      </c>
      <c r="E661" s="10">
        <v>160000</v>
      </c>
      <c r="F661" s="10">
        <v>0.0278</v>
      </c>
      <c r="G661" s="9">
        <v>45465</v>
      </c>
      <c r="H661" s="12">
        <f t="shared" si="10"/>
        <v>4448</v>
      </c>
      <c r="I661" s="10" t="s">
        <v>10</v>
      </c>
      <c r="J661" s="13">
        <v>45435</v>
      </c>
    </row>
    <row r="662" customFormat="1" spans="1:10">
      <c r="A662" t="s">
        <v>319</v>
      </c>
      <c r="B662" s="86">
        <v>242500249</v>
      </c>
      <c r="C662" s="9">
        <v>45407</v>
      </c>
      <c r="D662" s="87" t="s">
        <v>240</v>
      </c>
      <c r="E662" s="10">
        <v>160000</v>
      </c>
      <c r="F662" s="10">
        <v>0.0278</v>
      </c>
      <c r="G662" s="9">
        <v>45495</v>
      </c>
      <c r="H662" s="12">
        <f t="shared" si="10"/>
        <v>4448</v>
      </c>
      <c r="I662" s="10" t="s">
        <v>10</v>
      </c>
      <c r="J662" s="13">
        <v>45435</v>
      </c>
    </row>
    <row r="663" customFormat="1" spans="1:10">
      <c r="A663" t="s">
        <v>319</v>
      </c>
      <c r="B663" s="86">
        <v>242500249</v>
      </c>
      <c r="C663" s="9">
        <v>45407</v>
      </c>
      <c r="D663" s="87" t="s">
        <v>240</v>
      </c>
      <c r="E663" s="10">
        <v>160000</v>
      </c>
      <c r="F663" s="10">
        <v>0.0278</v>
      </c>
      <c r="G663" s="9">
        <v>45526</v>
      </c>
      <c r="H663" s="12">
        <f t="shared" si="10"/>
        <v>4448</v>
      </c>
      <c r="I663" s="10" t="s">
        <v>10</v>
      </c>
      <c r="J663" s="13">
        <v>45435</v>
      </c>
    </row>
    <row r="664" customFormat="1" spans="1:10">
      <c r="A664" t="s">
        <v>319</v>
      </c>
      <c r="B664" s="86">
        <v>242500264</v>
      </c>
      <c r="C664" s="9">
        <v>45411</v>
      </c>
      <c r="D664" s="10" t="s">
        <v>362</v>
      </c>
      <c r="E664" s="10">
        <v>20000</v>
      </c>
      <c r="F664" s="10">
        <v>0.075</v>
      </c>
      <c r="G664" s="9">
        <v>45434</v>
      </c>
      <c r="H664" s="12">
        <f t="shared" si="10"/>
        <v>1500</v>
      </c>
      <c r="I664" s="10" t="s">
        <v>10</v>
      </c>
      <c r="J664" s="15" t="s">
        <v>325</v>
      </c>
    </row>
    <row r="665" customFormat="1" spans="1:10">
      <c r="A665" t="s">
        <v>319</v>
      </c>
      <c r="B665" s="86">
        <v>242500264</v>
      </c>
      <c r="C665" s="9">
        <v>45411</v>
      </c>
      <c r="D665" s="10" t="s">
        <v>362</v>
      </c>
      <c r="E665" s="10">
        <v>20000</v>
      </c>
      <c r="F665" s="10">
        <v>0.075</v>
      </c>
      <c r="G665" s="9">
        <v>45495</v>
      </c>
      <c r="H665" s="12">
        <f t="shared" si="10"/>
        <v>1500</v>
      </c>
      <c r="I665" s="10" t="s">
        <v>10</v>
      </c>
      <c r="J665" s="15" t="s">
        <v>325</v>
      </c>
    </row>
    <row r="666" customFormat="1" spans="1:10">
      <c r="A666" t="s">
        <v>319</v>
      </c>
      <c r="B666" s="86">
        <v>242500264</v>
      </c>
      <c r="C666" s="9">
        <v>45411</v>
      </c>
      <c r="D666" s="10" t="s">
        <v>362</v>
      </c>
      <c r="E666" s="10">
        <v>20000</v>
      </c>
      <c r="F666" s="10">
        <v>0.075</v>
      </c>
      <c r="G666" s="9">
        <v>45557</v>
      </c>
      <c r="H666" s="12">
        <f t="shared" si="10"/>
        <v>1500</v>
      </c>
      <c r="I666" s="10" t="s">
        <v>10</v>
      </c>
      <c r="J666" s="15" t="s">
        <v>325</v>
      </c>
    </row>
    <row r="667" customFormat="1" spans="1:10">
      <c r="A667" t="s">
        <v>319</v>
      </c>
      <c r="B667" s="86">
        <v>242500264</v>
      </c>
      <c r="C667" s="9">
        <v>45411</v>
      </c>
      <c r="D667" s="10" t="s">
        <v>362</v>
      </c>
      <c r="E667" s="10">
        <v>20000</v>
      </c>
      <c r="F667" s="10">
        <v>0.075</v>
      </c>
      <c r="G667" s="9">
        <v>45618</v>
      </c>
      <c r="H667" s="12">
        <f t="shared" si="10"/>
        <v>1500</v>
      </c>
      <c r="I667" s="10" t="s">
        <v>10</v>
      </c>
      <c r="J667" s="13" t="s">
        <v>354</v>
      </c>
    </row>
    <row r="668" customFormat="1" spans="1:10">
      <c r="A668" t="s">
        <v>319</v>
      </c>
      <c r="B668" s="86">
        <v>242500264</v>
      </c>
      <c r="C668" s="9">
        <v>45411</v>
      </c>
      <c r="D668" s="10" t="s">
        <v>362</v>
      </c>
      <c r="E668" s="10">
        <v>20000</v>
      </c>
      <c r="F668" s="10">
        <v>0.075</v>
      </c>
      <c r="G668" s="9">
        <v>45648</v>
      </c>
      <c r="H668" s="12">
        <f t="shared" si="10"/>
        <v>1500</v>
      </c>
      <c r="I668" s="10" t="s">
        <v>10</v>
      </c>
      <c r="J668" s="15" t="s">
        <v>325</v>
      </c>
    </row>
    <row r="669" customFormat="1" spans="1:10">
      <c r="A669" t="s">
        <v>319</v>
      </c>
      <c r="B669" s="86">
        <v>242500265</v>
      </c>
      <c r="C669" s="9">
        <v>45411</v>
      </c>
      <c r="D669" s="87" t="s">
        <v>237</v>
      </c>
      <c r="E669" s="10">
        <v>30000</v>
      </c>
      <c r="F669" s="10">
        <v>0.18</v>
      </c>
      <c r="G669" s="9">
        <v>45448</v>
      </c>
      <c r="H669" s="12">
        <f t="shared" si="10"/>
        <v>5400</v>
      </c>
      <c r="I669" s="10" t="s">
        <v>10</v>
      </c>
      <c r="J669" s="13">
        <v>45425</v>
      </c>
    </row>
    <row r="670" customFormat="1" spans="1:10">
      <c r="A670" t="s">
        <v>319</v>
      </c>
      <c r="B670" s="86">
        <v>242500265</v>
      </c>
      <c r="C670" s="9">
        <v>45411</v>
      </c>
      <c r="D670" s="87" t="s">
        <v>237</v>
      </c>
      <c r="E670" s="10">
        <v>20000</v>
      </c>
      <c r="F670" s="10">
        <v>0.18</v>
      </c>
      <c r="G670" s="9">
        <v>45478</v>
      </c>
      <c r="H670" s="12">
        <f t="shared" si="10"/>
        <v>3600</v>
      </c>
      <c r="I670" s="10" t="s">
        <v>10</v>
      </c>
      <c r="J670" s="13">
        <v>45425</v>
      </c>
    </row>
    <row r="671" customFormat="1" spans="1:10">
      <c r="A671" t="s">
        <v>319</v>
      </c>
      <c r="B671" s="86">
        <v>242500265</v>
      </c>
      <c r="C671" s="9">
        <v>45411</v>
      </c>
      <c r="D671" s="87" t="s">
        <v>227</v>
      </c>
      <c r="E671" s="10">
        <v>20000</v>
      </c>
      <c r="F671" s="10">
        <v>0.5</v>
      </c>
      <c r="G671" s="9">
        <v>45478</v>
      </c>
      <c r="H671" s="12">
        <f t="shared" si="10"/>
        <v>10000</v>
      </c>
      <c r="I671" s="10" t="s">
        <v>10</v>
      </c>
      <c r="J671" s="13">
        <v>45425</v>
      </c>
    </row>
    <row r="672" customFormat="1" spans="1:10">
      <c r="A672" t="s">
        <v>319</v>
      </c>
      <c r="B672" s="86">
        <v>242500265</v>
      </c>
      <c r="C672" s="9">
        <v>45411</v>
      </c>
      <c r="D672" s="87" t="s">
        <v>323</v>
      </c>
      <c r="E672" s="10">
        <v>50000</v>
      </c>
      <c r="F672" s="10">
        <v>0.1</v>
      </c>
      <c r="G672" s="9">
        <v>45448</v>
      </c>
      <c r="H672" s="12">
        <f t="shared" si="10"/>
        <v>5000</v>
      </c>
      <c r="I672" s="10" t="s">
        <v>10</v>
      </c>
      <c r="J672" s="13">
        <v>45425</v>
      </c>
    </row>
    <row r="673" customFormat="1" spans="1:10">
      <c r="A673" t="s">
        <v>319</v>
      </c>
      <c r="B673" s="86">
        <v>242500265</v>
      </c>
      <c r="C673" s="9">
        <v>45411</v>
      </c>
      <c r="D673" s="87" t="s">
        <v>323</v>
      </c>
      <c r="E673" s="10">
        <v>50000</v>
      </c>
      <c r="F673" s="10">
        <v>0.1</v>
      </c>
      <c r="G673" s="9">
        <v>45478</v>
      </c>
      <c r="H673" s="12">
        <f t="shared" si="10"/>
        <v>5000</v>
      </c>
      <c r="I673" s="10" t="s">
        <v>10</v>
      </c>
      <c r="J673" s="13">
        <v>45425</v>
      </c>
    </row>
    <row r="674" customFormat="1" spans="1:10">
      <c r="A674" t="s">
        <v>319</v>
      </c>
      <c r="B674" s="86">
        <v>242500266</v>
      </c>
      <c r="C674" s="9">
        <v>45411</v>
      </c>
      <c r="D674" s="87" t="s">
        <v>215</v>
      </c>
      <c r="E674" s="10">
        <v>100000</v>
      </c>
      <c r="F674" s="10">
        <v>0.028</v>
      </c>
      <c r="G674" s="9">
        <v>45448</v>
      </c>
      <c r="H674" s="12">
        <f t="shared" si="10"/>
        <v>2800</v>
      </c>
      <c r="I674" s="10" t="s">
        <v>10</v>
      </c>
      <c r="J674" s="13">
        <v>45462</v>
      </c>
    </row>
    <row r="675" customFormat="1" spans="1:10">
      <c r="A675" t="s">
        <v>319</v>
      </c>
      <c r="B675" s="86">
        <v>242500280</v>
      </c>
      <c r="C675" s="9">
        <v>45412</v>
      </c>
      <c r="D675" s="87" t="s">
        <v>243</v>
      </c>
      <c r="E675" s="10">
        <v>96000</v>
      </c>
      <c r="F675" s="10">
        <v>0.022</v>
      </c>
      <c r="G675" s="9">
        <v>45465</v>
      </c>
      <c r="H675" s="12">
        <f t="shared" si="10"/>
        <v>2112</v>
      </c>
      <c r="I675" s="10" t="s">
        <v>10</v>
      </c>
      <c r="J675" s="13">
        <v>45415</v>
      </c>
    </row>
    <row r="676" customFormat="1" spans="1:10">
      <c r="A676" t="s">
        <v>319</v>
      </c>
      <c r="B676" s="86">
        <v>242500280</v>
      </c>
      <c r="C676" s="9">
        <v>45412</v>
      </c>
      <c r="D676" s="87" t="s">
        <v>210</v>
      </c>
      <c r="E676" s="10">
        <v>120000</v>
      </c>
      <c r="F676" s="10">
        <v>0.028</v>
      </c>
      <c r="G676" s="9">
        <v>45465</v>
      </c>
      <c r="H676" s="12">
        <f t="shared" si="10"/>
        <v>3360</v>
      </c>
      <c r="I676" s="10" t="s">
        <v>10</v>
      </c>
      <c r="J676" s="13">
        <v>45415</v>
      </c>
    </row>
    <row r="677" customFormat="1" spans="1:10">
      <c r="A677" t="s">
        <v>319</v>
      </c>
      <c r="B677" s="86">
        <v>242500280</v>
      </c>
      <c r="C677" s="9">
        <v>45412</v>
      </c>
      <c r="D677" s="87" t="s">
        <v>210</v>
      </c>
      <c r="E677" s="10">
        <v>120000</v>
      </c>
      <c r="F677" s="10">
        <v>0.028</v>
      </c>
      <c r="G677" s="9">
        <v>45495</v>
      </c>
      <c r="H677" s="12">
        <f t="shared" si="10"/>
        <v>3360</v>
      </c>
      <c r="I677" s="10" t="s">
        <v>10</v>
      </c>
      <c r="J677" s="13">
        <v>45415</v>
      </c>
    </row>
    <row r="678" customFormat="1" spans="1:10">
      <c r="A678" t="s">
        <v>319</v>
      </c>
      <c r="B678" s="86">
        <v>242500280</v>
      </c>
      <c r="C678" s="9">
        <v>45412</v>
      </c>
      <c r="D678" s="10" t="s">
        <v>245</v>
      </c>
      <c r="E678" s="10">
        <v>96000</v>
      </c>
      <c r="F678" s="10">
        <v>0.006</v>
      </c>
      <c r="G678" s="9">
        <v>45495</v>
      </c>
      <c r="H678" s="12">
        <f t="shared" si="10"/>
        <v>576</v>
      </c>
      <c r="I678" s="10" t="s">
        <v>10</v>
      </c>
      <c r="J678" s="13">
        <v>45415</v>
      </c>
    </row>
    <row r="679" customFormat="1" spans="1:10">
      <c r="A679" t="s">
        <v>319</v>
      </c>
      <c r="B679" s="86">
        <v>242500281</v>
      </c>
      <c r="C679" s="9">
        <v>45412</v>
      </c>
      <c r="D679" s="87" t="s">
        <v>243</v>
      </c>
      <c r="E679" s="10">
        <v>96000</v>
      </c>
      <c r="F679" s="10">
        <v>0.022</v>
      </c>
      <c r="G679" s="9">
        <v>45434</v>
      </c>
      <c r="H679" s="12">
        <f t="shared" si="10"/>
        <v>2112</v>
      </c>
      <c r="I679" s="10" t="s">
        <v>10</v>
      </c>
      <c r="J679" s="13">
        <v>45415</v>
      </c>
    </row>
    <row r="680" customFormat="1" spans="1:10">
      <c r="A680" t="s">
        <v>319</v>
      </c>
      <c r="B680" s="86">
        <v>242500281</v>
      </c>
      <c r="C680" s="9">
        <v>45412</v>
      </c>
      <c r="D680" s="87" t="s">
        <v>243</v>
      </c>
      <c r="E680" s="10">
        <v>96000</v>
      </c>
      <c r="F680" s="10">
        <v>0.022</v>
      </c>
      <c r="G680" s="9">
        <v>45465</v>
      </c>
      <c r="H680" s="12">
        <f t="shared" si="10"/>
        <v>2112</v>
      </c>
      <c r="I680" s="10" t="s">
        <v>10</v>
      </c>
      <c r="J680" s="13">
        <v>45415</v>
      </c>
    </row>
    <row r="681" customFormat="1" spans="1:10">
      <c r="A681" t="s">
        <v>319</v>
      </c>
      <c r="B681" s="86">
        <v>242500281</v>
      </c>
      <c r="C681" s="9">
        <v>45412</v>
      </c>
      <c r="D681" s="87" t="s">
        <v>210</v>
      </c>
      <c r="E681" s="10">
        <v>120000</v>
      </c>
      <c r="F681" s="10">
        <v>0.028</v>
      </c>
      <c r="G681" s="9">
        <v>45434</v>
      </c>
      <c r="H681" s="12">
        <f t="shared" si="10"/>
        <v>3360</v>
      </c>
      <c r="I681" s="10" t="s">
        <v>10</v>
      </c>
      <c r="J681" s="13">
        <v>45415</v>
      </c>
    </row>
    <row r="682" customFormat="1" spans="1:10">
      <c r="A682" t="s">
        <v>319</v>
      </c>
      <c r="B682" s="86">
        <v>242500281</v>
      </c>
      <c r="C682" s="9">
        <v>45412</v>
      </c>
      <c r="D682" s="87" t="s">
        <v>210</v>
      </c>
      <c r="E682" s="10">
        <v>120000</v>
      </c>
      <c r="F682" s="10">
        <v>0.028</v>
      </c>
      <c r="G682" s="9">
        <v>45434</v>
      </c>
      <c r="H682" s="12">
        <f t="shared" si="10"/>
        <v>3360</v>
      </c>
      <c r="I682" s="10" t="s">
        <v>10</v>
      </c>
      <c r="J682" s="13">
        <v>45415</v>
      </c>
    </row>
    <row r="683" customFormat="1" spans="1:10">
      <c r="A683" t="s">
        <v>319</v>
      </c>
      <c r="B683" s="86">
        <v>242500281</v>
      </c>
      <c r="C683" s="9">
        <v>45412</v>
      </c>
      <c r="D683" s="10" t="s">
        <v>245</v>
      </c>
      <c r="E683" s="10">
        <v>96000</v>
      </c>
      <c r="F683" s="10">
        <v>0.006</v>
      </c>
      <c r="G683" s="9">
        <v>45465</v>
      </c>
      <c r="H683" s="12">
        <f t="shared" si="10"/>
        <v>576</v>
      </c>
      <c r="I683" s="10" t="s">
        <v>10</v>
      </c>
      <c r="J683" s="13">
        <v>45415</v>
      </c>
    </row>
    <row r="684" customFormat="1" spans="1:10">
      <c r="A684" t="s">
        <v>319</v>
      </c>
      <c r="B684" s="86">
        <v>242500286</v>
      </c>
      <c r="C684" s="9">
        <v>45411</v>
      </c>
      <c r="D684" s="10" t="s">
        <v>135</v>
      </c>
      <c r="E684" s="10">
        <v>26000</v>
      </c>
      <c r="F684" s="10">
        <v>0.035</v>
      </c>
      <c r="G684" s="9">
        <v>45434</v>
      </c>
      <c r="H684" s="12">
        <f t="shared" si="10"/>
        <v>910</v>
      </c>
      <c r="I684" s="10" t="s">
        <v>10</v>
      </c>
      <c r="J684" s="13">
        <v>45426</v>
      </c>
    </row>
    <row r="685" customFormat="1" spans="1:10">
      <c r="A685" t="s">
        <v>319</v>
      </c>
      <c r="B685" s="86">
        <v>242500286</v>
      </c>
      <c r="C685" s="9">
        <v>45411</v>
      </c>
      <c r="D685" s="10" t="s">
        <v>135</v>
      </c>
      <c r="E685" s="10">
        <v>36000</v>
      </c>
      <c r="F685" s="10">
        <v>0.035</v>
      </c>
      <c r="G685" s="9">
        <v>45434</v>
      </c>
      <c r="H685" s="12">
        <f t="shared" si="10"/>
        <v>1260</v>
      </c>
      <c r="I685" s="10" t="s">
        <v>10</v>
      </c>
      <c r="J685" s="13">
        <v>45426</v>
      </c>
    </row>
    <row r="686" customFormat="1" spans="1:10">
      <c r="A686" t="s">
        <v>319</v>
      </c>
      <c r="B686" s="86">
        <v>242500287</v>
      </c>
      <c r="C686" s="9">
        <v>45411</v>
      </c>
      <c r="D686" s="87" t="s">
        <v>207</v>
      </c>
      <c r="E686" s="10">
        <v>336000</v>
      </c>
      <c r="F686" s="10">
        <v>0.03</v>
      </c>
      <c r="G686" s="9">
        <v>45434</v>
      </c>
      <c r="H686" s="12">
        <f t="shared" si="10"/>
        <v>10080</v>
      </c>
      <c r="I686" s="10" t="s">
        <v>10</v>
      </c>
      <c r="J686" s="13">
        <v>45415</v>
      </c>
    </row>
    <row r="687" customFormat="1" spans="1:10">
      <c r="A687" t="s">
        <v>319</v>
      </c>
      <c r="B687" s="86">
        <v>242500288</v>
      </c>
      <c r="C687" s="9">
        <v>45411</v>
      </c>
      <c r="D687" s="10" t="s">
        <v>34</v>
      </c>
      <c r="E687" s="10">
        <v>80000</v>
      </c>
      <c r="F687" s="10">
        <v>0.051</v>
      </c>
      <c r="G687" s="9">
        <v>45464</v>
      </c>
      <c r="H687" s="12">
        <f t="shared" si="10"/>
        <v>4080</v>
      </c>
      <c r="I687" s="10" t="s">
        <v>10</v>
      </c>
      <c r="J687" s="13">
        <v>45415</v>
      </c>
    </row>
    <row r="688" customFormat="1" spans="1:10">
      <c r="A688" t="s">
        <v>319</v>
      </c>
      <c r="B688" s="86">
        <v>242500288</v>
      </c>
      <c r="C688" s="9">
        <v>45411</v>
      </c>
      <c r="D688" s="10" t="s">
        <v>34</v>
      </c>
      <c r="E688" s="10">
        <v>80000</v>
      </c>
      <c r="F688" s="10">
        <v>0.051</v>
      </c>
      <c r="G688" s="9">
        <v>45495</v>
      </c>
      <c r="H688" s="12">
        <f t="shared" si="10"/>
        <v>4080</v>
      </c>
      <c r="I688" s="10" t="s">
        <v>10</v>
      </c>
      <c r="J688" s="13">
        <v>45415</v>
      </c>
    </row>
    <row r="689" customFormat="1" spans="1:11">
      <c r="A689" t="s">
        <v>319</v>
      </c>
      <c r="B689" s="86">
        <v>242500288</v>
      </c>
      <c r="C689" s="9">
        <v>45411</v>
      </c>
      <c r="D689" s="10" t="s">
        <v>34</v>
      </c>
      <c r="E689" s="10">
        <v>80000</v>
      </c>
      <c r="F689" s="10">
        <v>0.051</v>
      </c>
      <c r="G689" s="9">
        <v>45526</v>
      </c>
      <c r="H689" s="12">
        <f t="shared" si="10"/>
        <v>4080</v>
      </c>
      <c r="I689" s="10" t="s">
        <v>10</v>
      </c>
      <c r="J689" s="13">
        <v>45415</v>
      </c>
    </row>
    <row r="690" customFormat="1" spans="1:11">
      <c r="A690" t="s">
        <v>319</v>
      </c>
      <c r="B690" s="86">
        <v>242500289</v>
      </c>
      <c r="C690" s="9">
        <v>45411</v>
      </c>
      <c r="D690" s="87" t="s">
        <v>298</v>
      </c>
      <c r="E690" s="10">
        <v>100000</v>
      </c>
      <c r="F690" s="10">
        <v>0.15</v>
      </c>
      <c r="G690" s="9">
        <v>45478</v>
      </c>
      <c r="H690" s="12">
        <f t="shared" si="10"/>
        <v>15000</v>
      </c>
      <c r="I690" s="10" t="s">
        <v>10</v>
      </c>
      <c r="J690" s="13">
        <v>45443</v>
      </c>
      <c r="K690" t="s">
        <v>333</v>
      </c>
    </row>
    <row r="691" customFormat="1" spans="1:11">
      <c r="A691" t="s">
        <v>319</v>
      </c>
      <c r="B691" s="86">
        <v>242500289</v>
      </c>
      <c r="C691" s="9">
        <v>45411</v>
      </c>
      <c r="D691" s="87" t="s">
        <v>298</v>
      </c>
      <c r="E691" s="10">
        <v>100000</v>
      </c>
      <c r="F691" s="10">
        <v>0.15</v>
      </c>
      <c r="G691" s="9">
        <v>45478</v>
      </c>
      <c r="H691" s="12">
        <f t="shared" si="10"/>
        <v>15000</v>
      </c>
      <c r="I691" s="10" t="s">
        <v>10</v>
      </c>
      <c r="J691" s="13">
        <v>45443</v>
      </c>
      <c r="K691" t="s">
        <v>333</v>
      </c>
    </row>
    <row r="692" customFormat="1" spans="1:11">
      <c r="A692" t="s">
        <v>319</v>
      </c>
      <c r="B692" s="86">
        <v>242500289</v>
      </c>
      <c r="C692" s="9">
        <v>45411</v>
      </c>
      <c r="D692" s="87" t="s">
        <v>298</v>
      </c>
      <c r="E692" s="10">
        <v>100000</v>
      </c>
      <c r="F692" s="10">
        <v>0.15</v>
      </c>
      <c r="G692" s="9">
        <v>45478</v>
      </c>
      <c r="H692" s="12">
        <f t="shared" si="10"/>
        <v>15000</v>
      </c>
      <c r="I692" s="10" t="s">
        <v>10</v>
      </c>
      <c r="J692" s="13">
        <v>45443</v>
      </c>
      <c r="K692" t="s">
        <v>333</v>
      </c>
    </row>
    <row r="693" customFormat="1" spans="1:11">
      <c r="A693" t="s">
        <v>319</v>
      </c>
      <c r="B693" s="86">
        <v>242500289</v>
      </c>
      <c r="C693" s="9">
        <v>45411</v>
      </c>
      <c r="D693" s="87" t="s">
        <v>298</v>
      </c>
      <c r="E693" s="10">
        <v>100000</v>
      </c>
      <c r="F693" s="10">
        <v>0.15</v>
      </c>
      <c r="G693" s="9">
        <v>45478</v>
      </c>
      <c r="H693" s="12">
        <f t="shared" si="10"/>
        <v>15000</v>
      </c>
      <c r="I693" s="10" t="s">
        <v>10</v>
      </c>
      <c r="J693" s="13">
        <v>45443</v>
      </c>
      <c r="K693" t="s">
        <v>333</v>
      </c>
    </row>
    <row r="694" customFormat="1" spans="1:11">
      <c r="A694" t="s">
        <v>319</v>
      </c>
      <c r="B694" s="86">
        <v>242500289</v>
      </c>
      <c r="C694" s="9">
        <v>45411</v>
      </c>
      <c r="D694" s="87" t="s">
        <v>298</v>
      </c>
      <c r="E694" s="10">
        <v>100000</v>
      </c>
      <c r="F694" s="10">
        <v>0.15</v>
      </c>
      <c r="G694" s="9">
        <v>45478</v>
      </c>
      <c r="H694" s="12">
        <f t="shared" si="10"/>
        <v>15000</v>
      </c>
      <c r="I694" s="10" t="s">
        <v>10</v>
      </c>
      <c r="J694" s="13">
        <v>45443</v>
      </c>
      <c r="K694" t="s">
        <v>333</v>
      </c>
    </row>
    <row r="695" customFormat="1" spans="1:11">
      <c r="A695" t="s">
        <v>319</v>
      </c>
      <c r="B695" s="86">
        <v>242500290</v>
      </c>
      <c r="C695" s="9">
        <v>45411</v>
      </c>
      <c r="D695" s="87" t="s">
        <v>200</v>
      </c>
      <c r="E695" s="10">
        <v>26000</v>
      </c>
      <c r="F695" s="10">
        <v>0.05</v>
      </c>
      <c r="G695" s="9">
        <v>45418</v>
      </c>
      <c r="H695" s="12">
        <f t="shared" si="10"/>
        <v>1300</v>
      </c>
      <c r="I695" s="10" t="s">
        <v>10</v>
      </c>
      <c r="J695" s="13">
        <v>45425</v>
      </c>
    </row>
    <row r="696" customFormat="1" spans="1:11">
      <c r="A696" t="s">
        <v>319</v>
      </c>
      <c r="B696" s="86">
        <v>242500290</v>
      </c>
      <c r="C696" s="9">
        <v>45411</v>
      </c>
      <c r="D696" s="87" t="s">
        <v>200</v>
      </c>
      <c r="E696" s="10">
        <v>26000</v>
      </c>
      <c r="F696" s="10">
        <v>0.05</v>
      </c>
      <c r="G696" s="9">
        <v>45434</v>
      </c>
      <c r="H696" s="12">
        <f t="shared" si="10"/>
        <v>1300</v>
      </c>
      <c r="I696" s="10" t="s">
        <v>10</v>
      </c>
      <c r="J696" s="13">
        <v>45425</v>
      </c>
    </row>
    <row r="697" customFormat="1" spans="1:11">
      <c r="A697" t="s">
        <v>319</v>
      </c>
      <c r="B697" s="86">
        <v>242500290</v>
      </c>
      <c r="C697" s="9">
        <v>45411</v>
      </c>
      <c r="D697" s="87" t="s">
        <v>200</v>
      </c>
      <c r="E697" s="10">
        <v>24000</v>
      </c>
      <c r="F697" s="10">
        <v>0.05</v>
      </c>
      <c r="G697" s="9">
        <v>45448</v>
      </c>
      <c r="H697" s="12">
        <f t="shared" si="10"/>
        <v>1200</v>
      </c>
      <c r="I697" s="10" t="s">
        <v>10</v>
      </c>
      <c r="J697" s="13">
        <v>45425</v>
      </c>
    </row>
    <row r="698" customFormat="1" spans="1:11">
      <c r="A698" t="s">
        <v>319</v>
      </c>
      <c r="B698" s="86">
        <v>242500307</v>
      </c>
      <c r="C698" s="9">
        <v>45415</v>
      </c>
      <c r="D698" s="87" t="s">
        <v>243</v>
      </c>
      <c r="E698" s="10">
        <v>64000</v>
      </c>
      <c r="F698" s="10">
        <v>0.022</v>
      </c>
      <c r="G698" s="9">
        <v>45448</v>
      </c>
      <c r="H698" s="12">
        <f t="shared" si="10"/>
        <v>1408</v>
      </c>
      <c r="I698" s="10" t="s">
        <v>10</v>
      </c>
      <c r="J698" s="13">
        <v>45441</v>
      </c>
    </row>
    <row r="699" customFormat="1" spans="1:11">
      <c r="A699" t="s">
        <v>319</v>
      </c>
      <c r="B699" s="86">
        <v>242500307</v>
      </c>
      <c r="C699" s="9">
        <v>45415</v>
      </c>
      <c r="D699" s="87" t="s">
        <v>243</v>
      </c>
      <c r="E699" s="10">
        <v>96000</v>
      </c>
      <c r="F699" s="10">
        <v>0.022</v>
      </c>
      <c r="G699" s="9">
        <v>45478</v>
      </c>
      <c r="H699" s="12">
        <f t="shared" si="10"/>
        <v>2112</v>
      </c>
      <c r="I699" s="10" t="s">
        <v>10</v>
      </c>
      <c r="J699" s="13">
        <v>45441</v>
      </c>
    </row>
    <row r="700" customFormat="1" spans="1:11">
      <c r="A700" t="s">
        <v>319</v>
      </c>
      <c r="B700" s="86">
        <v>242500307</v>
      </c>
      <c r="C700" s="9">
        <v>45415</v>
      </c>
      <c r="D700" s="87" t="s">
        <v>243</v>
      </c>
      <c r="E700" s="10">
        <v>64000</v>
      </c>
      <c r="F700" s="10">
        <v>0.022</v>
      </c>
      <c r="G700" s="9">
        <v>45509</v>
      </c>
      <c r="H700" s="12">
        <f t="shared" si="10"/>
        <v>1408</v>
      </c>
      <c r="I700" s="10" t="s">
        <v>10</v>
      </c>
      <c r="J700" s="13">
        <v>45441</v>
      </c>
    </row>
    <row r="701" customFormat="1" spans="1:11">
      <c r="A701" t="s">
        <v>319</v>
      </c>
      <c r="B701" s="86">
        <v>242500307</v>
      </c>
      <c r="C701" s="9">
        <v>45415</v>
      </c>
      <c r="D701" s="87" t="s">
        <v>257</v>
      </c>
      <c r="E701" s="10">
        <v>52000</v>
      </c>
      <c r="F701" s="10">
        <v>0.01</v>
      </c>
      <c r="G701" s="9">
        <v>45448</v>
      </c>
      <c r="H701" s="12">
        <f t="shared" si="10"/>
        <v>520</v>
      </c>
      <c r="I701" s="10" t="s">
        <v>10</v>
      </c>
      <c r="J701" s="13">
        <v>45441</v>
      </c>
    </row>
    <row r="702" customFormat="1" spans="1:11">
      <c r="A702" t="s">
        <v>319</v>
      </c>
      <c r="B702" s="86">
        <v>242500307</v>
      </c>
      <c r="C702" s="9">
        <v>45415</v>
      </c>
      <c r="D702" s="87" t="s">
        <v>257</v>
      </c>
      <c r="E702" s="10">
        <v>52000</v>
      </c>
      <c r="F702" s="10">
        <v>0.01</v>
      </c>
      <c r="G702" s="9">
        <v>45448</v>
      </c>
      <c r="H702" s="12">
        <f t="shared" si="10"/>
        <v>520</v>
      </c>
      <c r="I702" s="10" t="s">
        <v>10</v>
      </c>
      <c r="J702" s="13">
        <v>45441</v>
      </c>
    </row>
    <row r="703" customFormat="1" spans="1:11">
      <c r="A703" t="s">
        <v>319</v>
      </c>
      <c r="B703" s="86">
        <v>242500307</v>
      </c>
      <c r="C703" s="9">
        <v>45415</v>
      </c>
      <c r="D703" s="87" t="s">
        <v>210</v>
      </c>
      <c r="E703" s="10">
        <v>120000</v>
      </c>
      <c r="F703" s="10">
        <v>0.024</v>
      </c>
      <c r="G703" s="9">
        <v>45465</v>
      </c>
      <c r="H703" s="12">
        <f t="shared" si="10"/>
        <v>2880</v>
      </c>
      <c r="I703" s="10" t="s">
        <v>10</v>
      </c>
      <c r="J703" s="13">
        <v>45454</v>
      </c>
    </row>
    <row r="704" customFormat="1" spans="1:11">
      <c r="A704" t="s">
        <v>319</v>
      </c>
      <c r="B704" s="86">
        <v>242500308</v>
      </c>
      <c r="C704" s="9">
        <v>45415</v>
      </c>
      <c r="D704" s="87" t="s">
        <v>210</v>
      </c>
      <c r="E704" s="10">
        <v>120000</v>
      </c>
      <c r="F704" s="10">
        <v>0.024</v>
      </c>
      <c r="G704" s="9">
        <v>45478</v>
      </c>
      <c r="H704" s="12">
        <f t="shared" si="10"/>
        <v>2880</v>
      </c>
      <c r="I704" s="10" t="s">
        <v>10</v>
      </c>
      <c r="J704" s="13">
        <v>45454</v>
      </c>
    </row>
    <row r="705" customFormat="1" spans="1:11">
      <c r="A705" t="s">
        <v>319</v>
      </c>
      <c r="B705" s="86">
        <v>242500309</v>
      </c>
      <c r="C705" s="9">
        <v>45415</v>
      </c>
      <c r="D705" s="87" t="s">
        <v>200</v>
      </c>
      <c r="E705" s="10">
        <v>100000</v>
      </c>
      <c r="F705" s="10">
        <v>0.05</v>
      </c>
      <c r="G705" s="9">
        <v>45448</v>
      </c>
      <c r="H705" s="12">
        <f t="shared" si="10"/>
        <v>5000</v>
      </c>
      <c r="I705" s="10" t="s">
        <v>10</v>
      </c>
      <c r="J705" s="13">
        <v>45425</v>
      </c>
    </row>
    <row r="706" customFormat="1" spans="1:11">
      <c r="A706" t="s">
        <v>319</v>
      </c>
      <c r="B706" s="86">
        <v>242500309</v>
      </c>
      <c r="C706" s="9">
        <v>45415</v>
      </c>
      <c r="D706" s="87" t="s">
        <v>200</v>
      </c>
      <c r="E706" s="10">
        <v>100000</v>
      </c>
      <c r="F706" s="10">
        <v>0.05</v>
      </c>
      <c r="G706" s="9">
        <v>45448</v>
      </c>
      <c r="H706" s="12">
        <f t="shared" ref="H706:H769" si="11">E706*F706</f>
        <v>5000</v>
      </c>
      <c r="I706" s="10" t="s">
        <v>10</v>
      </c>
      <c r="J706" s="13">
        <v>45425</v>
      </c>
    </row>
    <row r="707" customFormat="1" spans="1:11">
      <c r="A707" t="s">
        <v>319</v>
      </c>
      <c r="B707" s="86">
        <v>242500310</v>
      </c>
      <c r="C707" s="9">
        <v>45415</v>
      </c>
      <c r="D707" s="87" t="s">
        <v>200</v>
      </c>
      <c r="E707" s="10">
        <v>100000</v>
      </c>
      <c r="F707" s="10">
        <v>0.05</v>
      </c>
      <c r="G707" s="9">
        <v>45478</v>
      </c>
      <c r="H707" s="12">
        <f t="shared" si="11"/>
        <v>5000</v>
      </c>
      <c r="I707" s="10" t="s">
        <v>10</v>
      </c>
      <c r="J707" s="13">
        <v>45443</v>
      </c>
      <c r="K707" t="s">
        <v>333</v>
      </c>
    </row>
    <row r="708" customFormat="1" spans="1:11">
      <c r="A708" t="s">
        <v>319</v>
      </c>
      <c r="B708" s="86">
        <v>242500310</v>
      </c>
      <c r="C708" s="9">
        <v>45415</v>
      </c>
      <c r="D708" s="87" t="s">
        <v>200</v>
      </c>
      <c r="E708" s="10">
        <v>100000</v>
      </c>
      <c r="F708" s="10">
        <v>0.05</v>
      </c>
      <c r="G708" s="9">
        <v>45478</v>
      </c>
      <c r="H708" s="12">
        <f t="shared" si="11"/>
        <v>5000</v>
      </c>
      <c r="I708" s="10" t="s">
        <v>10</v>
      </c>
      <c r="J708" s="13">
        <v>45443</v>
      </c>
      <c r="K708" t="s">
        <v>333</v>
      </c>
    </row>
    <row r="709" customFormat="1" spans="1:11">
      <c r="A709" t="s">
        <v>319</v>
      </c>
      <c r="B709" s="86">
        <v>242500311</v>
      </c>
      <c r="C709" s="9">
        <v>45415</v>
      </c>
      <c r="D709" s="87" t="s">
        <v>210</v>
      </c>
      <c r="E709" s="10">
        <v>120000</v>
      </c>
      <c r="F709" s="10">
        <v>0.024</v>
      </c>
      <c r="G709" s="9">
        <v>45465</v>
      </c>
      <c r="H709" s="12">
        <f t="shared" si="11"/>
        <v>2880</v>
      </c>
      <c r="I709" s="10" t="s">
        <v>10</v>
      </c>
      <c r="J709" s="13">
        <v>45454</v>
      </c>
    </row>
    <row r="710" customFormat="1" spans="1:11">
      <c r="A710" t="s">
        <v>319</v>
      </c>
      <c r="B710" s="86">
        <v>242500311</v>
      </c>
      <c r="C710" s="9">
        <v>45415</v>
      </c>
      <c r="D710" s="87" t="s">
        <v>210</v>
      </c>
      <c r="E710" s="10">
        <v>120000</v>
      </c>
      <c r="F710" s="10">
        <v>0.024</v>
      </c>
      <c r="G710" s="9">
        <v>45478</v>
      </c>
      <c r="H710" s="12">
        <f t="shared" si="11"/>
        <v>2880</v>
      </c>
      <c r="I710" s="10" t="s">
        <v>10</v>
      </c>
      <c r="J710" s="13">
        <v>45454</v>
      </c>
    </row>
    <row r="711" customFormat="1" spans="1:11">
      <c r="A711" t="s">
        <v>319</v>
      </c>
      <c r="B711" s="86">
        <v>242500326</v>
      </c>
      <c r="C711" s="9">
        <v>45418</v>
      </c>
      <c r="D711" s="10" t="s">
        <v>363</v>
      </c>
      <c r="E711" s="10">
        <v>20000</v>
      </c>
      <c r="F711" s="10">
        <v>0.018</v>
      </c>
      <c r="G711" s="9">
        <v>45417</v>
      </c>
      <c r="H711" s="12">
        <f t="shared" si="11"/>
        <v>360</v>
      </c>
      <c r="I711" s="10" t="s">
        <v>10</v>
      </c>
      <c r="J711" s="13">
        <v>45449</v>
      </c>
    </row>
    <row r="712" customFormat="1" spans="1:11">
      <c r="A712" t="s">
        <v>319</v>
      </c>
      <c r="B712" s="86">
        <v>242500326</v>
      </c>
      <c r="C712" s="9">
        <v>45418</v>
      </c>
      <c r="D712" s="10" t="s">
        <v>364</v>
      </c>
      <c r="E712" s="10">
        <v>20000</v>
      </c>
      <c r="F712" s="10">
        <v>0.035</v>
      </c>
      <c r="G712" s="9">
        <v>45417</v>
      </c>
      <c r="H712" s="12">
        <f t="shared" si="11"/>
        <v>700</v>
      </c>
      <c r="I712" s="10" t="s">
        <v>10</v>
      </c>
      <c r="J712" s="13">
        <v>45477</v>
      </c>
    </row>
    <row r="713" customFormat="1" spans="1:11">
      <c r="A713" t="s">
        <v>319</v>
      </c>
      <c r="B713" s="90">
        <v>242500351</v>
      </c>
      <c r="C713" s="9">
        <v>45420</v>
      </c>
      <c r="D713" s="87" t="s">
        <v>215</v>
      </c>
      <c r="E713" s="10">
        <v>100000</v>
      </c>
      <c r="F713" s="10">
        <v>0.027</v>
      </c>
      <c r="G713" s="9">
        <v>45509</v>
      </c>
      <c r="H713" s="12">
        <f t="shared" si="11"/>
        <v>2700</v>
      </c>
      <c r="I713" s="10" t="s">
        <v>10</v>
      </c>
      <c r="J713" s="13">
        <v>45492</v>
      </c>
      <c r="K713" t="s">
        <v>365</v>
      </c>
    </row>
    <row r="714" customFormat="1" spans="1:11">
      <c r="A714" t="s">
        <v>319</v>
      </c>
      <c r="B714" s="86">
        <v>242500357</v>
      </c>
      <c r="C714" s="9">
        <v>45421</v>
      </c>
      <c r="D714" s="87" t="s">
        <v>305</v>
      </c>
      <c r="E714" s="10">
        <v>80000</v>
      </c>
      <c r="F714" s="10">
        <v>0.06</v>
      </c>
      <c r="G714" s="9">
        <v>45448</v>
      </c>
      <c r="H714" s="12">
        <f t="shared" si="11"/>
        <v>4800</v>
      </c>
      <c r="I714" s="10" t="s">
        <v>10</v>
      </c>
      <c r="J714" s="13">
        <v>45425</v>
      </c>
    </row>
    <row r="715" customFormat="1" spans="1:11">
      <c r="A715" t="s">
        <v>319</v>
      </c>
      <c r="B715" s="86">
        <v>242500357</v>
      </c>
      <c r="C715" s="9">
        <v>45421</v>
      </c>
      <c r="D715" s="87" t="s">
        <v>305</v>
      </c>
      <c r="E715" s="10">
        <v>80000</v>
      </c>
      <c r="F715" s="10">
        <v>0.06</v>
      </c>
      <c r="G715" s="9">
        <v>45478</v>
      </c>
      <c r="H715" s="12">
        <f t="shared" si="11"/>
        <v>4800</v>
      </c>
      <c r="I715" s="10" t="s">
        <v>10</v>
      </c>
      <c r="J715" s="13">
        <v>45425</v>
      </c>
    </row>
    <row r="716" customFormat="1" spans="1:11">
      <c r="A716" t="s">
        <v>319</v>
      </c>
      <c r="B716" s="86">
        <v>242500357</v>
      </c>
      <c r="C716" s="9">
        <v>45421</v>
      </c>
      <c r="D716" s="87" t="s">
        <v>305</v>
      </c>
      <c r="E716" s="10">
        <v>80000</v>
      </c>
      <c r="F716" s="10">
        <v>0.06</v>
      </c>
      <c r="G716" s="9">
        <v>45509</v>
      </c>
      <c r="H716" s="12">
        <f t="shared" si="11"/>
        <v>4800</v>
      </c>
      <c r="I716" s="10" t="s">
        <v>10</v>
      </c>
      <c r="J716" s="13">
        <v>45435</v>
      </c>
    </row>
    <row r="717" customFormat="1" spans="1:11">
      <c r="A717" t="s">
        <v>319</v>
      </c>
      <c r="B717" s="86">
        <v>242500357</v>
      </c>
      <c r="C717" s="9">
        <v>45421</v>
      </c>
      <c r="D717" s="87" t="s">
        <v>305</v>
      </c>
      <c r="E717" s="10">
        <v>80000</v>
      </c>
      <c r="F717" s="10">
        <v>0.06</v>
      </c>
      <c r="G717" s="9">
        <v>45570</v>
      </c>
      <c r="H717" s="12">
        <f t="shared" si="11"/>
        <v>4800</v>
      </c>
      <c r="I717" s="10" t="s">
        <v>10</v>
      </c>
      <c r="J717" s="13">
        <v>45435</v>
      </c>
    </row>
    <row r="718" customFormat="1" spans="1:11">
      <c r="A718" t="s">
        <v>319</v>
      </c>
      <c r="B718" s="86">
        <v>242500365</v>
      </c>
      <c r="C718" s="9">
        <v>45422</v>
      </c>
      <c r="D718" s="87" t="s">
        <v>366</v>
      </c>
      <c r="E718" s="10">
        <v>8000</v>
      </c>
      <c r="F718" s="10">
        <v>0.18</v>
      </c>
      <c r="G718" s="9">
        <v>45422</v>
      </c>
      <c r="H718" s="12">
        <f t="shared" si="11"/>
        <v>1440</v>
      </c>
      <c r="I718" s="10" t="s">
        <v>51</v>
      </c>
      <c r="J718" s="15"/>
    </row>
    <row r="719" customFormat="1" spans="1:11">
      <c r="A719" t="s">
        <v>319</v>
      </c>
      <c r="B719" s="86">
        <v>242500365</v>
      </c>
      <c r="C719" s="9">
        <v>45422</v>
      </c>
      <c r="D719" s="87" t="s">
        <v>367</v>
      </c>
      <c r="E719" s="10">
        <v>1000</v>
      </c>
      <c r="F719" s="10">
        <v>0.5</v>
      </c>
      <c r="G719" s="9">
        <v>45422</v>
      </c>
      <c r="H719" s="12">
        <f t="shared" si="11"/>
        <v>500</v>
      </c>
      <c r="I719" s="10" t="s">
        <v>51</v>
      </c>
      <c r="J719" s="15"/>
    </row>
    <row r="720" customFormat="1" spans="1:11">
      <c r="A720" t="s">
        <v>319</v>
      </c>
      <c r="B720" s="86">
        <v>242500367</v>
      </c>
      <c r="C720" s="9">
        <v>45422</v>
      </c>
      <c r="D720" s="88" t="s">
        <v>226</v>
      </c>
      <c r="E720" s="10">
        <v>150000</v>
      </c>
      <c r="F720" s="10">
        <v>0.08</v>
      </c>
      <c r="G720" s="9">
        <v>45448</v>
      </c>
      <c r="H720" s="12">
        <f t="shared" si="11"/>
        <v>12000</v>
      </c>
      <c r="I720" s="10" t="s">
        <v>10</v>
      </c>
      <c r="J720" s="13">
        <v>45477</v>
      </c>
      <c r="K720" t="s">
        <v>368</v>
      </c>
    </row>
    <row r="721" customFormat="1" spans="1:14">
      <c r="A721" t="s">
        <v>319</v>
      </c>
      <c r="B721" s="86">
        <v>242500367</v>
      </c>
      <c r="C721" s="9">
        <v>45422</v>
      </c>
      <c r="D721" s="88" t="s">
        <v>226</v>
      </c>
      <c r="E721" s="10">
        <v>150000</v>
      </c>
      <c r="F721" s="10">
        <v>0.08</v>
      </c>
      <c r="G721" s="9">
        <v>45478</v>
      </c>
      <c r="H721" s="12">
        <f t="shared" si="11"/>
        <v>12000</v>
      </c>
      <c r="I721" s="10" t="s">
        <v>10</v>
      </c>
      <c r="J721" s="13">
        <v>45477</v>
      </c>
      <c r="K721" t="s">
        <v>368</v>
      </c>
    </row>
    <row r="722" customFormat="1" spans="1:14">
      <c r="A722" t="s">
        <v>319</v>
      </c>
      <c r="B722" s="90">
        <v>242500367</v>
      </c>
      <c r="C722" s="9">
        <v>45422</v>
      </c>
      <c r="D722" s="88" t="s">
        <v>226</v>
      </c>
      <c r="E722" s="10">
        <v>150000</v>
      </c>
      <c r="F722" s="10">
        <v>0.08</v>
      </c>
      <c r="G722" s="9">
        <v>45509</v>
      </c>
      <c r="H722" s="12">
        <f t="shared" si="11"/>
        <v>12000</v>
      </c>
      <c r="I722" s="10" t="s">
        <v>10</v>
      </c>
      <c r="J722" s="13">
        <v>45492</v>
      </c>
      <c r="K722" t="s">
        <v>368</v>
      </c>
    </row>
    <row r="723" customFormat="1" spans="1:14">
      <c r="A723" t="s">
        <v>319</v>
      </c>
      <c r="B723" s="86">
        <v>242500368</v>
      </c>
      <c r="C723" s="9">
        <v>45422</v>
      </c>
      <c r="D723" s="87" t="s">
        <v>321</v>
      </c>
      <c r="E723" s="10">
        <v>40000</v>
      </c>
      <c r="F723" s="10">
        <v>0.03</v>
      </c>
      <c r="G723" s="9">
        <v>45465</v>
      </c>
      <c r="H723" s="12">
        <f t="shared" si="11"/>
        <v>1200</v>
      </c>
      <c r="I723" s="10" t="s">
        <v>10</v>
      </c>
      <c r="J723" s="13">
        <v>45425</v>
      </c>
      <c r="N723">
        <f>5000000*0.03</f>
        <v>150000</v>
      </c>
    </row>
    <row r="724" customFormat="1" spans="1:14">
      <c r="A724" t="s">
        <v>319</v>
      </c>
      <c r="B724" s="86">
        <v>242500368</v>
      </c>
      <c r="C724" s="9">
        <v>45422</v>
      </c>
      <c r="D724" s="87" t="s">
        <v>321</v>
      </c>
      <c r="E724" s="10">
        <v>40000</v>
      </c>
      <c r="F724" s="10">
        <v>0.03</v>
      </c>
      <c r="G724" s="9">
        <v>45495</v>
      </c>
      <c r="H724" s="12">
        <f t="shared" si="11"/>
        <v>1200</v>
      </c>
      <c r="I724" s="10" t="s">
        <v>10</v>
      </c>
      <c r="J724" s="13">
        <v>45425</v>
      </c>
    </row>
    <row r="725" customFormat="1" spans="1:14">
      <c r="A725" t="s">
        <v>319</v>
      </c>
      <c r="B725" s="86">
        <v>242500368</v>
      </c>
      <c r="C725" s="9">
        <v>45422</v>
      </c>
      <c r="D725" s="87" t="s">
        <v>321</v>
      </c>
      <c r="E725" s="10">
        <v>40000</v>
      </c>
      <c r="F725" s="10">
        <v>0.03</v>
      </c>
      <c r="G725" s="9">
        <v>45526</v>
      </c>
      <c r="H725" s="12">
        <f t="shared" si="11"/>
        <v>1200</v>
      </c>
      <c r="I725" s="10" t="s">
        <v>10</v>
      </c>
      <c r="J725" s="13">
        <v>45435</v>
      </c>
    </row>
    <row r="726" customFormat="1" spans="1:14">
      <c r="A726" t="s">
        <v>319</v>
      </c>
      <c r="B726" s="86">
        <v>242500368</v>
      </c>
      <c r="C726" s="9">
        <v>45422</v>
      </c>
      <c r="D726" s="87" t="s">
        <v>321</v>
      </c>
      <c r="E726" s="10">
        <v>20000</v>
      </c>
      <c r="F726" s="10">
        <v>0.03</v>
      </c>
      <c r="G726" s="9">
        <v>45557</v>
      </c>
      <c r="H726" s="12">
        <f t="shared" si="11"/>
        <v>600</v>
      </c>
      <c r="I726" s="10" t="s">
        <v>10</v>
      </c>
      <c r="J726" s="13">
        <v>45435</v>
      </c>
    </row>
    <row r="727" customFormat="1" spans="1:14">
      <c r="A727" t="s">
        <v>319</v>
      </c>
      <c r="B727" s="86">
        <v>242500368</v>
      </c>
      <c r="C727" s="9">
        <v>45422</v>
      </c>
      <c r="D727" s="87" t="s">
        <v>253</v>
      </c>
      <c r="E727" s="10">
        <v>70000</v>
      </c>
      <c r="F727" s="10">
        <v>0.08</v>
      </c>
      <c r="G727" s="9">
        <v>45465</v>
      </c>
      <c r="H727" s="12">
        <f t="shared" si="11"/>
        <v>5600</v>
      </c>
      <c r="I727" s="10" t="s">
        <v>10</v>
      </c>
      <c r="J727" s="13">
        <v>45425</v>
      </c>
    </row>
    <row r="728" customFormat="1" spans="1:14">
      <c r="A728" t="s">
        <v>319</v>
      </c>
      <c r="B728" s="86">
        <v>242500368</v>
      </c>
      <c r="C728" s="9">
        <v>45422</v>
      </c>
      <c r="D728" s="87" t="s">
        <v>253</v>
      </c>
      <c r="E728" s="10">
        <v>80000</v>
      </c>
      <c r="F728" s="10">
        <v>0.08</v>
      </c>
      <c r="G728" s="9">
        <v>45495</v>
      </c>
      <c r="H728" s="12">
        <f t="shared" si="11"/>
        <v>6400</v>
      </c>
      <c r="I728" s="10" t="s">
        <v>10</v>
      </c>
      <c r="J728" s="13">
        <v>45425</v>
      </c>
    </row>
    <row r="729" customFormat="1" spans="1:14">
      <c r="A729" t="s">
        <v>319</v>
      </c>
      <c r="B729" s="86">
        <v>242500368</v>
      </c>
      <c r="C729" s="9">
        <v>45422</v>
      </c>
      <c r="D729" s="87" t="s">
        <v>253</v>
      </c>
      <c r="E729" s="10">
        <v>80000</v>
      </c>
      <c r="F729" s="10">
        <v>0.08</v>
      </c>
      <c r="G729" s="9">
        <v>45526</v>
      </c>
      <c r="H729" s="12">
        <f t="shared" si="11"/>
        <v>6400</v>
      </c>
      <c r="I729" s="10" t="s">
        <v>10</v>
      </c>
      <c r="J729" s="13">
        <v>45435</v>
      </c>
    </row>
    <row r="730" customFormat="1" spans="1:14">
      <c r="A730" t="s">
        <v>319</v>
      </c>
      <c r="B730" s="86">
        <v>242500368</v>
      </c>
      <c r="C730" s="9">
        <v>45422</v>
      </c>
      <c r="D730" s="87" t="s">
        <v>253</v>
      </c>
      <c r="E730" s="10">
        <v>50000</v>
      </c>
      <c r="F730" s="10">
        <v>0.08</v>
      </c>
      <c r="G730" s="9">
        <v>45557</v>
      </c>
      <c r="H730" s="12">
        <f t="shared" si="11"/>
        <v>4000</v>
      </c>
      <c r="I730" s="10" t="s">
        <v>10</v>
      </c>
      <c r="J730" s="13">
        <v>45435</v>
      </c>
    </row>
    <row r="731" customFormat="1" spans="1:14">
      <c r="A731" t="s">
        <v>319</v>
      </c>
      <c r="B731" s="90">
        <v>242500369</v>
      </c>
      <c r="C731" s="9">
        <v>45422</v>
      </c>
      <c r="D731" s="87" t="s">
        <v>257</v>
      </c>
      <c r="E731" s="10">
        <v>60000</v>
      </c>
      <c r="F731" s="10">
        <v>0.01</v>
      </c>
      <c r="G731" s="9">
        <v>45648</v>
      </c>
      <c r="H731" s="12">
        <f t="shared" si="11"/>
        <v>600</v>
      </c>
      <c r="I731" s="10" t="s">
        <v>10</v>
      </c>
      <c r="J731" s="13">
        <v>45492</v>
      </c>
      <c r="K731" t="s">
        <v>369</v>
      </c>
    </row>
    <row r="732" customFormat="1" spans="1:14">
      <c r="A732" t="s">
        <v>319</v>
      </c>
      <c r="B732" s="90">
        <v>242500369</v>
      </c>
      <c r="C732" s="9">
        <v>45422</v>
      </c>
      <c r="D732" s="87" t="s">
        <v>257</v>
      </c>
      <c r="E732" s="10">
        <v>60000</v>
      </c>
      <c r="F732" s="10">
        <v>0.01</v>
      </c>
      <c r="G732" s="9">
        <v>45648</v>
      </c>
      <c r="H732" s="12">
        <f t="shared" si="11"/>
        <v>600</v>
      </c>
      <c r="I732" s="10" t="s">
        <v>10</v>
      </c>
      <c r="J732" s="13">
        <v>45492</v>
      </c>
      <c r="K732" t="s">
        <v>369</v>
      </c>
    </row>
    <row r="733" customFormat="1" spans="1:14">
      <c r="A733" t="s">
        <v>319</v>
      </c>
      <c r="B733" s="90">
        <v>242500369</v>
      </c>
      <c r="C733" s="9">
        <v>45422</v>
      </c>
      <c r="D733" s="87" t="s">
        <v>257</v>
      </c>
      <c r="E733" s="10">
        <v>60000</v>
      </c>
      <c r="F733" s="10">
        <v>0.01</v>
      </c>
      <c r="G733" s="9">
        <v>45648</v>
      </c>
      <c r="H733" s="12">
        <f t="shared" si="11"/>
        <v>600</v>
      </c>
      <c r="I733" s="10" t="s">
        <v>10</v>
      </c>
      <c r="J733" s="13">
        <v>45492</v>
      </c>
      <c r="K733" t="s">
        <v>369</v>
      </c>
    </row>
    <row r="734" customFormat="1" spans="1:14">
      <c r="A734" t="s">
        <v>319</v>
      </c>
      <c r="B734" s="86">
        <v>242500379</v>
      </c>
      <c r="C734" s="9">
        <v>45422</v>
      </c>
      <c r="D734" s="87" t="s">
        <v>210</v>
      </c>
      <c r="E734" s="10">
        <v>52000</v>
      </c>
      <c r="F734" s="10">
        <v>0.024</v>
      </c>
      <c r="G734" s="9">
        <v>45448</v>
      </c>
      <c r="H734" s="12">
        <f t="shared" si="11"/>
        <v>1248</v>
      </c>
      <c r="I734" s="10" t="s">
        <v>10</v>
      </c>
      <c r="J734" s="13">
        <v>45454</v>
      </c>
    </row>
    <row r="735" customFormat="1" spans="1:14">
      <c r="A735" t="s">
        <v>319</v>
      </c>
      <c r="B735" s="86">
        <v>242500379</v>
      </c>
      <c r="C735" s="9">
        <v>45422</v>
      </c>
      <c r="D735" s="87" t="s">
        <v>210</v>
      </c>
      <c r="E735" s="10">
        <v>48000</v>
      </c>
      <c r="F735" s="10">
        <v>0.024</v>
      </c>
      <c r="G735" s="9">
        <v>45478</v>
      </c>
      <c r="H735" s="12">
        <f t="shared" si="11"/>
        <v>1152</v>
      </c>
      <c r="I735" s="10" t="s">
        <v>10</v>
      </c>
      <c r="J735" s="13">
        <v>45454</v>
      </c>
    </row>
    <row r="736" customFormat="1" spans="1:14">
      <c r="A736" t="s">
        <v>319</v>
      </c>
      <c r="B736" s="86">
        <v>242500411</v>
      </c>
      <c r="C736" s="9">
        <v>45426</v>
      </c>
      <c r="D736" s="87" t="s">
        <v>274</v>
      </c>
      <c r="E736" s="10">
        <v>140000</v>
      </c>
      <c r="F736" s="10">
        <v>0.028</v>
      </c>
      <c r="G736" s="9">
        <v>45495</v>
      </c>
      <c r="H736" s="12">
        <f t="shared" si="11"/>
        <v>3920</v>
      </c>
      <c r="I736" s="10" t="s">
        <v>10</v>
      </c>
      <c r="J736" s="13">
        <v>45443</v>
      </c>
      <c r="K736" t="s">
        <v>333</v>
      </c>
    </row>
    <row r="737" customFormat="1" spans="1:11">
      <c r="A737" t="s">
        <v>319</v>
      </c>
      <c r="B737" s="86">
        <v>242500411</v>
      </c>
      <c r="C737" s="9">
        <v>45426</v>
      </c>
      <c r="D737" s="87" t="s">
        <v>274</v>
      </c>
      <c r="E737" s="10">
        <v>140000</v>
      </c>
      <c r="F737" s="10">
        <v>0.028</v>
      </c>
      <c r="G737" s="9">
        <v>45526</v>
      </c>
      <c r="H737" s="12">
        <f t="shared" si="11"/>
        <v>3920</v>
      </c>
      <c r="I737" s="10" t="s">
        <v>10</v>
      </c>
      <c r="J737" s="13">
        <v>45443</v>
      </c>
      <c r="K737" t="s">
        <v>338</v>
      </c>
    </row>
    <row r="738" customFormat="1" spans="1:11">
      <c r="A738" t="s">
        <v>319</v>
      </c>
      <c r="B738" s="86">
        <v>242500411</v>
      </c>
      <c r="C738" s="9">
        <v>45426</v>
      </c>
      <c r="D738" s="87" t="s">
        <v>274</v>
      </c>
      <c r="E738" s="10">
        <v>140000</v>
      </c>
      <c r="F738" s="10">
        <v>0.028</v>
      </c>
      <c r="G738" s="9">
        <v>45557</v>
      </c>
      <c r="H738" s="12">
        <f t="shared" si="11"/>
        <v>3920</v>
      </c>
      <c r="I738" s="10" t="s">
        <v>10</v>
      </c>
      <c r="J738" s="13">
        <v>45443</v>
      </c>
      <c r="K738" t="s">
        <v>338</v>
      </c>
    </row>
    <row r="739" customFormat="1" spans="1:11">
      <c r="A739" t="s">
        <v>319</v>
      </c>
      <c r="B739" s="86">
        <v>242500411</v>
      </c>
      <c r="C739" s="9">
        <v>45426</v>
      </c>
      <c r="D739" s="87" t="s">
        <v>273</v>
      </c>
      <c r="E739" s="10">
        <v>60000</v>
      </c>
      <c r="F739" s="10">
        <v>0.028</v>
      </c>
      <c r="G739" s="9">
        <v>45495</v>
      </c>
      <c r="H739" s="12">
        <f t="shared" si="11"/>
        <v>1680</v>
      </c>
      <c r="I739" s="10" t="s">
        <v>10</v>
      </c>
      <c r="J739" s="13">
        <v>45443</v>
      </c>
      <c r="K739" t="s">
        <v>333</v>
      </c>
    </row>
    <row r="740" customFormat="1" spans="1:11">
      <c r="A740" t="s">
        <v>319</v>
      </c>
      <c r="B740" s="86">
        <v>242500411</v>
      </c>
      <c r="C740" s="9">
        <v>45426</v>
      </c>
      <c r="D740" s="87" t="s">
        <v>273</v>
      </c>
      <c r="E740" s="10">
        <v>60000</v>
      </c>
      <c r="F740" s="10">
        <v>0.028</v>
      </c>
      <c r="G740" s="9">
        <v>45526</v>
      </c>
      <c r="H740" s="12">
        <f t="shared" si="11"/>
        <v>1680</v>
      </c>
      <c r="I740" s="10" t="s">
        <v>10</v>
      </c>
      <c r="J740" s="13">
        <v>45443</v>
      </c>
      <c r="K740" t="s">
        <v>338</v>
      </c>
    </row>
    <row r="741" customFormat="1" spans="1:11">
      <c r="A741" t="s">
        <v>319</v>
      </c>
      <c r="B741" s="86">
        <v>242500411</v>
      </c>
      <c r="C741" s="9">
        <v>45426</v>
      </c>
      <c r="D741" s="87" t="s">
        <v>273</v>
      </c>
      <c r="E741" s="10">
        <v>60000</v>
      </c>
      <c r="F741" s="10">
        <v>0.028</v>
      </c>
      <c r="G741" s="9">
        <v>45557</v>
      </c>
      <c r="H741" s="12">
        <f t="shared" si="11"/>
        <v>1680</v>
      </c>
      <c r="I741" s="10" t="s">
        <v>10</v>
      </c>
      <c r="J741" s="13">
        <v>45443</v>
      </c>
      <c r="K741" t="s">
        <v>338</v>
      </c>
    </row>
    <row r="742" customFormat="1" spans="1:11">
      <c r="A742" t="s">
        <v>319</v>
      </c>
      <c r="B742" s="86">
        <v>242500411</v>
      </c>
      <c r="C742" s="9">
        <v>45426</v>
      </c>
      <c r="D742" s="87" t="s">
        <v>256</v>
      </c>
      <c r="E742" s="10">
        <v>180000</v>
      </c>
      <c r="F742" s="10">
        <v>0.0292</v>
      </c>
      <c r="G742" s="9">
        <v>45465</v>
      </c>
      <c r="H742" s="12">
        <f t="shared" si="11"/>
        <v>5256</v>
      </c>
      <c r="I742" s="10" t="s">
        <v>10</v>
      </c>
      <c r="J742" s="13">
        <v>45443</v>
      </c>
      <c r="K742" t="s">
        <v>333</v>
      </c>
    </row>
    <row r="743" customFormat="1" spans="1:11">
      <c r="A743" t="s">
        <v>319</v>
      </c>
      <c r="B743" s="86">
        <v>242500411</v>
      </c>
      <c r="C743" s="9">
        <v>45426</v>
      </c>
      <c r="D743" s="87" t="s">
        <v>256</v>
      </c>
      <c r="E743" s="10">
        <v>180000</v>
      </c>
      <c r="F743" s="10">
        <v>0.0292</v>
      </c>
      <c r="G743" s="9">
        <v>45495</v>
      </c>
      <c r="H743" s="12">
        <f t="shared" si="11"/>
        <v>5256</v>
      </c>
      <c r="I743" s="10" t="s">
        <v>10</v>
      </c>
      <c r="J743" s="13">
        <v>45443</v>
      </c>
      <c r="K743" t="s">
        <v>333</v>
      </c>
    </row>
    <row r="744" customFormat="1" spans="1:11">
      <c r="A744" t="s">
        <v>319</v>
      </c>
      <c r="B744" s="86">
        <v>242500411</v>
      </c>
      <c r="C744" s="9">
        <v>45426</v>
      </c>
      <c r="D744" s="87" t="s">
        <v>256</v>
      </c>
      <c r="E744" s="10">
        <v>180000</v>
      </c>
      <c r="F744" s="10">
        <v>0.0292</v>
      </c>
      <c r="G744" s="9">
        <v>45526</v>
      </c>
      <c r="H744" s="12">
        <f t="shared" si="11"/>
        <v>5256</v>
      </c>
      <c r="I744" s="10" t="s">
        <v>10</v>
      </c>
      <c r="J744" s="13">
        <v>45443</v>
      </c>
      <c r="K744" t="s">
        <v>333</v>
      </c>
    </row>
    <row r="745" customFormat="1" spans="1:11">
      <c r="A745" t="s">
        <v>319</v>
      </c>
      <c r="B745" s="86">
        <v>242500412</v>
      </c>
      <c r="C745" s="9">
        <v>45426</v>
      </c>
      <c r="D745" s="87" t="s">
        <v>255</v>
      </c>
      <c r="E745" s="10">
        <v>200000</v>
      </c>
      <c r="F745" s="10">
        <v>0.0238</v>
      </c>
      <c r="G745" s="9">
        <v>45465</v>
      </c>
      <c r="H745" s="12">
        <f t="shared" si="11"/>
        <v>4760</v>
      </c>
      <c r="I745" s="10" t="s">
        <v>10</v>
      </c>
      <c r="J745" s="13">
        <v>45449</v>
      </c>
    </row>
    <row r="746" customFormat="1" spans="1:11">
      <c r="A746" t="s">
        <v>319</v>
      </c>
      <c r="B746" s="86">
        <v>242500412</v>
      </c>
      <c r="C746" s="9">
        <v>45426</v>
      </c>
      <c r="D746" s="87" t="s">
        <v>255</v>
      </c>
      <c r="E746" s="10">
        <v>300000</v>
      </c>
      <c r="F746" s="10">
        <v>0.0238</v>
      </c>
      <c r="G746" s="9">
        <v>45495</v>
      </c>
      <c r="H746" s="12">
        <f t="shared" si="11"/>
        <v>7140</v>
      </c>
      <c r="I746" s="10" t="s">
        <v>10</v>
      </c>
      <c r="J746" s="13">
        <v>45449</v>
      </c>
    </row>
    <row r="747" customFormat="1" spans="1:11">
      <c r="A747" t="s">
        <v>319</v>
      </c>
      <c r="B747" s="86">
        <v>242500412</v>
      </c>
      <c r="C747" s="9">
        <v>45426</v>
      </c>
      <c r="D747" s="87" t="s">
        <v>255</v>
      </c>
      <c r="E747" s="10">
        <v>300000</v>
      </c>
      <c r="F747" s="10">
        <v>0.0238</v>
      </c>
      <c r="G747" s="9">
        <v>45526</v>
      </c>
      <c r="H747" s="12">
        <f t="shared" si="11"/>
        <v>7140</v>
      </c>
      <c r="I747" s="10" t="s">
        <v>10</v>
      </c>
      <c r="J747" s="13">
        <v>45449</v>
      </c>
    </row>
    <row r="748" customFormat="1" spans="1:11">
      <c r="A748" t="s">
        <v>319</v>
      </c>
      <c r="B748" s="86">
        <v>242500412</v>
      </c>
      <c r="C748" s="9">
        <v>45426</v>
      </c>
      <c r="D748" s="87" t="s">
        <v>255</v>
      </c>
      <c r="E748" s="10">
        <v>300000</v>
      </c>
      <c r="F748" s="10">
        <v>0.0238</v>
      </c>
      <c r="G748" s="9">
        <v>45557</v>
      </c>
      <c r="H748" s="12">
        <f t="shared" si="11"/>
        <v>7140</v>
      </c>
      <c r="I748" s="10" t="s">
        <v>10</v>
      </c>
      <c r="J748" s="13">
        <v>45449</v>
      </c>
    </row>
    <row r="749" customFormat="1" spans="1:11">
      <c r="A749" t="s">
        <v>319</v>
      </c>
      <c r="B749" s="86">
        <v>242500412</v>
      </c>
      <c r="C749" s="9">
        <v>45426</v>
      </c>
      <c r="D749" s="87" t="s">
        <v>275</v>
      </c>
      <c r="E749" s="10">
        <v>72000</v>
      </c>
      <c r="F749" s="10">
        <v>0.0145</v>
      </c>
      <c r="G749" s="9">
        <v>45495</v>
      </c>
      <c r="H749" s="12">
        <f t="shared" si="11"/>
        <v>1044</v>
      </c>
      <c r="I749" s="10" t="s">
        <v>10</v>
      </c>
      <c r="J749" s="13">
        <v>45449</v>
      </c>
    </row>
    <row r="750" customFormat="1" spans="1:11">
      <c r="A750" t="s">
        <v>319</v>
      </c>
      <c r="B750" s="86">
        <v>242500412</v>
      </c>
      <c r="C750" s="9">
        <v>45426</v>
      </c>
      <c r="D750" s="87" t="s">
        <v>275</v>
      </c>
      <c r="E750" s="10">
        <v>69000</v>
      </c>
      <c r="F750" s="10">
        <v>0.0145</v>
      </c>
      <c r="G750" s="9">
        <v>45526</v>
      </c>
      <c r="H750" s="12">
        <f t="shared" si="11"/>
        <v>1000.5</v>
      </c>
      <c r="I750" s="10" t="s">
        <v>10</v>
      </c>
      <c r="J750" s="13">
        <v>45449</v>
      </c>
    </row>
    <row r="751" customFormat="1" spans="1:11">
      <c r="A751" t="s">
        <v>319</v>
      </c>
      <c r="B751" s="86">
        <v>242500412</v>
      </c>
      <c r="C751" s="9">
        <v>45426</v>
      </c>
      <c r="D751" s="97" t="s">
        <v>231</v>
      </c>
      <c r="E751" s="10">
        <v>201000</v>
      </c>
      <c r="F751" s="10">
        <v>0.0082</v>
      </c>
      <c r="G751" s="9">
        <v>45465</v>
      </c>
      <c r="H751" s="12">
        <f t="shared" si="11"/>
        <v>1648.2</v>
      </c>
      <c r="I751" s="10" t="s">
        <v>10</v>
      </c>
      <c r="J751" s="13">
        <v>45449</v>
      </c>
    </row>
    <row r="752" customFormat="1" spans="1:11">
      <c r="A752" t="s">
        <v>319</v>
      </c>
      <c r="B752" s="86">
        <v>242500412</v>
      </c>
      <c r="C752" s="9">
        <v>45426</v>
      </c>
      <c r="D752" s="97" t="s">
        <v>231</v>
      </c>
      <c r="E752" s="10">
        <v>201000</v>
      </c>
      <c r="F752" s="10">
        <v>0.0082</v>
      </c>
      <c r="G752" s="9">
        <v>45495</v>
      </c>
      <c r="H752" s="12">
        <f t="shared" si="11"/>
        <v>1648.2</v>
      </c>
      <c r="I752" s="10" t="s">
        <v>10</v>
      </c>
      <c r="J752" s="13">
        <v>45449</v>
      </c>
    </row>
    <row r="753" customFormat="1" spans="1:10">
      <c r="A753" t="s">
        <v>319</v>
      </c>
      <c r="B753" s="86">
        <v>242500412</v>
      </c>
      <c r="C753" s="9">
        <v>45426</v>
      </c>
      <c r="D753" s="97" t="s">
        <v>231</v>
      </c>
      <c r="E753" s="10">
        <v>201000</v>
      </c>
      <c r="F753" s="10">
        <v>0.0082</v>
      </c>
      <c r="G753" s="9">
        <v>45526</v>
      </c>
      <c r="H753" s="12">
        <f t="shared" si="11"/>
        <v>1648.2</v>
      </c>
      <c r="I753" s="10" t="s">
        <v>10</v>
      </c>
      <c r="J753" s="13">
        <v>45449</v>
      </c>
    </row>
    <row r="754" customFormat="1" spans="1:10">
      <c r="A754" t="s">
        <v>319</v>
      </c>
      <c r="B754" s="86">
        <v>242500412</v>
      </c>
      <c r="C754" s="9">
        <v>45426</v>
      </c>
      <c r="D754" s="97" t="s">
        <v>231</v>
      </c>
      <c r="E754" s="10">
        <v>201000</v>
      </c>
      <c r="F754" s="10">
        <v>0.0082</v>
      </c>
      <c r="G754" s="9">
        <v>45557</v>
      </c>
      <c r="H754" s="12">
        <f t="shared" si="11"/>
        <v>1648.2</v>
      </c>
      <c r="I754" s="10" t="s">
        <v>10</v>
      </c>
      <c r="J754" s="13">
        <v>45449</v>
      </c>
    </row>
    <row r="755" customFormat="1" spans="1:10">
      <c r="A755" t="s">
        <v>319</v>
      </c>
      <c r="B755" s="86">
        <v>242500435</v>
      </c>
      <c r="C755" s="9">
        <v>45427</v>
      </c>
      <c r="D755" s="87" t="s">
        <v>370</v>
      </c>
      <c r="E755" s="10">
        <v>24000</v>
      </c>
      <c r="F755" s="10">
        <v>0.03</v>
      </c>
      <c r="G755" s="9">
        <v>45478</v>
      </c>
      <c r="H755" s="12">
        <f t="shared" si="11"/>
        <v>720</v>
      </c>
      <c r="I755" s="10" t="s">
        <v>10</v>
      </c>
      <c r="J755" s="13" t="s">
        <v>325</v>
      </c>
    </row>
    <row r="756" customFormat="1" spans="1:10">
      <c r="A756" t="s">
        <v>319</v>
      </c>
      <c r="B756" s="86">
        <v>242500486</v>
      </c>
      <c r="C756" s="9">
        <v>45433</v>
      </c>
      <c r="D756" s="87" t="s">
        <v>371</v>
      </c>
      <c r="E756" s="10">
        <v>10000</v>
      </c>
      <c r="F756" s="10">
        <v>0.11</v>
      </c>
      <c r="G756" s="9">
        <v>45434</v>
      </c>
      <c r="H756" s="12">
        <f t="shared" si="11"/>
        <v>1100</v>
      </c>
      <c r="I756" s="10" t="s">
        <v>10</v>
      </c>
      <c r="J756" s="13">
        <v>45449</v>
      </c>
    </row>
    <row r="757" customFormat="1" spans="1:10">
      <c r="A757" t="s">
        <v>319</v>
      </c>
      <c r="B757" s="86">
        <v>242500486</v>
      </c>
      <c r="C757" s="9">
        <v>45433</v>
      </c>
      <c r="D757" s="10" t="s">
        <v>95</v>
      </c>
      <c r="E757" s="10">
        <v>20400</v>
      </c>
      <c r="F757" s="10">
        <v>0.063</v>
      </c>
      <c r="G757" s="9">
        <v>45434</v>
      </c>
      <c r="H757" s="12">
        <f t="shared" si="11"/>
        <v>1285.2</v>
      </c>
      <c r="I757" s="10" t="s">
        <v>10</v>
      </c>
      <c r="J757" s="13">
        <v>45457</v>
      </c>
    </row>
    <row r="758" customFormat="1" spans="1:10">
      <c r="A758" t="s">
        <v>319</v>
      </c>
      <c r="B758" s="86">
        <v>242500487</v>
      </c>
      <c r="C758" s="9">
        <v>45433</v>
      </c>
      <c r="D758" s="10" t="s">
        <v>286</v>
      </c>
      <c r="E758" s="10">
        <v>24000</v>
      </c>
      <c r="F758" s="10">
        <v>0.0235</v>
      </c>
      <c r="G758" s="9">
        <v>45509</v>
      </c>
      <c r="H758" s="12">
        <f t="shared" si="11"/>
        <v>564</v>
      </c>
      <c r="I758" s="10" t="s">
        <v>10</v>
      </c>
      <c r="J758" s="13">
        <v>45449</v>
      </c>
    </row>
    <row r="759" customFormat="1" spans="1:10">
      <c r="A759" t="s">
        <v>319</v>
      </c>
      <c r="B759" s="86">
        <v>242500487</v>
      </c>
      <c r="C759" s="9">
        <v>45433</v>
      </c>
      <c r="D759" s="10" t="s">
        <v>288</v>
      </c>
      <c r="E759" s="10">
        <v>24000</v>
      </c>
      <c r="F759" s="10">
        <v>0.022</v>
      </c>
      <c r="G759" s="9">
        <v>45509</v>
      </c>
      <c r="H759" s="12">
        <f t="shared" si="11"/>
        <v>528</v>
      </c>
      <c r="I759" s="10" t="s">
        <v>10</v>
      </c>
      <c r="J759" s="13">
        <v>45449</v>
      </c>
    </row>
    <row r="760" customFormat="1" spans="1:10">
      <c r="A760" t="s">
        <v>319</v>
      </c>
      <c r="B760" s="86">
        <v>242500487</v>
      </c>
      <c r="C760" s="9">
        <v>45433</v>
      </c>
      <c r="D760" s="10" t="s">
        <v>285</v>
      </c>
      <c r="E760" s="10">
        <v>24000</v>
      </c>
      <c r="F760" s="10">
        <v>0.02</v>
      </c>
      <c r="G760" s="9">
        <v>45509</v>
      </c>
      <c r="H760" s="12">
        <f t="shared" si="11"/>
        <v>480</v>
      </c>
      <c r="I760" s="10" t="s">
        <v>10</v>
      </c>
      <c r="J760" s="13">
        <v>45449</v>
      </c>
    </row>
    <row r="761" customFormat="1" spans="1:10">
      <c r="A761" t="s">
        <v>319</v>
      </c>
      <c r="B761" s="86">
        <v>242500487</v>
      </c>
      <c r="C761" s="9">
        <v>45433</v>
      </c>
      <c r="D761" s="10" t="s">
        <v>287</v>
      </c>
      <c r="E761" s="10">
        <v>20000</v>
      </c>
      <c r="F761" s="10">
        <v>0.018</v>
      </c>
      <c r="G761" s="9">
        <v>45509</v>
      </c>
      <c r="H761" s="12">
        <f t="shared" si="11"/>
        <v>360</v>
      </c>
      <c r="I761" s="10" t="s">
        <v>10</v>
      </c>
      <c r="J761" s="13">
        <v>45449</v>
      </c>
    </row>
    <row r="762" customFormat="1" spans="1:10">
      <c r="A762" t="s">
        <v>319</v>
      </c>
      <c r="B762" s="92">
        <v>242500490</v>
      </c>
      <c r="C762" s="54">
        <v>45432</v>
      </c>
      <c r="D762" s="56" t="s">
        <v>372</v>
      </c>
      <c r="E762" s="56">
        <v>100000</v>
      </c>
      <c r="F762" s="56">
        <v>0.015</v>
      </c>
      <c r="G762" s="54">
        <v>45434</v>
      </c>
      <c r="H762" s="58">
        <f t="shared" si="11"/>
        <v>1500</v>
      </c>
      <c r="I762" s="56" t="s">
        <v>317</v>
      </c>
      <c r="J762" s="15" t="s">
        <v>325</v>
      </c>
    </row>
    <row r="763" customFormat="1" spans="1:10">
      <c r="A763" t="s">
        <v>319</v>
      </c>
      <c r="B763" s="86">
        <v>242500498</v>
      </c>
      <c r="C763" s="9">
        <v>45434</v>
      </c>
      <c r="D763" s="10" t="s">
        <v>282</v>
      </c>
      <c r="E763" s="10">
        <v>60000</v>
      </c>
      <c r="F763" s="10">
        <v>0.032</v>
      </c>
      <c r="G763" s="9">
        <v>45434</v>
      </c>
      <c r="H763" s="12">
        <f t="shared" si="11"/>
        <v>1920</v>
      </c>
      <c r="I763" s="10" t="s">
        <v>10</v>
      </c>
      <c r="J763" s="13">
        <v>45443</v>
      </c>
    </row>
    <row r="764" customFormat="1" spans="1:10">
      <c r="A764" t="s">
        <v>319</v>
      </c>
      <c r="B764" s="86">
        <v>242500498</v>
      </c>
      <c r="C764" s="9">
        <v>45434</v>
      </c>
      <c r="D764" s="10" t="s">
        <v>282</v>
      </c>
      <c r="E764" s="10">
        <v>30000</v>
      </c>
      <c r="F764" s="10">
        <v>0.032</v>
      </c>
      <c r="G764" s="9">
        <v>45448</v>
      </c>
      <c r="H764" s="12">
        <f t="shared" si="11"/>
        <v>960</v>
      </c>
      <c r="I764" s="10" t="s">
        <v>10</v>
      </c>
      <c r="J764" s="13">
        <v>45443</v>
      </c>
    </row>
    <row r="765" customFormat="1" spans="1:10">
      <c r="A765" t="s">
        <v>319</v>
      </c>
      <c r="B765" s="86">
        <v>242500498</v>
      </c>
      <c r="C765" s="9">
        <v>45434</v>
      </c>
      <c r="D765" s="10" t="s">
        <v>282</v>
      </c>
      <c r="E765" s="10">
        <v>30000</v>
      </c>
      <c r="F765" s="10">
        <v>0.032</v>
      </c>
      <c r="G765" s="9">
        <v>45478</v>
      </c>
      <c r="H765" s="12">
        <f t="shared" si="11"/>
        <v>960</v>
      </c>
      <c r="I765" s="10" t="s">
        <v>10</v>
      </c>
      <c r="J765" s="13">
        <v>45443</v>
      </c>
    </row>
    <row r="766" customFormat="1" spans="1:10">
      <c r="B766" s="86">
        <v>242500510</v>
      </c>
      <c r="C766" s="9">
        <v>45434</v>
      </c>
      <c r="D766" s="10" t="s">
        <v>373</v>
      </c>
      <c r="E766" s="10">
        <v>99000</v>
      </c>
      <c r="F766" s="10">
        <v>0.03</v>
      </c>
      <c r="G766" s="9">
        <v>45434</v>
      </c>
      <c r="H766" s="12">
        <f t="shared" si="11"/>
        <v>2970</v>
      </c>
      <c r="I766" s="10" t="s">
        <v>10</v>
      </c>
      <c r="J766" s="15" t="s">
        <v>325</v>
      </c>
    </row>
    <row r="767" customFormat="1" spans="1:10">
      <c r="B767" s="86">
        <v>242500510</v>
      </c>
      <c r="C767" s="9">
        <v>45434</v>
      </c>
      <c r="D767" s="10" t="s">
        <v>373</v>
      </c>
      <c r="E767" s="10">
        <v>99000</v>
      </c>
      <c r="F767" s="10">
        <v>0.03</v>
      </c>
      <c r="G767" s="9">
        <v>45465</v>
      </c>
      <c r="H767" s="12">
        <f t="shared" si="11"/>
        <v>2970</v>
      </c>
      <c r="I767" s="10" t="s">
        <v>10</v>
      </c>
      <c r="J767" s="15" t="s">
        <v>325</v>
      </c>
    </row>
    <row r="768" customFormat="1" spans="1:10">
      <c r="B768" s="86">
        <v>242500512</v>
      </c>
      <c r="C768" s="9">
        <v>45434</v>
      </c>
      <c r="D768" s="10" t="s">
        <v>164</v>
      </c>
      <c r="E768" s="10">
        <v>30000</v>
      </c>
      <c r="F768" s="10">
        <v>0.0106</v>
      </c>
      <c r="G768" s="9">
        <v>45435</v>
      </c>
      <c r="H768" s="12">
        <f t="shared" si="11"/>
        <v>318</v>
      </c>
      <c r="I768" s="10" t="s">
        <v>10</v>
      </c>
      <c r="J768" s="15" t="s">
        <v>325</v>
      </c>
    </row>
    <row r="769" customFormat="1" spans="1:10">
      <c r="B769" s="86">
        <v>242500512</v>
      </c>
      <c r="C769" s="9">
        <v>45434</v>
      </c>
      <c r="D769" s="10" t="s">
        <v>164</v>
      </c>
      <c r="E769" s="10">
        <v>18000</v>
      </c>
      <c r="F769" s="10">
        <v>0.0106</v>
      </c>
      <c r="G769" s="9">
        <v>45478</v>
      </c>
      <c r="H769" s="12">
        <f t="shared" si="11"/>
        <v>190.8</v>
      </c>
      <c r="I769" s="10" t="s">
        <v>10</v>
      </c>
      <c r="J769" s="15" t="s">
        <v>325</v>
      </c>
    </row>
    <row r="770" customFormat="1" spans="1:10">
      <c r="A770" t="s">
        <v>319</v>
      </c>
      <c r="B770" s="86">
        <v>242500513</v>
      </c>
      <c r="C770" s="9">
        <v>45435</v>
      </c>
      <c r="D770" s="87" t="s">
        <v>216</v>
      </c>
      <c r="E770" s="10">
        <v>40000</v>
      </c>
      <c r="F770" s="10">
        <v>0.045</v>
      </c>
      <c r="G770" s="9">
        <v>45540</v>
      </c>
      <c r="H770" s="12">
        <f t="shared" ref="H770:H833" si="12">E770*F770</f>
        <v>1800</v>
      </c>
      <c r="I770" s="10" t="s">
        <v>10</v>
      </c>
      <c r="J770" s="13">
        <v>45463</v>
      </c>
    </row>
    <row r="771" customFormat="1" spans="1:10">
      <c r="A771" t="s">
        <v>319</v>
      </c>
      <c r="B771" s="86">
        <v>242500513</v>
      </c>
      <c r="C771" s="9">
        <v>45435</v>
      </c>
      <c r="D771" s="87" t="s">
        <v>243</v>
      </c>
      <c r="E771" s="10">
        <v>100000</v>
      </c>
      <c r="F771" s="10">
        <v>0.022</v>
      </c>
      <c r="G771" s="9">
        <v>45448</v>
      </c>
      <c r="H771" s="12">
        <f t="shared" si="12"/>
        <v>2200</v>
      </c>
      <c r="I771" s="10" t="s">
        <v>10</v>
      </c>
      <c r="J771" s="13">
        <v>45463</v>
      </c>
    </row>
    <row r="772" customFormat="1" spans="1:10">
      <c r="A772" t="s">
        <v>319</v>
      </c>
      <c r="B772" s="86">
        <v>242500513</v>
      </c>
      <c r="C772" s="9">
        <v>45435</v>
      </c>
      <c r="D772" s="87" t="s">
        <v>243</v>
      </c>
      <c r="E772" s="10">
        <v>100000</v>
      </c>
      <c r="F772" s="10">
        <v>0.022</v>
      </c>
      <c r="G772" s="9">
        <v>45478</v>
      </c>
      <c r="H772" s="12">
        <f t="shared" si="12"/>
        <v>2200</v>
      </c>
      <c r="I772" s="10" t="s">
        <v>10</v>
      </c>
      <c r="J772" s="13">
        <v>45463</v>
      </c>
    </row>
    <row r="773" customFormat="1" spans="1:10">
      <c r="A773" t="s">
        <v>319</v>
      </c>
      <c r="B773" s="86">
        <v>242500513</v>
      </c>
      <c r="C773" s="9">
        <v>45435</v>
      </c>
      <c r="D773" s="87" t="s">
        <v>243</v>
      </c>
      <c r="E773" s="10">
        <v>100000</v>
      </c>
      <c r="F773" s="10">
        <v>0.022</v>
      </c>
      <c r="G773" s="9">
        <v>45570</v>
      </c>
      <c r="H773" s="12">
        <f t="shared" si="12"/>
        <v>2200</v>
      </c>
      <c r="I773" s="10" t="s">
        <v>10</v>
      </c>
      <c r="J773" s="13">
        <v>45463</v>
      </c>
    </row>
    <row r="774" customFormat="1" spans="1:10">
      <c r="A774" t="s">
        <v>319</v>
      </c>
      <c r="B774" s="86">
        <v>242500513</v>
      </c>
      <c r="C774" s="9">
        <v>45435</v>
      </c>
      <c r="D774" s="87" t="s">
        <v>243</v>
      </c>
      <c r="E774" s="10">
        <v>100000</v>
      </c>
      <c r="F774" s="10">
        <v>0.022</v>
      </c>
      <c r="G774" s="9">
        <v>45601</v>
      </c>
      <c r="H774" s="12">
        <f t="shared" si="12"/>
        <v>2200</v>
      </c>
      <c r="I774" s="10" t="s">
        <v>10</v>
      </c>
      <c r="J774" s="13">
        <v>45463</v>
      </c>
    </row>
    <row r="775" customFormat="1" spans="1:10">
      <c r="A775" t="s">
        <v>319</v>
      </c>
      <c r="B775" s="86">
        <v>242500513</v>
      </c>
      <c r="C775" s="9">
        <v>45435</v>
      </c>
      <c r="D775" s="87" t="s">
        <v>225</v>
      </c>
      <c r="E775" s="10">
        <v>40000</v>
      </c>
      <c r="F775" s="10">
        <v>0.041</v>
      </c>
      <c r="G775" s="9">
        <v>45448</v>
      </c>
      <c r="H775" s="12">
        <f t="shared" si="12"/>
        <v>1640</v>
      </c>
      <c r="I775" s="10" t="s">
        <v>10</v>
      </c>
      <c r="J775" s="13">
        <v>45463</v>
      </c>
    </row>
    <row r="776" customFormat="1" spans="1:10">
      <c r="A776" t="s">
        <v>319</v>
      </c>
      <c r="B776" s="86">
        <v>242500513</v>
      </c>
      <c r="C776" s="9">
        <v>45435</v>
      </c>
      <c r="D776" s="87" t="s">
        <v>225</v>
      </c>
      <c r="E776" s="10">
        <v>40000</v>
      </c>
      <c r="F776" s="10">
        <v>0.041</v>
      </c>
      <c r="G776" s="9">
        <v>45478</v>
      </c>
      <c r="H776" s="12">
        <f t="shared" si="12"/>
        <v>1640</v>
      </c>
      <c r="I776" s="10" t="s">
        <v>10</v>
      </c>
      <c r="J776" s="13">
        <v>45463</v>
      </c>
    </row>
    <row r="777" customFormat="1" spans="1:10">
      <c r="A777" t="s">
        <v>319</v>
      </c>
      <c r="B777" s="86">
        <v>242500513</v>
      </c>
      <c r="C777" s="9">
        <v>45435</v>
      </c>
      <c r="D777" s="87" t="s">
        <v>225</v>
      </c>
      <c r="E777" s="10">
        <v>40000</v>
      </c>
      <c r="F777" s="10">
        <v>0.041</v>
      </c>
      <c r="G777" s="9">
        <v>45540</v>
      </c>
      <c r="H777" s="12">
        <f t="shared" si="12"/>
        <v>1640</v>
      </c>
      <c r="I777" s="10" t="s">
        <v>10</v>
      </c>
      <c r="J777" s="13">
        <v>45463</v>
      </c>
    </row>
    <row r="778" customFormat="1" spans="1:10">
      <c r="A778" t="s">
        <v>319</v>
      </c>
      <c r="B778" s="86">
        <v>242500513</v>
      </c>
      <c r="C778" s="9">
        <v>45435</v>
      </c>
      <c r="D778" s="87" t="s">
        <v>322</v>
      </c>
      <c r="E778" s="10">
        <v>64000</v>
      </c>
      <c r="F778" s="10">
        <v>0.015</v>
      </c>
      <c r="G778" s="9">
        <v>45495</v>
      </c>
      <c r="H778" s="12">
        <f t="shared" si="12"/>
        <v>960</v>
      </c>
      <c r="I778" s="10" t="s">
        <v>10</v>
      </c>
      <c r="J778" s="13">
        <v>45463</v>
      </c>
    </row>
    <row r="779" customFormat="1" spans="1:10">
      <c r="A779" t="s">
        <v>319</v>
      </c>
      <c r="B779" s="86">
        <v>242500513</v>
      </c>
      <c r="C779" s="9">
        <v>45435</v>
      </c>
      <c r="D779" s="87" t="s">
        <v>322</v>
      </c>
      <c r="E779" s="10">
        <v>64000</v>
      </c>
      <c r="F779" s="10">
        <v>0.015</v>
      </c>
      <c r="G779" s="9">
        <v>45526</v>
      </c>
      <c r="H779" s="12">
        <f t="shared" si="12"/>
        <v>960</v>
      </c>
      <c r="I779" s="10" t="s">
        <v>10</v>
      </c>
      <c r="J779" s="13">
        <v>45463</v>
      </c>
    </row>
    <row r="780" customFormat="1" spans="1:10">
      <c r="A780" t="s">
        <v>319</v>
      </c>
      <c r="B780" s="86">
        <v>242500513</v>
      </c>
      <c r="C780" s="9">
        <v>45435</v>
      </c>
      <c r="D780" s="87" t="s">
        <v>223</v>
      </c>
      <c r="E780" s="10">
        <v>80000</v>
      </c>
      <c r="F780" s="10">
        <v>0.08</v>
      </c>
      <c r="G780" s="9">
        <v>45557</v>
      </c>
      <c r="H780" s="12">
        <f t="shared" si="12"/>
        <v>6400</v>
      </c>
      <c r="I780" s="10" t="s">
        <v>10</v>
      </c>
      <c r="J780" s="13">
        <v>45463</v>
      </c>
    </row>
    <row r="781" customFormat="1" spans="1:10">
      <c r="A781" t="s">
        <v>319</v>
      </c>
      <c r="B781" s="86">
        <v>242500513</v>
      </c>
      <c r="C781" s="9">
        <v>45435</v>
      </c>
      <c r="D781" s="87" t="s">
        <v>206</v>
      </c>
      <c r="E781" s="10">
        <v>300000</v>
      </c>
      <c r="F781" s="10">
        <v>0.065</v>
      </c>
      <c r="G781" s="9">
        <v>45526</v>
      </c>
      <c r="H781" s="12">
        <f t="shared" si="12"/>
        <v>19500</v>
      </c>
      <c r="I781" s="10" t="s">
        <v>10</v>
      </c>
      <c r="J781" s="13">
        <v>45463</v>
      </c>
    </row>
    <row r="782" customFormat="1" spans="1:10">
      <c r="A782" t="s">
        <v>319</v>
      </c>
      <c r="B782" s="86">
        <v>242500513</v>
      </c>
      <c r="C782" s="9">
        <v>45435</v>
      </c>
      <c r="D782" s="87" t="s">
        <v>248</v>
      </c>
      <c r="E782" s="10">
        <v>50000</v>
      </c>
      <c r="F782" s="10">
        <v>0.065</v>
      </c>
      <c r="G782" s="9">
        <v>45540</v>
      </c>
      <c r="H782" s="12">
        <f t="shared" si="12"/>
        <v>3250</v>
      </c>
      <c r="I782" s="10" t="s">
        <v>10</v>
      </c>
      <c r="J782" s="13">
        <v>45463</v>
      </c>
    </row>
    <row r="783" customFormat="1" spans="1:10">
      <c r="A783" t="s">
        <v>319</v>
      </c>
      <c r="B783" s="86">
        <v>242500513</v>
      </c>
      <c r="C783" s="9">
        <v>45435</v>
      </c>
      <c r="D783" s="87" t="s">
        <v>248</v>
      </c>
      <c r="E783" s="10">
        <v>50000</v>
      </c>
      <c r="F783" s="10">
        <v>0.065</v>
      </c>
      <c r="G783" s="9">
        <v>45570</v>
      </c>
      <c r="H783" s="12">
        <f t="shared" si="12"/>
        <v>3250</v>
      </c>
      <c r="I783" s="10" t="s">
        <v>10</v>
      </c>
      <c r="J783" s="13">
        <v>45463</v>
      </c>
    </row>
    <row r="784" customFormat="1" spans="1:10">
      <c r="B784" s="86">
        <v>242500545</v>
      </c>
      <c r="C784" s="9">
        <v>45436</v>
      </c>
      <c r="D784" s="10" t="s">
        <v>374</v>
      </c>
      <c r="E784" s="10">
        <v>12000</v>
      </c>
      <c r="F784" s="10">
        <v>0.01</v>
      </c>
      <c r="G784" s="9">
        <v>45448</v>
      </c>
      <c r="H784" s="12">
        <f t="shared" si="12"/>
        <v>120</v>
      </c>
      <c r="I784" s="10" t="s">
        <v>10</v>
      </c>
      <c r="J784" s="15" t="s">
        <v>325</v>
      </c>
    </row>
    <row r="785" customFormat="1" spans="1:11">
      <c r="B785" s="86">
        <v>242500545</v>
      </c>
      <c r="C785" s="9">
        <v>45436</v>
      </c>
      <c r="D785" s="10" t="s">
        <v>374</v>
      </c>
      <c r="E785" s="10">
        <v>12000</v>
      </c>
      <c r="F785" s="10">
        <v>0.01</v>
      </c>
      <c r="G785" s="9">
        <v>45465</v>
      </c>
      <c r="H785" s="12">
        <f t="shared" si="12"/>
        <v>120</v>
      </c>
      <c r="I785" s="10" t="s">
        <v>10</v>
      </c>
      <c r="J785" s="15" t="s">
        <v>325</v>
      </c>
    </row>
    <row r="786" customFormat="1" spans="1:11">
      <c r="B786" s="86">
        <v>242500545</v>
      </c>
      <c r="C786" s="9">
        <v>45436</v>
      </c>
      <c r="D786" s="10" t="s">
        <v>375</v>
      </c>
      <c r="E786" s="10">
        <v>11000</v>
      </c>
      <c r="F786" s="10">
        <v>0.032</v>
      </c>
      <c r="G786" s="9">
        <v>45448</v>
      </c>
      <c r="H786" s="12">
        <f t="shared" si="12"/>
        <v>352</v>
      </c>
      <c r="I786" s="10" t="s">
        <v>10</v>
      </c>
      <c r="J786" s="15" t="s">
        <v>325</v>
      </c>
    </row>
    <row r="787" customFormat="1" spans="1:11">
      <c r="B787" s="86">
        <v>242500545</v>
      </c>
      <c r="C787" s="9">
        <v>45436</v>
      </c>
      <c r="D787" s="10" t="s">
        <v>375</v>
      </c>
      <c r="E787" s="10">
        <v>10000</v>
      </c>
      <c r="F787" s="10">
        <v>0.032</v>
      </c>
      <c r="G787" s="9">
        <v>45465</v>
      </c>
      <c r="H787" s="12">
        <f t="shared" si="12"/>
        <v>320</v>
      </c>
      <c r="I787" s="10" t="s">
        <v>10</v>
      </c>
      <c r="J787" s="15" t="s">
        <v>325</v>
      </c>
    </row>
    <row r="788" customFormat="1" spans="1:11">
      <c r="B788" s="86">
        <v>242500545</v>
      </c>
      <c r="C788" s="9">
        <v>45436</v>
      </c>
      <c r="D788" s="10" t="s">
        <v>376</v>
      </c>
      <c r="E788" s="10">
        <v>11000</v>
      </c>
      <c r="F788" s="10">
        <v>0.0342</v>
      </c>
      <c r="G788" s="9">
        <v>45448</v>
      </c>
      <c r="H788" s="12">
        <f t="shared" si="12"/>
        <v>376.2</v>
      </c>
      <c r="I788" s="10" t="s">
        <v>10</v>
      </c>
      <c r="J788" s="15" t="s">
        <v>325</v>
      </c>
    </row>
    <row r="789" customFormat="1" spans="1:11">
      <c r="B789" s="86">
        <v>242500545</v>
      </c>
      <c r="C789" s="9">
        <v>45436</v>
      </c>
      <c r="D789" s="10" t="s">
        <v>376</v>
      </c>
      <c r="E789" s="10">
        <v>10000</v>
      </c>
      <c r="F789" s="10">
        <v>0.0342</v>
      </c>
      <c r="G789" s="9">
        <v>45465</v>
      </c>
      <c r="H789" s="12">
        <f t="shared" si="12"/>
        <v>342</v>
      </c>
      <c r="I789" s="10" t="s">
        <v>10</v>
      </c>
      <c r="J789" s="15" t="s">
        <v>325</v>
      </c>
    </row>
    <row r="790" customFormat="1" spans="1:11">
      <c r="A790" t="s">
        <v>319</v>
      </c>
      <c r="B790" s="86">
        <v>242500590</v>
      </c>
      <c r="C790" s="9">
        <v>45441</v>
      </c>
      <c r="D790" s="87" t="s">
        <v>223</v>
      </c>
      <c r="E790" s="10">
        <v>100000</v>
      </c>
      <c r="F790" s="10">
        <v>0.08</v>
      </c>
      <c r="G790" s="9">
        <v>45465</v>
      </c>
      <c r="H790" s="12">
        <f t="shared" si="12"/>
        <v>8000</v>
      </c>
      <c r="I790" s="10" t="s">
        <v>10</v>
      </c>
      <c r="J790" s="13">
        <v>45477</v>
      </c>
      <c r="K790" t="s">
        <v>377</v>
      </c>
    </row>
    <row r="791" customFormat="1" spans="1:11">
      <c r="A791" t="s">
        <v>319</v>
      </c>
      <c r="B791" s="90">
        <v>242500591</v>
      </c>
      <c r="C791" s="9">
        <v>45441</v>
      </c>
      <c r="D791" s="87" t="s">
        <v>215</v>
      </c>
      <c r="E791" s="10">
        <v>100000</v>
      </c>
      <c r="F791" s="10">
        <v>0.027</v>
      </c>
      <c r="G791" s="9">
        <v>45478</v>
      </c>
      <c r="H791" s="12">
        <f t="shared" si="12"/>
        <v>2700</v>
      </c>
      <c r="I791" s="10" t="s">
        <v>10</v>
      </c>
      <c r="J791" s="13">
        <v>45492</v>
      </c>
      <c r="K791" t="s">
        <v>378</v>
      </c>
    </row>
    <row r="792" customFormat="1" spans="1:11">
      <c r="A792" t="s">
        <v>319</v>
      </c>
      <c r="B792" s="90">
        <v>242500617</v>
      </c>
      <c r="C792" s="9">
        <v>45443</v>
      </c>
      <c r="D792" s="87" t="s">
        <v>257</v>
      </c>
      <c r="E792" s="10">
        <v>52000</v>
      </c>
      <c r="F792" s="10">
        <v>0.01</v>
      </c>
      <c r="G792" s="9">
        <v>45679</v>
      </c>
      <c r="H792" s="12">
        <f t="shared" si="12"/>
        <v>520</v>
      </c>
      <c r="I792" s="10" t="s">
        <v>10</v>
      </c>
      <c r="J792" s="13">
        <v>45492</v>
      </c>
      <c r="K792" t="s">
        <v>379</v>
      </c>
    </row>
    <row r="793" customFormat="1" spans="1:11">
      <c r="A793" t="s">
        <v>319</v>
      </c>
      <c r="B793" s="86">
        <v>242500617</v>
      </c>
      <c r="C793" s="9">
        <v>45443</v>
      </c>
      <c r="D793" s="87" t="s">
        <v>211</v>
      </c>
      <c r="E793" s="10">
        <v>208000</v>
      </c>
      <c r="F793" s="10">
        <v>0.022</v>
      </c>
      <c r="G793" s="9">
        <v>45495</v>
      </c>
      <c r="H793" s="12">
        <f t="shared" si="12"/>
        <v>4576</v>
      </c>
      <c r="I793" s="10" t="s">
        <v>10</v>
      </c>
      <c r="J793" s="13">
        <v>45477</v>
      </c>
      <c r="K793" t="s">
        <v>379</v>
      </c>
    </row>
    <row r="794" customFormat="1" spans="1:11">
      <c r="A794" t="s">
        <v>319</v>
      </c>
      <c r="B794" s="86">
        <v>242500618</v>
      </c>
      <c r="C794" s="9">
        <v>45443</v>
      </c>
      <c r="D794" s="87" t="s">
        <v>200</v>
      </c>
      <c r="E794" s="10">
        <v>100000</v>
      </c>
      <c r="F794" s="10">
        <v>0.05</v>
      </c>
      <c r="G794" s="9">
        <v>45478</v>
      </c>
      <c r="H794" s="12">
        <f t="shared" si="12"/>
        <v>5000</v>
      </c>
      <c r="I794" s="10" t="s">
        <v>10</v>
      </c>
      <c r="J794" s="13">
        <v>45470</v>
      </c>
    </row>
    <row r="795" customFormat="1" spans="1:11">
      <c r="A795" t="s">
        <v>319</v>
      </c>
      <c r="B795" s="86">
        <v>242500618</v>
      </c>
      <c r="C795" s="9">
        <v>45443</v>
      </c>
      <c r="D795" s="87" t="s">
        <v>200</v>
      </c>
      <c r="E795" s="10">
        <v>100000</v>
      </c>
      <c r="F795" s="10">
        <v>0.05</v>
      </c>
      <c r="G795" s="9">
        <v>45495</v>
      </c>
      <c r="H795" s="12">
        <f t="shared" si="12"/>
        <v>5000</v>
      </c>
      <c r="I795" s="10" t="s">
        <v>10</v>
      </c>
      <c r="J795" s="13">
        <v>45470</v>
      </c>
    </row>
    <row r="796" customFormat="1" spans="1:11">
      <c r="A796" t="s">
        <v>319</v>
      </c>
      <c r="B796" s="86">
        <v>242500619</v>
      </c>
      <c r="C796" s="9">
        <v>45443</v>
      </c>
      <c r="D796" s="87" t="s">
        <v>200</v>
      </c>
      <c r="E796" s="10">
        <v>100000</v>
      </c>
      <c r="F796" s="10">
        <v>0.05</v>
      </c>
      <c r="G796" s="9">
        <v>45478</v>
      </c>
      <c r="H796" s="12">
        <f t="shared" si="12"/>
        <v>5000</v>
      </c>
      <c r="I796" s="10" t="s">
        <v>10</v>
      </c>
      <c r="J796" s="13">
        <v>45519</v>
      </c>
      <c r="K796" t="s">
        <v>380</v>
      </c>
    </row>
    <row r="797" customFormat="1" spans="1:11">
      <c r="A797" t="s">
        <v>319</v>
      </c>
      <c r="B797" s="86">
        <v>242500619</v>
      </c>
      <c r="C797" s="9">
        <v>45443</v>
      </c>
      <c r="D797" s="87" t="s">
        <v>200</v>
      </c>
      <c r="E797" s="10">
        <v>100000</v>
      </c>
      <c r="F797" s="10">
        <v>0.05</v>
      </c>
      <c r="G797" s="9">
        <v>45495</v>
      </c>
      <c r="H797" s="12">
        <f t="shared" si="12"/>
        <v>5000</v>
      </c>
      <c r="I797" s="10" t="s">
        <v>10</v>
      </c>
      <c r="J797" s="13">
        <v>45519</v>
      </c>
      <c r="K797" t="s">
        <v>380</v>
      </c>
    </row>
    <row r="798" customFormat="1" spans="1:11">
      <c r="A798" t="s">
        <v>319</v>
      </c>
      <c r="B798" s="86">
        <v>242500620</v>
      </c>
      <c r="C798" s="9">
        <v>45443</v>
      </c>
      <c r="D798" s="87" t="s">
        <v>210</v>
      </c>
      <c r="E798" s="10">
        <v>120000</v>
      </c>
      <c r="F798" s="10">
        <v>0.024</v>
      </c>
      <c r="G798" s="9">
        <v>45478</v>
      </c>
      <c r="H798" s="12">
        <f t="shared" si="12"/>
        <v>2880</v>
      </c>
      <c r="I798" s="10" t="s">
        <v>10</v>
      </c>
      <c r="J798" s="13">
        <v>45454</v>
      </c>
    </row>
    <row r="799" customFormat="1" spans="1:11">
      <c r="A799" t="s">
        <v>319</v>
      </c>
      <c r="B799" s="86">
        <v>242500620</v>
      </c>
      <c r="C799" s="9">
        <v>45443</v>
      </c>
      <c r="D799" s="87" t="s">
        <v>210</v>
      </c>
      <c r="E799" s="10">
        <v>120000</v>
      </c>
      <c r="F799" s="10">
        <v>0.024</v>
      </c>
      <c r="G799" s="9">
        <v>45495</v>
      </c>
      <c r="H799" s="12">
        <f t="shared" si="12"/>
        <v>2880</v>
      </c>
      <c r="I799" s="10" t="s">
        <v>10</v>
      </c>
      <c r="J799" s="13">
        <v>45454</v>
      </c>
    </row>
    <row r="800" customFormat="1" spans="1:11">
      <c r="A800" t="s">
        <v>319</v>
      </c>
      <c r="B800" s="86">
        <v>242500621</v>
      </c>
      <c r="C800" s="9">
        <v>45443</v>
      </c>
      <c r="D800" s="87" t="s">
        <v>200</v>
      </c>
      <c r="E800" s="10">
        <v>100000</v>
      </c>
      <c r="F800" s="10">
        <v>0.05</v>
      </c>
      <c r="G800" s="9">
        <v>45526</v>
      </c>
      <c r="H800" s="12">
        <f t="shared" si="12"/>
        <v>5000</v>
      </c>
      <c r="I800" s="10" t="s">
        <v>10</v>
      </c>
      <c r="J800" s="13">
        <v>45560</v>
      </c>
      <c r="K800" t="s">
        <v>380</v>
      </c>
    </row>
    <row r="801" customFormat="1" spans="1:11">
      <c r="A801" t="s">
        <v>319</v>
      </c>
      <c r="B801" s="86">
        <v>242500621</v>
      </c>
      <c r="C801" s="9">
        <v>45443</v>
      </c>
      <c r="D801" s="87" t="s">
        <v>200</v>
      </c>
      <c r="E801" s="10">
        <v>100000</v>
      </c>
      <c r="F801" s="10">
        <v>0.05</v>
      </c>
      <c r="G801" s="9">
        <v>45526</v>
      </c>
      <c r="H801" s="12">
        <f t="shared" si="12"/>
        <v>5000</v>
      </c>
      <c r="I801" s="10" t="s">
        <v>10</v>
      </c>
      <c r="J801" s="13">
        <v>45560</v>
      </c>
      <c r="K801" t="s">
        <v>380</v>
      </c>
    </row>
    <row r="802" customFormat="1" spans="1:11">
      <c r="A802" t="s">
        <v>319</v>
      </c>
      <c r="B802" s="90">
        <v>242500622</v>
      </c>
      <c r="C802" s="9">
        <v>45443</v>
      </c>
      <c r="D802" s="87" t="s">
        <v>257</v>
      </c>
      <c r="E802" s="10">
        <v>52000</v>
      </c>
      <c r="F802" s="10">
        <v>0.01</v>
      </c>
      <c r="G802" s="9">
        <v>45679</v>
      </c>
      <c r="H802" s="12">
        <f t="shared" si="12"/>
        <v>520</v>
      </c>
      <c r="I802" s="10" t="s">
        <v>10</v>
      </c>
      <c r="J802" s="13">
        <v>45483</v>
      </c>
    </row>
    <row r="803" customFormat="1" spans="1:11">
      <c r="A803" t="s">
        <v>319</v>
      </c>
      <c r="B803" s="86">
        <v>242500622</v>
      </c>
      <c r="C803" s="9">
        <v>45443</v>
      </c>
      <c r="D803" s="87" t="s">
        <v>271</v>
      </c>
      <c r="E803" s="10">
        <v>104000</v>
      </c>
      <c r="F803" s="10">
        <v>0.024</v>
      </c>
      <c r="G803" s="9">
        <v>45465</v>
      </c>
      <c r="H803" s="12">
        <f t="shared" si="12"/>
        <v>2496</v>
      </c>
      <c r="I803" s="10" t="s">
        <v>10</v>
      </c>
      <c r="J803" s="13">
        <v>45477</v>
      </c>
    </row>
    <row r="804" customFormat="1" spans="1:11">
      <c r="A804" t="s">
        <v>319</v>
      </c>
      <c r="B804" s="86">
        <v>242500622</v>
      </c>
      <c r="C804" s="9">
        <v>45443</v>
      </c>
      <c r="D804" s="87" t="s">
        <v>271</v>
      </c>
      <c r="E804" s="10">
        <v>104000</v>
      </c>
      <c r="F804" s="10">
        <v>0.024</v>
      </c>
      <c r="G804" s="9">
        <v>45495</v>
      </c>
      <c r="H804" s="12">
        <f t="shared" si="12"/>
        <v>2496</v>
      </c>
      <c r="I804" s="10" t="s">
        <v>10</v>
      </c>
      <c r="J804" s="13">
        <v>45477</v>
      </c>
    </row>
    <row r="805" customFormat="1" spans="1:11">
      <c r="A805" t="s">
        <v>319</v>
      </c>
      <c r="B805" s="86">
        <v>242500622</v>
      </c>
      <c r="C805" s="9">
        <v>45443</v>
      </c>
      <c r="D805" s="87" t="s">
        <v>271</v>
      </c>
      <c r="E805" s="10">
        <v>52000</v>
      </c>
      <c r="F805" s="10">
        <v>0.024</v>
      </c>
      <c r="G805" s="9">
        <v>45526</v>
      </c>
      <c r="H805" s="12">
        <f t="shared" si="12"/>
        <v>1248</v>
      </c>
      <c r="I805" s="10" t="s">
        <v>10</v>
      </c>
      <c r="J805" s="13">
        <v>45477</v>
      </c>
    </row>
    <row r="806" customFormat="1" spans="1:11">
      <c r="A806" t="s">
        <v>319</v>
      </c>
      <c r="B806" s="86">
        <v>242500660</v>
      </c>
      <c r="C806" s="9">
        <v>45449</v>
      </c>
      <c r="D806" s="87" t="s">
        <v>305</v>
      </c>
      <c r="E806" s="10">
        <v>64000</v>
      </c>
      <c r="F806" s="10">
        <v>0.06</v>
      </c>
      <c r="G806" s="9">
        <v>45575</v>
      </c>
      <c r="H806" s="12">
        <f t="shared" si="12"/>
        <v>3840</v>
      </c>
      <c r="I806" s="10" t="s">
        <v>10</v>
      </c>
      <c r="J806" s="13">
        <v>45477</v>
      </c>
    </row>
    <row r="807" customFormat="1" spans="1:11">
      <c r="A807" t="s">
        <v>319</v>
      </c>
      <c r="B807" s="86">
        <v>242500660</v>
      </c>
      <c r="C807" s="9">
        <v>45449</v>
      </c>
      <c r="D807" s="87" t="s">
        <v>305</v>
      </c>
      <c r="E807" s="10">
        <v>80000</v>
      </c>
      <c r="F807" s="10">
        <v>0.06</v>
      </c>
      <c r="G807" s="9">
        <v>45601</v>
      </c>
      <c r="H807" s="12">
        <f t="shared" si="12"/>
        <v>4800</v>
      </c>
      <c r="I807" s="10" t="s">
        <v>10</v>
      </c>
      <c r="J807" s="13">
        <v>45477</v>
      </c>
    </row>
    <row r="808" customFormat="1" spans="1:11">
      <c r="A808" t="s">
        <v>319</v>
      </c>
      <c r="B808" s="86">
        <v>242500661</v>
      </c>
      <c r="C808" s="9">
        <v>45449</v>
      </c>
      <c r="D808" s="10" t="s">
        <v>226</v>
      </c>
      <c r="E808" s="10">
        <v>280000</v>
      </c>
      <c r="F808" s="10">
        <v>0.08</v>
      </c>
      <c r="G808" s="9">
        <v>45540</v>
      </c>
      <c r="H808" s="12">
        <f t="shared" si="12"/>
        <v>22400</v>
      </c>
      <c r="I808" s="10" t="s">
        <v>10</v>
      </c>
      <c r="J808" s="13">
        <v>45477</v>
      </c>
    </row>
    <row r="809" customFormat="1" spans="1:11">
      <c r="A809" t="s">
        <v>319</v>
      </c>
      <c r="B809" s="86">
        <v>242500661</v>
      </c>
      <c r="C809" s="9">
        <v>45449</v>
      </c>
      <c r="D809" s="87" t="s">
        <v>248</v>
      </c>
      <c r="E809" s="10">
        <v>200000</v>
      </c>
      <c r="F809" s="10">
        <v>0.065</v>
      </c>
      <c r="G809" s="9">
        <v>45540</v>
      </c>
      <c r="H809" s="12">
        <f t="shared" si="12"/>
        <v>13000</v>
      </c>
      <c r="I809" s="10" t="s">
        <v>10</v>
      </c>
      <c r="J809" s="13">
        <v>45477</v>
      </c>
    </row>
    <row r="810" customFormat="1" spans="1:11">
      <c r="A810" t="s">
        <v>319</v>
      </c>
      <c r="B810" s="86">
        <v>242500662</v>
      </c>
      <c r="C810" s="9">
        <v>45449</v>
      </c>
      <c r="D810" s="87" t="s">
        <v>200</v>
      </c>
      <c r="E810" s="10">
        <v>100000</v>
      </c>
      <c r="F810" s="10">
        <v>0.05</v>
      </c>
      <c r="G810" s="9">
        <v>45509</v>
      </c>
      <c r="H810" s="12">
        <f t="shared" si="12"/>
        <v>5000</v>
      </c>
      <c r="I810" s="10" t="s">
        <v>10</v>
      </c>
      <c r="J810" s="13">
        <v>45477</v>
      </c>
    </row>
    <row r="811" customFormat="1" spans="1:11">
      <c r="A811" t="s">
        <v>319</v>
      </c>
      <c r="B811" s="86">
        <v>242500662</v>
      </c>
      <c r="C811" s="9">
        <v>45449</v>
      </c>
      <c r="D811" s="87" t="s">
        <v>200</v>
      </c>
      <c r="E811" s="10">
        <v>100000</v>
      </c>
      <c r="F811" s="10">
        <v>0.05</v>
      </c>
      <c r="G811" s="9">
        <v>45540</v>
      </c>
      <c r="H811" s="12">
        <f t="shared" si="12"/>
        <v>5000</v>
      </c>
      <c r="I811" s="10" t="s">
        <v>10</v>
      </c>
      <c r="J811" s="13">
        <v>45477</v>
      </c>
    </row>
    <row r="812" customFormat="1" spans="1:11">
      <c r="A812" t="s">
        <v>319</v>
      </c>
      <c r="B812" s="86">
        <v>242500662</v>
      </c>
      <c r="C812" s="9">
        <v>45449</v>
      </c>
      <c r="D812" s="87" t="s">
        <v>200</v>
      </c>
      <c r="E812" s="10">
        <v>100000</v>
      </c>
      <c r="F812" s="10">
        <v>0.05</v>
      </c>
      <c r="G812" s="9">
        <v>45570</v>
      </c>
      <c r="H812" s="12">
        <f t="shared" si="12"/>
        <v>5000</v>
      </c>
      <c r="I812" s="10" t="s">
        <v>10</v>
      </c>
      <c r="J812" s="13">
        <v>45477</v>
      </c>
    </row>
    <row r="813" customFormat="1" spans="1:11">
      <c r="A813" t="s">
        <v>319</v>
      </c>
      <c r="B813" s="86">
        <v>242500662</v>
      </c>
      <c r="C813" s="9">
        <v>45449</v>
      </c>
      <c r="D813" s="87" t="s">
        <v>210</v>
      </c>
      <c r="E813" s="10">
        <v>300000</v>
      </c>
      <c r="F813" s="10">
        <v>0.024</v>
      </c>
      <c r="G813" s="9">
        <v>45509</v>
      </c>
      <c r="H813" s="12">
        <f t="shared" si="12"/>
        <v>7200</v>
      </c>
      <c r="I813" s="10" t="s">
        <v>10</v>
      </c>
      <c r="J813" s="13">
        <v>45477</v>
      </c>
    </row>
    <row r="814" customFormat="1" spans="1:11">
      <c r="A814" t="s">
        <v>319</v>
      </c>
      <c r="B814" s="86">
        <v>242500662</v>
      </c>
      <c r="C814" s="9">
        <v>45449</v>
      </c>
      <c r="D814" s="87" t="s">
        <v>210</v>
      </c>
      <c r="E814" s="10">
        <v>300000</v>
      </c>
      <c r="F814" s="10">
        <v>0.024</v>
      </c>
      <c r="G814" s="9">
        <v>45540</v>
      </c>
      <c r="H814" s="12">
        <f t="shared" si="12"/>
        <v>7200</v>
      </c>
      <c r="I814" s="10" t="s">
        <v>10</v>
      </c>
      <c r="J814" s="13">
        <v>45477</v>
      </c>
    </row>
    <row r="815" customFormat="1" spans="1:11">
      <c r="A815" t="s">
        <v>319</v>
      </c>
      <c r="B815" s="86">
        <v>242500664</v>
      </c>
      <c r="C815" s="9">
        <v>45449</v>
      </c>
      <c r="D815" s="10" t="s">
        <v>242</v>
      </c>
      <c r="E815" s="10">
        <v>30000</v>
      </c>
      <c r="F815" s="10">
        <v>0.043</v>
      </c>
      <c r="G815" s="9">
        <v>45453</v>
      </c>
      <c r="H815" s="12">
        <f t="shared" si="12"/>
        <v>1290</v>
      </c>
      <c r="I815" s="10" t="s">
        <v>10</v>
      </c>
      <c r="J815" s="13">
        <v>45454</v>
      </c>
    </row>
    <row r="816" customFormat="1" spans="1:11">
      <c r="A816" t="s">
        <v>319</v>
      </c>
      <c r="B816" s="86">
        <v>242500664</v>
      </c>
      <c r="C816" s="9">
        <v>45449</v>
      </c>
      <c r="D816" s="10" t="s">
        <v>242</v>
      </c>
      <c r="E816" s="10">
        <v>20000</v>
      </c>
      <c r="F816" s="10">
        <v>0.043</v>
      </c>
      <c r="G816" s="9">
        <v>45495</v>
      </c>
      <c r="H816" s="12">
        <f t="shared" si="12"/>
        <v>860</v>
      </c>
      <c r="I816" s="10" t="s">
        <v>10</v>
      </c>
      <c r="J816" s="13">
        <v>45454</v>
      </c>
    </row>
    <row r="817" customFormat="1" spans="1:11">
      <c r="A817" t="s">
        <v>319</v>
      </c>
      <c r="B817" s="86">
        <v>242500664</v>
      </c>
      <c r="C817" s="9">
        <v>45449</v>
      </c>
      <c r="D817" s="10" t="s">
        <v>242</v>
      </c>
      <c r="E817" s="10">
        <v>20000</v>
      </c>
      <c r="F817" s="10">
        <v>0.043</v>
      </c>
      <c r="G817" s="9">
        <v>45545</v>
      </c>
      <c r="H817" s="12">
        <f t="shared" si="12"/>
        <v>860</v>
      </c>
      <c r="I817" s="10" t="s">
        <v>10</v>
      </c>
      <c r="J817" s="13">
        <v>45454</v>
      </c>
    </row>
    <row r="818" customFormat="1" spans="1:11">
      <c r="A818" t="s">
        <v>319</v>
      </c>
      <c r="B818" s="86">
        <v>242500664</v>
      </c>
      <c r="C818" s="9">
        <v>45449</v>
      </c>
      <c r="D818" s="10" t="s">
        <v>242</v>
      </c>
      <c r="E818" s="10">
        <v>20000</v>
      </c>
      <c r="F818" s="10">
        <v>0.043</v>
      </c>
      <c r="G818" s="9">
        <v>45587</v>
      </c>
      <c r="H818" s="12">
        <f t="shared" si="12"/>
        <v>860</v>
      </c>
      <c r="I818" s="10" t="s">
        <v>10</v>
      </c>
      <c r="J818" s="13">
        <v>45454</v>
      </c>
    </row>
    <row r="819" customFormat="1" spans="1:11">
      <c r="A819" t="s">
        <v>319</v>
      </c>
      <c r="B819" s="86">
        <v>242500717</v>
      </c>
      <c r="C819" s="9">
        <v>45455</v>
      </c>
      <c r="D819" s="87" t="s">
        <v>269</v>
      </c>
      <c r="E819" s="10">
        <v>100000</v>
      </c>
      <c r="F819" s="10">
        <v>0.05</v>
      </c>
      <c r="G819" s="9">
        <v>45465</v>
      </c>
      <c r="H819" s="12">
        <f t="shared" si="12"/>
        <v>5000</v>
      </c>
      <c r="I819" s="10" t="s">
        <v>10</v>
      </c>
      <c r="J819" s="13">
        <v>45463</v>
      </c>
    </row>
    <row r="820" customFormat="1" spans="1:11">
      <c r="A820" t="s">
        <v>319</v>
      </c>
      <c r="B820" s="86">
        <v>242500717</v>
      </c>
      <c r="C820" s="9">
        <v>45455</v>
      </c>
      <c r="D820" s="87" t="s">
        <v>269</v>
      </c>
      <c r="E820" s="10">
        <v>100000</v>
      </c>
      <c r="F820" s="10">
        <v>0.05</v>
      </c>
      <c r="G820" s="9">
        <v>45526</v>
      </c>
      <c r="H820" s="12">
        <f t="shared" si="12"/>
        <v>5000</v>
      </c>
      <c r="I820" s="10" t="s">
        <v>10</v>
      </c>
      <c r="J820" s="13">
        <v>45463</v>
      </c>
    </row>
    <row r="821" customFormat="1" spans="1:11">
      <c r="A821" t="s">
        <v>319</v>
      </c>
      <c r="B821" s="86">
        <v>242500717</v>
      </c>
      <c r="C821" s="9">
        <v>45455</v>
      </c>
      <c r="D821" s="87" t="s">
        <v>269</v>
      </c>
      <c r="E821" s="10">
        <v>100000</v>
      </c>
      <c r="F821" s="10">
        <v>0.05</v>
      </c>
      <c r="G821" s="9">
        <v>45557</v>
      </c>
      <c r="H821" s="12">
        <f t="shared" si="12"/>
        <v>5000</v>
      </c>
      <c r="I821" s="10" t="s">
        <v>10</v>
      </c>
      <c r="J821" s="13">
        <v>45463</v>
      </c>
    </row>
    <row r="822" customFormat="1" spans="1:11">
      <c r="A822" t="s">
        <v>319</v>
      </c>
      <c r="B822" s="86">
        <v>242500728</v>
      </c>
      <c r="C822" s="9">
        <v>45456</v>
      </c>
      <c r="D822" s="87" t="s">
        <v>314</v>
      </c>
      <c r="E822" s="10">
        <v>340000</v>
      </c>
      <c r="F822" s="10">
        <v>0.021</v>
      </c>
      <c r="G822" s="9">
        <v>45526</v>
      </c>
      <c r="H822" s="12">
        <f t="shared" si="12"/>
        <v>7140</v>
      </c>
      <c r="I822" s="10" t="s">
        <v>10</v>
      </c>
      <c r="J822" s="13">
        <v>45470</v>
      </c>
    </row>
    <row r="823" customFormat="1" spans="1:11">
      <c r="A823" t="s">
        <v>319</v>
      </c>
      <c r="B823" s="86">
        <v>242500731</v>
      </c>
      <c r="C823" s="9">
        <v>45456</v>
      </c>
      <c r="D823" s="87" t="s">
        <v>252</v>
      </c>
      <c r="E823" s="10">
        <v>120000</v>
      </c>
      <c r="F823" s="10">
        <v>0.032</v>
      </c>
      <c r="G823" s="9">
        <v>45465</v>
      </c>
      <c r="H823" s="12">
        <f t="shared" si="12"/>
        <v>3840</v>
      </c>
      <c r="I823" s="10" t="s">
        <v>10</v>
      </c>
      <c r="J823" s="13">
        <v>45470</v>
      </c>
    </row>
    <row r="824" customFormat="1" spans="1:11">
      <c r="A824" t="s">
        <v>319</v>
      </c>
      <c r="B824" s="86">
        <v>242500731</v>
      </c>
      <c r="C824" s="9">
        <v>45456</v>
      </c>
      <c r="D824" s="87" t="s">
        <v>252</v>
      </c>
      <c r="E824" s="10">
        <v>120000</v>
      </c>
      <c r="F824" s="10">
        <v>0.032</v>
      </c>
      <c r="G824" s="9">
        <v>45478</v>
      </c>
      <c r="H824" s="12">
        <f t="shared" si="12"/>
        <v>3840</v>
      </c>
      <c r="I824" s="10" t="s">
        <v>10</v>
      </c>
      <c r="J824" s="13">
        <v>45470</v>
      </c>
    </row>
    <row r="825" customFormat="1" spans="1:11">
      <c r="A825" t="s">
        <v>319</v>
      </c>
      <c r="B825" s="86">
        <v>242500731</v>
      </c>
      <c r="C825" s="9">
        <v>45456</v>
      </c>
      <c r="D825" s="87" t="s">
        <v>252</v>
      </c>
      <c r="E825" s="10">
        <v>120000</v>
      </c>
      <c r="F825" s="10">
        <v>0.032</v>
      </c>
      <c r="G825" s="9">
        <v>45509</v>
      </c>
      <c r="H825" s="12">
        <f t="shared" si="12"/>
        <v>3840</v>
      </c>
      <c r="I825" s="10" t="s">
        <v>10</v>
      </c>
      <c r="J825" s="13">
        <v>45470</v>
      </c>
    </row>
    <row r="826" customFormat="1" spans="1:11">
      <c r="A826" t="s">
        <v>319</v>
      </c>
      <c r="B826" s="86">
        <v>242500731</v>
      </c>
      <c r="C826" s="9">
        <v>45456</v>
      </c>
      <c r="D826" s="87" t="s">
        <v>252</v>
      </c>
      <c r="E826" s="10">
        <v>120000</v>
      </c>
      <c r="F826" s="10">
        <v>0.032</v>
      </c>
      <c r="G826" s="9">
        <v>45540</v>
      </c>
      <c r="H826" s="12">
        <f t="shared" si="12"/>
        <v>3840</v>
      </c>
      <c r="I826" s="10" t="s">
        <v>10</v>
      </c>
      <c r="J826" s="13">
        <v>45470</v>
      </c>
    </row>
    <row r="827" customFormat="1" spans="1:11">
      <c r="A827" t="s">
        <v>319</v>
      </c>
      <c r="B827" s="86">
        <v>242500732</v>
      </c>
      <c r="C827" s="9">
        <v>45456</v>
      </c>
      <c r="D827" s="10" t="s">
        <v>315</v>
      </c>
      <c r="E827" s="10">
        <v>20000</v>
      </c>
      <c r="F827" s="10">
        <v>0.058</v>
      </c>
      <c r="G827" s="9">
        <v>45465</v>
      </c>
      <c r="H827" s="12">
        <f t="shared" si="12"/>
        <v>1160</v>
      </c>
      <c r="I827" s="10" t="s">
        <v>10</v>
      </c>
      <c r="J827" s="13">
        <v>45462</v>
      </c>
    </row>
    <row r="828" customFormat="1" spans="1:11">
      <c r="A828" t="s">
        <v>319</v>
      </c>
      <c r="B828" s="86">
        <v>242500761</v>
      </c>
      <c r="C828" s="9">
        <v>45460</v>
      </c>
      <c r="D828" s="87" t="s">
        <v>314</v>
      </c>
      <c r="E828" s="10">
        <v>340000</v>
      </c>
      <c r="F828" s="10">
        <v>0.021</v>
      </c>
      <c r="G828" s="9">
        <v>45557</v>
      </c>
      <c r="H828" s="12">
        <f t="shared" si="12"/>
        <v>7140</v>
      </c>
      <c r="I828" s="10" t="s">
        <v>10</v>
      </c>
      <c r="J828" s="13">
        <v>45477</v>
      </c>
    </row>
    <row r="829" customFormat="1" spans="1:11">
      <c r="A829" t="s">
        <v>319</v>
      </c>
      <c r="B829" s="86">
        <v>242500762</v>
      </c>
      <c r="C829" s="9">
        <v>45457</v>
      </c>
      <c r="D829" s="10" t="s">
        <v>119</v>
      </c>
      <c r="E829" s="10">
        <v>12000</v>
      </c>
      <c r="F829" s="10">
        <v>0.07</v>
      </c>
      <c r="G829" s="9">
        <v>45478</v>
      </c>
      <c r="H829" s="12">
        <f t="shared" si="12"/>
        <v>840</v>
      </c>
      <c r="I829" s="10" t="s">
        <v>10</v>
      </c>
      <c r="J829" s="13">
        <v>45490</v>
      </c>
      <c r="K829" t="s">
        <v>381</v>
      </c>
    </row>
    <row r="830" customFormat="1" spans="1:11">
      <c r="A830" t="s">
        <v>319</v>
      </c>
      <c r="B830" s="86">
        <v>242500762</v>
      </c>
      <c r="C830" s="9">
        <v>45457</v>
      </c>
      <c r="D830" s="10" t="s">
        <v>119</v>
      </c>
      <c r="E830" s="10">
        <v>12000</v>
      </c>
      <c r="F830" s="10">
        <v>0.07</v>
      </c>
      <c r="G830" s="9">
        <v>45509</v>
      </c>
      <c r="H830" s="12">
        <f t="shared" si="12"/>
        <v>840</v>
      </c>
      <c r="I830" s="10" t="s">
        <v>10</v>
      </c>
      <c r="J830" s="13">
        <v>45490</v>
      </c>
      <c r="K830" t="s">
        <v>381</v>
      </c>
    </row>
    <row r="831" customFormat="1" spans="1:11">
      <c r="A831" t="s">
        <v>319</v>
      </c>
      <c r="B831" s="86">
        <v>242500762</v>
      </c>
      <c r="C831" s="9">
        <v>45457</v>
      </c>
      <c r="D831" s="10" t="s">
        <v>119</v>
      </c>
      <c r="E831" s="10">
        <v>14000</v>
      </c>
      <c r="F831" s="10">
        <v>0.07</v>
      </c>
      <c r="G831" s="9">
        <v>45540</v>
      </c>
      <c r="H831" s="12">
        <f t="shared" si="12"/>
        <v>980</v>
      </c>
      <c r="I831" s="10" t="s">
        <v>10</v>
      </c>
      <c r="J831" s="13">
        <v>45490</v>
      </c>
      <c r="K831" t="s">
        <v>381</v>
      </c>
    </row>
    <row r="832" customFormat="1" spans="1:11">
      <c r="A832" t="s">
        <v>319</v>
      </c>
      <c r="B832" s="86">
        <v>242500762</v>
      </c>
      <c r="C832" s="9">
        <v>45457</v>
      </c>
      <c r="D832" s="87" t="s">
        <v>215</v>
      </c>
      <c r="E832" s="10">
        <v>20000</v>
      </c>
      <c r="F832" s="10">
        <v>0.027</v>
      </c>
      <c r="G832" s="9">
        <v>45509</v>
      </c>
      <c r="H832" s="12">
        <f t="shared" si="12"/>
        <v>540</v>
      </c>
      <c r="I832" s="10" t="s">
        <v>10</v>
      </c>
      <c r="J832" s="13">
        <v>45492</v>
      </c>
      <c r="K832" t="s">
        <v>381</v>
      </c>
    </row>
    <row r="833" customFormat="1" spans="1:14">
      <c r="A833" t="s">
        <v>319</v>
      </c>
      <c r="B833" s="86">
        <v>242500762</v>
      </c>
      <c r="C833" s="9">
        <v>45457</v>
      </c>
      <c r="D833" s="87" t="s">
        <v>202</v>
      </c>
      <c r="E833" s="10">
        <v>250000</v>
      </c>
      <c r="F833" s="10">
        <v>0.04</v>
      </c>
      <c r="G833" s="9">
        <v>45540</v>
      </c>
      <c r="H833" s="12">
        <f t="shared" si="12"/>
        <v>10000</v>
      </c>
      <c r="I833" s="10" t="s">
        <v>10</v>
      </c>
      <c r="J833" s="13">
        <v>45492</v>
      </c>
      <c r="K833" t="s">
        <v>381</v>
      </c>
    </row>
    <row r="834" customFormat="1" spans="1:14">
      <c r="A834" t="s">
        <v>319</v>
      </c>
      <c r="B834" s="86">
        <v>242500762</v>
      </c>
      <c r="C834" s="9">
        <v>45457</v>
      </c>
      <c r="D834" s="87" t="s">
        <v>202</v>
      </c>
      <c r="E834" s="10">
        <v>250000</v>
      </c>
      <c r="F834" s="10">
        <v>0.04</v>
      </c>
      <c r="G834" s="9">
        <v>45570</v>
      </c>
      <c r="H834" s="12">
        <f t="shared" ref="H834:H897" si="13">E834*F834</f>
        <v>10000</v>
      </c>
      <c r="I834" s="10" t="s">
        <v>10</v>
      </c>
      <c r="J834" s="13">
        <v>45492</v>
      </c>
      <c r="K834" t="s">
        <v>381</v>
      </c>
    </row>
    <row r="835" customFormat="1" spans="1:14">
      <c r="A835" t="s">
        <v>319</v>
      </c>
      <c r="B835" s="86">
        <v>242500763</v>
      </c>
      <c r="C835" s="9">
        <v>45457</v>
      </c>
      <c r="D835" s="87" t="s">
        <v>207</v>
      </c>
      <c r="E835" s="10">
        <v>450000</v>
      </c>
      <c r="F835" s="10">
        <v>0.03</v>
      </c>
      <c r="G835" s="9">
        <v>45478</v>
      </c>
      <c r="H835" s="12">
        <f t="shared" si="13"/>
        <v>13500</v>
      </c>
      <c r="I835" s="10" t="s">
        <v>10</v>
      </c>
      <c r="J835" s="13">
        <v>45470</v>
      </c>
    </row>
    <row r="836" customFormat="1" spans="1:14">
      <c r="A836" t="s">
        <v>319</v>
      </c>
      <c r="B836" s="86">
        <v>242500763</v>
      </c>
      <c r="C836" s="9">
        <v>45457</v>
      </c>
      <c r="D836" s="87" t="s">
        <v>207</v>
      </c>
      <c r="E836" s="10">
        <v>450000</v>
      </c>
      <c r="F836" s="10">
        <v>0.03</v>
      </c>
      <c r="G836" s="9">
        <v>45509</v>
      </c>
      <c r="H836" s="12">
        <f t="shared" si="13"/>
        <v>13500</v>
      </c>
      <c r="I836" s="10" t="s">
        <v>10</v>
      </c>
      <c r="J836" s="13">
        <v>45470</v>
      </c>
    </row>
    <row r="837" customFormat="1" spans="1:14">
      <c r="A837" t="s">
        <v>319</v>
      </c>
      <c r="B837" s="86">
        <v>242500765</v>
      </c>
      <c r="C837" s="9">
        <v>45460</v>
      </c>
      <c r="D837" s="10" t="s">
        <v>124</v>
      </c>
      <c r="E837" s="10">
        <v>20000</v>
      </c>
      <c r="F837" s="10">
        <v>0.018</v>
      </c>
      <c r="G837" s="9">
        <v>45465</v>
      </c>
      <c r="H837" s="12">
        <f t="shared" si="13"/>
        <v>360</v>
      </c>
      <c r="I837" s="10" t="s">
        <v>10</v>
      </c>
      <c r="J837" s="13">
        <v>45470</v>
      </c>
    </row>
    <row r="838" customFormat="1" spans="1:14">
      <c r="A838" t="s">
        <v>319</v>
      </c>
      <c r="B838" s="86">
        <v>242500766</v>
      </c>
      <c r="C838" s="9">
        <v>45457</v>
      </c>
      <c r="D838" s="10" t="s">
        <v>58</v>
      </c>
      <c r="E838" s="10">
        <v>300000</v>
      </c>
      <c r="F838" s="10">
        <v>0.019</v>
      </c>
      <c r="G838" s="9">
        <v>45478</v>
      </c>
      <c r="H838" s="12">
        <f t="shared" si="13"/>
        <v>5700</v>
      </c>
      <c r="I838" s="10" t="s">
        <v>10</v>
      </c>
      <c r="J838" s="13">
        <v>45470</v>
      </c>
    </row>
    <row r="839" customFormat="1" spans="1:14">
      <c r="A839" t="s">
        <v>319</v>
      </c>
      <c r="B839" s="86">
        <v>242500766</v>
      </c>
      <c r="C839" s="9">
        <v>45457</v>
      </c>
      <c r="D839" s="10" t="s">
        <v>58</v>
      </c>
      <c r="E839" s="10">
        <v>300000</v>
      </c>
      <c r="F839" s="10">
        <v>0.019</v>
      </c>
      <c r="G839" s="9">
        <v>45509</v>
      </c>
      <c r="H839" s="12">
        <f t="shared" si="13"/>
        <v>5700</v>
      </c>
      <c r="I839" s="10" t="s">
        <v>10</v>
      </c>
      <c r="J839" s="13">
        <v>45470</v>
      </c>
    </row>
    <row r="840" customFormat="1" spans="1:14">
      <c r="A840" t="s">
        <v>319</v>
      </c>
      <c r="B840" s="86">
        <v>242500766</v>
      </c>
      <c r="C840" s="9">
        <v>45457</v>
      </c>
      <c r="D840" s="87" t="s">
        <v>203</v>
      </c>
      <c r="E840" s="10">
        <v>1350000</v>
      </c>
      <c r="F840" s="10">
        <v>0.027</v>
      </c>
      <c r="G840" s="9">
        <v>45540</v>
      </c>
      <c r="H840" s="12">
        <f t="shared" si="13"/>
        <v>36450</v>
      </c>
      <c r="I840" s="10" t="s">
        <v>10</v>
      </c>
      <c r="J840" s="13">
        <v>45470</v>
      </c>
    </row>
    <row r="841" customFormat="1" spans="1:14">
      <c r="A841" t="s">
        <v>319</v>
      </c>
      <c r="B841" s="90">
        <v>242500766</v>
      </c>
      <c r="C841" s="9">
        <v>45457</v>
      </c>
      <c r="D841" s="10" t="s">
        <v>100</v>
      </c>
      <c r="E841" s="10">
        <v>20000</v>
      </c>
      <c r="F841" s="10">
        <v>0.028</v>
      </c>
      <c r="G841" s="9">
        <v>45509</v>
      </c>
      <c r="H841" s="12">
        <f t="shared" si="13"/>
        <v>560</v>
      </c>
      <c r="I841" s="10" t="s">
        <v>10</v>
      </c>
      <c r="J841" s="13">
        <v>45484</v>
      </c>
    </row>
    <row r="842" customFormat="1" spans="1:14">
      <c r="A842" t="s">
        <v>319</v>
      </c>
      <c r="B842" s="86">
        <v>242500766</v>
      </c>
      <c r="C842" s="9">
        <v>45457</v>
      </c>
      <c r="D842" s="87" t="s">
        <v>202</v>
      </c>
      <c r="E842" s="10">
        <v>200000</v>
      </c>
      <c r="F842" s="10">
        <v>0.04</v>
      </c>
      <c r="G842" s="9">
        <v>45540</v>
      </c>
      <c r="H842" s="12">
        <f t="shared" si="13"/>
        <v>8000</v>
      </c>
      <c r="I842" s="10" t="s">
        <v>10</v>
      </c>
      <c r="J842" s="13">
        <v>45470</v>
      </c>
    </row>
    <row r="843" customFormat="1" spans="1:14">
      <c r="A843" t="s">
        <v>319</v>
      </c>
      <c r="B843" s="86">
        <v>242500767</v>
      </c>
      <c r="C843" s="9">
        <v>45457</v>
      </c>
      <c r="D843" s="87" t="s">
        <v>215</v>
      </c>
      <c r="E843" s="10">
        <v>140000</v>
      </c>
      <c r="F843" s="10">
        <v>0.027</v>
      </c>
      <c r="G843" s="9">
        <v>45509</v>
      </c>
      <c r="H843" s="12">
        <f t="shared" si="13"/>
        <v>3780</v>
      </c>
      <c r="I843" s="10" t="s">
        <v>10</v>
      </c>
      <c r="J843" s="13">
        <v>45437</v>
      </c>
      <c r="K843" t="s">
        <v>382</v>
      </c>
    </row>
    <row r="844" customFormat="1" spans="1:14">
      <c r="A844" t="s">
        <v>319</v>
      </c>
      <c r="B844" s="86">
        <v>242500767</v>
      </c>
      <c r="C844" s="9">
        <v>45457</v>
      </c>
      <c r="D844" s="87" t="s">
        <v>215</v>
      </c>
      <c r="E844" s="10">
        <v>140000</v>
      </c>
      <c r="F844" s="10">
        <v>0.027</v>
      </c>
      <c r="G844" s="9">
        <v>45540</v>
      </c>
      <c r="H844" s="12">
        <f t="shared" si="13"/>
        <v>3780</v>
      </c>
      <c r="I844" s="10" t="s">
        <v>10</v>
      </c>
      <c r="J844" s="13">
        <v>45437</v>
      </c>
      <c r="K844" t="s">
        <v>382</v>
      </c>
    </row>
    <row r="845" customFormat="1" spans="1:14">
      <c r="A845" t="s">
        <v>319</v>
      </c>
      <c r="B845" s="90">
        <v>242500768</v>
      </c>
      <c r="C845" s="9">
        <v>45457</v>
      </c>
      <c r="D845" s="8" t="s">
        <v>30</v>
      </c>
      <c r="E845" s="10">
        <v>20000</v>
      </c>
      <c r="F845" s="10">
        <v>0.027</v>
      </c>
      <c r="G845" s="9">
        <v>45509</v>
      </c>
      <c r="H845" s="12">
        <f t="shared" si="13"/>
        <v>540</v>
      </c>
      <c r="I845" s="10" t="s">
        <v>10</v>
      </c>
      <c r="J845" s="13">
        <v>45492</v>
      </c>
      <c r="K845" t="s">
        <v>369</v>
      </c>
    </row>
    <row r="846" customFormat="1" spans="1:14">
      <c r="A846" t="s">
        <v>319</v>
      </c>
      <c r="B846" s="90">
        <v>242500768</v>
      </c>
      <c r="C846" s="9">
        <v>45457</v>
      </c>
      <c r="D846" s="8" t="s">
        <v>30</v>
      </c>
      <c r="E846" s="10">
        <v>20000</v>
      </c>
      <c r="F846" s="10">
        <v>0.027</v>
      </c>
      <c r="G846" s="9">
        <v>45540</v>
      </c>
      <c r="H846" s="12">
        <f t="shared" si="13"/>
        <v>540</v>
      </c>
      <c r="I846" s="10" t="s">
        <v>10</v>
      </c>
      <c r="J846" s="13">
        <v>45492</v>
      </c>
      <c r="K846" t="s">
        <v>369</v>
      </c>
    </row>
    <row r="847" customFormat="1" spans="1:14">
      <c r="B847" s="86">
        <v>242500769</v>
      </c>
      <c r="C847" s="9">
        <v>45460</v>
      </c>
      <c r="D847" s="10" t="s">
        <v>383</v>
      </c>
      <c r="E847" s="10">
        <v>30000</v>
      </c>
      <c r="F847" s="10">
        <v>0.098</v>
      </c>
      <c r="G847" s="9">
        <v>45465</v>
      </c>
      <c r="H847" s="12">
        <f t="shared" si="13"/>
        <v>2940</v>
      </c>
      <c r="I847" s="10" t="s">
        <v>10</v>
      </c>
      <c r="J847" s="15" t="s">
        <v>384</v>
      </c>
      <c r="M847" s="82"/>
      <c r="N847" s="82"/>
    </row>
    <row r="848" customFormat="1" spans="1:14">
      <c r="A848" t="s">
        <v>319</v>
      </c>
      <c r="B848" s="90">
        <v>242500770</v>
      </c>
      <c r="C848" s="9">
        <v>45457</v>
      </c>
      <c r="D848" s="8" t="s">
        <v>33</v>
      </c>
      <c r="E848" s="10">
        <v>410000</v>
      </c>
      <c r="F848" s="8">
        <v>0.02</v>
      </c>
      <c r="G848" s="11">
        <v>45540</v>
      </c>
      <c r="H848" s="12">
        <f t="shared" si="13"/>
        <v>8200</v>
      </c>
      <c r="I848" s="10" t="s">
        <v>10</v>
      </c>
      <c r="J848" s="13">
        <v>45490</v>
      </c>
      <c r="K848" t="s">
        <v>327</v>
      </c>
      <c r="M848" s="82"/>
      <c r="N848" s="82"/>
    </row>
    <row r="849" customFormat="1" spans="1:14">
      <c r="A849" t="s">
        <v>319</v>
      </c>
      <c r="B849" s="90">
        <v>242500770</v>
      </c>
      <c r="C849" s="9">
        <v>45457</v>
      </c>
      <c r="D849" s="8" t="s">
        <v>58</v>
      </c>
      <c r="E849" s="10">
        <v>500000</v>
      </c>
      <c r="F849" s="8">
        <v>0.019</v>
      </c>
      <c r="G849" s="11">
        <v>45540</v>
      </c>
      <c r="H849" s="12">
        <f t="shared" si="13"/>
        <v>9500</v>
      </c>
      <c r="I849" s="10" t="s">
        <v>10</v>
      </c>
      <c r="J849" s="13">
        <v>45509</v>
      </c>
      <c r="K849" t="s">
        <v>327</v>
      </c>
      <c r="M849" s="82"/>
      <c r="N849" s="82"/>
    </row>
    <row r="850" customFormat="1" spans="1:14">
      <c r="A850" t="s">
        <v>319</v>
      </c>
      <c r="B850" s="90">
        <v>242500770</v>
      </c>
      <c r="C850" s="9">
        <v>45457</v>
      </c>
      <c r="D850" s="8" t="s">
        <v>185</v>
      </c>
      <c r="E850" s="10">
        <v>200000</v>
      </c>
      <c r="F850" s="8">
        <v>0.04</v>
      </c>
      <c r="G850" s="11">
        <v>45570</v>
      </c>
      <c r="H850" s="12">
        <f t="shared" si="13"/>
        <v>8000</v>
      </c>
      <c r="I850" s="10" t="s">
        <v>10</v>
      </c>
      <c r="J850" s="13">
        <v>45492</v>
      </c>
      <c r="K850" t="s">
        <v>327</v>
      </c>
      <c r="M850" s="82"/>
    </row>
    <row r="851" customFormat="1" spans="1:14">
      <c r="A851" t="s">
        <v>319</v>
      </c>
      <c r="B851" s="8">
        <v>242500771</v>
      </c>
      <c r="C851" s="9">
        <v>45457</v>
      </c>
      <c r="D851" s="8" t="s">
        <v>58</v>
      </c>
      <c r="E851" s="10">
        <v>200000</v>
      </c>
      <c r="F851" s="8">
        <v>0.019</v>
      </c>
      <c r="G851" s="11">
        <v>45570</v>
      </c>
      <c r="H851" s="12">
        <f t="shared" si="13"/>
        <v>3800</v>
      </c>
      <c r="I851" s="10" t="s">
        <v>10</v>
      </c>
      <c r="J851" s="13">
        <v>45530</v>
      </c>
      <c r="K851" t="s">
        <v>327</v>
      </c>
    </row>
    <row r="852" customFormat="1" spans="1:14">
      <c r="A852" t="s">
        <v>319</v>
      </c>
      <c r="B852" s="8">
        <v>242500772</v>
      </c>
      <c r="C852" s="9">
        <v>45457</v>
      </c>
      <c r="D852" s="8" t="s">
        <v>58</v>
      </c>
      <c r="E852" s="10">
        <v>20000</v>
      </c>
      <c r="F852" s="8">
        <v>0.019</v>
      </c>
      <c r="G852" s="11">
        <v>45540</v>
      </c>
      <c r="H852" s="12">
        <f t="shared" si="13"/>
        <v>380</v>
      </c>
      <c r="I852" s="10" t="s">
        <v>10</v>
      </c>
      <c r="J852" s="13">
        <v>45483</v>
      </c>
    </row>
    <row r="853" customFormat="1" spans="1:14">
      <c r="A853" t="s">
        <v>319</v>
      </c>
      <c r="B853" s="8">
        <v>242500774</v>
      </c>
      <c r="C853" s="9">
        <v>45457</v>
      </c>
      <c r="D853" s="8" t="s">
        <v>33</v>
      </c>
      <c r="E853" s="10">
        <v>86000</v>
      </c>
      <c r="F853" s="8">
        <v>0.02</v>
      </c>
      <c r="G853" s="11">
        <v>45540</v>
      </c>
      <c r="H853" s="12">
        <f t="shared" si="13"/>
        <v>1720</v>
      </c>
      <c r="I853" s="10" t="s">
        <v>10</v>
      </c>
      <c r="J853" s="13">
        <v>45519</v>
      </c>
      <c r="K853" t="s">
        <v>327</v>
      </c>
    </row>
    <row r="854" customFormat="1" spans="1:14">
      <c r="A854" t="s">
        <v>319</v>
      </c>
      <c r="B854" s="8">
        <v>242500774</v>
      </c>
      <c r="C854" s="9">
        <v>45457</v>
      </c>
      <c r="D854" s="8" t="s">
        <v>58</v>
      </c>
      <c r="E854" s="10">
        <v>24000</v>
      </c>
      <c r="F854" s="8">
        <v>0.019</v>
      </c>
      <c r="G854" s="11">
        <v>45540</v>
      </c>
      <c r="H854" s="12">
        <f t="shared" si="13"/>
        <v>456</v>
      </c>
      <c r="I854" s="10" t="s">
        <v>10</v>
      </c>
      <c r="J854" s="13">
        <v>45530</v>
      </c>
      <c r="K854" t="s">
        <v>327</v>
      </c>
    </row>
    <row r="855" customFormat="1" spans="1:14">
      <c r="A855" t="s">
        <v>319</v>
      </c>
      <c r="B855" s="8">
        <v>242500774</v>
      </c>
      <c r="C855" s="9">
        <v>45457</v>
      </c>
      <c r="D855" s="8" t="s">
        <v>29</v>
      </c>
      <c r="E855" s="10">
        <v>24000</v>
      </c>
      <c r="F855" s="8">
        <v>0.027</v>
      </c>
      <c r="G855" s="11">
        <v>45540</v>
      </c>
      <c r="H855" s="12">
        <f t="shared" si="13"/>
        <v>648</v>
      </c>
      <c r="I855" s="10" t="s">
        <v>10</v>
      </c>
      <c r="J855" s="13">
        <v>45519</v>
      </c>
      <c r="K855" t="s">
        <v>327</v>
      </c>
    </row>
    <row r="856" customFormat="1" spans="1:14">
      <c r="A856" t="s">
        <v>319</v>
      </c>
      <c r="B856" s="8">
        <v>242500774</v>
      </c>
      <c r="C856" s="9">
        <v>45457</v>
      </c>
      <c r="D856" s="8" t="s">
        <v>29</v>
      </c>
      <c r="E856" s="10">
        <v>24000</v>
      </c>
      <c r="F856" s="8">
        <v>0.027</v>
      </c>
      <c r="G856" s="11">
        <v>45570</v>
      </c>
      <c r="H856" s="12">
        <f t="shared" si="13"/>
        <v>648</v>
      </c>
      <c r="I856" s="10" t="s">
        <v>10</v>
      </c>
      <c r="J856" s="13">
        <v>45519</v>
      </c>
      <c r="K856" t="s">
        <v>327</v>
      </c>
    </row>
    <row r="857" customFormat="1" spans="1:14">
      <c r="A857" t="s">
        <v>319</v>
      </c>
      <c r="B857" s="8">
        <v>242500774</v>
      </c>
      <c r="C857" s="9">
        <v>45457</v>
      </c>
      <c r="D857" s="8" t="s">
        <v>100</v>
      </c>
      <c r="E857" s="10">
        <v>40000</v>
      </c>
      <c r="F857" s="10">
        <v>0.028</v>
      </c>
      <c r="G857" s="11">
        <v>45509</v>
      </c>
      <c r="H857" s="12">
        <f t="shared" si="13"/>
        <v>1120</v>
      </c>
      <c r="I857" s="10" t="s">
        <v>10</v>
      </c>
      <c r="J857" s="13">
        <v>45530</v>
      </c>
      <c r="K857" t="s">
        <v>327</v>
      </c>
    </row>
    <row r="858" customFormat="1" spans="1:14">
      <c r="A858" t="s">
        <v>319</v>
      </c>
      <c r="B858" s="8">
        <v>242500774</v>
      </c>
      <c r="C858" s="9">
        <v>45457</v>
      </c>
      <c r="D858" s="8" t="s">
        <v>100</v>
      </c>
      <c r="E858" s="10">
        <v>40000</v>
      </c>
      <c r="F858" s="10">
        <v>0.028</v>
      </c>
      <c r="G858" s="11">
        <v>45540</v>
      </c>
      <c r="H858" s="12">
        <f t="shared" si="13"/>
        <v>1120</v>
      </c>
      <c r="I858" s="10" t="s">
        <v>10</v>
      </c>
      <c r="J858" s="13">
        <v>45530</v>
      </c>
      <c r="K858" t="s">
        <v>327</v>
      </c>
    </row>
    <row r="859" customFormat="1" spans="1:14">
      <c r="A859" t="s">
        <v>319</v>
      </c>
      <c r="B859" s="8">
        <v>242500774</v>
      </c>
      <c r="C859" s="9">
        <v>45457</v>
      </c>
      <c r="D859" s="8" t="s">
        <v>100</v>
      </c>
      <c r="E859" s="10">
        <v>40000</v>
      </c>
      <c r="F859" s="10">
        <v>0.028</v>
      </c>
      <c r="G859" s="11">
        <v>45570</v>
      </c>
      <c r="H859" s="12">
        <f t="shared" si="13"/>
        <v>1120</v>
      </c>
      <c r="I859" s="10" t="s">
        <v>10</v>
      </c>
      <c r="J859" s="13">
        <v>45530</v>
      </c>
      <c r="K859" t="s">
        <v>327</v>
      </c>
    </row>
    <row r="860" customFormat="1" spans="1:14">
      <c r="A860" t="s">
        <v>319</v>
      </c>
      <c r="B860" s="8">
        <v>242500775</v>
      </c>
      <c r="C860" s="9">
        <v>45457</v>
      </c>
      <c r="D860" s="8" t="s">
        <v>286</v>
      </c>
      <c r="E860" s="10">
        <v>24000</v>
      </c>
      <c r="F860" s="8">
        <v>0.0235</v>
      </c>
      <c r="G860" s="11">
        <v>45509</v>
      </c>
      <c r="H860" s="12">
        <f t="shared" si="13"/>
        <v>564</v>
      </c>
      <c r="I860" s="10" t="s">
        <v>10</v>
      </c>
      <c r="J860" s="13">
        <v>45477</v>
      </c>
    </row>
    <row r="861" customFormat="1" spans="1:14">
      <c r="A861" t="s">
        <v>319</v>
      </c>
      <c r="B861" s="8">
        <v>242500775</v>
      </c>
      <c r="C861" s="9">
        <v>45457</v>
      </c>
      <c r="D861" s="8" t="s">
        <v>286</v>
      </c>
      <c r="E861" s="10">
        <v>24000</v>
      </c>
      <c r="F861" s="8">
        <v>0.0235</v>
      </c>
      <c r="G861" s="11">
        <v>45540</v>
      </c>
      <c r="H861" s="12">
        <f t="shared" si="13"/>
        <v>564</v>
      </c>
      <c r="I861" s="10" t="s">
        <v>10</v>
      </c>
      <c r="J861" s="13">
        <v>45477</v>
      </c>
    </row>
    <row r="862" customFormat="1" spans="1:14">
      <c r="A862" t="s">
        <v>319</v>
      </c>
      <c r="B862" s="8">
        <v>242500775</v>
      </c>
      <c r="C862" s="9">
        <v>45457</v>
      </c>
      <c r="D862" s="8" t="s">
        <v>286</v>
      </c>
      <c r="E862" s="10">
        <v>24000</v>
      </c>
      <c r="F862" s="8">
        <v>0.0235</v>
      </c>
      <c r="G862" s="11">
        <v>45601</v>
      </c>
      <c r="H862" s="12">
        <f t="shared" si="13"/>
        <v>564</v>
      </c>
      <c r="I862" s="10" t="s">
        <v>10</v>
      </c>
      <c r="J862" s="13">
        <v>45477</v>
      </c>
    </row>
    <row r="863" customFormat="1" spans="1:14">
      <c r="A863" t="s">
        <v>319</v>
      </c>
      <c r="B863" s="8">
        <v>242500775</v>
      </c>
      <c r="C863" s="9">
        <v>45457</v>
      </c>
      <c r="D863" s="8" t="s">
        <v>288</v>
      </c>
      <c r="E863" s="10">
        <v>24000</v>
      </c>
      <c r="F863" s="8">
        <v>0.022</v>
      </c>
      <c r="G863" s="11">
        <v>45509</v>
      </c>
      <c r="H863" s="12">
        <f t="shared" si="13"/>
        <v>528</v>
      </c>
      <c r="I863" s="10" t="s">
        <v>10</v>
      </c>
      <c r="J863" s="13">
        <v>45477</v>
      </c>
    </row>
    <row r="864" customFormat="1" spans="1:14">
      <c r="A864" t="s">
        <v>319</v>
      </c>
      <c r="B864" s="8">
        <v>242500775</v>
      </c>
      <c r="C864" s="9">
        <v>45457</v>
      </c>
      <c r="D864" s="8" t="s">
        <v>288</v>
      </c>
      <c r="E864" s="10">
        <v>24000</v>
      </c>
      <c r="F864" s="8">
        <v>0.022</v>
      </c>
      <c r="G864" s="11">
        <v>45540</v>
      </c>
      <c r="H864" s="12">
        <f t="shared" si="13"/>
        <v>528</v>
      </c>
      <c r="I864" s="10" t="s">
        <v>10</v>
      </c>
      <c r="J864" s="13">
        <v>45477</v>
      </c>
    </row>
    <row r="865" customFormat="1" spans="1:11">
      <c r="A865" t="s">
        <v>319</v>
      </c>
      <c r="B865" s="8">
        <v>242500775</v>
      </c>
      <c r="C865" s="9">
        <v>45457</v>
      </c>
      <c r="D865" s="8" t="s">
        <v>288</v>
      </c>
      <c r="E865" s="10">
        <v>24000</v>
      </c>
      <c r="F865" s="8">
        <v>0.022</v>
      </c>
      <c r="G865" s="11">
        <v>45601</v>
      </c>
      <c r="H865" s="12">
        <f t="shared" si="13"/>
        <v>528</v>
      </c>
      <c r="I865" s="10" t="s">
        <v>10</v>
      </c>
      <c r="J865" s="13">
        <v>45477</v>
      </c>
    </row>
    <row r="866" customFormat="1" spans="1:11">
      <c r="A866" t="s">
        <v>319</v>
      </c>
      <c r="B866" s="8">
        <v>242500775</v>
      </c>
      <c r="C866" s="9">
        <v>45457</v>
      </c>
      <c r="D866" s="8" t="s">
        <v>285</v>
      </c>
      <c r="E866" s="10">
        <v>24000</v>
      </c>
      <c r="F866" s="8">
        <v>0.02</v>
      </c>
      <c r="G866" s="11">
        <v>45509</v>
      </c>
      <c r="H866" s="12">
        <f t="shared" si="13"/>
        <v>480</v>
      </c>
      <c r="I866" s="10" t="s">
        <v>10</v>
      </c>
      <c r="J866" s="13">
        <v>45477</v>
      </c>
    </row>
    <row r="867" customFormat="1" spans="1:11">
      <c r="A867" t="s">
        <v>319</v>
      </c>
      <c r="B867" s="8">
        <v>242500775</v>
      </c>
      <c r="C867" s="9">
        <v>45457</v>
      </c>
      <c r="D867" s="8" t="s">
        <v>285</v>
      </c>
      <c r="E867" s="10">
        <v>24000</v>
      </c>
      <c r="F867" s="8">
        <v>0.02</v>
      </c>
      <c r="G867" s="11">
        <v>45540</v>
      </c>
      <c r="H867" s="12">
        <f t="shared" si="13"/>
        <v>480</v>
      </c>
      <c r="I867" s="10" t="s">
        <v>10</v>
      </c>
      <c r="J867" s="13">
        <v>45477</v>
      </c>
    </row>
    <row r="868" customFormat="1" spans="1:11">
      <c r="A868" t="s">
        <v>319</v>
      </c>
      <c r="B868" s="8">
        <v>242500775</v>
      </c>
      <c r="C868" s="9">
        <v>45457</v>
      </c>
      <c r="D868" s="8" t="s">
        <v>285</v>
      </c>
      <c r="E868" s="10">
        <v>24000</v>
      </c>
      <c r="F868" s="8">
        <v>0.02</v>
      </c>
      <c r="G868" s="11">
        <v>45601</v>
      </c>
      <c r="H868" s="12">
        <f t="shared" si="13"/>
        <v>480</v>
      </c>
      <c r="I868" s="10" t="s">
        <v>10</v>
      </c>
      <c r="J868" s="13">
        <v>45477</v>
      </c>
    </row>
    <row r="869" customFormat="1" spans="1:11">
      <c r="A869" t="s">
        <v>319</v>
      </c>
      <c r="B869" s="8">
        <v>242500775</v>
      </c>
      <c r="C869" s="9">
        <v>45457</v>
      </c>
      <c r="D869" s="8" t="s">
        <v>287</v>
      </c>
      <c r="E869" s="10">
        <v>20000</v>
      </c>
      <c r="F869" s="8">
        <v>0.018</v>
      </c>
      <c r="G869" s="11">
        <v>45509</v>
      </c>
      <c r="H869" s="12">
        <f t="shared" si="13"/>
        <v>360</v>
      </c>
      <c r="I869" s="10" t="s">
        <v>10</v>
      </c>
      <c r="J869" s="13">
        <v>45477</v>
      </c>
    </row>
    <row r="870" customFormat="1" spans="1:11">
      <c r="A870" t="s">
        <v>319</v>
      </c>
      <c r="B870" s="8">
        <v>242500775</v>
      </c>
      <c r="C870" s="9">
        <v>45457</v>
      </c>
      <c r="D870" s="8" t="s">
        <v>287</v>
      </c>
      <c r="E870" s="10">
        <v>20000</v>
      </c>
      <c r="F870" s="8">
        <v>0.018</v>
      </c>
      <c r="G870" s="11">
        <v>45540</v>
      </c>
      <c r="H870" s="12">
        <f t="shared" si="13"/>
        <v>360</v>
      </c>
      <c r="I870" s="10" t="s">
        <v>10</v>
      </c>
      <c r="J870" s="13">
        <v>45477</v>
      </c>
    </row>
    <row r="871" customFormat="1" spans="1:11">
      <c r="A871" t="s">
        <v>319</v>
      </c>
      <c r="B871" s="8">
        <v>242500775</v>
      </c>
      <c r="C871" s="9">
        <v>45457</v>
      </c>
      <c r="D871" s="8" t="s">
        <v>287</v>
      </c>
      <c r="E871" s="10">
        <v>20000</v>
      </c>
      <c r="F871" s="8">
        <v>0.018</v>
      </c>
      <c r="G871" s="11">
        <v>45601</v>
      </c>
      <c r="H871" s="12">
        <f t="shared" si="13"/>
        <v>360</v>
      </c>
      <c r="I871" s="10" t="s">
        <v>10</v>
      </c>
      <c r="J871" s="13">
        <v>45477</v>
      </c>
    </row>
    <row r="872" customFormat="1" spans="1:11">
      <c r="A872" t="s">
        <v>319</v>
      </c>
      <c r="B872" s="8">
        <v>242500776</v>
      </c>
      <c r="C872" s="9">
        <v>45457</v>
      </c>
      <c r="D872" s="8" t="s">
        <v>70</v>
      </c>
      <c r="E872" s="10">
        <v>20000</v>
      </c>
      <c r="F872" s="8">
        <v>0.028</v>
      </c>
      <c r="G872" s="11">
        <v>45478</v>
      </c>
      <c r="H872" s="12">
        <f t="shared" si="13"/>
        <v>560</v>
      </c>
      <c r="I872" s="10" t="s">
        <v>10</v>
      </c>
      <c r="J872" s="13">
        <v>45470</v>
      </c>
    </row>
    <row r="873" customFormat="1" spans="1:11">
      <c r="A873" t="s">
        <v>319</v>
      </c>
      <c r="B873" s="8">
        <v>242500777</v>
      </c>
      <c r="C873" s="9">
        <v>45457</v>
      </c>
      <c r="D873" s="8" t="s">
        <v>282</v>
      </c>
      <c r="E873" s="10">
        <v>300000</v>
      </c>
      <c r="F873" s="8">
        <v>0.032</v>
      </c>
      <c r="G873" s="11">
        <v>45509</v>
      </c>
      <c r="H873" s="12">
        <f t="shared" si="13"/>
        <v>9600</v>
      </c>
      <c r="I873" s="10" t="s">
        <v>10</v>
      </c>
      <c r="J873" s="13">
        <v>45463</v>
      </c>
    </row>
    <row r="874" customFormat="1" spans="1:11">
      <c r="A874" t="s">
        <v>319</v>
      </c>
      <c r="B874" s="8">
        <v>242500777</v>
      </c>
      <c r="C874" s="9">
        <v>45457</v>
      </c>
      <c r="D874" s="8" t="s">
        <v>282</v>
      </c>
      <c r="E874" s="10">
        <v>300000</v>
      </c>
      <c r="F874" s="8">
        <v>0.032</v>
      </c>
      <c r="G874" s="11">
        <v>45540</v>
      </c>
      <c r="H874" s="12">
        <f t="shared" si="13"/>
        <v>9600</v>
      </c>
      <c r="I874" s="10" t="s">
        <v>10</v>
      </c>
      <c r="J874" s="13">
        <v>45463</v>
      </c>
    </row>
    <row r="875" customFormat="1" spans="1:11">
      <c r="A875" t="s">
        <v>319</v>
      </c>
      <c r="B875" s="8">
        <v>242500777</v>
      </c>
      <c r="C875" s="9">
        <v>45457</v>
      </c>
      <c r="D875" s="8" t="s">
        <v>282</v>
      </c>
      <c r="E875" s="10">
        <v>300000</v>
      </c>
      <c r="F875" s="8">
        <v>0.032</v>
      </c>
      <c r="G875" s="11">
        <v>45570</v>
      </c>
      <c r="H875" s="12">
        <f t="shared" si="13"/>
        <v>9600</v>
      </c>
      <c r="I875" s="10" t="s">
        <v>10</v>
      </c>
      <c r="J875" s="13">
        <v>45463</v>
      </c>
    </row>
    <row r="876" customFormat="1" spans="1:11">
      <c r="A876" t="s">
        <v>319</v>
      </c>
      <c r="B876" s="8">
        <v>242500777</v>
      </c>
      <c r="C876" s="9">
        <v>45457</v>
      </c>
      <c r="D876" s="8" t="s">
        <v>185</v>
      </c>
      <c r="E876" s="10">
        <v>100000</v>
      </c>
      <c r="F876" s="8">
        <v>0.04</v>
      </c>
      <c r="G876" s="11">
        <v>45540</v>
      </c>
      <c r="H876" s="12">
        <f t="shared" si="13"/>
        <v>4000</v>
      </c>
      <c r="I876" s="10" t="s">
        <v>10</v>
      </c>
      <c r="J876" s="13">
        <v>45463</v>
      </c>
    </row>
    <row r="877" customFormat="1" spans="1:11">
      <c r="A877" t="s">
        <v>319</v>
      </c>
      <c r="B877" s="8">
        <v>242500777</v>
      </c>
      <c r="C877" s="9">
        <v>45457</v>
      </c>
      <c r="D877" s="8" t="s">
        <v>185</v>
      </c>
      <c r="E877" s="10">
        <v>100000</v>
      </c>
      <c r="F877" s="8">
        <v>0.04</v>
      </c>
      <c r="G877" s="11">
        <v>45570</v>
      </c>
      <c r="H877" s="12">
        <f t="shared" si="13"/>
        <v>4000</v>
      </c>
      <c r="I877" s="10" t="s">
        <v>10</v>
      </c>
      <c r="J877" s="13">
        <v>45463</v>
      </c>
    </row>
    <row r="878" customFormat="1" spans="1:11">
      <c r="A878" t="s">
        <v>319</v>
      </c>
      <c r="B878" s="8">
        <v>242500777</v>
      </c>
      <c r="C878" s="9">
        <v>45457</v>
      </c>
      <c r="D878" s="8" t="s">
        <v>36</v>
      </c>
      <c r="E878" s="10">
        <v>30000</v>
      </c>
      <c r="F878" s="8">
        <v>0.0082</v>
      </c>
      <c r="G878" s="11">
        <v>45570</v>
      </c>
      <c r="H878" s="12">
        <f t="shared" si="13"/>
        <v>246</v>
      </c>
      <c r="I878" s="10" t="s">
        <v>10</v>
      </c>
      <c r="J878" s="13">
        <v>45463</v>
      </c>
    </row>
    <row r="879" customFormat="1" spans="1:11">
      <c r="A879" t="s">
        <v>319</v>
      </c>
      <c r="B879" s="8">
        <v>242500778</v>
      </c>
      <c r="C879" s="9">
        <v>45457</v>
      </c>
      <c r="D879" s="8" t="s">
        <v>30</v>
      </c>
      <c r="E879" s="10">
        <v>60000</v>
      </c>
      <c r="F879" s="10">
        <v>0.027</v>
      </c>
      <c r="G879" s="11">
        <v>45509</v>
      </c>
      <c r="H879" s="12">
        <f t="shared" si="13"/>
        <v>1620</v>
      </c>
      <c r="I879" s="10" t="s">
        <v>10</v>
      </c>
      <c r="J879" s="13">
        <v>45437</v>
      </c>
      <c r="K879" t="s">
        <v>365</v>
      </c>
    </row>
    <row r="880" customFormat="1" spans="1:11">
      <c r="A880" t="s">
        <v>319</v>
      </c>
      <c r="B880" s="8">
        <v>242500778</v>
      </c>
      <c r="C880" s="9">
        <v>45457</v>
      </c>
      <c r="D880" s="8" t="s">
        <v>30</v>
      </c>
      <c r="E880" s="10">
        <v>60000</v>
      </c>
      <c r="F880" s="10">
        <v>0.027</v>
      </c>
      <c r="G880" s="11">
        <v>45540</v>
      </c>
      <c r="H880" s="12">
        <f t="shared" si="13"/>
        <v>1620</v>
      </c>
      <c r="I880" s="10" t="s">
        <v>10</v>
      </c>
      <c r="J880" s="13">
        <v>45437</v>
      </c>
      <c r="K880" t="s">
        <v>365</v>
      </c>
    </row>
    <row r="881" customFormat="1" spans="1:11">
      <c r="A881" t="s">
        <v>319</v>
      </c>
      <c r="B881" s="8">
        <v>242500780</v>
      </c>
      <c r="C881" s="9">
        <v>45457</v>
      </c>
      <c r="D881" s="8" t="s">
        <v>34</v>
      </c>
      <c r="E881" s="10">
        <v>70000</v>
      </c>
      <c r="F881" s="8">
        <v>0.051</v>
      </c>
      <c r="G881" s="11">
        <v>45540</v>
      </c>
      <c r="H881" s="12">
        <f t="shared" si="13"/>
        <v>3570</v>
      </c>
      <c r="I881" s="10" t="s">
        <v>10</v>
      </c>
      <c r="J881" s="13">
        <v>45519</v>
      </c>
      <c r="K881" t="s">
        <v>327</v>
      </c>
    </row>
    <row r="882" customFormat="1" spans="1:11">
      <c r="A882" t="s">
        <v>319</v>
      </c>
      <c r="B882" s="8">
        <v>242500780</v>
      </c>
      <c r="C882" s="9">
        <v>45457</v>
      </c>
      <c r="D882" s="8" t="s">
        <v>34</v>
      </c>
      <c r="E882" s="10">
        <v>70000</v>
      </c>
      <c r="F882" s="8">
        <v>0.051</v>
      </c>
      <c r="G882" s="11">
        <v>45570</v>
      </c>
      <c r="H882" s="12">
        <f t="shared" si="13"/>
        <v>3570</v>
      </c>
      <c r="I882" s="10" t="s">
        <v>10</v>
      </c>
      <c r="J882" s="13">
        <v>45519</v>
      </c>
      <c r="K882" t="s">
        <v>327</v>
      </c>
    </row>
    <row r="883" customFormat="1" spans="1:11">
      <c r="A883" t="s">
        <v>319</v>
      </c>
      <c r="B883" s="8">
        <v>242500780</v>
      </c>
      <c r="C883" s="9">
        <v>45457</v>
      </c>
      <c r="D883" s="8" t="s">
        <v>58</v>
      </c>
      <c r="E883" s="10">
        <v>200000</v>
      </c>
      <c r="F883" s="8">
        <v>0.019</v>
      </c>
      <c r="G883" s="11">
        <v>45478</v>
      </c>
      <c r="H883" s="12">
        <f t="shared" si="13"/>
        <v>3800</v>
      </c>
      <c r="I883" s="10" t="s">
        <v>10</v>
      </c>
      <c r="J883" s="13">
        <v>45530</v>
      </c>
      <c r="K883" t="s">
        <v>327</v>
      </c>
    </row>
    <row r="884" customFormat="1" spans="1:11">
      <c r="A884" t="s">
        <v>319</v>
      </c>
      <c r="B884" s="8">
        <v>242500780</v>
      </c>
      <c r="C884" s="9">
        <v>45457</v>
      </c>
      <c r="D884" s="8" t="s">
        <v>58</v>
      </c>
      <c r="E884" s="10">
        <v>200000</v>
      </c>
      <c r="F884" s="8">
        <v>0.019</v>
      </c>
      <c r="G884" s="11">
        <v>45509</v>
      </c>
      <c r="H884" s="12">
        <f t="shared" si="13"/>
        <v>3800</v>
      </c>
      <c r="I884" s="10" t="s">
        <v>10</v>
      </c>
      <c r="J884" s="13">
        <v>45530</v>
      </c>
      <c r="K884" t="s">
        <v>327</v>
      </c>
    </row>
    <row r="885" customFormat="1" spans="1:11">
      <c r="A885" t="s">
        <v>319</v>
      </c>
      <c r="B885" s="8">
        <v>242500780</v>
      </c>
      <c r="C885" s="9">
        <v>45457</v>
      </c>
      <c r="D885" s="8" t="s">
        <v>58</v>
      </c>
      <c r="E885" s="10">
        <v>240000</v>
      </c>
      <c r="F885" s="8">
        <v>0.019</v>
      </c>
      <c r="G885" s="11">
        <v>45540</v>
      </c>
      <c r="H885" s="12">
        <f t="shared" si="13"/>
        <v>4560</v>
      </c>
      <c r="I885" s="10" t="s">
        <v>10</v>
      </c>
      <c r="J885" s="13">
        <v>45530</v>
      </c>
      <c r="K885" t="s">
        <v>327</v>
      </c>
    </row>
    <row r="886" customFormat="1" spans="1:11">
      <c r="A886" t="s">
        <v>319</v>
      </c>
      <c r="B886" s="8">
        <v>242500780</v>
      </c>
      <c r="C886" s="9">
        <v>45457</v>
      </c>
      <c r="D886" s="8" t="s">
        <v>58</v>
      </c>
      <c r="E886" s="10">
        <v>200000</v>
      </c>
      <c r="F886" s="8">
        <v>0.019</v>
      </c>
      <c r="G886" s="11">
        <v>45570</v>
      </c>
      <c r="H886" s="12">
        <f t="shared" si="13"/>
        <v>3800</v>
      </c>
      <c r="I886" s="10" t="s">
        <v>10</v>
      </c>
      <c r="J886" s="13">
        <v>45530</v>
      </c>
      <c r="K886" t="s">
        <v>327</v>
      </c>
    </row>
    <row r="887" customFormat="1" spans="1:11">
      <c r="A887" t="s">
        <v>319</v>
      </c>
      <c r="B887" s="8">
        <v>242500780</v>
      </c>
      <c r="C887" s="9">
        <v>45457</v>
      </c>
      <c r="D887" s="8" t="s">
        <v>32</v>
      </c>
      <c r="E887" s="10">
        <v>110000</v>
      </c>
      <c r="F887" s="8">
        <v>0.02</v>
      </c>
      <c r="G887" s="11">
        <v>45509</v>
      </c>
      <c r="H887" s="12">
        <f t="shared" si="13"/>
        <v>2200</v>
      </c>
      <c r="I887" s="10" t="s">
        <v>10</v>
      </c>
      <c r="J887" s="13">
        <v>45519</v>
      </c>
      <c r="K887" t="s">
        <v>327</v>
      </c>
    </row>
    <row r="888" customFormat="1" spans="1:11">
      <c r="A888" t="s">
        <v>319</v>
      </c>
      <c r="B888" s="8">
        <v>242500780</v>
      </c>
      <c r="C888" s="9">
        <v>45457</v>
      </c>
      <c r="D888" s="8" t="s">
        <v>32</v>
      </c>
      <c r="E888" s="10">
        <v>110000</v>
      </c>
      <c r="F888" s="8">
        <v>0.02</v>
      </c>
      <c r="G888" s="11">
        <v>45540</v>
      </c>
      <c r="H888" s="12">
        <f t="shared" si="13"/>
        <v>2200</v>
      </c>
      <c r="I888" s="10" t="s">
        <v>10</v>
      </c>
      <c r="J888" s="13">
        <v>45519</v>
      </c>
      <c r="K888" t="s">
        <v>327</v>
      </c>
    </row>
    <row r="889" customFormat="1" spans="1:11">
      <c r="A889" t="s">
        <v>319</v>
      </c>
      <c r="B889" s="8">
        <v>242500780</v>
      </c>
      <c r="C889" s="9">
        <v>45457</v>
      </c>
      <c r="D889" s="8" t="s">
        <v>32</v>
      </c>
      <c r="E889" s="10">
        <v>110000</v>
      </c>
      <c r="F889" s="8">
        <v>0.02</v>
      </c>
      <c r="G889" s="11">
        <v>45570</v>
      </c>
      <c r="H889" s="12">
        <f t="shared" si="13"/>
        <v>2200</v>
      </c>
      <c r="I889" s="10" t="s">
        <v>10</v>
      </c>
      <c r="J889" s="13">
        <v>45519</v>
      </c>
      <c r="K889" t="s">
        <v>327</v>
      </c>
    </row>
    <row r="890" customFormat="1" spans="1:11">
      <c r="A890" t="s">
        <v>319</v>
      </c>
      <c r="B890" s="8">
        <v>242500780</v>
      </c>
      <c r="C890" s="9">
        <v>45457</v>
      </c>
      <c r="D890" s="8" t="s">
        <v>29</v>
      </c>
      <c r="E890" s="10">
        <v>130000</v>
      </c>
      <c r="F890" s="8">
        <v>0.027</v>
      </c>
      <c r="G890" s="11">
        <v>45540</v>
      </c>
      <c r="H890" s="12">
        <f t="shared" si="13"/>
        <v>3510</v>
      </c>
      <c r="I890" s="10" t="s">
        <v>10</v>
      </c>
      <c r="J890" s="13">
        <v>45519</v>
      </c>
      <c r="K890" t="s">
        <v>327</v>
      </c>
    </row>
    <row r="891" customFormat="1" spans="1:11">
      <c r="A891" t="s">
        <v>319</v>
      </c>
      <c r="B891" s="8">
        <v>242500780</v>
      </c>
      <c r="C891" s="9">
        <v>45457</v>
      </c>
      <c r="D891" s="8" t="s">
        <v>29</v>
      </c>
      <c r="E891" s="10">
        <v>130000</v>
      </c>
      <c r="F891" s="8">
        <v>0.027</v>
      </c>
      <c r="G891" s="11">
        <v>45570</v>
      </c>
      <c r="H891" s="12">
        <f t="shared" si="13"/>
        <v>3510</v>
      </c>
      <c r="I891" s="10" t="s">
        <v>10</v>
      </c>
      <c r="J891" s="13">
        <v>45519</v>
      </c>
      <c r="K891" t="s">
        <v>327</v>
      </c>
    </row>
    <row r="892" customFormat="1" spans="1:11">
      <c r="A892" t="s">
        <v>319</v>
      </c>
      <c r="B892" s="8">
        <v>242500780</v>
      </c>
      <c r="C892" s="9">
        <v>45457</v>
      </c>
      <c r="D892" s="8" t="s">
        <v>100</v>
      </c>
      <c r="E892" s="10">
        <v>70000</v>
      </c>
      <c r="F892" s="10">
        <v>0.028</v>
      </c>
      <c r="G892" s="11">
        <v>45509</v>
      </c>
      <c r="H892" s="12">
        <f t="shared" si="13"/>
        <v>1960</v>
      </c>
      <c r="I892" s="10" t="s">
        <v>10</v>
      </c>
      <c r="J892" s="13">
        <v>45530</v>
      </c>
      <c r="K892" t="s">
        <v>327</v>
      </c>
    </row>
    <row r="893" customFormat="1" spans="1:11">
      <c r="A893" t="s">
        <v>319</v>
      </c>
      <c r="B893" s="8">
        <v>242500780</v>
      </c>
      <c r="C893" s="9">
        <v>45457</v>
      </c>
      <c r="D893" s="8" t="s">
        <v>100</v>
      </c>
      <c r="E893" s="10">
        <v>70000</v>
      </c>
      <c r="F893" s="10">
        <v>0.028</v>
      </c>
      <c r="G893" s="11">
        <v>45540</v>
      </c>
      <c r="H893" s="12">
        <f t="shared" si="13"/>
        <v>1960</v>
      </c>
      <c r="I893" s="10" t="s">
        <v>10</v>
      </c>
      <c r="J893" s="13">
        <v>45530</v>
      </c>
      <c r="K893" t="s">
        <v>327</v>
      </c>
    </row>
    <row r="894" customFormat="1" spans="1:11">
      <c r="A894" t="s">
        <v>319</v>
      </c>
      <c r="B894" s="8">
        <v>242500780</v>
      </c>
      <c r="C894" s="9">
        <v>45457</v>
      </c>
      <c r="D894" s="8" t="s">
        <v>100</v>
      </c>
      <c r="E894" s="10">
        <v>70000</v>
      </c>
      <c r="F894" s="10">
        <v>0.028</v>
      </c>
      <c r="G894" s="11">
        <v>45570</v>
      </c>
      <c r="H894" s="12">
        <f t="shared" si="13"/>
        <v>1960</v>
      </c>
      <c r="I894" s="10" t="s">
        <v>10</v>
      </c>
      <c r="J894" s="13">
        <v>45530</v>
      </c>
      <c r="K894" t="s">
        <v>327</v>
      </c>
    </row>
    <row r="895" customFormat="1" spans="1:11">
      <c r="A895" t="s">
        <v>319</v>
      </c>
      <c r="B895" s="90">
        <v>242500782</v>
      </c>
      <c r="C895" s="9">
        <v>45457</v>
      </c>
      <c r="D895" s="8" t="s">
        <v>18</v>
      </c>
      <c r="E895" s="10">
        <v>100000</v>
      </c>
      <c r="F895" s="8">
        <v>0.0238</v>
      </c>
      <c r="G895" s="11">
        <v>45540</v>
      </c>
      <c r="H895" s="12">
        <f t="shared" si="13"/>
        <v>2380</v>
      </c>
      <c r="I895" s="10" t="s">
        <v>10</v>
      </c>
      <c r="J895" s="13">
        <v>45477</v>
      </c>
      <c r="K895" t="s">
        <v>385</v>
      </c>
    </row>
    <row r="896" customFormat="1" spans="1:11">
      <c r="A896" t="s">
        <v>319</v>
      </c>
      <c r="B896" s="90">
        <v>242500782</v>
      </c>
      <c r="C896" s="9">
        <v>45457</v>
      </c>
      <c r="D896" s="8" t="s">
        <v>18</v>
      </c>
      <c r="E896" s="10">
        <v>100000</v>
      </c>
      <c r="F896" s="8">
        <v>0.0238</v>
      </c>
      <c r="G896" s="11">
        <v>45570</v>
      </c>
      <c r="H896" s="12">
        <f t="shared" si="13"/>
        <v>2380</v>
      </c>
      <c r="I896" s="10" t="s">
        <v>10</v>
      </c>
      <c r="J896" s="13">
        <v>45477</v>
      </c>
      <c r="K896" t="s">
        <v>385</v>
      </c>
    </row>
    <row r="897" customFormat="1" spans="1:11">
      <c r="A897" t="s">
        <v>319</v>
      </c>
      <c r="B897" s="90">
        <v>242500782</v>
      </c>
      <c r="C897" s="9">
        <v>45457</v>
      </c>
      <c r="D897" s="10" t="s">
        <v>213</v>
      </c>
      <c r="E897" s="10">
        <v>250000</v>
      </c>
      <c r="F897" s="8">
        <v>0.05</v>
      </c>
      <c r="G897" s="11">
        <v>45509</v>
      </c>
      <c r="H897" s="12">
        <f t="shared" si="13"/>
        <v>12500</v>
      </c>
      <c r="I897" s="10" t="s">
        <v>10</v>
      </c>
      <c r="J897" s="13">
        <v>45477</v>
      </c>
      <c r="K897" t="s">
        <v>385</v>
      </c>
    </row>
    <row r="898" customFormat="1" spans="1:11">
      <c r="A898" t="s">
        <v>319</v>
      </c>
      <c r="B898" s="90">
        <v>242500782</v>
      </c>
      <c r="C898" s="9">
        <v>45457</v>
      </c>
      <c r="D898" s="10" t="s">
        <v>213</v>
      </c>
      <c r="E898" s="10">
        <v>250000</v>
      </c>
      <c r="F898" s="8">
        <v>0.05</v>
      </c>
      <c r="G898" s="11">
        <v>45540</v>
      </c>
      <c r="H898" s="12">
        <f t="shared" ref="H898:H961" si="14">E898*F898</f>
        <v>12500</v>
      </c>
      <c r="I898" s="10" t="s">
        <v>10</v>
      </c>
      <c r="J898" s="13">
        <v>45477</v>
      </c>
      <c r="K898" t="s">
        <v>385</v>
      </c>
    </row>
    <row r="899" customFormat="1" spans="1:11">
      <c r="A899" t="s">
        <v>319</v>
      </c>
      <c r="B899" s="90">
        <v>242500782</v>
      </c>
      <c r="C899" s="9">
        <v>45457</v>
      </c>
      <c r="D899" s="10" t="s">
        <v>213</v>
      </c>
      <c r="E899" s="10">
        <v>250000</v>
      </c>
      <c r="F899" s="8">
        <v>0.05</v>
      </c>
      <c r="G899" s="11">
        <v>45570</v>
      </c>
      <c r="H899" s="12">
        <f t="shared" si="14"/>
        <v>12500</v>
      </c>
      <c r="I899" s="10" t="s">
        <v>10</v>
      </c>
      <c r="J899" s="13">
        <v>45477</v>
      </c>
      <c r="K899" t="s">
        <v>385</v>
      </c>
    </row>
    <row r="900" customFormat="1" spans="1:11">
      <c r="A900" t="s">
        <v>319</v>
      </c>
      <c r="B900" s="90">
        <v>242500782</v>
      </c>
      <c r="C900" s="9">
        <v>45457</v>
      </c>
      <c r="D900" s="8" t="s">
        <v>25</v>
      </c>
      <c r="E900" s="10">
        <v>20000</v>
      </c>
      <c r="F900" s="8">
        <v>0.016</v>
      </c>
      <c r="G900" s="11">
        <v>45526</v>
      </c>
      <c r="H900" s="12">
        <f t="shared" si="14"/>
        <v>320</v>
      </c>
      <c r="I900" s="10" t="s">
        <v>10</v>
      </c>
      <c r="J900" s="13">
        <v>45477</v>
      </c>
      <c r="K900" t="s">
        <v>385</v>
      </c>
    </row>
    <row r="901" customFormat="1" spans="1:11">
      <c r="A901" t="s">
        <v>319</v>
      </c>
      <c r="B901" s="90">
        <v>242500782</v>
      </c>
      <c r="C901" s="9">
        <v>45457</v>
      </c>
      <c r="D901" s="8" t="s">
        <v>386</v>
      </c>
      <c r="E901" s="10">
        <v>60000</v>
      </c>
      <c r="F901" s="8">
        <v>0.04</v>
      </c>
      <c r="G901" s="11">
        <v>45509</v>
      </c>
      <c r="H901" s="12">
        <f t="shared" si="14"/>
        <v>2400</v>
      </c>
      <c r="I901" s="10" t="s">
        <v>10</v>
      </c>
      <c r="J901" s="13">
        <v>45477</v>
      </c>
      <c r="K901" t="s">
        <v>385</v>
      </c>
    </row>
    <row r="902" customFormat="1" spans="1:11">
      <c r="A902" t="s">
        <v>319</v>
      </c>
      <c r="B902" s="90">
        <v>242500782</v>
      </c>
      <c r="C902" s="9">
        <v>45457</v>
      </c>
      <c r="D902" s="8" t="s">
        <v>386</v>
      </c>
      <c r="E902" s="10">
        <v>60000</v>
      </c>
      <c r="F902" s="8">
        <v>0.04</v>
      </c>
      <c r="G902" s="11">
        <v>45540</v>
      </c>
      <c r="H902" s="12">
        <f t="shared" si="14"/>
        <v>2400</v>
      </c>
      <c r="I902" s="10" t="s">
        <v>10</v>
      </c>
      <c r="J902" s="13">
        <v>45477</v>
      </c>
      <c r="K902" t="s">
        <v>385</v>
      </c>
    </row>
    <row r="903" customFormat="1" spans="1:11">
      <c r="A903" t="s">
        <v>319</v>
      </c>
      <c r="B903" s="90">
        <v>242500782</v>
      </c>
      <c r="C903" s="9">
        <v>45457</v>
      </c>
      <c r="D903" s="8" t="s">
        <v>386</v>
      </c>
      <c r="E903" s="10">
        <v>60000</v>
      </c>
      <c r="F903" s="8">
        <v>0.04</v>
      </c>
      <c r="G903" s="11">
        <v>45570</v>
      </c>
      <c r="H903" s="12">
        <f t="shared" si="14"/>
        <v>2400</v>
      </c>
      <c r="I903" s="10" t="s">
        <v>10</v>
      </c>
      <c r="J903" s="13">
        <v>45477</v>
      </c>
      <c r="K903" t="s">
        <v>385</v>
      </c>
    </row>
    <row r="904" customFormat="1" spans="1:11">
      <c r="A904" t="s">
        <v>319</v>
      </c>
      <c r="B904" s="90">
        <v>242500782</v>
      </c>
      <c r="C904" s="9">
        <v>45457</v>
      </c>
      <c r="D904" s="8" t="s">
        <v>387</v>
      </c>
      <c r="E904" s="10">
        <v>64000</v>
      </c>
      <c r="F904" s="8">
        <v>0.03</v>
      </c>
      <c r="G904" s="11">
        <v>45509</v>
      </c>
      <c r="H904" s="12">
        <f t="shared" si="14"/>
        <v>1920</v>
      </c>
      <c r="I904" s="10" t="s">
        <v>10</v>
      </c>
      <c r="J904" s="13">
        <v>45477</v>
      </c>
      <c r="K904" t="s">
        <v>385</v>
      </c>
    </row>
    <row r="905" customFormat="1" spans="1:11">
      <c r="A905" t="s">
        <v>319</v>
      </c>
      <c r="B905" s="90">
        <v>242500782</v>
      </c>
      <c r="C905" s="9">
        <v>45457</v>
      </c>
      <c r="D905" s="8" t="s">
        <v>387</v>
      </c>
      <c r="E905" s="10">
        <v>64000</v>
      </c>
      <c r="F905" s="8">
        <v>0.03</v>
      </c>
      <c r="G905" s="11">
        <v>45540</v>
      </c>
      <c r="H905" s="12">
        <f t="shared" si="14"/>
        <v>1920</v>
      </c>
      <c r="I905" s="10" t="s">
        <v>10</v>
      </c>
      <c r="J905" s="13">
        <v>45477</v>
      </c>
      <c r="K905" t="s">
        <v>385</v>
      </c>
    </row>
    <row r="906" customFormat="1" spans="1:11">
      <c r="A906" t="s">
        <v>319</v>
      </c>
      <c r="B906" s="90">
        <v>242500782</v>
      </c>
      <c r="C906" s="9">
        <v>45457</v>
      </c>
      <c r="D906" s="8" t="s">
        <v>387</v>
      </c>
      <c r="E906" s="10">
        <v>66000</v>
      </c>
      <c r="F906" s="8">
        <v>0.03</v>
      </c>
      <c r="G906" s="11">
        <v>45570</v>
      </c>
      <c r="H906" s="12">
        <f t="shared" si="14"/>
        <v>1980</v>
      </c>
      <c r="I906" s="10" t="s">
        <v>10</v>
      </c>
      <c r="J906" s="13">
        <v>45477</v>
      </c>
      <c r="K906" t="s">
        <v>385</v>
      </c>
    </row>
    <row r="907" customFormat="1" spans="1:11">
      <c r="A907" t="s">
        <v>319</v>
      </c>
      <c r="B907" s="90">
        <v>242500782</v>
      </c>
      <c r="C907" s="9">
        <v>45457</v>
      </c>
      <c r="D907" s="8" t="s">
        <v>108</v>
      </c>
      <c r="E907" s="10">
        <v>20000</v>
      </c>
      <c r="F907" s="8">
        <v>0.04</v>
      </c>
      <c r="G907" s="11">
        <v>45540</v>
      </c>
      <c r="H907" s="12">
        <f t="shared" si="14"/>
        <v>800</v>
      </c>
      <c r="I907" s="10" t="s">
        <v>10</v>
      </c>
      <c r="J907" s="13">
        <v>45477</v>
      </c>
      <c r="K907" t="s">
        <v>385</v>
      </c>
    </row>
    <row r="908" customFormat="1" spans="1:11">
      <c r="A908" t="s">
        <v>319</v>
      </c>
      <c r="B908" s="90">
        <v>242500782</v>
      </c>
      <c r="C908" s="9">
        <v>45457</v>
      </c>
      <c r="D908" s="8" t="s">
        <v>108</v>
      </c>
      <c r="E908" s="10">
        <v>20000</v>
      </c>
      <c r="F908" s="8">
        <v>0.04</v>
      </c>
      <c r="G908" s="11">
        <v>45570</v>
      </c>
      <c r="H908" s="12">
        <f t="shared" si="14"/>
        <v>800</v>
      </c>
      <c r="I908" s="10" t="s">
        <v>10</v>
      </c>
      <c r="J908" s="13">
        <v>45477</v>
      </c>
      <c r="K908" t="s">
        <v>385</v>
      </c>
    </row>
    <row r="909" customFormat="1" spans="1:11">
      <c r="A909" t="s">
        <v>319</v>
      </c>
      <c r="B909" s="90">
        <v>242500783</v>
      </c>
      <c r="C909" s="9">
        <v>45457</v>
      </c>
      <c r="D909" s="8" t="s">
        <v>32</v>
      </c>
      <c r="E909" s="10">
        <v>600000</v>
      </c>
      <c r="F909" s="8">
        <v>0.02</v>
      </c>
      <c r="G909" s="11">
        <v>45509</v>
      </c>
      <c r="H909" s="12">
        <f t="shared" si="14"/>
        <v>12000</v>
      </c>
      <c r="I909" s="10" t="s">
        <v>10</v>
      </c>
      <c r="J909" s="13">
        <v>45478</v>
      </c>
      <c r="K909" t="s">
        <v>385</v>
      </c>
    </row>
    <row r="910" customFormat="1" spans="1:11">
      <c r="A910" t="s">
        <v>319</v>
      </c>
      <c r="B910" s="90">
        <v>242500783</v>
      </c>
      <c r="C910" s="9">
        <v>45457</v>
      </c>
      <c r="D910" s="8" t="s">
        <v>32</v>
      </c>
      <c r="E910" s="10">
        <v>90000</v>
      </c>
      <c r="F910" s="8">
        <v>0.02</v>
      </c>
      <c r="G910" s="11">
        <v>45509</v>
      </c>
      <c r="H910" s="12">
        <f t="shared" si="14"/>
        <v>1800</v>
      </c>
      <c r="I910" s="10" t="s">
        <v>10</v>
      </c>
      <c r="J910" s="13">
        <v>45478</v>
      </c>
      <c r="K910" t="s">
        <v>385</v>
      </c>
    </row>
    <row r="911" customFormat="1" spans="1:11">
      <c r="A911" t="s">
        <v>319</v>
      </c>
      <c r="B911" s="90">
        <v>242500783</v>
      </c>
      <c r="C911" s="9">
        <v>45457</v>
      </c>
      <c r="D911" s="8" t="s">
        <v>32</v>
      </c>
      <c r="E911" s="10">
        <v>600000</v>
      </c>
      <c r="F911" s="8">
        <v>0.02</v>
      </c>
      <c r="G911" s="11">
        <v>45540</v>
      </c>
      <c r="H911" s="12">
        <f t="shared" si="14"/>
        <v>12000</v>
      </c>
      <c r="I911" s="10" t="s">
        <v>10</v>
      </c>
      <c r="J911" s="13">
        <v>45478</v>
      </c>
      <c r="K911" t="s">
        <v>385</v>
      </c>
    </row>
    <row r="912" customFormat="1" spans="1:11">
      <c r="A912" t="s">
        <v>319</v>
      </c>
      <c r="B912" s="90">
        <v>242500783</v>
      </c>
      <c r="C912" s="9">
        <v>45457</v>
      </c>
      <c r="D912" s="8" t="s">
        <v>32</v>
      </c>
      <c r="E912" s="10">
        <v>90000</v>
      </c>
      <c r="F912" s="8">
        <v>0.02</v>
      </c>
      <c r="G912" s="11">
        <v>45540</v>
      </c>
      <c r="H912" s="12">
        <f t="shared" si="14"/>
        <v>1800</v>
      </c>
      <c r="I912" s="10" t="s">
        <v>10</v>
      </c>
      <c r="J912" s="13">
        <v>45492</v>
      </c>
      <c r="K912" t="s">
        <v>385</v>
      </c>
    </row>
    <row r="913" customFormat="1" spans="1:11">
      <c r="A913" t="s">
        <v>319</v>
      </c>
      <c r="B913" s="90">
        <v>242500783</v>
      </c>
      <c r="C913" s="9">
        <v>45457</v>
      </c>
      <c r="D913" s="8" t="s">
        <v>388</v>
      </c>
      <c r="E913" s="10">
        <v>300000</v>
      </c>
      <c r="F913" s="8">
        <v>0.035</v>
      </c>
      <c r="G913" s="11">
        <v>45478</v>
      </c>
      <c r="H913" s="12">
        <f t="shared" si="14"/>
        <v>10500</v>
      </c>
      <c r="I913" s="10" t="s">
        <v>10</v>
      </c>
      <c r="J913" s="13">
        <v>45478</v>
      </c>
      <c r="K913" t="s">
        <v>385</v>
      </c>
    </row>
    <row r="914" customFormat="1" spans="1:11">
      <c r="A914" t="s">
        <v>319</v>
      </c>
      <c r="B914" s="90">
        <v>242500783</v>
      </c>
      <c r="C914" s="9">
        <v>45457</v>
      </c>
      <c r="D914" s="8" t="s">
        <v>388</v>
      </c>
      <c r="E914" s="10">
        <v>200000</v>
      </c>
      <c r="F914" s="8">
        <v>0.035</v>
      </c>
      <c r="G914" s="11">
        <v>45509</v>
      </c>
      <c r="H914" s="12">
        <f t="shared" si="14"/>
        <v>7000</v>
      </c>
      <c r="I914" s="10" t="s">
        <v>10</v>
      </c>
      <c r="J914" s="13">
        <v>45478</v>
      </c>
      <c r="K914" t="s">
        <v>385</v>
      </c>
    </row>
    <row r="915" customFormat="1" spans="1:11">
      <c r="A915" t="s">
        <v>319</v>
      </c>
      <c r="B915" s="90">
        <v>242500783</v>
      </c>
      <c r="C915" s="9">
        <v>45457</v>
      </c>
      <c r="D915" s="8" t="s">
        <v>388</v>
      </c>
      <c r="E915" s="10">
        <v>200000</v>
      </c>
      <c r="F915" s="8">
        <v>0.035</v>
      </c>
      <c r="G915" s="11">
        <v>45540</v>
      </c>
      <c r="H915" s="12">
        <f t="shared" si="14"/>
        <v>7000</v>
      </c>
      <c r="I915" s="10" t="s">
        <v>10</v>
      </c>
      <c r="J915" s="13">
        <v>45478</v>
      </c>
      <c r="K915" t="s">
        <v>385</v>
      </c>
    </row>
    <row r="916" customFormat="1" spans="1:11">
      <c r="A916" t="s">
        <v>319</v>
      </c>
      <c r="B916" s="90">
        <v>242500783</v>
      </c>
      <c r="C916" s="9">
        <v>45457</v>
      </c>
      <c r="D916" s="8" t="s">
        <v>388</v>
      </c>
      <c r="E916" s="10">
        <v>100000</v>
      </c>
      <c r="F916" s="8">
        <v>0.035</v>
      </c>
      <c r="G916" s="11">
        <v>45570</v>
      </c>
      <c r="H916" s="12">
        <f t="shared" si="14"/>
        <v>3500</v>
      </c>
      <c r="I916" s="10" t="s">
        <v>10</v>
      </c>
      <c r="J916" s="13">
        <v>45478</v>
      </c>
      <c r="K916" t="s">
        <v>385</v>
      </c>
    </row>
    <row r="917" customFormat="1" spans="1:11">
      <c r="A917" t="s">
        <v>319</v>
      </c>
      <c r="B917" s="90">
        <v>242500784</v>
      </c>
      <c r="C917" s="9">
        <v>45457</v>
      </c>
      <c r="D917" s="8" t="s">
        <v>57</v>
      </c>
      <c r="E917" s="10">
        <v>20000</v>
      </c>
      <c r="F917" s="8">
        <v>0.15</v>
      </c>
      <c r="G917" s="11">
        <v>45478</v>
      </c>
      <c r="H917" s="12">
        <f t="shared" si="14"/>
        <v>3000</v>
      </c>
      <c r="I917" s="10" t="s">
        <v>10</v>
      </c>
      <c r="J917" s="13">
        <v>45477</v>
      </c>
      <c r="K917" t="s">
        <v>385</v>
      </c>
    </row>
    <row r="918" customFormat="1" spans="1:11">
      <c r="A918" t="s">
        <v>319</v>
      </c>
      <c r="B918" s="90">
        <v>242500784</v>
      </c>
      <c r="C918" s="9">
        <v>45457</v>
      </c>
      <c r="D918" s="8" t="s">
        <v>56</v>
      </c>
      <c r="E918" s="10">
        <v>60000</v>
      </c>
      <c r="F918" s="8">
        <v>0.035</v>
      </c>
      <c r="G918" s="11">
        <v>45509</v>
      </c>
      <c r="H918" s="12">
        <f t="shared" si="14"/>
        <v>2100</v>
      </c>
      <c r="I918" s="10" t="s">
        <v>10</v>
      </c>
      <c r="J918" s="13">
        <v>45477</v>
      </c>
      <c r="K918" t="s">
        <v>385</v>
      </c>
    </row>
    <row r="919" customFormat="1" spans="1:11">
      <c r="A919" t="s">
        <v>319</v>
      </c>
      <c r="B919" s="90">
        <v>242500784</v>
      </c>
      <c r="C919" s="9">
        <v>45457</v>
      </c>
      <c r="D919" s="8" t="s">
        <v>56</v>
      </c>
      <c r="E919" s="10">
        <v>60000</v>
      </c>
      <c r="F919" s="8">
        <v>0.035</v>
      </c>
      <c r="G919" s="11">
        <v>45540</v>
      </c>
      <c r="H919" s="12">
        <f t="shared" si="14"/>
        <v>2100</v>
      </c>
      <c r="I919" s="10" t="s">
        <v>10</v>
      </c>
      <c r="J919" s="13">
        <v>45477</v>
      </c>
      <c r="K919" t="s">
        <v>385</v>
      </c>
    </row>
    <row r="920" customFormat="1" spans="1:11">
      <c r="A920" t="s">
        <v>319</v>
      </c>
      <c r="B920" s="90">
        <v>242500784</v>
      </c>
      <c r="C920" s="9">
        <v>45457</v>
      </c>
      <c r="D920" s="8" t="s">
        <v>56</v>
      </c>
      <c r="E920" s="10">
        <v>60000</v>
      </c>
      <c r="F920" s="8">
        <v>0.035</v>
      </c>
      <c r="G920" s="11">
        <v>45570</v>
      </c>
      <c r="H920" s="12">
        <f t="shared" si="14"/>
        <v>2100</v>
      </c>
      <c r="I920" s="10" t="s">
        <v>10</v>
      </c>
      <c r="J920" s="13">
        <v>45477</v>
      </c>
      <c r="K920" t="s">
        <v>385</v>
      </c>
    </row>
    <row r="921" customFormat="1" spans="1:11">
      <c r="A921" t="s">
        <v>319</v>
      </c>
      <c r="B921" s="90">
        <v>242500784</v>
      </c>
      <c r="C921" s="9">
        <v>45457</v>
      </c>
      <c r="D921" s="8" t="s">
        <v>58</v>
      </c>
      <c r="E921" s="10">
        <v>30000</v>
      </c>
      <c r="F921" s="8">
        <v>0.019</v>
      </c>
      <c r="G921" s="11">
        <v>45540</v>
      </c>
      <c r="H921" s="12">
        <f t="shared" si="14"/>
        <v>570</v>
      </c>
      <c r="I921" s="10" t="s">
        <v>10</v>
      </c>
      <c r="J921" s="13">
        <v>45483</v>
      </c>
      <c r="K921" t="s">
        <v>385</v>
      </c>
    </row>
    <row r="922" customFormat="1" spans="1:11">
      <c r="A922" t="s">
        <v>319</v>
      </c>
      <c r="B922" s="90">
        <v>242500784</v>
      </c>
      <c r="C922" s="9">
        <v>45457</v>
      </c>
      <c r="D922" s="8" t="s">
        <v>181</v>
      </c>
      <c r="E922" s="10">
        <v>150000</v>
      </c>
      <c r="F922" s="8">
        <v>0.03</v>
      </c>
      <c r="G922" s="11">
        <v>45509</v>
      </c>
      <c r="H922" s="12">
        <f t="shared" si="14"/>
        <v>4500</v>
      </c>
      <c r="I922" s="10" t="s">
        <v>10</v>
      </c>
      <c r="J922" s="13">
        <v>45492</v>
      </c>
      <c r="K922" t="s">
        <v>385</v>
      </c>
    </row>
    <row r="923" customFormat="1" spans="1:11">
      <c r="A923" t="s">
        <v>319</v>
      </c>
      <c r="B923" s="90">
        <v>242500784</v>
      </c>
      <c r="C923" s="9">
        <v>45457</v>
      </c>
      <c r="D923" s="8" t="s">
        <v>106</v>
      </c>
      <c r="E923" s="10">
        <v>100000</v>
      </c>
      <c r="F923" s="8">
        <v>0.04</v>
      </c>
      <c r="G923" s="11">
        <v>45509</v>
      </c>
      <c r="H923" s="12">
        <f t="shared" si="14"/>
        <v>4000</v>
      </c>
      <c r="I923" s="10" t="s">
        <v>10</v>
      </c>
      <c r="J923" s="13">
        <v>45477</v>
      </c>
      <c r="K923" t="s">
        <v>385</v>
      </c>
    </row>
    <row r="924" customFormat="1" spans="1:11">
      <c r="A924" t="s">
        <v>319</v>
      </c>
      <c r="B924" s="90">
        <v>242500784</v>
      </c>
      <c r="C924" s="9">
        <v>45457</v>
      </c>
      <c r="D924" s="8" t="s">
        <v>106</v>
      </c>
      <c r="E924" s="10">
        <v>100000</v>
      </c>
      <c r="F924" s="8">
        <v>0.04</v>
      </c>
      <c r="G924" s="11">
        <v>45540</v>
      </c>
      <c r="H924" s="12">
        <f t="shared" si="14"/>
        <v>4000</v>
      </c>
      <c r="I924" s="10" t="s">
        <v>10</v>
      </c>
      <c r="J924" s="13">
        <v>45477</v>
      </c>
      <c r="K924" t="s">
        <v>385</v>
      </c>
    </row>
    <row r="925" customFormat="1" spans="1:11">
      <c r="A925" t="s">
        <v>319</v>
      </c>
      <c r="B925" s="90">
        <v>242500784</v>
      </c>
      <c r="C925" s="9">
        <v>45457</v>
      </c>
      <c r="D925" s="8" t="s">
        <v>106</v>
      </c>
      <c r="E925" s="10">
        <v>100000</v>
      </c>
      <c r="F925" s="8">
        <v>0.04</v>
      </c>
      <c r="G925" s="11">
        <v>45570</v>
      </c>
      <c r="H925" s="12">
        <f t="shared" si="14"/>
        <v>4000</v>
      </c>
      <c r="I925" s="10" t="s">
        <v>10</v>
      </c>
      <c r="J925" s="13">
        <v>45492</v>
      </c>
      <c r="K925" t="s">
        <v>385</v>
      </c>
    </row>
    <row r="926" customFormat="1" spans="1:11">
      <c r="A926" t="s">
        <v>319</v>
      </c>
      <c r="B926" s="90">
        <v>242500784</v>
      </c>
      <c r="C926" s="9">
        <v>45457</v>
      </c>
      <c r="D926" s="8" t="s">
        <v>32</v>
      </c>
      <c r="E926" s="10">
        <v>600000</v>
      </c>
      <c r="F926" s="8">
        <v>0.02</v>
      </c>
      <c r="G926" s="11">
        <v>45570</v>
      </c>
      <c r="H926" s="12">
        <f t="shared" si="14"/>
        <v>12000</v>
      </c>
      <c r="I926" s="10" t="s">
        <v>10</v>
      </c>
      <c r="J926" s="13">
        <v>45492</v>
      </c>
      <c r="K926" t="s">
        <v>385</v>
      </c>
    </row>
    <row r="927" customFormat="1" spans="1:11">
      <c r="A927" t="s">
        <v>319</v>
      </c>
      <c r="B927" s="90">
        <v>242500784</v>
      </c>
      <c r="C927" s="9">
        <v>45457</v>
      </c>
      <c r="D927" s="8" t="s">
        <v>32</v>
      </c>
      <c r="E927" s="10">
        <v>90000</v>
      </c>
      <c r="F927" s="8">
        <v>0.02</v>
      </c>
      <c r="G927" s="11">
        <v>45570</v>
      </c>
      <c r="H927" s="12">
        <f t="shared" si="14"/>
        <v>1800</v>
      </c>
      <c r="I927" s="10" t="s">
        <v>10</v>
      </c>
      <c r="J927" s="13">
        <v>45492</v>
      </c>
      <c r="K927" t="s">
        <v>385</v>
      </c>
    </row>
    <row r="928" customFormat="1" spans="1:11">
      <c r="A928" t="s">
        <v>319</v>
      </c>
      <c r="B928" s="8">
        <v>242500786</v>
      </c>
      <c r="C928" s="9">
        <v>45457</v>
      </c>
      <c r="D928" s="8" t="s">
        <v>30</v>
      </c>
      <c r="E928" s="10">
        <v>20000</v>
      </c>
      <c r="F928" s="10">
        <v>0.027</v>
      </c>
      <c r="G928" s="11">
        <v>45509</v>
      </c>
      <c r="H928" s="12">
        <f t="shared" si="14"/>
        <v>540</v>
      </c>
      <c r="I928" s="10" t="s">
        <v>10</v>
      </c>
      <c r="J928" s="13">
        <v>45561</v>
      </c>
      <c r="K928" t="s">
        <v>389</v>
      </c>
    </row>
    <row r="929" customFormat="1" spans="1:11">
      <c r="A929" t="s">
        <v>319</v>
      </c>
      <c r="B929" s="8">
        <v>242500787</v>
      </c>
      <c r="C929" s="9">
        <v>45457</v>
      </c>
      <c r="D929" s="87" t="s">
        <v>259</v>
      </c>
      <c r="E929" s="10">
        <v>150000</v>
      </c>
      <c r="F929" s="8">
        <v>0.028</v>
      </c>
      <c r="G929" s="11">
        <v>45540</v>
      </c>
      <c r="H929" s="12">
        <f t="shared" si="14"/>
        <v>4200</v>
      </c>
      <c r="I929" s="10" t="s">
        <v>10</v>
      </c>
      <c r="J929" s="13">
        <v>45470</v>
      </c>
    </row>
    <row r="930" customFormat="1" spans="1:11">
      <c r="A930" t="s">
        <v>319</v>
      </c>
      <c r="B930" s="8">
        <v>242500787</v>
      </c>
      <c r="C930" s="9">
        <v>45457</v>
      </c>
      <c r="D930" s="87" t="s">
        <v>259</v>
      </c>
      <c r="E930" s="10">
        <v>150000</v>
      </c>
      <c r="F930" s="8">
        <v>0.028</v>
      </c>
      <c r="G930" s="11">
        <v>45570</v>
      </c>
      <c r="H930" s="12">
        <f t="shared" si="14"/>
        <v>4200</v>
      </c>
      <c r="I930" s="10" t="s">
        <v>10</v>
      </c>
      <c r="J930" s="13">
        <v>45470</v>
      </c>
    </row>
    <row r="931" customFormat="1" spans="1:11">
      <c r="A931" t="s">
        <v>319</v>
      </c>
      <c r="B931" s="8">
        <v>242500787</v>
      </c>
      <c r="C931" s="9">
        <v>45457</v>
      </c>
      <c r="D931" s="87" t="s">
        <v>256</v>
      </c>
      <c r="E931" s="10">
        <v>250000</v>
      </c>
      <c r="F931" s="8">
        <v>0.0292</v>
      </c>
      <c r="G931" s="11">
        <v>45509</v>
      </c>
      <c r="H931" s="12">
        <f t="shared" si="14"/>
        <v>7300</v>
      </c>
      <c r="I931" s="10" t="s">
        <v>10</v>
      </c>
      <c r="J931" s="13">
        <v>45470</v>
      </c>
    </row>
    <row r="932" customFormat="1" spans="1:11">
      <c r="A932" t="s">
        <v>319</v>
      </c>
      <c r="B932" s="8">
        <v>242500787</v>
      </c>
      <c r="C932" s="9">
        <v>45457</v>
      </c>
      <c r="D932" s="87" t="s">
        <v>256</v>
      </c>
      <c r="E932" s="10">
        <v>250000</v>
      </c>
      <c r="F932" s="8">
        <v>0.0292</v>
      </c>
      <c r="G932" s="11">
        <v>45540</v>
      </c>
      <c r="H932" s="12">
        <f t="shared" si="14"/>
        <v>7300</v>
      </c>
      <c r="I932" s="10" t="s">
        <v>10</v>
      </c>
      <c r="J932" s="13">
        <v>45470</v>
      </c>
    </row>
    <row r="933" customFormat="1" spans="1:11">
      <c r="A933" t="s">
        <v>319</v>
      </c>
      <c r="B933" s="8">
        <v>242500787</v>
      </c>
      <c r="C933" s="9">
        <v>45457</v>
      </c>
      <c r="D933" s="87" t="s">
        <v>256</v>
      </c>
      <c r="E933" s="10">
        <v>150000</v>
      </c>
      <c r="F933" s="8">
        <v>0.0292</v>
      </c>
      <c r="G933" s="11">
        <v>45601</v>
      </c>
      <c r="H933" s="12">
        <f t="shared" si="14"/>
        <v>4380</v>
      </c>
      <c r="I933" s="10" t="s">
        <v>10</v>
      </c>
      <c r="J933" s="13">
        <v>45470</v>
      </c>
    </row>
    <row r="934" customFormat="1" spans="1:11">
      <c r="A934" t="s">
        <v>319</v>
      </c>
      <c r="B934" s="8">
        <v>242500787</v>
      </c>
      <c r="C934" s="9">
        <v>45457</v>
      </c>
      <c r="D934" s="8" t="s">
        <v>30</v>
      </c>
      <c r="E934" s="10">
        <v>24000</v>
      </c>
      <c r="F934" s="8">
        <v>0.028</v>
      </c>
      <c r="G934" s="11">
        <v>45540</v>
      </c>
      <c r="H934" s="12">
        <f t="shared" si="14"/>
        <v>672</v>
      </c>
      <c r="I934" s="10" t="s">
        <v>10</v>
      </c>
      <c r="J934" s="13">
        <v>45470</v>
      </c>
    </row>
    <row r="935" customFormat="1" spans="1:11">
      <c r="A935" t="s">
        <v>319</v>
      </c>
      <c r="B935" s="8">
        <v>242500787</v>
      </c>
      <c r="C935" s="9">
        <v>45457</v>
      </c>
      <c r="D935" s="8" t="s">
        <v>18</v>
      </c>
      <c r="E935" s="10">
        <v>300000</v>
      </c>
      <c r="F935" s="8">
        <v>0.0238</v>
      </c>
      <c r="G935" s="11">
        <v>45540</v>
      </c>
      <c r="H935" s="12">
        <f t="shared" si="14"/>
        <v>7140</v>
      </c>
      <c r="I935" s="10" t="s">
        <v>10</v>
      </c>
      <c r="J935" s="13">
        <v>45470</v>
      </c>
    </row>
    <row r="936" customFormat="1" spans="1:11">
      <c r="A936" t="s">
        <v>319</v>
      </c>
      <c r="B936" s="8">
        <v>242500787</v>
      </c>
      <c r="C936" s="9">
        <v>45457</v>
      </c>
      <c r="D936" s="8" t="s">
        <v>18</v>
      </c>
      <c r="E936" s="10">
        <v>300000</v>
      </c>
      <c r="F936" s="8">
        <v>0.0238</v>
      </c>
      <c r="G936" s="11">
        <v>45570</v>
      </c>
      <c r="H936" s="12">
        <f t="shared" si="14"/>
        <v>7140</v>
      </c>
      <c r="I936" s="10" t="s">
        <v>10</v>
      </c>
      <c r="J936" s="13">
        <v>45470</v>
      </c>
    </row>
    <row r="937" customFormat="1" spans="1:11">
      <c r="A937" t="s">
        <v>319</v>
      </c>
      <c r="B937" s="8">
        <v>242500787</v>
      </c>
      <c r="C937" s="9">
        <v>45457</v>
      </c>
      <c r="D937" s="8" t="s">
        <v>390</v>
      </c>
      <c r="E937" s="10">
        <v>24000</v>
      </c>
      <c r="F937" s="8">
        <v>0.04</v>
      </c>
      <c r="G937" s="11">
        <v>45570</v>
      </c>
      <c r="H937" s="12">
        <f t="shared" si="14"/>
        <v>960</v>
      </c>
      <c r="I937" s="10" t="s">
        <v>10</v>
      </c>
      <c r="J937" s="13">
        <v>45470</v>
      </c>
    </row>
    <row r="938" customFormat="1" spans="1:11">
      <c r="A938" t="s">
        <v>319</v>
      </c>
      <c r="B938" s="8">
        <v>242500787</v>
      </c>
      <c r="C938" s="9">
        <v>45457</v>
      </c>
      <c r="D938" s="8" t="s">
        <v>114</v>
      </c>
      <c r="E938" s="10">
        <v>60000</v>
      </c>
      <c r="F938" s="8">
        <v>0.0145</v>
      </c>
      <c r="G938" s="11">
        <v>45570</v>
      </c>
      <c r="H938" s="12">
        <f t="shared" si="14"/>
        <v>870</v>
      </c>
      <c r="I938" s="10" t="s">
        <v>10</v>
      </c>
      <c r="J938" s="13">
        <v>45470</v>
      </c>
    </row>
    <row r="939" customFormat="1" spans="1:11">
      <c r="A939" t="s">
        <v>319</v>
      </c>
      <c r="B939" s="8">
        <v>242500787</v>
      </c>
      <c r="C939" s="9">
        <v>45457</v>
      </c>
      <c r="D939" s="8" t="s">
        <v>36</v>
      </c>
      <c r="E939" s="10">
        <v>198000</v>
      </c>
      <c r="F939" s="8">
        <v>0.0082</v>
      </c>
      <c r="G939" s="11">
        <v>45570</v>
      </c>
      <c r="H939" s="12">
        <f t="shared" si="14"/>
        <v>1623.6</v>
      </c>
      <c r="I939" s="10" t="s">
        <v>10</v>
      </c>
      <c r="J939" s="13">
        <v>45470</v>
      </c>
    </row>
    <row r="940" customFormat="1" spans="1:11">
      <c r="A940" t="s">
        <v>319</v>
      </c>
      <c r="B940" s="90">
        <v>242500789</v>
      </c>
      <c r="C940" s="9">
        <v>45457</v>
      </c>
      <c r="D940" s="8" t="s">
        <v>182</v>
      </c>
      <c r="E940" s="10">
        <v>148000</v>
      </c>
      <c r="F940" s="8">
        <v>0.025</v>
      </c>
      <c r="G940" s="11">
        <v>45540</v>
      </c>
      <c r="H940" s="12">
        <f t="shared" si="14"/>
        <v>3700</v>
      </c>
      <c r="I940" s="10" t="s">
        <v>10</v>
      </c>
      <c r="J940" s="13">
        <v>45478</v>
      </c>
      <c r="K940" t="s">
        <v>391</v>
      </c>
    </row>
    <row r="941" customFormat="1" spans="1:11">
      <c r="A941" t="s">
        <v>319</v>
      </c>
      <c r="B941" s="8">
        <v>242500790</v>
      </c>
      <c r="C941" s="9">
        <v>45457</v>
      </c>
      <c r="D941" s="8" t="s">
        <v>30</v>
      </c>
      <c r="E941" s="10">
        <v>700000</v>
      </c>
      <c r="F941" s="8">
        <v>0.028</v>
      </c>
      <c r="G941" s="11">
        <v>45509</v>
      </c>
      <c r="H941" s="12">
        <f t="shared" si="14"/>
        <v>19600</v>
      </c>
      <c r="I941" s="10" t="s">
        <v>10</v>
      </c>
      <c r="J941" s="13">
        <v>45470</v>
      </c>
    </row>
    <row r="942" customFormat="1" spans="1:11">
      <c r="A942" t="s">
        <v>319</v>
      </c>
      <c r="B942" s="8">
        <v>242500790</v>
      </c>
      <c r="C942" s="9">
        <v>45457</v>
      </c>
      <c r="D942" s="8" t="s">
        <v>100</v>
      </c>
      <c r="E942" s="10">
        <v>330000</v>
      </c>
      <c r="F942" s="10">
        <v>0.028</v>
      </c>
      <c r="G942" s="11">
        <v>45509</v>
      </c>
      <c r="H942" s="12">
        <f t="shared" si="14"/>
        <v>9240</v>
      </c>
      <c r="I942" s="10" t="s">
        <v>10</v>
      </c>
      <c r="J942" s="13">
        <v>45484</v>
      </c>
    </row>
    <row r="943" customFormat="1" spans="1:11">
      <c r="A943" t="s">
        <v>319</v>
      </c>
      <c r="B943" s="8">
        <v>242500790</v>
      </c>
      <c r="C943" s="9">
        <v>45457</v>
      </c>
      <c r="D943" s="8" t="s">
        <v>100</v>
      </c>
      <c r="E943" s="10">
        <v>330000</v>
      </c>
      <c r="F943" s="10">
        <v>0.028</v>
      </c>
      <c r="G943" s="11">
        <v>45540</v>
      </c>
      <c r="H943" s="12">
        <f t="shared" si="14"/>
        <v>9240</v>
      </c>
      <c r="I943" s="10" t="s">
        <v>10</v>
      </c>
      <c r="J943" s="13">
        <v>45484</v>
      </c>
    </row>
    <row r="944" customFormat="1" spans="1:11">
      <c r="A944" t="s">
        <v>319</v>
      </c>
      <c r="B944" s="8">
        <v>242500790</v>
      </c>
      <c r="C944" s="9">
        <v>45457</v>
      </c>
      <c r="D944" s="8" t="s">
        <v>185</v>
      </c>
      <c r="E944" s="10">
        <v>500000</v>
      </c>
      <c r="F944" s="8">
        <v>0.04</v>
      </c>
      <c r="G944" s="11">
        <v>45540</v>
      </c>
      <c r="H944" s="12">
        <f t="shared" si="14"/>
        <v>20000</v>
      </c>
      <c r="I944" s="10" t="s">
        <v>10</v>
      </c>
      <c r="J944" s="13">
        <v>45470</v>
      </c>
    </row>
    <row r="945" customFormat="1" spans="1:11">
      <c r="A945" t="s">
        <v>319</v>
      </c>
      <c r="B945" s="8">
        <v>242500791</v>
      </c>
      <c r="C945" s="9">
        <v>45457</v>
      </c>
      <c r="D945" s="8" t="s">
        <v>30</v>
      </c>
      <c r="E945" s="10">
        <v>700000</v>
      </c>
      <c r="F945" s="10">
        <v>0.027</v>
      </c>
      <c r="G945" s="11">
        <v>45540</v>
      </c>
      <c r="H945" s="12">
        <f t="shared" si="14"/>
        <v>18900</v>
      </c>
      <c r="I945" s="10" t="s">
        <v>10</v>
      </c>
      <c r="J945" s="13">
        <v>45519</v>
      </c>
      <c r="K945" t="s">
        <v>332</v>
      </c>
    </row>
    <row r="946" customFormat="1" spans="1:11">
      <c r="A946" t="s">
        <v>319</v>
      </c>
      <c r="B946" s="8">
        <v>242500791</v>
      </c>
      <c r="C946" s="9">
        <v>45457</v>
      </c>
      <c r="D946" s="8" t="s">
        <v>100</v>
      </c>
      <c r="E946" s="10">
        <v>330000</v>
      </c>
      <c r="F946" s="10">
        <v>0.028</v>
      </c>
      <c r="G946" s="11">
        <v>45570</v>
      </c>
      <c r="H946" s="12">
        <f t="shared" si="14"/>
        <v>9240</v>
      </c>
      <c r="I946" s="10" t="s">
        <v>10</v>
      </c>
      <c r="J946" s="13">
        <v>45530</v>
      </c>
      <c r="K946" t="s">
        <v>332</v>
      </c>
    </row>
    <row r="947" customFormat="1" spans="1:11">
      <c r="A947" t="s">
        <v>319</v>
      </c>
      <c r="B947" s="8">
        <v>242500791</v>
      </c>
      <c r="C947" s="9">
        <v>45457</v>
      </c>
      <c r="D947" s="8" t="s">
        <v>185</v>
      </c>
      <c r="E947" s="10">
        <v>500000</v>
      </c>
      <c r="F947" s="8">
        <v>0.04</v>
      </c>
      <c r="G947" s="11">
        <v>45570</v>
      </c>
      <c r="H947" s="12">
        <f t="shared" si="14"/>
        <v>20000</v>
      </c>
      <c r="I947" s="10" t="s">
        <v>10</v>
      </c>
      <c r="J947" s="13">
        <v>45519</v>
      </c>
      <c r="K947" t="s">
        <v>332</v>
      </c>
    </row>
    <row r="948" customFormat="1" spans="1:11">
      <c r="A948" t="s">
        <v>319</v>
      </c>
      <c r="B948" s="8">
        <v>242500792</v>
      </c>
      <c r="C948" s="9">
        <v>45457</v>
      </c>
      <c r="D948" s="8" t="s">
        <v>119</v>
      </c>
      <c r="E948" s="10">
        <v>78000</v>
      </c>
      <c r="F948" s="8">
        <v>0.07</v>
      </c>
      <c r="G948" s="11">
        <v>45478</v>
      </c>
      <c r="H948" s="12">
        <f t="shared" si="14"/>
        <v>5460</v>
      </c>
      <c r="I948" s="10" t="s">
        <v>10</v>
      </c>
      <c r="J948" s="13">
        <v>45516</v>
      </c>
      <c r="K948" t="s">
        <v>331</v>
      </c>
    </row>
    <row r="949" customFormat="1" spans="1:11">
      <c r="A949" t="s">
        <v>319</v>
      </c>
      <c r="B949" s="8">
        <v>242500792</v>
      </c>
      <c r="C949" s="9">
        <v>45457</v>
      </c>
      <c r="D949" s="8" t="s">
        <v>119</v>
      </c>
      <c r="E949" s="10">
        <v>78000</v>
      </c>
      <c r="F949" s="8">
        <v>0.07</v>
      </c>
      <c r="G949" s="11">
        <v>45509</v>
      </c>
      <c r="H949" s="12">
        <f t="shared" si="14"/>
        <v>5460</v>
      </c>
      <c r="I949" s="10" t="s">
        <v>10</v>
      </c>
      <c r="J949" s="13">
        <v>45516</v>
      </c>
      <c r="K949" t="s">
        <v>331</v>
      </c>
    </row>
    <row r="950" customFormat="1" spans="1:11">
      <c r="A950" t="s">
        <v>319</v>
      </c>
      <c r="B950" s="8">
        <v>242500792</v>
      </c>
      <c r="C950" s="9">
        <v>45457</v>
      </c>
      <c r="D950" s="8" t="s">
        <v>119</v>
      </c>
      <c r="E950" s="10">
        <v>78000</v>
      </c>
      <c r="F950" s="8">
        <v>0.07</v>
      </c>
      <c r="G950" s="11">
        <v>45540</v>
      </c>
      <c r="H950" s="12">
        <f t="shared" si="14"/>
        <v>5460</v>
      </c>
      <c r="I950" s="10" t="s">
        <v>10</v>
      </c>
      <c r="J950" s="13">
        <v>45516</v>
      </c>
      <c r="K950" t="s">
        <v>331</v>
      </c>
    </row>
    <row r="951" customFormat="1" spans="1:11">
      <c r="A951" t="s">
        <v>319</v>
      </c>
      <c r="B951" s="8">
        <v>242500792</v>
      </c>
      <c r="C951" s="9">
        <v>45457</v>
      </c>
      <c r="D951" s="8" t="s">
        <v>185</v>
      </c>
      <c r="E951" s="10">
        <v>500000</v>
      </c>
      <c r="F951" s="8">
        <v>0.04</v>
      </c>
      <c r="G951" s="11">
        <v>45540</v>
      </c>
      <c r="H951" s="12">
        <f t="shared" si="14"/>
        <v>20000</v>
      </c>
      <c r="I951" s="10" t="s">
        <v>10</v>
      </c>
      <c r="J951" s="13">
        <v>45516</v>
      </c>
      <c r="K951" t="s">
        <v>331</v>
      </c>
    </row>
    <row r="952" customFormat="1" spans="1:11">
      <c r="A952" t="s">
        <v>319</v>
      </c>
      <c r="B952" s="8">
        <v>242500792</v>
      </c>
      <c r="C952" s="9">
        <v>45457</v>
      </c>
      <c r="D952" s="8" t="s">
        <v>185</v>
      </c>
      <c r="E952" s="10">
        <v>500000</v>
      </c>
      <c r="F952" s="8">
        <v>0.04</v>
      </c>
      <c r="G952" s="11">
        <v>45570</v>
      </c>
      <c r="H952" s="12">
        <f t="shared" si="14"/>
        <v>20000</v>
      </c>
      <c r="I952" s="10" t="s">
        <v>10</v>
      </c>
      <c r="J952" s="13">
        <v>45516</v>
      </c>
      <c r="K952" t="s">
        <v>331</v>
      </c>
    </row>
    <row r="953" customFormat="1" spans="1:11">
      <c r="A953" t="s">
        <v>319</v>
      </c>
      <c r="B953" s="8">
        <v>242500793</v>
      </c>
      <c r="C953" s="9">
        <v>45457</v>
      </c>
      <c r="D953" s="8" t="s">
        <v>181</v>
      </c>
      <c r="E953" s="10">
        <v>500000</v>
      </c>
      <c r="F953" s="8">
        <v>0.03</v>
      </c>
      <c r="G953" s="11">
        <v>45478</v>
      </c>
      <c r="H953" s="12">
        <f t="shared" si="14"/>
        <v>15000</v>
      </c>
      <c r="I953" s="10" t="s">
        <v>10</v>
      </c>
      <c r="J953" s="13">
        <v>45470</v>
      </c>
    </row>
    <row r="954" customFormat="1" spans="1:11">
      <c r="A954" t="s">
        <v>319</v>
      </c>
      <c r="B954" s="8">
        <v>242500793</v>
      </c>
      <c r="C954" s="9">
        <v>45457</v>
      </c>
      <c r="D954" s="8" t="s">
        <v>181</v>
      </c>
      <c r="E954" s="10">
        <v>500000</v>
      </c>
      <c r="F954" s="8">
        <v>0.03</v>
      </c>
      <c r="G954" s="11">
        <v>45509</v>
      </c>
      <c r="H954" s="12">
        <f t="shared" si="14"/>
        <v>15000</v>
      </c>
      <c r="I954" s="10" t="s">
        <v>10</v>
      </c>
      <c r="J954" s="13">
        <v>45470</v>
      </c>
    </row>
    <row r="955" customFormat="1" spans="1:11">
      <c r="A955" t="s">
        <v>319</v>
      </c>
      <c r="B955" s="8">
        <v>242500794</v>
      </c>
      <c r="C955" s="9">
        <v>45457</v>
      </c>
      <c r="D955" s="8" t="s">
        <v>181</v>
      </c>
      <c r="E955" s="10">
        <v>60000</v>
      </c>
      <c r="F955" s="8">
        <v>0.03</v>
      </c>
      <c r="G955" s="11">
        <v>45540</v>
      </c>
      <c r="H955" s="12">
        <f t="shared" si="14"/>
        <v>1800</v>
      </c>
      <c r="I955" s="10" t="s">
        <v>10</v>
      </c>
      <c r="J955" s="13">
        <v>45478</v>
      </c>
      <c r="K955" t="s">
        <v>385</v>
      </c>
    </row>
    <row r="956" customFormat="1" spans="1:11">
      <c r="A956" t="s">
        <v>319</v>
      </c>
      <c r="B956" s="8">
        <v>242500794</v>
      </c>
      <c r="C956" s="9">
        <v>45457</v>
      </c>
      <c r="D956" s="8" t="s">
        <v>31</v>
      </c>
      <c r="E956" s="10">
        <v>300000</v>
      </c>
      <c r="F956" s="8">
        <v>0.036</v>
      </c>
      <c r="G956" s="11">
        <v>45478</v>
      </c>
      <c r="H956" s="12">
        <f t="shared" si="14"/>
        <v>10800</v>
      </c>
      <c r="I956" s="10" t="s">
        <v>10</v>
      </c>
      <c r="J956" s="13">
        <v>45478</v>
      </c>
      <c r="K956" t="s">
        <v>385</v>
      </c>
    </row>
    <row r="957" customFormat="1" spans="1:11">
      <c r="A957" t="s">
        <v>319</v>
      </c>
      <c r="B957" s="8">
        <v>242500794</v>
      </c>
      <c r="C957" s="9">
        <v>45457</v>
      </c>
      <c r="D957" s="8" t="s">
        <v>31</v>
      </c>
      <c r="E957" s="10">
        <v>300000</v>
      </c>
      <c r="F957" s="8">
        <v>0.036</v>
      </c>
      <c r="G957" s="11">
        <v>45509</v>
      </c>
      <c r="H957" s="12">
        <f t="shared" si="14"/>
        <v>10800</v>
      </c>
      <c r="I957" s="10" t="s">
        <v>10</v>
      </c>
      <c r="J957" s="13">
        <v>45478</v>
      </c>
      <c r="K957" t="s">
        <v>385</v>
      </c>
    </row>
    <row r="958" customFormat="1" spans="1:11">
      <c r="A958" t="s">
        <v>319</v>
      </c>
      <c r="B958" s="8">
        <v>242500794</v>
      </c>
      <c r="C958" s="9">
        <v>45457</v>
      </c>
      <c r="D958" s="8" t="s">
        <v>31</v>
      </c>
      <c r="E958" s="10">
        <v>300000</v>
      </c>
      <c r="F958" s="8">
        <v>0.036</v>
      </c>
      <c r="G958" s="11">
        <v>45570</v>
      </c>
      <c r="H958" s="12">
        <f t="shared" si="14"/>
        <v>10800</v>
      </c>
      <c r="I958" s="10" t="s">
        <v>10</v>
      </c>
      <c r="J958" s="13">
        <v>45478</v>
      </c>
      <c r="K958" t="s">
        <v>385</v>
      </c>
    </row>
    <row r="959" customFormat="1" spans="1:11">
      <c r="A959" t="s">
        <v>319</v>
      </c>
      <c r="B959" s="8">
        <v>242500794</v>
      </c>
      <c r="C959" s="9">
        <v>45457</v>
      </c>
      <c r="D959" s="8" t="s">
        <v>31</v>
      </c>
      <c r="E959" s="10">
        <v>300000</v>
      </c>
      <c r="F959" s="8">
        <v>0.036</v>
      </c>
      <c r="G959" s="11">
        <v>45601</v>
      </c>
      <c r="H959" s="12">
        <f t="shared" si="14"/>
        <v>10800</v>
      </c>
      <c r="I959" s="10" t="s">
        <v>10</v>
      </c>
      <c r="J959" s="13">
        <v>45492</v>
      </c>
      <c r="K959" t="s">
        <v>385</v>
      </c>
    </row>
    <row r="960" customFormat="1" spans="1:11">
      <c r="A960" t="s">
        <v>319</v>
      </c>
      <c r="B960" s="90">
        <v>242500796</v>
      </c>
      <c r="C960" s="9">
        <v>45457</v>
      </c>
      <c r="D960" s="8" t="s">
        <v>31</v>
      </c>
      <c r="E960" s="10">
        <v>550000</v>
      </c>
      <c r="F960" s="8">
        <v>0.036</v>
      </c>
      <c r="G960" s="11">
        <v>45478</v>
      </c>
      <c r="H960" s="12">
        <f t="shared" si="14"/>
        <v>19800</v>
      </c>
      <c r="I960" s="10" t="s">
        <v>10</v>
      </c>
      <c r="J960" s="13">
        <v>45490</v>
      </c>
      <c r="K960" t="s">
        <v>327</v>
      </c>
    </row>
    <row r="961" customFormat="1" spans="1:11">
      <c r="A961" t="s">
        <v>319</v>
      </c>
      <c r="B961" s="90">
        <v>242500796</v>
      </c>
      <c r="C961" s="9">
        <v>45457</v>
      </c>
      <c r="D961" s="8" t="s">
        <v>31</v>
      </c>
      <c r="E961" s="10">
        <v>550000</v>
      </c>
      <c r="F961" s="8">
        <v>0.036</v>
      </c>
      <c r="G961" s="11">
        <v>45509</v>
      </c>
      <c r="H961" s="12">
        <f t="shared" si="14"/>
        <v>19800</v>
      </c>
      <c r="I961" s="10" t="s">
        <v>10</v>
      </c>
      <c r="J961" s="13">
        <v>45490</v>
      </c>
      <c r="K961" t="s">
        <v>327</v>
      </c>
    </row>
    <row r="962" customFormat="1" spans="1:11">
      <c r="A962" t="s">
        <v>319</v>
      </c>
      <c r="B962" s="90">
        <v>242500796</v>
      </c>
      <c r="C962" s="9">
        <v>45457</v>
      </c>
      <c r="D962" s="8" t="s">
        <v>31</v>
      </c>
      <c r="E962" s="10">
        <v>550000</v>
      </c>
      <c r="F962" s="8">
        <v>0.036</v>
      </c>
      <c r="G962" s="11">
        <v>45570</v>
      </c>
      <c r="H962" s="12">
        <f t="shared" ref="H962:H1025" si="15">E962*F962</f>
        <v>19800</v>
      </c>
      <c r="I962" s="10" t="s">
        <v>10</v>
      </c>
      <c r="J962" s="13">
        <v>45490</v>
      </c>
      <c r="K962" t="s">
        <v>327</v>
      </c>
    </row>
    <row r="963" customFormat="1" spans="1:11">
      <c r="A963" t="s">
        <v>319</v>
      </c>
      <c r="B963" s="8">
        <v>242500797</v>
      </c>
      <c r="C963" s="9">
        <v>45457</v>
      </c>
      <c r="D963" s="8" t="s">
        <v>31</v>
      </c>
      <c r="E963" s="10">
        <v>550000</v>
      </c>
      <c r="F963" s="8">
        <v>0.036</v>
      </c>
      <c r="G963" s="11">
        <v>45601</v>
      </c>
      <c r="H963" s="12">
        <f t="shared" si="15"/>
        <v>19800</v>
      </c>
      <c r="I963" s="10" t="s">
        <v>10</v>
      </c>
      <c r="J963" s="13">
        <v>45548</v>
      </c>
      <c r="K963" t="s">
        <v>327</v>
      </c>
    </row>
    <row r="964" customFormat="1" spans="1:11">
      <c r="A964" t="s">
        <v>319</v>
      </c>
      <c r="B964" s="8">
        <v>242500798</v>
      </c>
      <c r="C964" s="9">
        <v>45457</v>
      </c>
      <c r="D964" s="8" t="s">
        <v>31</v>
      </c>
      <c r="E964" s="10">
        <v>300000</v>
      </c>
      <c r="F964" s="8">
        <v>0.036</v>
      </c>
      <c r="G964" s="11">
        <v>45478</v>
      </c>
      <c r="H964" s="12">
        <f t="shared" si="15"/>
        <v>10800</v>
      </c>
      <c r="I964" s="10" t="s">
        <v>10</v>
      </c>
      <c r="J964" s="13">
        <v>45548</v>
      </c>
      <c r="K964" t="s">
        <v>327</v>
      </c>
    </row>
    <row r="965" customFormat="1" spans="1:11">
      <c r="A965" t="s">
        <v>319</v>
      </c>
      <c r="B965" s="8">
        <v>242500798</v>
      </c>
      <c r="C965" s="9">
        <v>45457</v>
      </c>
      <c r="D965" s="8" t="s">
        <v>31</v>
      </c>
      <c r="E965" s="10">
        <v>300000</v>
      </c>
      <c r="F965" s="8">
        <v>0.036</v>
      </c>
      <c r="G965" s="11">
        <v>45509</v>
      </c>
      <c r="H965" s="12">
        <f t="shared" si="15"/>
        <v>10800</v>
      </c>
      <c r="I965" s="10" t="s">
        <v>10</v>
      </c>
      <c r="J965" s="13">
        <v>45548</v>
      </c>
      <c r="K965" t="s">
        <v>327</v>
      </c>
    </row>
    <row r="966" customFormat="1" spans="1:11">
      <c r="A966" t="s">
        <v>319</v>
      </c>
      <c r="B966" s="8">
        <v>242500798</v>
      </c>
      <c r="C966" s="9">
        <v>45457</v>
      </c>
      <c r="D966" s="8" t="s">
        <v>31</v>
      </c>
      <c r="E966" s="10">
        <v>300000</v>
      </c>
      <c r="F966" s="8">
        <v>0.036</v>
      </c>
      <c r="G966" s="11">
        <v>45570</v>
      </c>
      <c r="H966" s="12">
        <f t="shared" si="15"/>
        <v>10800</v>
      </c>
      <c r="I966" s="10" t="s">
        <v>10</v>
      </c>
      <c r="J966" s="13">
        <v>45548</v>
      </c>
      <c r="K966" t="s">
        <v>327</v>
      </c>
    </row>
    <row r="967" customFormat="1" spans="1:11">
      <c r="A967" t="s">
        <v>319</v>
      </c>
      <c r="B967" s="8">
        <v>242500798</v>
      </c>
      <c r="C967" s="9">
        <v>45457</v>
      </c>
      <c r="D967" s="8" t="s">
        <v>31</v>
      </c>
      <c r="E967" s="10">
        <v>300000</v>
      </c>
      <c r="F967" s="8">
        <v>0.036</v>
      </c>
      <c r="G967" s="11">
        <v>45601</v>
      </c>
      <c r="H967" s="12">
        <f t="shared" si="15"/>
        <v>10800</v>
      </c>
      <c r="I967" s="10" t="s">
        <v>10</v>
      </c>
      <c r="J967" s="13">
        <v>45548</v>
      </c>
      <c r="K967" t="s">
        <v>327</v>
      </c>
    </row>
    <row r="968" customFormat="1" spans="1:11">
      <c r="A968" t="s">
        <v>319</v>
      </c>
      <c r="B968" s="8">
        <v>242500800</v>
      </c>
      <c r="C968" s="9">
        <v>45457</v>
      </c>
      <c r="D968" s="8" t="s">
        <v>31</v>
      </c>
      <c r="E968" s="10">
        <v>150000</v>
      </c>
      <c r="F968" s="8">
        <v>0.036</v>
      </c>
      <c r="G968" s="11">
        <v>45570</v>
      </c>
      <c r="H968" s="12">
        <f t="shared" si="15"/>
        <v>5400</v>
      </c>
      <c r="I968" s="10" t="s">
        <v>10</v>
      </c>
      <c r="J968" s="13">
        <v>45561</v>
      </c>
      <c r="K968" t="s">
        <v>327</v>
      </c>
    </row>
    <row r="969" customFormat="1" spans="1:11">
      <c r="A969" t="s">
        <v>319</v>
      </c>
      <c r="B969" s="8">
        <v>242500800</v>
      </c>
      <c r="C969" s="9">
        <v>45457</v>
      </c>
      <c r="D969" s="8" t="s">
        <v>31</v>
      </c>
      <c r="E969" s="10">
        <v>150000</v>
      </c>
      <c r="F969" s="8">
        <v>0.036</v>
      </c>
      <c r="G969" s="11">
        <v>45601</v>
      </c>
      <c r="H969" s="12">
        <f t="shared" si="15"/>
        <v>5400</v>
      </c>
      <c r="I969" s="10" t="s">
        <v>10</v>
      </c>
      <c r="J969" s="13">
        <v>45561</v>
      </c>
      <c r="K969" t="s">
        <v>327</v>
      </c>
    </row>
    <row r="970" customFormat="1" spans="1:11">
      <c r="A970" t="s">
        <v>319</v>
      </c>
      <c r="B970" s="8">
        <v>242500805</v>
      </c>
      <c r="C970" s="9">
        <v>45457</v>
      </c>
      <c r="D970" s="8" t="s">
        <v>31</v>
      </c>
      <c r="E970" s="10">
        <v>200000</v>
      </c>
      <c r="F970" s="8">
        <v>0.036</v>
      </c>
      <c r="G970" s="11">
        <v>45570</v>
      </c>
      <c r="H970" s="12">
        <f t="shared" si="15"/>
        <v>7200</v>
      </c>
      <c r="I970" s="10" t="s">
        <v>10</v>
      </c>
      <c r="J970" s="13">
        <v>45561</v>
      </c>
      <c r="K970" t="s">
        <v>392</v>
      </c>
    </row>
    <row r="971" customFormat="1" spans="1:11">
      <c r="A971" t="s">
        <v>319</v>
      </c>
      <c r="B971" s="8">
        <v>242500805</v>
      </c>
      <c r="C971" s="9">
        <v>45457</v>
      </c>
      <c r="D971" s="8" t="s">
        <v>31</v>
      </c>
      <c r="E971" s="10">
        <v>200000</v>
      </c>
      <c r="F971" s="8">
        <v>0.036</v>
      </c>
      <c r="G971" s="11">
        <v>45601</v>
      </c>
      <c r="H971" s="12">
        <f t="shared" si="15"/>
        <v>7200</v>
      </c>
      <c r="I971" s="10" t="s">
        <v>10</v>
      </c>
      <c r="J971" s="13">
        <v>45561</v>
      </c>
      <c r="K971" t="s">
        <v>392</v>
      </c>
    </row>
    <row r="972" customFormat="1" spans="1:11">
      <c r="A972" t="s">
        <v>319</v>
      </c>
      <c r="B972" s="8">
        <v>242500842</v>
      </c>
      <c r="C972" s="9">
        <v>45463</v>
      </c>
      <c r="D972" s="8" t="s">
        <v>273</v>
      </c>
      <c r="E972" s="10">
        <v>60000</v>
      </c>
      <c r="F972" s="8">
        <v>0.028</v>
      </c>
      <c r="G972" s="11">
        <v>45540</v>
      </c>
      <c r="H972" s="12">
        <f t="shared" si="15"/>
        <v>1680</v>
      </c>
      <c r="I972" s="10" t="s">
        <v>10</v>
      </c>
      <c r="J972" s="13">
        <v>45477</v>
      </c>
    </row>
    <row r="973" customFormat="1" spans="1:11">
      <c r="A973" t="s">
        <v>319</v>
      </c>
      <c r="B973" s="8">
        <v>242500842</v>
      </c>
      <c r="C973" s="9">
        <v>45463</v>
      </c>
      <c r="D973" s="8" t="s">
        <v>273</v>
      </c>
      <c r="E973" s="10">
        <v>60000</v>
      </c>
      <c r="F973" s="8">
        <v>0.028</v>
      </c>
      <c r="G973" s="11">
        <v>45570</v>
      </c>
      <c r="H973" s="12">
        <f t="shared" si="15"/>
        <v>1680</v>
      </c>
      <c r="I973" s="10" t="s">
        <v>10</v>
      </c>
      <c r="J973" s="13">
        <v>45477</v>
      </c>
    </row>
    <row r="974" customFormat="1" spans="1:11">
      <c r="A974" t="s">
        <v>319</v>
      </c>
      <c r="B974" s="8">
        <v>242500844</v>
      </c>
      <c r="C974" s="9">
        <v>45463</v>
      </c>
      <c r="D974" s="8" t="s">
        <v>78</v>
      </c>
      <c r="E974" s="10">
        <v>60000</v>
      </c>
      <c r="F974" s="8">
        <v>0.02</v>
      </c>
      <c r="G974" s="11">
        <v>45509</v>
      </c>
      <c r="H974" s="12">
        <f t="shared" si="15"/>
        <v>1200</v>
      </c>
      <c r="I974" s="10" t="s">
        <v>10</v>
      </c>
      <c r="J974" s="13">
        <v>45483</v>
      </c>
    </row>
    <row r="975" customFormat="1" spans="1:11">
      <c r="A975" t="s">
        <v>319</v>
      </c>
      <c r="B975" s="8">
        <v>242500844</v>
      </c>
      <c r="C975" s="9">
        <v>45463</v>
      </c>
      <c r="D975" s="8" t="s">
        <v>78</v>
      </c>
      <c r="E975" s="10">
        <v>60000</v>
      </c>
      <c r="F975" s="8">
        <v>0.02</v>
      </c>
      <c r="G975" s="11">
        <v>45540</v>
      </c>
      <c r="H975" s="12">
        <f t="shared" si="15"/>
        <v>1200</v>
      </c>
      <c r="I975" s="10" t="s">
        <v>10</v>
      </c>
      <c r="J975" s="13">
        <v>45483</v>
      </c>
    </row>
    <row r="976" customFormat="1" spans="1:11">
      <c r="A976" t="s">
        <v>319</v>
      </c>
      <c r="B976" s="8">
        <v>242500845</v>
      </c>
      <c r="C976" s="9">
        <v>45463</v>
      </c>
      <c r="D976" s="8" t="s">
        <v>78</v>
      </c>
      <c r="E976" s="10">
        <v>20000</v>
      </c>
      <c r="F976" s="8">
        <v>0.02</v>
      </c>
      <c r="G976" s="11">
        <v>45509</v>
      </c>
      <c r="H976" s="12">
        <f t="shared" si="15"/>
        <v>400</v>
      </c>
      <c r="I976" s="10" t="s">
        <v>10</v>
      </c>
      <c r="J976" s="13">
        <v>45483</v>
      </c>
    </row>
    <row r="977" customFormat="1" spans="1:13">
      <c r="A977" t="s">
        <v>319</v>
      </c>
      <c r="B977" s="8">
        <v>242500845</v>
      </c>
      <c r="C977" s="9">
        <v>45463</v>
      </c>
      <c r="D977" s="8" t="s">
        <v>78</v>
      </c>
      <c r="E977" s="10">
        <v>20000</v>
      </c>
      <c r="F977" s="8">
        <v>0.02</v>
      </c>
      <c r="G977" s="11">
        <v>45540</v>
      </c>
      <c r="H977" s="12">
        <f t="shared" si="15"/>
        <v>400</v>
      </c>
      <c r="I977" s="10" t="s">
        <v>10</v>
      </c>
      <c r="J977" s="13">
        <v>45483</v>
      </c>
    </row>
    <row r="978" customFormat="1" spans="1:13">
      <c r="A978" t="s">
        <v>319</v>
      </c>
      <c r="B978" s="8">
        <v>242500846</v>
      </c>
      <c r="C978" s="9">
        <v>45463</v>
      </c>
      <c r="D978" s="8" t="s">
        <v>78</v>
      </c>
      <c r="E978" s="10">
        <v>20000</v>
      </c>
      <c r="F978" s="8">
        <v>0.02</v>
      </c>
      <c r="G978" s="11">
        <v>45509</v>
      </c>
      <c r="H978" s="12">
        <f t="shared" si="15"/>
        <v>400</v>
      </c>
      <c r="I978" s="10" t="s">
        <v>10</v>
      </c>
      <c r="J978" s="13">
        <v>45530</v>
      </c>
      <c r="K978" t="s">
        <v>327</v>
      </c>
    </row>
    <row r="979" customFormat="1" spans="1:13">
      <c r="A979" t="s">
        <v>319</v>
      </c>
      <c r="B979" s="8">
        <v>242500846</v>
      </c>
      <c r="C979" s="9">
        <v>45463</v>
      </c>
      <c r="D979" s="8" t="s">
        <v>78</v>
      </c>
      <c r="E979" s="10">
        <v>20000</v>
      </c>
      <c r="F979" s="8">
        <v>0.02</v>
      </c>
      <c r="G979" s="11">
        <v>45540</v>
      </c>
      <c r="H979" s="12">
        <f t="shared" si="15"/>
        <v>400</v>
      </c>
      <c r="I979" s="10" t="s">
        <v>10</v>
      </c>
      <c r="J979" s="13">
        <v>45530</v>
      </c>
      <c r="K979" t="s">
        <v>327</v>
      </c>
    </row>
    <row r="980" customFormat="1" spans="1:13">
      <c r="A980" t="s">
        <v>319</v>
      </c>
      <c r="B980" s="8">
        <v>242500847</v>
      </c>
      <c r="C980" s="9">
        <v>45463</v>
      </c>
      <c r="D980" s="8" t="s">
        <v>78</v>
      </c>
      <c r="E980" s="10">
        <v>150000</v>
      </c>
      <c r="F980" s="8">
        <v>0.02</v>
      </c>
      <c r="G980" s="11">
        <v>45509</v>
      </c>
      <c r="H980" s="12">
        <f t="shared" si="15"/>
        <v>3000</v>
      </c>
      <c r="I980" s="10" t="s">
        <v>10</v>
      </c>
      <c r="J980" s="13">
        <v>45530</v>
      </c>
      <c r="K980" t="s">
        <v>392</v>
      </c>
    </row>
    <row r="981" customFormat="1" spans="1:13">
      <c r="A981" t="s">
        <v>319</v>
      </c>
      <c r="B981" s="8">
        <v>242500847</v>
      </c>
      <c r="C981" s="9">
        <v>45463</v>
      </c>
      <c r="D981" s="8" t="s">
        <v>78</v>
      </c>
      <c r="E981" s="10">
        <v>150000</v>
      </c>
      <c r="F981" s="8">
        <v>0.02</v>
      </c>
      <c r="G981" s="11">
        <v>45540</v>
      </c>
      <c r="H981" s="12">
        <f t="shared" si="15"/>
        <v>3000</v>
      </c>
      <c r="I981" s="10" t="s">
        <v>10</v>
      </c>
      <c r="J981" s="13">
        <v>45530</v>
      </c>
      <c r="K981" t="s">
        <v>392</v>
      </c>
      <c r="L981">
        <f>60000+20000+5000+25000+15000+15000+5000+2000+4000+5000+3000+25000+2000+6000+25000+10000+25000+3500+25000+25000+46000+9000</f>
        <v>360500</v>
      </c>
    </row>
    <row r="982" customFormat="1" spans="1:13">
      <c r="A982" t="s">
        <v>319</v>
      </c>
      <c r="B982" s="8">
        <v>242500847</v>
      </c>
      <c r="C982" s="9">
        <v>45463</v>
      </c>
      <c r="D982" s="8" t="s">
        <v>78</v>
      </c>
      <c r="E982" s="10">
        <v>100000</v>
      </c>
      <c r="F982" s="8">
        <v>0.02</v>
      </c>
      <c r="G982" s="11">
        <v>45601</v>
      </c>
      <c r="H982" s="12">
        <f t="shared" si="15"/>
        <v>2000</v>
      </c>
      <c r="I982" s="10" t="s">
        <v>10</v>
      </c>
      <c r="J982" s="13">
        <v>45530</v>
      </c>
      <c r="K982" t="s">
        <v>392</v>
      </c>
    </row>
    <row r="983" customFormat="1" spans="1:13">
      <c r="A983" t="s">
        <v>319</v>
      </c>
      <c r="B983" s="8">
        <v>242500849</v>
      </c>
      <c r="C983" s="9">
        <v>45463</v>
      </c>
      <c r="D983" s="8" t="s">
        <v>321</v>
      </c>
      <c r="E983" s="10">
        <v>40000</v>
      </c>
      <c r="F983" s="8">
        <v>0.03</v>
      </c>
      <c r="G983" s="11">
        <v>45587</v>
      </c>
      <c r="H983" s="12">
        <f t="shared" si="15"/>
        <v>1200</v>
      </c>
      <c r="I983" s="10" t="s">
        <v>10</v>
      </c>
      <c r="J983" s="13">
        <v>45478</v>
      </c>
      <c r="K983" t="s">
        <v>393</v>
      </c>
    </row>
    <row r="984" customFormat="1" spans="1:13">
      <c r="A984" t="s">
        <v>319</v>
      </c>
      <c r="B984" s="8">
        <v>242500849</v>
      </c>
      <c r="C984" s="9">
        <v>45463</v>
      </c>
      <c r="D984" s="8" t="s">
        <v>253</v>
      </c>
      <c r="E984" s="10">
        <v>60000</v>
      </c>
      <c r="F984" s="8">
        <v>0.08</v>
      </c>
      <c r="G984" s="11">
        <v>45557</v>
      </c>
      <c r="H984" s="12">
        <f t="shared" si="15"/>
        <v>4800</v>
      </c>
      <c r="I984" s="10" t="s">
        <v>10</v>
      </c>
      <c r="J984" s="13">
        <v>45478</v>
      </c>
      <c r="K984" t="s">
        <v>393</v>
      </c>
    </row>
    <row r="985" customFormat="1" spans="1:13">
      <c r="A985" t="s">
        <v>319</v>
      </c>
      <c r="B985" s="8">
        <v>242500851</v>
      </c>
      <c r="C985" s="9">
        <v>45463</v>
      </c>
      <c r="D985" s="87" t="s">
        <v>298</v>
      </c>
      <c r="E985" s="10">
        <v>500000</v>
      </c>
      <c r="F985" s="8">
        <v>0.15</v>
      </c>
      <c r="G985" s="11">
        <v>45526</v>
      </c>
      <c r="H985" s="12">
        <f t="shared" si="15"/>
        <v>75000</v>
      </c>
      <c r="I985" s="10" t="s">
        <v>10</v>
      </c>
      <c r="J985" s="13">
        <v>45470</v>
      </c>
    </row>
    <row r="986" customFormat="1" spans="1:13">
      <c r="A986" t="s">
        <v>319</v>
      </c>
      <c r="B986" s="8">
        <v>242500851</v>
      </c>
      <c r="C986" s="9">
        <v>45463</v>
      </c>
      <c r="D986" s="87" t="s">
        <v>248</v>
      </c>
      <c r="E986" s="10">
        <v>300000</v>
      </c>
      <c r="F986" s="8">
        <v>0.065</v>
      </c>
      <c r="G986" s="11">
        <v>45557</v>
      </c>
      <c r="H986" s="12">
        <f t="shared" si="15"/>
        <v>19500</v>
      </c>
      <c r="I986" s="10" t="s">
        <v>10</v>
      </c>
      <c r="J986" s="13">
        <v>45470</v>
      </c>
    </row>
    <row r="987" customFormat="1" spans="1:13">
      <c r="A987" t="s">
        <v>319</v>
      </c>
      <c r="B987" s="8">
        <v>242500852</v>
      </c>
      <c r="C987" s="9">
        <v>45463</v>
      </c>
      <c r="D987" s="8" t="s">
        <v>226</v>
      </c>
      <c r="E987" s="10">
        <v>300000</v>
      </c>
      <c r="F987" s="8">
        <v>0.08</v>
      </c>
      <c r="G987" s="11">
        <v>45557</v>
      </c>
      <c r="H987" s="12">
        <f t="shared" si="15"/>
        <v>24000</v>
      </c>
      <c r="I987" s="10" t="s">
        <v>10</v>
      </c>
      <c r="J987" s="13">
        <v>45477</v>
      </c>
      <c r="M987">
        <f>500000-361000</f>
        <v>139000</v>
      </c>
    </row>
    <row r="988" customFormat="1" spans="1:13">
      <c r="A988" t="s">
        <v>319</v>
      </c>
      <c r="B988" s="8">
        <v>242500852</v>
      </c>
      <c r="C988" s="9">
        <v>45463</v>
      </c>
      <c r="D988" s="8" t="s">
        <v>200</v>
      </c>
      <c r="E988" s="10">
        <v>100000</v>
      </c>
      <c r="F988" s="8">
        <v>0.05</v>
      </c>
      <c r="G988" s="11">
        <v>45557</v>
      </c>
      <c r="H988" s="12">
        <f t="shared" si="15"/>
        <v>5000</v>
      </c>
      <c r="I988" s="10" t="s">
        <v>10</v>
      </c>
      <c r="J988" s="13">
        <v>45477</v>
      </c>
    </row>
    <row r="989" customFormat="1" spans="1:13">
      <c r="A989" t="s">
        <v>319</v>
      </c>
      <c r="B989" s="8">
        <v>242500852</v>
      </c>
      <c r="C989" s="9">
        <v>45463</v>
      </c>
      <c r="D989" s="87" t="s">
        <v>248</v>
      </c>
      <c r="E989" s="10">
        <v>300000</v>
      </c>
      <c r="F989" s="8">
        <v>0.065</v>
      </c>
      <c r="G989" s="11">
        <v>45526</v>
      </c>
      <c r="H989" s="12">
        <f t="shared" si="15"/>
        <v>19500</v>
      </c>
      <c r="I989" s="10" t="s">
        <v>10</v>
      </c>
      <c r="J989" s="13">
        <v>45477</v>
      </c>
    </row>
    <row r="990" customFormat="1" spans="1:13">
      <c r="A990" t="s">
        <v>319</v>
      </c>
      <c r="B990" s="90">
        <v>242500853</v>
      </c>
      <c r="C990" s="9">
        <v>45463</v>
      </c>
      <c r="D990" s="8" t="s">
        <v>216</v>
      </c>
      <c r="E990" s="10">
        <v>50000</v>
      </c>
      <c r="F990" s="8">
        <v>0.045</v>
      </c>
      <c r="G990" s="11">
        <v>45557</v>
      </c>
      <c r="H990" s="12">
        <f t="shared" si="15"/>
        <v>2250</v>
      </c>
      <c r="I990" s="10" t="s">
        <v>10</v>
      </c>
      <c r="J990" s="13">
        <v>45478</v>
      </c>
      <c r="K990" t="s">
        <v>377</v>
      </c>
    </row>
    <row r="991" customFormat="1" spans="1:13">
      <c r="A991" t="s">
        <v>319</v>
      </c>
      <c r="B991" s="90">
        <v>242500853</v>
      </c>
      <c r="C991" s="9">
        <v>45463</v>
      </c>
      <c r="D991" s="8" t="s">
        <v>223</v>
      </c>
      <c r="E991" s="10">
        <v>90000</v>
      </c>
      <c r="F991" s="8">
        <v>0.08</v>
      </c>
      <c r="G991" s="11">
        <v>45587</v>
      </c>
      <c r="H991" s="12">
        <f t="shared" si="15"/>
        <v>7200</v>
      </c>
      <c r="I991" s="10" t="s">
        <v>10</v>
      </c>
      <c r="J991" s="13">
        <v>45478</v>
      </c>
      <c r="K991" t="s">
        <v>377</v>
      </c>
    </row>
    <row r="992" customFormat="1" spans="1:13">
      <c r="A992" t="s">
        <v>319</v>
      </c>
      <c r="B992" s="8">
        <v>242500854</v>
      </c>
      <c r="C992" s="9">
        <v>45463</v>
      </c>
      <c r="D992" s="8" t="s">
        <v>226</v>
      </c>
      <c r="E992" s="10">
        <v>150000</v>
      </c>
      <c r="F992" s="8">
        <v>0.08</v>
      </c>
      <c r="G992" s="11">
        <v>45526</v>
      </c>
      <c r="H992" s="12">
        <f t="shared" si="15"/>
        <v>12000</v>
      </c>
      <c r="I992" s="10" t="s">
        <v>10</v>
      </c>
      <c r="J992" s="13">
        <v>45470</v>
      </c>
    </row>
    <row r="993" customFormat="1" spans="1:11">
      <c r="A993" t="s">
        <v>319</v>
      </c>
      <c r="B993" s="8">
        <v>242500854</v>
      </c>
      <c r="C993" s="9">
        <v>45463</v>
      </c>
      <c r="D993" s="8" t="s">
        <v>226</v>
      </c>
      <c r="E993" s="10">
        <v>150000</v>
      </c>
      <c r="F993" s="8">
        <v>0.08</v>
      </c>
      <c r="G993" s="11">
        <v>45557</v>
      </c>
      <c r="H993" s="12">
        <f t="shared" si="15"/>
        <v>12000</v>
      </c>
      <c r="I993" s="10" t="s">
        <v>10</v>
      </c>
      <c r="J993" s="13">
        <v>45470</v>
      </c>
    </row>
    <row r="994" customFormat="1" spans="1:11">
      <c r="A994" t="s">
        <v>319</v>
      </c>
      <c r="B994" s="90">
        <v>242500856</v>
      </c>
      <c r="C994" s="9">
        <v>45463</v>
      </c>
      <c r="D994" s="87" t="s">
        <v>298</v>
      </c>
      <c r="E994" s="10">
        <v>20000</v>
      </c>
      <c r="F994" s="8">
        <v>0.15</v>
      </c>
      <c r="G994" s="11">
        <v>45495</v>
      </c>
      <c r="H994" s="12">
        <f t="shared" si="15"/>
        <v>3000</v>
      </c>
      <c r="I994" s="10" t="s">
        <v>10</v>
      </c>
      <c r="J994" s="13">
        <v>45492</v>
      </c>
      <c r="K994" t="s">
        <v>377</v>
      </c>
    </row>
    <row r="995" customFormat="1" spans="1:11">
      <c r="A995" t="s">
        <v>319</v>
      </c>
      <c r="B995" s="90">
        <v>242500856</v>
      </c>
      <c r="C995" s="9">
        <v>45463</v>
      </c>
      <c r="D995" s="87" t="s">
        <v>298</v>
      </c>
      <c r="E995" s="10">
        <v>20000</v>
      </c>
      <c r="F995" s="8">
        <v>0.15</v>
      </c>
      <c r="G995" s="11">
        <v>45557</v>
      </c>
      <c r="H995" s="12">
        <f t="shared" si="15"/>
        <v>3000</v>
      </c>
      <c r="I995" s="10" t="s">
        <v>10</v>
      </c>
      <c r="J995" s="13">
        <v>45492</v>
      </c>
      <c r="K995" t="s">
        <v>377</v>
      </c>
    </row>
    <row r="996" customFormat="1" spans="1:11">
      <c r="A996" t="s">
        <v>319</v>
      </c>
      <c r="B996" s="90">
        <v>242500856</v>
      </c>
      <c r="C996" s="9">
        <v>45463</v>
      </c>
      <c r="D996" s="8" t="s">
        <v>200</v>
      </c>
      <c r="E996" s="10">
        <v>20000</v>
      </c>
      <c r="F996" s="8">
        <v>0.05</v>
      </c>
      <c r="G996" s="11">
        <v>45557</v>
      </c>
      <c r="H996" s="12">
        <f t="shared" si="15"/>
        <v>1000</v>
      </c>
      <c r="I996" s="10" t="s">
        <v>10</v>
      </c>
      <c r="J996" s="13">
        <v>45478</v>
      </c>
      <c r="K996" t="s">
        <v>377</v>
      </c>
    </row>
    <row r="997" customFormat="1" spans="1:11">
      <c r="A997" t="s">
        <v>319</v>
      </c>
      <c r="B997" s="90">
        <v>242500856</v>
      </c>
      <c r="C997" s="9">
        <v>45463</v>
      </c>
      <c r="D997" s="8" t="s">
        <v>216</v>
      </c>
      <c r="E997" s="10">
        <v>50000</v>
      </c>
      <c r="F997" s="8">
        <v>0.045</v>
      </c>
      <c r="G997" s="11">
        <v>45526</v>
      </c>
      <c r="H997" s="12">
        <f t="shared" si="15"/>
        <v>2250</v>
      </c>
      <c r="I997" s="10" t="s">
        <v>10</v>
      </c>
      <c r="J997" s="13">
        <v>45478</v>
      </c>
      <c r="K997" t="s">
        <v>377</v>
      </c>
    </row>
    <row r="998" customFormat="1" spans="1:11">
      <c r="A998" t="s">
        <v>319</v>
      </c>
      <c r="B998" s="90">
        <v>242500856</v>
      </c>
      <c r="C998" s="9">
        <v>45463</v>
      </c>
      <c r="D998" s="8" t="s">
        <v>216</v>
      </c>
      <c r="E998" s="10">
        <v>50000</v>
      </c>
      <c r="F998" s="8">
        <v>0.045</v>
      </c>
      <c r="G998" s="11">
        <v>45557</v>
      </c>
      <c r="H998" s="12">
        <f t="shared" si="15"/>
        <v>2250</v>
      </c>
      <c r="I998" s="10" t="s">
        <v>10</v>
      </c>
      <c r="J998" s="13">
        <v>45478</v>
      </c>
      <c r="K998" t="s">
        <v>377</v>
      </c>
    </row>
    <row r="999" customFormat="1" spans="1:11">
      <c r="A999" t="s">
        <v>319</v>
      </c>
      <c r="B999" s="90">
        <v>242500856</v>
      </c>
      <c r="C999" s="9">
        <v>45463</v>
      </c>
      <c r="D999" s="8" t="s">
        <v>216</v>
      </c>
      <c r="E999" s="10">
        <v>50000</v>
      </c>
      <c r="F999" s="8">
        <v>0.045</v>
      </c>
      <c r="G999" s="11">
        <v>45587</v>
      </c>
      <c r="H999" s="12">
        <f t="shared" si="15"/>
        <v>2250</v>
      </c>
      <c r="I999" s="10" t="s">
        <v>10</v>
      </c>
      <c r="J999" s="13">
        <v>45492</v>
      </c>
      <c r="K999" t="s">
        <v>377</v>
      </c>
    </row>
    <row r="1000" customFormat="1" spans="1:11">
      <c r="A1000" t="s">
        <v>319</v>
      </c>
      <c r="B1000" s="90">
        <v>242500856</v>
      </c>
      <c r="C1000" s="9">
        <v>45463</v>
      </c>
      <c r="D1000" s="8" t="s">
        <v>394</v>
      </c>
      <c r="E1000" s="10">
        <v>96000</v>
      </c>
      <c r="F1000" s="8">
        <v>0.022</v>
      </c>
      <c r="G1000" s="11">
        <v>45526</v>
      </c>
      <c r="H1000" s="12">
        <f t="shared" si="15"/>
        <v>2112</v>
      </c>
      <c r="I1000" s="10" t="s">
        <v>10</v>
      </c>
      <c r="J1000" s="13">
        <v>45478</v>
      </c>
      <c r="K1000" t="s">
        <v>377</v>
      </c>
    </row>
    <row r="1001" customFormat="1" spans="1:11">
      <c r="A1001" t="s">
        <v>319</v>
      </c>
      <c r="B1001" s="90">
        <v>242500856</v>
      </c>
      <c r="C1001" s="9">
        <v>45463</v>
      </c>
      <c r="D1001" s="8" t="s">
        <v>394</v>
      </c>
      <c r="E1001" s="10">
        <v>92000</v>
      </c>
      <c r="F1001" s="8">
        <v>0.022</v>
      </c>
      <c r="G1001" s="11">
        <v>45557</v>
      </c>
      <c r="H1001" s="12">
        <f t="shared" si="15"/>
        <v>2024</v>
      </c>
      <c r="I1001" s="10" t="s">
        <v>10</v>
      </c>
      <c r="J1001" s="13">
        <v>45478</v>
      </c>
      <c r="K1001" t="s">
        <v>377</v>
      </c>
    </row>
    <row r="1002" customFormat="1" spans="1:11">
      <c r="A1002" t="s">
        <v>319</v>
      </c>
      <c r="B1002" s="90">
        <v>242500856</v>
      </c>
      <c r="C1002" s="9">
        <v>45463</v>
      </c>
      <c r="D1002" s="8" t="s">
        <v>394</v>
      </c>
      <c r="E1002" s="10">
        <v>92000</v>
      </c>
      <c r="F1002" s="8">
        <v>0.022</v>
      </c>
      <c r="G1002" s="11">
        <v>45587</v>
      </c>
      <c r="H1002" s="12">
        <f t="shared" si="15"/>
        <v>2024</v>
      </c>
      <c r="I1002" s="10" t="s">
        <v>10</v>
      </c>
      <c r="J1002" s="13">
        <v>45492</v>
      </c>
      <c r="K1002" t="s">
        <v>377</v>
      </c>
    </row>
    <row r="1003" customFormat="1" spans="1:11">
      <c r="A1003" t="s">
        <v>319</v>
      </c>
      <c r="B1003" s="90">
        <v>242500856</v>
      </c>
      <c r="C1003" s="9">
        <v>45463</v>
      </c>
      <c r="D1003" s="8" t="s">
        <v>225</v>
      </c>
      <c r="E1003" s="10">
        <v>40000</v>
      </c>
      <c r="F1003" s="8">
        <v>0.041</v>
      </c>
      <c r="G1003" s="11">
        <v>45526</v>
      </c>
      <c r="H1003" s="12">
        <f t="shared" si="15"/>
        <v>1640</v>
      </c>
      <c r="I1003" s="10" t="s">
        <v>10</v>
      </c>
      <c r="J1003" s="13">
        <v>45478</v>
      </c>
      <c r="K1003" t="s">
        <v>377</v>
      </c>
    </row>
    <row r="1004" customFormat="1" spans="1:11">
      <c r="A1004" t="s">
        <v>319</v>
      </c>
      <c r="B1004" s="90">
        <v>242500856</v>
      </c>
      <c r="C1004" s="9">
        <v>45463</v>
      </c>
      <c r="D1004" s="8" t="s">
        <v>225</v>
      </c>
      <c r="E1004" s="10">
        <v>40000</v>
      </c>
      <c r="F1004" s="8">
        <v>0.041</v>
      </c>
      <c r="G1004" s="11">
        <v>45557</v>
      </c>
      <c r="H1004" s="12">
        <f t="shared" si="15"/>
        <v>1640</v>
      </c>
      <c r="I1004" s="10" t="s">
        <v>10</v>
      </c>
      <c r="J1004" s="13">
        <v>45478</v>
      </c>
      <c r="K1004" t="s">
        <v>377</v>
      </c>
    </row>
    <row r="1005" customFormat="1" spans="1:11">
      <c r="A1005" t="s">
        <v>319</v>
      </c>
      <c r="B1005" s="90">
        <v>242500856</v>
      </c>
      <c r="C1005" s="9">
        <v>45463</v>
      </c>
      <c r="D1005" s="8" t="s">
        <v>225</v>
      </c>
      <c r="E1005" s="10">
        <v>40000</v>
      </c>
      <c r="F1005" s="8">
        <v>0.041</v>
      </c>
      <c r="G1005" s="11">
        <v>45587</v>
      </c>
      <c r="H1005" s="12">
        <f t="shared" si="15"/>
        <v>1640</v>
      </c>
      <c r="I1005" s="10" t="s">
        <v>10</v>
      </c>
      <c r="J1005" s="13">
        <v>45492</v>
      </c>
      <c r="K1005" t="s">
        <v>377</v>
      </c>
    </row>
    <row r="1006" customFormat="1" spans="1:11">
      <c r="A1006" t="s">
        <v>319</v>
      </c>
      <c r="B1006" s="90">
        <v>242500856</v>
      </c>
      <c r="C1006" s="9">
        <v>45463</v>
      </c>
      <c r="D1006" s="8" t="s">
        <v>206</v>
      </c>
      <c r="E1006" s="10">
        <v>250000</v>
      </c>
      <c r="F1006" s="8">
        <v>0.065</v>
      </c>
      <c r="G1006" s="11">
        <v>45570</v>
      </c>
      <c r="H1006" s="12">
        <f t="shared" si="15"/>
        <v>16250</v>
      </c>
      <c r="I1006" s="10" t="s">
        <v>10</v>
      </c>
      <c r="J1006" s="13">
        <v>45478</v>
      </c>
      <c r="K1006" t="s">
        <v>377</v>
      </c>
    </row>
    <row r="1007" customFormat="1" spans="1:11">
      <c r="A1007" t="s">
        <v>319</v>
      </c>
      <c r="B1007" s="90">
        <v>242500856</v>
      </c>
      <c r="C1007" s="9">
        <v>45463</v>
      </c>
      <c r="D1007" s="87" t="s">
        <v>248</v>
      </c>
      <c r="E1007" s="10">
        <v>50000</v>
      </c>
      <c r="F1007" s="8">
        <v>0.065</v>
      </c>
      <c r="G1007" s="11">
        <v>45587</v>
      </c>
      <c r="H1007" s="12">
        <f t="shared" si="15"/>
        <v>3250</v>
      </c>
      <c r="I1007" s="10" t="s">
        <v>10</v>
      </c>
      <c r="J1007" s="13">
        <v>45492</v>
      </c>
      <c r="K1007" t="s">
        <v>377</v>
      </c>
    </row>
    <row r="1008" customFormat="1" spans="1:11">
      <c r="A1008" t="s">
        <v>319</v>
      </c>
      <c r="B1008" s="8">
        <v>242500887</v>
      </c>
      <c r="C1008" s="9">
        <v>45468</v>
      </c>
      <c r="D1008" s="8" t="s">
        <v>395</v>
      </c>
      <c r="E1008" s="10">
        <v>300000</v>
      </c>
      <c r="F1008" s="8">
        <v>0.013</v>
      </c>
      <c r="G1008" s="11">
        <v>45478</v>
      </c>
      <c r="H1008" s="12">
        <f t="shared" si="15"/>
        <v>3900</v>
      </c>
      <c r="I1008" s="10" t="s">
        <v>10</v>
      </c>
      <c r="J1008" s="15" t="s">
        <v>396</v>
      </c>
    </row>
    <row r="1009" customFormat="1" spans="1:11">
      <c r="A1009" t="s">
        <v>319</v>
      </c>
      <c r="B1009" s="53">
        <v>242500909</v>
      </c>
      <c r="C1009" s="54">
        <v>45470</v>
      </c>
      <c r="D1009" s="53" t="s">
        <v>397</v>
      </c>
      <c r="E1009" s="56">
        <v>2000</v>
      </c>
      <c r="F1009" s="53">
        <v>0.15</v>
      </c>
      <c r="G1009" s="57">
        <v>45478</v>
      </c>
      <c r="H1009" s="58">
        <f t="shared" si="15"/>
        <v>300</v>
      </c>
      <c r="I1009" s="56" t="s">
        <v>317</v>
      </c>
      <c r="J1009" s="15" t="s">
        <v>398</v>
      </c>
    </row>
    <row r="1010" customFormat="1" spans="1:11">
      <c r="B1010" s="8">
        <v>242500919</v>
      </c>
      <c r="C1010" s="9">
        <v>45471</v>
      </c>
      <c r="D1010" s="8" t="s">
        <v>399</v>
      </c>
      <c r="E1010" s="10">
        <v>20000</v>
      </c>
      <c r="F1010" s="8">
        <v>0.0175</v>
      </c>
      <c r="G1010" s="11">
        <v>45478</v>
      </c>
      <c r="H1010" s="12">
        <f t="shared" si="15"/>
        <v>350</v>
      </c>
      <c r="I1010" s="10" t="s">
        <v>10</v>
      </c>
      <c r="J1010" s="15" t="s">
        <v>325</v>
      </c>
    </row>
    <row r="1011" customFormat="1" spans="1:11">
      <c r="A1011" t="s">
        <v>319</v>
      </c>
      <c r="B1011" s="8">
        <v>242500929</v>
      </c>
      <c r="C1011" s="9">
        <v>45474</v>
      </c>
      <c r="D1011" s="8" t="s">
        <v>400</v>
      </c>
      <c r="E1011" s="10">
        <v>30000</v>
      </c>
      <c r="F1011" s="8">
        <v>0.0525</v>
      </c>
      <c r="G1011" s="11">
        <v>45478</v>
      </c>
      <c r="H1011" s="12">
        <f t="shared" si="15"/>
        <v>1575</v>
      </c>
      <c r="I1011" s="10" t="s">
        <v>10</v>
      </c>
      <c r="J1011" s="13">
        <v>45483</v>
      </c>
    </row>
    <row r="1012" customFormat="1" spans="1:11">
      <c r="B1012" s="8">
        <v>242500942</v>
      </c>
      <c r="C1012" s="9">
        <v>45476</v>
      </c>
      <c r="D1012" s="8" t="s">
        <v>401</v>
      </c>
      <c r="E1012" s="10">
        <v>21000</v>
      </c>
      <c r="F1012" s="8">
        <v>0.04</v>
      </c>
      <c r="G1012" s="11">
        <v>45478</v>
      </c>
      <c r="H1012" s="12">
        <f t="shared" si="15"/>
        <v>840</v>
      </c>
      <c r="I1012" s="10" t="s">
        <v>10</v>
      </c>
      <c r="J1012" s="15" t="s">
        <v>402</v>
      </c>
    </row>
    <row r="1013" customFormat="1" spans="1:11">
      <c r="A1013" t="s">
        <v>319</v>
      </c>
      <c r="B1013" s="8">
        <v>242500954</v>
      </c>
      <c r="C1013" s="9">
        <v>45478</v>
      </c>
      <c r="D1013" s="8" t="s">
        <v>403</v>
      </c>
      <c r="E1013" s="10">
        <v>32000</v>
      </c>
      <c r="F1013" s="8">
        <v>0.013</v>
      </c>
      <c r="G1013" s="11">
        <v>45495</v>
      </c>
      <c r="H1013" s="12">
        <f t="shared" si="15"/>
        <v>416</v>
      </c>
      <c r="I1013" s="10" t="s">
        <v>10</v>
      </c>
      <c r="J1013" s="13">
        <v>45530</v>
      </c>
    </row>
    <row r="1014" customFormat="1" spans="1:11">
      <c r="A1014" t="s">
        <v>319</v>
      </c>
      <c r="B1014" s="8">
        <v>242500969</v>
      </c>
      <c r="C1014" s="9">
        <v>45482</v>
      </c>
      <c r="D1014" s="8" t="s">
        <v>321</v>
      </c>
      <c r="E1014" s="10">
        <v>60000</v>
      </c>
      <c r="F1014" s="8">
        <v>0.03</v>
      </c>
      <c r="G1014" s="11">
        <v>45587</v>
      </c>
      <c r="H1014" s="12">
        <f t="shared" si="15"/>
        <v>1800</v>
      </c>
      <c r="I1014" s="10" t="s">
        <v>10</v>
      </c>
      <c r="J1014" s="13">
        <v>45492</v>
      </c>
    </row>
    <row r="1015" customFormat="1" spans="1:11">
      <c r="A1015" t="s">
        <v>319</v>
      </c>
      <c r="B1015" s="8">
        <v>242500969</v>
      </c>
      <c r="C1015" s="9">
        <v>45482</v>
      </c>
      <c r="D1015" s="8" t="s">
        <v>321</v>
      </c>
      <c r="E1015" s="10">
        <v>30000</v>
      </c>
      <c r="F1015" s="8">
        <v>0.03</v>
      </c>
      <c r="G1015" s="11">
        <v>45618</v>
      </c>
      <c r="H1015" s="12">
        <f t="shared" si="15"/>
        <v>900</v>
      </c>
      <c r="I1015" s="10" t="s">
        <v>10</v>
      </c>
      <c r="J1015" s="13">
        <v>45492</v>
      </c>
    </row>
    <row r="1016" customFormat="1" spans="1:11">
      <c r="A1016" t="s">
        <v>319</v>
      </c>
      <c r="B1016" s="8">
        <v>242500980</v>
      </c>
      <c r="C1016" s="9">
        <v>45481</v>
      </c>
      <c r="D1016" s="8" t="s">
        <v>26</v>
      </c>
      <c r="E1016" s="10">
        <v>20000</v>
      </c>
      <c r="F1016" s="8">
        <v>0.014</v>
      </c>
      <c r="G1016" s="11">
        <v>45495</v>
      </c>
      <c r="H1016" s="12">
        <f t="shared" si="15"/>
        <v>280</v>
      </c>
      <c r="I1016" s="10" t="s">
        <v>10</v>
      </c>
      <c r="J1016" s="13">
        <v>45483</v>
      </c>
    </row>
    <row r="1017" customFormat="1" spans="1:11">
      <c r="A1017" t="s">
        <v>319</v>
      </c>
      <c r="B1017" s="8">
        <v>242500980</v>
      </c>
      <c r="C1017" s="9">
        <v>45481</v>
      </c>
      <c r="D1017" s="8" t="s">
        <v>26</v>
      </c>
      <c r="E1017" s="10">
        <v>20000</v>
      </c>
      <c r="F1017" s="8">
        <v>0.014</v>
      </c>
      <c r="G1017" s="11">
        <v>45509</v>
      </c>
      <c r="H1017" s="12">
        <f t="shared" si="15"/>
        <v>280</v>
      </c>
      <c r="I1017" s="10" t="s">
        <v>10</v>
      </c>
      <c r="J1017" s="13">
        <v>45483</v>
      </c>
    </row>
    <row r="1018" customFormat="1" spans="1:11">
      <c r="A1018" t="s">
        <v>319</v>
      </c>
      <c r="B1018" s="8">
        <v>242500998</v>
      </c>
      <c r="C1018" s="9">
        <v>45483</v>
      </c>
      <c r="D1018" s="8" t="s">
        <v>404</v>
      </c>
      <c r="E1018" s="10">
        <v>80000</v>
      </c>
      <c r="F1018" s="8">
        <v>0.06</v>
      </c>
      <c r="G1018" s="11">
        <v>45601</v>
      </c>
      <c r="H1018" s="12">
        <f t="shared" si="15"/>
        <v>4800</v>
      </c>
      <c r="I1018" s="10" t="s">
        <v>10</v>
      </c>
      <c r="J1018" s="13">
        <v>45572</v>
      </c>
      <c r="K1018" t="s">
        <v>405</v>
      </c>
    </row>
    <row r="1019" customFormat="1" spans="1:11">
      <c r="A1019" t="s">
        <v>319</v>
      </c>
      <c r="B1019" s="8">
        <v>242501012</v>
      </c>
      <c r="C1019" s="9">
        <v>45484</v>
      </c>
      <c r="D1019" s="8" t="s">
        <v>210</v>
      </c>
      <c r="E1019" s="10">
        <v>200000</v>
      </c>
      <c r="F1019" s="8">
        <v>0.024</v>
      </c>
      <c r="G1019" s="11">
        <v>45618</v>
      </c>
      <c r="H1019" s="12">
        <f t="shared" si="15"/>
        <v>4800</v>
      </c>
      <c r="I1019" s="10" t="s">
        <v>10</v>
      </c>
      <c r="J1019" s="13">
        <v>45532</v>
      </c>
    </row>
    <row r="1020" customFormat="1" spans="1:11">
      <c r="A1020" t="s">
        <v>319</v>
      </c>
      <c r="B1020" s="8">
        <v>242501013</v>
      </c>
      <c r="C1020" s="9">
        <v>45484</v>
      </c>
      <c r="D1020" s="8" t="s">
        <v>226</v>
      </c>
      <c r="E1020" s="10">
        <v>220000</v>
      </c>
      <c r="F1020" s="8">
        <v>0.08</v>
      </c>
      <c r="G1020" s="11">
        <v>45570</v>
      </c>
      <c r="H1020" s="12">
        <f t="shared" si="15"/>
        <v>17600</v>
      </c>
      <c r="I1020" s="10" t="s">
        <v>10</v>
      </c>
      <c r="J1020" s="13">
        <v>45492</v>
      </c>
    </row>
    <row r="1021" customFormat="1" spans="1:11">
      <c r="A1021" t="s">
        <v>319</v>
      </c>
      <c r="B1021" s="8">
        <v>242501013</v>
      </c>
      <c r="C1021" s="9">
        <v>45484</v>
      </c>
      <c r="D1021" s="8" t="s">
        <v>226</v>
      </c>
      <c r="E1021" s="10">
        <v>220000</v>
      </c>
      <c r="F1021" s="8">
        <v>0.08</v>
      </c>
      <c r="G1021" s="11">
        <v>45601</v>
      </c>
      <c r="H1021" s="12">
        <f t="shared" si="15"/>
        <v>17600</v>
      </c>
      <c r="I1021" s="10" t="s">
        <v>10</v>
      </c>
      <c r="J1021" s="13">
        <v>45492</v>
      </c>
    </row>
    <row r="1022" customFormat="1" spans="1:11">
      <c r="A1022" t="s">
        <v>319</v>
      </c>
      <c r="B1022" s="8">
        <v>242501028</v>
      </c>
      <c r="C1022" s="9">
        <v>45485</v>
      </c>
      <c r="D1022" s="8" t="s">
        <v>290</v>
      </c>
      <c r="E1022" s="10">
        <v>28000</v>
      </c>
      <c r="F1022" s="8">
        <v>0.03</v>
      </c>
      <c r="G1022" s="11">
        <v>45526</v>
      </c>
      <c r="H1022" s="12">
        <f t="shared" si="15"/>
        <v>840</v>
      </c>
      <c r="I1022" s="10" t="s">
        <v>10</v>
      </c>
      <c r="J1022" s="13">
        <v>45492</v>
      </c>
    </row>
    <row r="1023" customFormat="1" spans="1:11">
      <c r="A1023" t="s">
        <v>319</v>
      </c>
      <c r="B1023" s="8">
        <v>242501028</v>
      </c>
      <c r="C1023" s="9">
        <v>45485</v>
      </c>
      <c r="D1023" s="8" t="s">
        <v>290</v>
      </c>
      <c r="E1023" s="10">
        <v>20000</v>
      </c>
      <c r="F1023" s="8">
        <v>0.03</v>
      </c>
      <c r="G1023" s="11">
        <v>45557</v>
      </c>
      <c r="H1023" s="12">
        <f t="shared" si="15"/>
        <v>600</v>
      </c>
      <c r="I1023" s="10" t="s">
        <v>10</v>
      </c>
      <c r="J1023" s="13">
        <v>45492</v>
      </c>
    </row>
    <row r="1024" customFormat="1" spans="1:11">
      <c r="A1024" t="s">
        <v>319</v>
      </c>
      <c r="B1024" s="8">
        <v>242501028</v>
      </c>
      <c r="C1024" s="9">
        <v>45485</v>
      </c>
      <c r="D1024" s="8" t="s">
        <v>292</v>
      </c>
      <c r="E1024" s="10">
        <v>20000</v>
      </c>
      <c r="F1024" s="8">
        <v>0.0205</v>
      </c>
      <c r="G1024" s="11">
        <v>45557</v>
      </c>
      <c r="H1024" s="12">
        <f t="shared" si="15"/>
        <v>410</v>
      </c>
      <c r="I1024" s="10" t="s">
        <v>10</v>
      </c>
      <c r="J1024" s="13">
        <v>45492</v>
      </c>
    </row>
    <row r="1025" customFormat="1" spans="1:10">
      <c r="A1025" t="s">
        <v>319</v>
      </c>
      <c r="B1025" s="8">
        <v>242501028</v>
      </c>
      <c r="C1025" s="9">
        <v>45485</v>
      </c>
      <c r="D1025" s="8" t="s">
        <v>289</v>
      </c>
      <c r="E1025" s="10">
        <v>24000</v>
      </c>
      <c r="F1025" s="8">
        <v>0.033</v>
      </c>
      <c r="G1025" s="11">
        <v>45509</v>
      </c>
      <c r="H1025" s="12">
        <f t="shared" si="15"/>
        <v>792</v>
      </c>
      <c r="I1025" s="10" t="s">
        <v>10</v>
      </c>
      <c r="J1025" s="13">
        <v>45492</v>
      </c>
    </row>
    <row r="1026" customFormat="1" spans="1:10">
      <c r="A1026" t="s">
        <v>319</v>
      </c>
      <c r="B1026" s="8">
        <v>242501028</v>
      </c>
      <c r="C1026" s="9">
        <v>45485</v>
      </c>
      <c r="D1026" s="8" t="s">
        <v>289</v>
      </c>
      <c r="E1026" s="10">
        <v>20000</v>
      </c>
      <c r="F1026" s="8">
        <v>0.033</v>
      </c>
      <c r="G1026" s="11">
        <v>45540</v>
      </c>
      <c r="H1026" s="12">
        <f t="shared" ref="H1026:H1089" si="16">E1026*F1026</f>
        <v>660</v>
      </c>
      <c r="I1026" s="10" t="s">
        <v>10</v>
      </c>
      <c r="J1026" s="13">
        <v>45492</v>
      </c>
    </row>
    <row r="1027" customFormat="1" spans="1:10">
      <c r="A1027" t="s">
        <v>319</v>
      </c>
      <c r="B1027" s="8">
        <v>242501028</v>
      </c>
      <c r="C1027" s="9">
        <v>45485</v>
      </c>
      <c r="D1027" s="8" t="s">
        <v>291</v>
      </c>
      <c r="E1027" s="10">
        <v>20000</v>
      </c>
      <c r="F1027" s="8">
        <v>0.03</v>
      </c>
      <c r="G1027" s="11">
        <v>45557</v>
      </c>
      <c r="H1027" s="12">
        <f t="shared" si="16"/>
        <v>600</v>
      </c>
      <c r="I1027" s="10" t="s">
        <v>10</v>
      </c>
      <c r="J1027" s="13">
        <v>45492</v>
      </c>
    </row>
    <row r="1028" customFormat="1" spans="1:10">
      <c r="A1028" t="s">
        <v>319</v>
      </c>
      <c r="B1028" s="8">
        <v>242501045</v>
      </c>
      <c r="C1028" s="9">
        <v>45490</v>
      </c>
      <c r="D1028" s="8" t="s">
        <v>230</v>
      </c>
      <c r="E1028" s="10">
        <v>20000</v>
      </c>
      <c r="F1028" s="8">
        <v>0.0285</v>
      </c>
      <c r="G1028" s="11">
        <v>45495</v>
      </c>
      <c r="H1028" s="12">
        <f t="shared" si="16"/>
        <v>570</v>
      </c>
      <c r="I1028" s="10" t="s">
        <v>10</v>
      </c>
      <c r="J1028" s="13">
        <v>45492</v>
      </c>
    </row>
    <row r="1029" customFormat="1" spans="1:10">
      <c r="A1029" t="s">
        <v>319</v>
      </c>
      <c r="B1029" s="8">
        <v>242501050</v>
      </c>
      <c r="C1029" s="9">
        <v>45491</v>
      </c>
      <c r="D1029" s="8" t="s">
        <v>243</v>
      </c>
      <c r="E1029" s="10">
        <v>96000</v>
      </c>
      <c r="F1029" s="8">
        <v>0.022</v>
      </c>
      <c r="G1029" s="11">
        <v>45509</v>
      </c>
      <c r="H1029" s="12">
        <f t="shared" si="16"/>
        <v>2112</v>
      </c>
      <c r="I1029" s="10" t="s">
        <v>10</v>
      </c>
      <c r="J1029" s="13">
        <v>45492</v>
      </c>
    </row>
    <row r="1030" customFormat="1" spans="1:10">
      <c r="A1030" t="s">
        <v>319</v>
      </c>
      <c r="B1030" s="8">
        <v>242501050</v>
      </c>
      <c r="C1030" s="9">
        <v>45491</v>
      </c>
      <c r="D1030" s="8" t="s">
        <v>243</v>
      </c>
      <c r="E1030" s="10">
        <v>96000</v>
      </c>
      <c r="F1030" s="8">
        <v>0.022</v>
      </c>
      <c r="G1030" s="11">
        <v>45526</v>
      </c>
      <c r="H1030" s="12">
        <f t="shared" si="16"/>
        <v>2112</v>
      </c>
      <c r="I1030" s="10" t="s">
        <v>10</v>
      </c>
      <c r="J1030" s="13">
        <v>45492</v>
      </c>
    </row>
    <row r="1031" customFormat="1" spans="1:10">
      <c r="A1031" t="s">
        <v>319</v>
      </c>
      <c r="B1031" s="8">
        <v>242501050</v>
      </c>
      <c r="C1031" s="9">
        <v>45491</v>
      </c>
      <c r="D1031" s="8" t="s">
        <v>243</v>
      </c>
      <c r="E1031" s="10">
        <v>52000</v>
      </c>
      <c r="F1031" s="8">
        <v>0.022</v>
      </c>
      <c r="G1031" s="11">
        <v>45540</v>
      </c>
      <c r="H1031" s="12">
        <f t="shared" si="16"/>
        <v>1144</v>
      </c>
      <c r="I1031" s="10" t="s">
        <v>10</v>
      </c>
      <c r="J1031" s="13">
        <v>45492</v>
      </c>
    </row>
    <row r="1032" customFormat="1" spans="1:10">
      <c r="A1032" t="s">
        <v>319</v>
      </c>
      <c r="B1032" s="8">
        <v>242501050</v>
      </c>
      <c r="C1032" s="9">
        <v>45491</v>
      </c>
      <c r="D1032" s="8" t="s">
        <v>210</v>
      </c>
      <c r="E1032" s="10">
        <v>120000</v>
      </c>
      <c r="F1032" s="8">
        <v>0.024</v>
      </c>
      <c r="G1032" s="11">
        <v>45509</v>
      </c>
      <c r="H1032" s="12">
        <f t="shared" si="16"/>
        <v>2880</v>
      </c>
      <c r="I1032" s="10" t="s">
        <v>10</v>
      </c>
      <c r="J1032" s="13">
        <v>45492</v>
      </c>
    </row>
    <row r="1033" customFormat="1" spans="1:10">
      <c r="A1033" t="s">
        <v>319</v>
      </c>
      <c r="B1033" s="8">
        <v>242501050</v>
      </c>
      <c r="C1033" s="9">
        <v>45491</v>
      </c>
      <c r="D1033" s="8" t="s">
        <v>210</v>
      </c>
      <c r="E1033" s="10">
        <v>120000</v>
      </c>
      <c r="F1033" s="8">
        <v>0.024</v>
      </c>
      <c r="G1033" s="11">
        <v>45526</v>
      </c>
      <c r="H1033" s="12">
        <f t="shared" si="16"/>
        <v>2880</v>
      </c>
      <c r="I1033" s="10" t="s">
        <v>10</v>
      </c>
      <c r="J1033" s="13">
        <v>45492</v>
      </c>
    </row>
    <row r="1034" customFormat="1" spans="1:10">
      <c r="A1034" t="s">
        <v>319</v>
      </c>
      <c r="B1034" s="8">
        <v>242501050</v>
      </c>
      <c r="C1034" s="9">
        <v>45491</v>
      </c>
      <c r="D1034" s="8" t="s">
        <v>210</v>
      </c>
      <c r="E1034" s="10">
        <v>120000</v>
      </c>
      <c r="F1034" s="8">
        <v>0.024</v>
      </c>
      <c r="G1034" s="11">
        <v>45526</v>
      </c>
      <c r="H1034" s="12">
        <f t="shared" si="16"/>
        <v>2880</v>
      </c>
      <c r="I1034" s="10" t="s">
        <v>10</v>
      </c>
      <c r="J1034" s="13">
        <v>45492</v>
      </c>
    </row>
    <row r="1035" customFormat="1" spans="1:10">
      <c r="A1035" t="s">
        <v>319</v>
      </c>
      <c r="B1035" s="8">
        <v>242501050</v>
      </c>
      <c r="C1035" s="9">
        <v>45491</v>
      </c>
      <c r="D1035" s="8" t="s">
        <v>210</v>
      </c>
      <c r="E1035" s="10">
        <v>120000</v>
      </c>
      <c r="F1035" s="8">
        <v>0.024</v>
      </c>
      <c r="G1035" s="11">
        <v>45540</v>
      </c>
      <c r="H1035" s="12">
        <f t="shared" si="16"/>
        <v>2880</v>
      </c>
      <c r="I1035" s="10" t="s">
        <v>10</v>
      </c>
      <c r="J1035" s="13">
        <v>45492</v>
      </c>
    </row>
    <row r="1036" customFormat="1" spans="1:10">
      <c r="A1036" t="s">
        <v>319</v>
      </c>
      <c r="B1036" s="8">
        <v>242501050</v>
      </c>
      <c r="C1036" s="9">
        <v>45491</v>
      </c>
      <c r="D1036" s="8" t="s">
        <v>210</v>
      </c>
      <c r="E1036" s="10">
        <v>120000</v>
      </c>
      <c r="F1036" s="8">
        <v>0.024</v>
      </c>
      <c r="G1036" s="11">
        <v>45557</v>
      </c>
      <c r="H1036" s="12">
        <f t="shared" si="16"/>
        <v>2880</v>
      </c>
      <c r="I1036" s="10" t="s">
        <v>10</v>
      </c>
      <c r="J1036" s="13">
        <v>45492</v>
      </c>
    </row>
    <row r="1037" customFormat="1" spans="1:10">
      <c r="A1037" t="s">
        <v>319</v>
      </c>
      <c r="B1037" s="8">
        <v>242501050</v>
      </c>
      <c r="C1037" s="9">
        <v>45491</v>
      </c>
      <c r="D1037" s="8" t="s">
        <v>163</v>
      </c>
      <c r="E1037" s="10">
        <v>96000</v>
      </c>
      <c r="F1037" s="8">
        <v>0.0025</v>
      </c>
      <c r="G1037" s="11">
        <v>45540</v>
      </c>
      <c r="H1037" s="12">
        <f t="shared" si="16"/>
        <v>240</v>
      </c>
      <c r="I1037" s="10" t="s">
        <v>10</v>
      </c>
      <c r="J1037" s="13">
        <v>45492</v>
      </c>
    </row>
    <row r="1038" customFormat="1" spans="1:10">
      <c r="A1038" t="s">
        <v>319</v>
      </c>
      <c r="B1038" s="8">
        <v>242501050</v>
      </c>
      <c r="C1038" s="9">
        <v>45491</v>
      </c>
      <c r="D1038" s="8" t="s">
        <v>163</v>
      </c>
      <c r="E1038" s="10">
        <v>96000</v>
      </c>
      <c r="F1038" s="8">
        <v>0.0025</v>
      </c>
      <c r="G1038" s="11">
        <v>45557</v>
      </c>
      <c r="H1038" s="12">
        <f t="shared" si="16"/>
        <v>240</v>
      </c>
      <c r="I1038" s="10" t="s">
        <v>10</v>
      </c>
      <c r="J1038" s="13">
        <v>45492</v>
      </c>
    </row>
    <row r="1039" customFormat="1" spans="1:10">
      <c r="A1039" t="s">
        <v>319</v>
      </c>
      <c r="B1039" s="8">
        <v>242501051</v>
      </c>
      <c r="C1039" s="9">
        <v>45491</v>
      </c>
      <c r="D1039" s="8" t="s">
        <v>271</v>
      </c>
      <c r="E1039" s="10">
        <v>52000</v>
      </c>
      <c r="F1039" s="8">
        <v>0.024</v>
      </c>
      <c r="G1039" s="11">
        <v>45540</v>
      </c>
      <c r="H1039" s="12">
        <f t="shared" si="16"/>
        <v>1248</v>
      </c>
      <c r="I1039" s="10" t="s">
        <v>10</v>
      </c>
      <c r="J1039" s="13">
        <v>45492</v>
      </c>
    </row>
    <row r="1040" customFormat="1" spans="1:10">
      <c r="A1040" t="s">
        <v>319</v>
      </c>
      <c r="B1040" s="8">
        <v>242501051</v>
      </c>
      <c r="C1040" s="9">
        <v>45491</v>
      </c>
      <c r="D1040" s="8" t="s">
        <v>271</v>
      </c>
      <c r="E1040" s="10">
        <v>52000</v>
      </c>
      <c r="F1040" s="8">
        <v>0.024</v>
      </c>
      <c r="G1040" s="11">
        <v>45557</v>
      </c>
      <c r="H1040" s="12">
        <f t="shared" si="16"/>
        <v>1248</v>
      </c>
      <c r="I1040" s="10" t="s">
        <v>10</v>
      </c>
      <c r="J1040" s="13">
        <v>45492</v>
      </c>
    </row>
    <row r="1041" customFormat="1" spans="1:18">
      <c r="A1041" t="s">
        <v>319</v>
      </c>
      <c r="B1041" s="8">
        <v>242501051</v>
      </c>
      <c r="C1041" s="9">
        <v>45491</v>
      </c>
      <c r="D1041" s="8" t="s">
        <v>163</v>
      </c>
      <c r="E1041" s="10">
        <v>144000</v>
      </c>
      <c r="F1041" s="8">
        <v>0.0025</v>
      </c>
      <c r="G1041" s="11">
        <v>45540</v>
      </c>
      <c r="H1041" s="12">
        <f t="shared" si="16"/>
        <v>360</v>
      </c>
      <c r="I1041" s="10" t="s">
        <v>10</v>
      </c>
      <c r="J1041" s="13">
        <v>45492</v>
      </c>
    </row>
    <row r="1042" customFormat="1" spans="1:18">
      <c r="A1042" t="s">
        <v>319</v>
      </c>
      <c r="B1042" s="8">
        <v>242501051</v>
      </c>
      <c r="C1042" s="9">
        <v>45491</v>
      </c>
      <c r="D1042" s="8" t="s">
        <v>163</v>
      </c>
      <c r="E1042" s="10">
        <v>144000</v>
      </c>
      <c r="F1042" s="8">
        <v>0.0025</v>
      </c>
      <c r="G1042" s="11">
        <v>45557</v>
      </c>
      <c r="H1042" s="12">
        <f t="shared" si="16"/>
        <v>360</v>
      </c>
      <c r="I1042" s="10" t="s">
        <v>10</v>
      </c>
      <c r="J1042" s="13">
        <v>45492</v>
      </c>
    </row>
    <row r="1043" customFormat="1" spans="1:18">
      <c r="A1043" t="s">
        <v>319</v>
      </c>
      <c r="B1043" s="8">
        <v>242501051</v>
      </c>
      <c r="C1043" s="9">
        <v>45491</v>
      </c>
      <c r="D1043" s="8" t="s">
        <v>245</v>
      </c>
      <c r="E1043" s="10">
        <v>64000</v>
      </c>
      <c r="F1043" s="8">
        <v>0.006</v>
      </c>
      <c r="G1043" s="11">
        <v>45540</v>
      </c>
      <c r="H1043" s="12">
        <f t="shared" si="16"/>
        <v>384</v>
      </c>
      <c r="I1043" s="10" t="s">
        <v>10</v>
      </c>
      <c r="J1043" s="13">
        <v>45492</v>
      </c>
    </row>
    <row r="1044" customFormat="1" spans="1:18">
      <c r="A1044" t="s">
        <v>319</v>
      </c>
      <c r="B1044" s="8">
        <v>242501080</v>
      </c>
      <c r="C1044" s="9">
        <v>45492</v>
      </c>
      <c r="D1044" s="8" t="s">
        <v>202</v>
      </c>
      <c r="E1044" s="10">
        <v>30000</v>
      </c>
      <c r="F1044" s="8">
        <v>0.04</v>
      </c>
      <c r="G1044" s="11">
        <v>45495</v>
      </c>
      <c r="H1044" s="12">
        <f t="shared" si="16"/>
        <v>1200</v>
      </c>
      <c r="I1044" s="10" t="s">
        <v>10</v>
      </c>
      <c r="J1044" s="13">
        <v>45582</v>
      </c>
      <c r="K1044" t="s">
        <v>378</v>
      </c>
      <c r="R1044">
        <f>6317+5430</f>
        <v>11747</v>
      </c>
    </row>
    <row r="1045" customFormat="1" spans="1:18">
      <c r="A1045" t="s">
        <v>319</v>
      </c>
      <c r="B1045" s="8">
        <v>242501080</v>
      </c>
      <c r="C1045" s="9">
        <v>45492</v>
      </c>
      <c r="D1045" s="8" t="s">
        <v>202</v>
      </c>
      <c r="E1045" s="10">
        <v>30000</v>
      </c>
      <c r="F1045" s="8">
        <v>0.04</v>
      </c>
      <c r="G1045" s="11">
        <v>45557</v>
      </c>
      <c r="H1045" s="12">
        <f t="shared" si="16"/>
        <v>1200</v>
      </c>
      <c r="I1045" s="10" t="s">
        <v>10</v>
      </c>
      <c r="J1045" s="13">
        <v>45582</v>
      </c>
      <c r="K1045" t="s">
        <v>378</v>
      </c>
    </row>
    <row r="1046" customFormat="1" spans="1:18">
      <c r="A1046" t="s">
        <v>319</v>
      </c>
      <c r="B1046" s="8">
        <v>242501080</v>
      </c>
      <c r="C1046" s="9">
        <v>45492</v>
      </c>
      <c r="D1046" s="8" t="s">
        <v>202</v>
      </c>
      <c r="E1046" s="10">
        <v>30000</v>
      </c>
      <c r="F1046" s="8">
        <v>0.04</v>
      </c>
      <c r="G1046" s="11">
        <v>45587</v>
      </c>
      <c r="H1046" s="12">
        <f t="shared" si="16"/>
        <v>1200</v>
      </c>
      <c r="I1046" s="10" t="s">
        <v>10</v>
      </c>
      <c r="J1046" s="13">
        <v>45582</v>
      </c>
      <c r="K1046" t="s">
        <v>378</v>
      </c>
    </row>
    <row r="1047" customFormat="1" spans="1:18">
      <c r="A1047" t="s">
        <v>319</v>
      </c>
      <c r="B1047" s="8">
        <v>242501081</v>
      </c>
      <c r="C1047" s="9">
        <v>45492</v>
      </c>
      <c r="D1047" s="8" t="s">
        <v>406</v>
      </c>
      <c r="E1047" s="10">
        <v>50000</v>
      </c>
      <c r="F1047" s="8">
        <v>0.075</v>
      </c>
      <c r="G1047" s="11">
        <v>45526</v>
      </c>
      <c r="H1047" s="12">
        <f t="shared" si="16"/>
        <v>3750</v>
      </c>
      <c r="I1047" s="10" t="s">
        <v>10</v>
      </c>
      <c r="J1047" s="15" t="s">
        <v>407</v>
      </c>
    </row>
    <row r="1048" customFormat="1" spans="1:18">
      <c r="A1048" t="s">
        <v>319</v>
      </c>
      <c r="B1048" s="8">
        <v>242501081</v>
      </c>
      <c r="C1048" s="9">
        <v>45492</v>
      </c>
      <c r="D1048" s="8" t="s">
        <v>406</v>
      </c>
      <c r="E1048" s="10">
        <v>50000</v>
      </c>
      <c r="F1048" s="8">
        <v>0.075</v>
      </c>
      <c r="G1048" s="11">
        <v>45557</v>
      </c>
      <c r="H1048" s="12">
        <f t="shared" si="16"/>
        <v>3750</v>
      </c>
      <c r="I1048" s="10" t="s">
        <v>10</v>
      </c>
      <c r="J1048" s="15" t="s">
        <v>407</v>
      </c>
    </row>
    <row r="1049" customFormat="1" spans="1:18">
      <c r="A1049" t="s">
        <v>319</v>
      </c>
      <c r="B1049" s="8">
        <v>242501081</v>
      </c>
      <c r="C1049" s="9">
        <v>45492</v>
      </c>
      <c r="D1049" s="8" t="s">
        <v>406</v>
      </c>
      <c r="E1049" s="10">
        <v>50000</v>
      </c>
      <c r="F1049" s="8">
        <v>0.075</v>
      </c>
      <c r="G1049" s="11">
        <v>45618</v>
      </c>
      <c r="H1049" s="12">
        <f t="shared" si="16"/>
        <v>3750</v>
      </c>
      <c r="I1049" s="10" t="s">
        <v>10</v>
      </c>
      <c r="J1049" s="15" t="s">
        <v>407</v>
      </c>
    </row>
    <row r="1050" customFormat="1" spans="1:18">
      <c r="A1050" t="s">
        <v>319</v>
      </c>
      <c r="B1050" s="8">
        <v>242501081</v>
      </c>
      <c r="C1050" s="9">
        <v>45492</v>
      </c>
      <c r="D1050" s="8" t="s">
        <v>406</v>
      </c>
      <c r="E1050" s="10">
        <v>50000</v>
      </c>
      <c r="F1050" s="8">
        <v>0.075</v>
      </c>
      <c r="G1050" s="11">
        <v>45648</v>
      </c>
      <c r="H1050" s="12">
        <f t="shared" si="16"/>
        <v>3750</v>
      </c>
      <c r="I1050" s="10" t="s">
        <v>10</v>
      </c>
      <c r="J1050" s="15" t="s">
        <v>407</v>
      </c>
    </row>
    <row r="1051" customFormat="1" spans="1:18">
      <c r="A1051" t="s">
        <v>319</v>
      </c>
      <c r="B1051" s="8">
        <v>242501085</v>
      </c>
      <c r="C1051" s="9">
        <v>45492</v>
      </c>
      <c r="D1051" s="8" t="s">
        <v>56</v>
      </c>
      <c r="E1051" s="10">
        <v>20000</v>
      </c>
      <c r="F1051" s="8">
        <v>0.035</v>
      </c>
      <c r="G1051" s="11">
        <v>45570</v>
      </c>
      <c r="H1051" s="12">
        <f t="shared" si="16"/>
        <v>700</v>
      </c>
      <c r="I1051" s="10" t="s">
        <v>10</v>
      </c>
      <c r="J1051" s="13">
        <v>45519</v>
      </c>
    </row>
    <row r="1052" customFormat="1" spans="1:18">
      <c r="A1052" t="s">
        <v>319</v>
      </c>
      <c r="B1052" s="8">
        <v>242501085</v>
      </c>
      <c r="C1052" s="9">
        <v>45492</v>
      </c>
      <c r="D1052" s="8" t="s">
        <v>235</v>
      </c>
      <c r="E1052" s="10">
        <v>100000</v>
      </c>
      <c r="F1052" s="8">
        <v>0.04</v>
      </c>
      <c r="G1052" s="11">
        <v>45631</v>
      </c>
      <c r="H1052" s="12">
        <f t="shared" si="16"/>
        <v>4000</v>
      </c>
      <c r="I1052" s="10" t="s">
        <v>10</v>
      </c>
      <c r="J1052" s="13">
        <v>45519</v>
      </c>
    </row>
    <row r="1053" customFormat="1" spans="1:18">
      <c r="A1053" t="s">
        <v>319</v>
      </c>
      <c r="B1053" s="8">
        <v>242501085</v>
      </c>
      <c r="C1053" s="9">
        <v>45492</v>
      </c>
      <c r="D1053" s="8" t="s">
        <v>25</v>
      </c>
      <c r="E1053" s="10">
        <v>20000</v>
      </c>
      <c r="F1053" s="8">
        <v>0.016</v>
      </c>
      <c r="G1053" s="11">
        <v>45570</v>
      </c>
      <c r="H1053" s="12">
        <f t="shared" si="16"/>
        <v>320</v>
      </c>
      <c r="I1053" s="10" t="s">
        <v>10</v>
      </c>
      <c r="J1053" s="13">
        <v>45519</v>
      </c>
    </row>
    <row r="1054" customFormat="1" spans="1:18">
      <c r="A1054" t="s">
        <v>319</v>
      </c>
      <c r="B1054" s="8">
        <v>242501085</v>
      </c>
      <c r="C1054" s="9">
        <v>45492</v>
      </c>
      <c r="D1054" s="8" t="s">
        <v>240</v>
      </c>
      <c r="E1054" s="10">
        <v>100000</v>
      </c>
      <c r="F1054" s="8">
        <v>0.0278</v>
      </c>
      <c r="G1054" s="11">
        <v>45570</v>
      </c>
      <c r="H1054" s="12">
        <f t="shared" si="16"/>
        <v>2780</v>
      </c>
      <c r="I1054" s="10" t="s">
        <v>10</v>
      </c>
      <c r="J1054" s="13">
        <v>45519</v>
      </c>
    </row>
    <row r="1055" customFormat="1" spans="1:18">
      <c r="A1055" t="s">
        <v>319</v>
      </c>
      <c r="B1055" s="8">
        <v>242501085</v>
      </c>
      <c r="C1055" s="9">
        <v>45492</v>
      </c>
      <c r="D1055" s="8" t="s">
        <v>238</v>
      </c>
      <c r="E1055" s="10">
        <v>300000</v>
      </c>
      <c r="F1055" s="8">
        <v>0.0325</v>
      </c>
      <c r="G1055" s="11">
        <v>45296</v>
      </c>
      <c r="H1055" s="12">
        <f t="shared" si="16"/>
        <v>9750</v>
      </c>
      <c r="I1055" s="10" t="s">
        <v>10</v>
      </c>
      <c r="J1055" s="13">
        <v>45519</v>
      </c>
    </row>
    <row r="1056" customFormat="1" spans="1:18">
      <c r="A1056" t="s">
        <v>319</v>
      </c>
      <c r="B1056" s="8">
        <v>242501101</v>
      </c>
      <c r="C1056" s="9">
        <v>45497</v>
      </c>
      <c r="D1056" s="8" t="s">
        <v>163</v>
      </c>
      <c r="E1056" s="10">
        <v>400000</v>
      </c>
      <c r="F1056" s="8">
        <v>0.0025</v>
      </c>
      <c r="G1056" s="11">
        <v>45601</v>
      </c>
      <c r="H1056" s="12">
        <f t="shared" si="16"/>
        <v>1000</v>
      </c>
      <c r="I1056" s="10" t="s">
        <v>10</v>
      </c>
      <c r="J1056" s="13">
        <v>45519</v>
      </c>
    </row>
    <row r="1057" customFormat="1" spans="1:10">
      <c r="A1057" t="s">
        <v>319</v>
      </c>
      <c r="B1057" s="8">
        <v>242501101</v>
      </c>
      <c r="C1057" s="9">
        <v>45497</v>
      </c>
      <c r="D1057" s="8" t="s">
        <v>163</v>
      </c>
      <c r="E1057" s="10">
        <v>400000</v>
      </c>
      <c r="F1057" s="8">
        <v>0.0025</v>
      </c>
      <c r="G1057" s="11">
        <v>45631</v>
      </c>
      <c r="H1057" s="12">
        <f t="shared" si="16"/>
        <v>1000</v>
      </c>
      <c r="I1057" s="10" t="s">
        <v>10</v>
      </c>
      <c r="J1057" s="13">
        <v>45519</v>
      </c>
    </row>
    <row r="1058" customFormat="1" spans="1:10">
      <c r="A1058" t="s">
        <v>319</v>
      </c>
      <c r="B1058" s="8">
        <v>242501110</v>
      </c>
      <c r="C1058" s="9">
        <v>45497</v>
      </c>
      <c r="D1058" s="8" t="s">
        <v>163</v>
      </c>
      <c r="E1058" s="10">
        <v>96000</v>
      </c>
      <c r="F1058" s="8">
        <v>0.0025</v>
      </c>
      <c r="G1058" s="11">
        <v>45509</v>
      </c>
      <c r="H1058" s="12">
        <f t="shared" si="16"/>
        <v>240</v>
      </c>
      <c r="I1058" s="10" t="s">
        <v>10</v>
      </c>
      <c r="J1058" s="13">
        <v>45532</v>
      </c>
    </row>
    <row r="1059" customFormat="1" spans="1:10">
      <c r="A1059" t="s">
        <v>319</v>
      </c>
      <c r="B1059" s="8">
        <v>242501110</v>
      </c>
      <c r="C1059" s="9">
        <v>45497</v>
      </c>
      <c r="D1059" s="8" t="s">
        <v>163</v>
      </c>
      <c r="E1059" s="10">
        <v>96000</v>
      </c>
      <c r="F1059" s="8">
        <v>0.0025</v>
      </c>
      <c r="G1059" s="11">
        <v>45526</v>
      </c>
      <c r="H1059" s="12">
        <f t="shared" si="16"/>
        <v>240</v>
      </c>
      <c r="I1059" s="10" t="s">
        <v>10</v>
      </c>
      <c r="J1059" s="13">
        <v>45532</v>
      </c>
    </row>
    <row r="1060" customFormat="1" spans="1:10">
      <c r="A1060" t="s">
        <v>319</v>
      </c>
      <c r="B1060" s="8">
        <v>242501110</v>
      </c>
      <c r="C1060" s="9">
        <v>45497</v>
      </c>
      <c r="D1060" s="8" t="s">
        <v>163</v>
      </c>
      <c r="E1060" s="10">
        <v>96000</v>
      </c>
      <c r="F1060" s="8">
        <v>0.0025</v>
      </c>
      <c r="G1060" s="11">
        <v>45587</v>
      </c>
      <c r="H1060" s="12">
        <f t="shared" si="16"/>
        <v>240</v>
      </c>
      <c r="I1060" s="10" t="s">
        <v>10</v>
      </c>
      <c r="J1060" s="13">
        <v>45532</v>
      </c>
    </row>
    <row r="1061" customFormat="1" spans="1:10">
      <c r="A1061" t="s">
        <v>319</v>
      </c>
      <c r="B1061" s="8">
        <v>242501113</v>
      </c>
      <c r="C1061" s="9">
        <v>45498</v>
      </c>
      <c r="D1061" s="8" t="s">
        <v>236</v>
      </c>
      <c r="E1061" s="10">
        <v>64000</v>
      </c>
      <c r="F1061" s="8">
        <v>0.006</v>
      </c>
      <c r="G1061" s="11">
        <v>45540</v>
      </c>
      <c r="H1061" s="12">
        <f t="shared" si="16"/>
        <v>384</v>
      </c>
      <c r="I1061" s="10" t="s">
        <v>10</v>
      </c>
      <c r="J1061" s="13">
        <v>45519</v>
      </c>
    </row>
    <row r="1062" customFormat="1" spans="1:10">
      <c r="A1062" t="s">
        <v>319</v>
      </c>
      <c r="B1062" s="8">
        <v>242501113</v>
      </c>
      <c r="C1062" s="9">
        <v>45498</v>
      </c>
      <c r="D1062" s="8" t="s">
        <v>271</v>
      </c>
      <c r="E1062" s="10">
        <v>64000</v>
      </c>
      <c r="F1062" s="8">
        <v>0.024</v>
      </c>
      <c r="G1062" s="11">
        <v>45570</v>
      </c>
      <c r="H1062" s="12">
        <f t="shared" si="16"/>
        <v>1536</v>
      </c>
      <c r="I1062" s="10" t="s">
        <v>10</v>
      </c>
      <c r="J1062" s="13">
        <v>45519</v>
      </c>
    </row>
    <row r="1063" customFormat="1" spans="1:10">
      <c r="A1063" t="s">
        <v>319</v>
      </c>
      <c r="B1063" s="8">
        <v>242501113</v>
      </c>
      <c r="C1063" s="9">
        <v>45498</v>
      </c>
      <c r="D1063" s="8" t="s">
        <v>210</v>
      </c>
      <c r="E1063" s="10">
        <v>120000</v>
      </c>
      <c r="F1063" s="8">
        <v>0.024</v>
      </c>
      <c r="G1063" s="11">
        <v>45570</v>
      </c>
      <c r="H1063" s="12">
        <f t="shared" si="16"/>
        <v>2880</v>
      </c>
      <c r="I1063" s="10" t="s">
        <v>10</v>
      </c>
      <c r="J1063" s="13">
        <v>45519</v>
      </c>
    </row>
    <row r="1064" customFormat="1" spans="1:10">
      <c r="A1064" t="s">
        <v>319</v>
      </c>
      <c r="B1064" s="8">
        <v>242501113</v>
      </c>
      <c r="C1064" s="9">
        <v>45498</v>
      </c>
      <c r="D1064" s="8" t="s">
        <v>210</v>
      </c>
      <c r="E1064" s="10">
        <v>120000</v>
      </c>
      <c r="F1064" s="8">
        <v>0.024</v>
      </c>
      <c r="G1064" s="11">
        <v>45570</v>
      </c>
      <c r="H1064" s="12">
        <f t="shared" si="16"/>
        <v>2880</v>
      </c>
      <c r="I1064" s="10" t="s">
        <v>10</v>
      </c>
      <c r="J1064" s="13">
        <v>45519</v>
      </c>
    </row>
    <row r="1065" customFormat="1" spans="1:10">
      <c r="A1065" t="s">
        <v>319</v>
      </c>
      <c r="B1065" s="8">
        <v>242501113</v>
      </c>
      <c r="C1065" s="9">
        <v>45498</v>
      </c>
      <c r="D1065" s="8" t="s">
        <v>210</v>
      </c>
      <c r="E1065" s="10">
        <v>120000</v>
      </c>
      <c r="F1065" s="8">
        <v>0.024</v>
      </c>
      <c r="G1065" s="11">
        <v>45601</v>
      </c>
      <c r="H1065" s="12">
        <f t="shared" si="16"/>
        <v>2880</v>
      </c>
      <c r="I1065" s="10" t="s">
        <v>10</v>
      </c>
      <c r="J1065" s="13">
        <v>45519</v>
      </c>
    </row>
    <row r="1066" customFormat="1" spans="1:10">
      <c r="A1066" t="s">
        <v>319</v>
      </c>
      <c r="B1066" s="8">
        <v>242501113</v>
      </c>
      <c r="C1066" s="9">
        <v>45498</v>
      </c>
      <c r="D1066" s="8" t="s">
        <v>210</v>
      </c>
      <c r="E1066" s="10">
        <v>120000</v>
      </c>
      <c r="F1066" s="8">
        <v>0.024</v>
      </c>
      <c r="G1066" s="11">
        <v>45601</v>
      </c>
      <c r="H1066" s="12">
        <f t="shared" si="16"/>
        <v>2880</v>
      </c>
      <c r="I1066" s="10" t="s">
        <v>10</v>
      </c>
      <c r="J1066" s="13">
        <v>45519</v>
      </c>
    </row>
    <row r="1067" customFormat="1" spans="1:10">
      <c r="A1067" t="s">
        <v>319</v>
      </c>
      <c r="B1067" s="8">
        <v>242501113</v>
      </c>
      <c r="C1067" s="9">
        <v>45498</v>
      </c>
      <c r="D1067" s="8" t="s">
        <v>163</v>
      </c>
      <c r="E1067" s="10">
        <v>96000</v>
      </c>
      <c r="F1067" s="8">
        <v>0.0025</v>
      </c>
      <c r="G1067" s="11">
        <v>45509</v>
      </c>
      <c r="H1067" s="12">
        <f t="shared" si="16"/>
        <v>240</v>
      </c>
      <c r="I1067" s="10" t="s">
        <v>10</v>
      </c>
      <c r="J1067" s="13">
        <v>45519</v>
      </c>
    </row>
    <row r="1068" customFormat="1" spans="1:10">
      <c r="A1068" t="s">
        <v>319</v>
      </c>
      <c r="B1068" s="8">
        <v>242501113</v>
      </c>
      <c r="C1068" s="9">
        <v>45498</v>
      </c>
      <c r="D1068" s="8" t="s">
        <v>163</v>
      </c>
      <c r="E1068" s="10">
        <v>96000</v>
      </c>
      <c r="F1068" s="8">
        <v>0.0025</v>
      </c>
      <c r="G1068" s="11">
        <v>45509</v>
      </c>
      <c r="H1068" s="12">
        <f t="shared" si="16"/>
        <v>240</v>
      </c>
      <c r="I1068" s="10" t="s">
        <v>10</v>
      </c>
      <c r="J1068" s="13">
        <v>45519</v>
      </c>
    </row>
    <row r="1069" customFormat="1" spans="1:10">
      <c r="A1069" t="s">
        <v>319</v>
      </c>
      <c r="B1069" s="8">
        <v>242501114</v>
      </c>
      <c r="C1069" s="9">
        <v>45498</v>
      </c>
      <c r="D1069" s="8" t="s">
        <v>211</v>
      </c>
      <c r="E1069" s="10">
        <v>208000</v>
      </c>
      <c r="F1069" s="10">
        <v>0.022</v>
      </c>
      <c r="G1069" s="11">
        <v>45601</v>
      </c>
      <c r="H1069" s="12">
        <f t="shared" si="16"/>
        <v>4576</v>
      </c>
      <c r="I1069" s="10" t="s">
        <v>10</v>
      </c>
      <c r="J1069" s="13">
        <v>45519</v>
      </c>
    </row>
    <row r="1070" customFormat="1" spans="1:10">
      <c r="A1070" t="s">
        <v>319</v>
      </c>
      <c r="B1070" s="8">
        <v>242501115</v>
      </c>
      <c r="C1070" s="9">
        <v>45498</v>
      </c>
      <c r="D1070" s="8" t="s">
        <v>200</v>
      </c>
      <c r="E1070" s="10">
        <v>204000</v>
      </c>
      <c r="F1070" s="8">
        <v>0.05</v>
      </c>
      <c r="G1070" s="11">
        <v>45570</v>
      </c>
      <c r="H1070" s="12">
        <f t="shared" si="16"/>
        <v>10200</v>
      </c>
      <c r="I1070" s="10" t="s">
        <v>10</v>
      </c>
      <c r="J1070" s="13">
        <v>45519</v>
      </c>
    </row>
    <row r="1071" customFormat="1" spans="1:10">
      <c r="A1071" t="s">
        <v>319</v>
      </c>
      <c r="B1071" s="8">
        <v>242501115</v>
      </c>
      <c r="C1071" s="9">
        <v>45498</v>
      </c>
      <c r="D1071" s="8" t="s">
        <v>200</v>
      </c>
      <c r="E1071" s="10">
        <v>204000</v>
      </c>
      <c r="F1071" s="8">
        <v>0.05</v>
      </c>
      <c r="G1071" s="11">
        <v>45601</v>
      </c>
      <c r="H1071" s="12">
        <f t="shared" si="16"/>
        <v>10200</v>
      </c>
      <c r="I1071" s="10" t="s">
        <v>10</v>
      </c>
      <c r="J1071" s="13">
        <v>45519</v>
      </c>
    </row>
    <row r="1072" customFormat="1" spans="1:10">
      <c r="A1072" t="s">
        <v>319</v>
      </c>
      <c r="B1072" s="8">
        <v>242501115</v>
      </c>
      <c r="C1072" s="9">
        <v>45498</v>
      </c>
      <c r="D1072" s="8" t="s">
        <v>210</v>
      </c>
      <c r="E1072" s="10">
        <v>120000</v>
      </c>
      <c r="F1072" s="8">
        <v>0.024</v>
      </c>
      <c r="G1072" s="11">
        <v>45601</v>
      </c>
      <c r="H1072" s="12">
        <f t="shared" si="16"/>
        <v>2880</v>
      </c>
      <c r="I1072" s="10" t="s">
        <v>10</v>
      </c>
      <c r="J1072" s="13">
        <v>45519</v>
      </c>
    </row>
    <row r="1073" customFormat="1" spans="1:11">
      <c r="A1073" t="s">
        <v>319</v>
      </c>
      <c r="B1073" s="8">
        <v>242501115</v>
      </c>
      <c r="C1073" s="9">
        <v>45498</v>
      </c>
      <c r="D1073" s="8" t="s">
        <v>210</v>
      </c>
      <c r="E1073" s="10">
        <v>120000</v>
      </c>
      <c r="F1073" s="8">
        <v>0.024</v>
      </c>
      <c r="G1073" s="11">
        <v>45601</v>
      </c>
      <c r="H1073" s="12">
        <f t="shared" si="16"/>
        <v>2880</v>
      </c>
      <c r="I1073" s="10" t="s">
        <v>10</v>
      </c>
      <c r="J1073" s="13">
        <v>45519</v>
      </c>
    </row>
    <row r="1074" customFormat="1" spans="1:11">
      <c r="A1074" t="s">
        <v>319</v>
      </c>
      <c r="B1074" s="8">
        <v>242501115</v>
      </c>
      <c r="C1074" s="9">
        <v>45498</v>
      </c>
      <c r="D1074" s="8" t="s">
        <v>210</v>
      </c>
      <c r="E1074" s="10">
        <v>120000</v>
      </c>
      <c r="F1074" s="8">
        <v>0.024</v>
      </c>
      <c r="G1074" s="11">
        <v>45601</v>
      </c>
      <c r="H1074" s="12">
        <f t="shared" si="16"/>
        <v>2880</v>
      </c>
      <c r="I1074" s="10" t="s">
        <v>10</v>
      </c>
      <c r="J1074" s="13">
        <v>45519</v>
      </c>
    </row>
    <row r="1075" customFormat="1" spans="1:11">
      <c r="A1075" t="s">
        <v>319</v>
      </c>
      <c r="B1075" s="8">
        <v>242501115</v>
      </c>
      <c r="C1075" s="9">
        <v>45498</v>
      </c>
      <c r="D1075" s="8" t="s">
        <v>210</v>
      </c>
      <c r="E1075" s="10">
        <v>120000</v>
      </c>
      <c r="F1075" s="8">
        <v>0.024</v>
      </c>
      <c r="G1075" s="11">
        <v>45601</v>
      </c>
      <c r="H1075" s="12">
        <f t="shared" si="16"/>
        <v>2880</v>
      </c>
      <c r="I1075" s="10" t="s">
        <v>10</v>
      </c>
      <c r="J1075" s="13">
        <v>45519</v>
      </c>
    </row>
    <row r="1076" customFormat="1" spans="1:11">
      <c r="A1076" t="s">
        <v>319</v>
      </c>
      <c r="B1076" s="8">
        <v>242501115</v>
      </c>
      <c r="C1076" s="9">
        <v>45498</v>
      </c>
      <c r="D1076" s="8" t="s">
        <v>307</v>
      </c>
      <c r="E1076" s="10">
        <v>144000</v>
      </c>
      <c r="F1076" s="8">
        <v>0.0055</v>
      </c>
      <c r="G1076" s="11">
        <v>45509</v>
      </c>
      <c r="H1076" s="12">
        <f t="shared" si="16"/>
        <v>792</v>
      </c>
      <c r="I1076" s="10" t="s">
        <v>10</v>
      </c>
      <c r="J1076" s="13">
        <v>45519</v>
      </c>
    </row>
    <row r="1077" customFormat="1" spans="1:11">
      <c r="A1077" t="s">
        <v>319</v>
      </c>
      <c r="B1077" s="8">
        <v>242501115</v>
      </c>
      <c r="C1077" s="9">
        <v>45498</v>
      </c>
      <c r="D1077" s="8" t="s">
        <v>163</v>
      </c>
      <c r="E1077" s="10">
        <v>96000</v>
      </c>
      <c r="F1077" s="8">
        <v>0.0025</v>
      </c>
      <c r="G1077" s="11">
        <v>45570</v>
      </c>
      <c r="H1077" s="12">
        <f t="shared" si="16"/>
        <v>240</v>
      </c>
      <c r="I1077" s="10" t="s">
        <v>10</v>
      </c>
      <c r="J1077" s="13">
        <v>45519</v>
      </c>
    </row>
    <row r="1078" customFormat="1" spans="1:11">
      <c r="A1078" t="s">
        <v>319</v>
      </c>
      <c r="B1078" s="8">
        <v>242501115</v>
      </c>
      <c r="C1078" s="9">
        <v>45498</v>
      </c>
      <c r="D1078" s="8" t="s">
        <v>163</v>
      </c>
      <c r="E1078" s="10">
        <v>96000</v>
      </c>
      <c r="F1078" s="8">
        <v>0.0025</v>
      </c>
      <c r="G1078" s="11">
        <v>45570</v>
      </c>
      <c r="H1078" s="12">
        <f t="shared" si="16"/>
        <v>240</v>
      </c>
      <c r="I1078" s="10" t="s">
        <v>10</v>
      </c>
      <c r="J1078" s="13">
        <v>45519</v>
      </c>
    </row>
    <row r="1079" customFormat="1" spans="1:11">
      <c r="A1079" t="s">
        <v>319</v>
      </c>
      <c r="B1079" s="8">
        <v>242501125</v>
      </c>
      <c r="C1079" s="9">
        <v>45499</v>
      </c>
      <c r="D1079" s="8" t="s">
        <v>270</v>
      </c>
      <c r="E1079" s="10">
        <v>200000</v>
      </c>
      <c r="F1079" s="8">
        <v>0.0238</v>
      </c>
      <c r="G1079" s="11">
        <v>45499</v>
      </c>
      <c r="H1079" s="12">
        <f t="shared" si="16"/>
        <v>4760</v>
      </c>
      <c r="I1079" s="10" t="s">
        <v>10</v>
      </c>
      <c r="J1079" s="13">
        <v>45516</v>
      </c>
    </row>
    <row r="1080" customFormat="1" spans="1:11">
      <c r="A1080" t="s">
        <v>319</v>
      </c>
      <c r="B1080" s="8">
        <v>242501135</v>
      </c>
      <c r="C1080" s="9">
        <v>45502</v>
      </c>
      <c r="D1080" s="50" t="s">
        <v>408</v>
      </c>
      <c r="E1080" s="10">
        <v>60000</v>
      </c>
      <c r="F1080" s="8">
        <v>0.0525</v>
      </c>
      <c r="G1080" s="11">
        <v>45509</v>
      </c>
      <c r="H1080" s="12">
        <f t="shared" si="16"/>
        <v>3150</v>
      </c>
      <c r="I1080" s="10" t="s">
        <v>10</v>
      </c>
      <c r="J1080" s="13">
        <v>45516</v>
      </c>
    </row>
    <row r="1081" customFormat="1" spans="1:11">
      <c r="A1081" t="s">
        <v>319</v>
      </c>
      <c r="B1081" s="8">
        <v>242501135</v>
      </c>
      <c r="C1081" s="9">
        <v>45502</v>
      </c>
      <c r="D1081" s="50" t="s">
        <v>408</v>
      </c>
      <c r="E1081" s="10">
        <v>24000</v>
      </c>
      <c r="F1081" s="8">
        <v>0.0525</v>
      </c>
      <c r="G1081" s="11">
        <v>45557</v>
      </c>
      <c r="H1081" s="12">
        <f t="shared" si="16"/>
        <v>1260</v>
      </c>
      <c r="I1081" s="10" t="s">
        <v>10</v>
      </c>
      <c r="J1081" s="13">
        <v>45516</v>
      </c>
    </row>
    <row r="1082" customFormat="1" spans="1:11">
      <c r="A1082" t="s">
        <v>319</v>
      </c>
      <c r="B1082" s="8">
        <v>242501135</v>
      </c>
      <c r="C1082" s="9">
        <v>45502</v>
      </c>
      <c r="D1082" s="50" t="s">
        <v>408</v>
      </c>
      <c r="E1082" s="10">
        <v>24000</v>
      </c>
      <c r="F1082" s="8">
        <v>0.0525</v>
      </c>
      <c r="G1082" s="11">
        <v>45587</v>
      </c>
      <c r="H1082" s="12">
        <f t="shared" si="16"/>
        <v>1260</v>
      </c>
      <c r="I1082" s="10" t="s">
        <v>10</v>
      </c>
      <c r="J1082" s="13">
        <v>45516</v>
      </c>
    </row>
    <row r="1083" customFormat="1" spans="1:11">
      <c r="A1083" t="s">
        <v>319</v>
      </c>
      <c r="B1083" s="8">
        <v>242501135</v>
      </c>
      <c r="C1083" s="9">
        <v>45502</v>
      </c>
      <c r="D1083" s="50" t="s">
        <v>408</v>
      </c>
      <c r="E1083" s="10">
        <v>20000</v>
      </c>
      <c r="F1083" s="8">
        <v>0.0525</v>
      </c>
      <c r="G1083" s="11">
        <v>45601</v>
      </c>
      <c r="H1083" s="12">
        <f t="shared" si="16"/>
        <v>1050</v>
      </c>
      <c r="I1083" s="10" t="s">
        <v>10</v>
      </c>
      <c r="J1083" s="13">
        <v>45516</v>
      </c>
    </row>
    <row r="1084" customFormat="1" spans="1:11">
      <c r="A1084" t="s">
        <v>319</v>
      </c>
      <c r="B1084" s="8">
        <v>242501155</v>
      </c>
      <c r="C1084" s="9">
        <v>45505</v>
      </c>
      <c r="D1084" s="8" t="s">
        <v>215</v>
      </c>
      <c r="E1084" s="10">
        <v>70000</v>
      </c>
      <c r="F1084" s="8">
        <v>0.027</v>
      </c>
      <c r="G1084" s="11">
        <v>45526</v>
      </c>
      <c r="H1084" s="12">
        <f t="shared" si="16"/>
        <v>1890</v>
      </c>
      <c r="I1084" s="10" t="s">
        <v>10</v>
      </c>
      <c r="J1084" s="13">
        <v>45561</v>
      </c>
      <c r="K1084" t="s">
        <v>378</v>
      </c>
    </row>
    <row r="1085" customFormat="1" spans="1:11">
      <c r="A1085" t="s">
        <v>319</v>
      </c>
      <c r="B1085" s="8">
        <v>242501176</v>
      </c>
      <c r="C1085" s="9">
        <v>45510</v>
      </c>
      <c r="D1085" s="8" t="s">
        <v>343</v>
      </c>
      <c r="E1085" s="10">
        <v>300000</v>
      </c>
      <c r="F1085" s="8">
        <v>0.0156</v>
      </c>
      <c r="G1085" s="11">
        <v>45540</v>
      </c>
      <c r="H1085" s="12">
        <f t="shared" si="16"/>
        <v>4680</v>
      </c>
      <c r="I1085" s="10" t="s">
        <v>10</v>
      </c>
      <c r="J1085" s="15" t="s">
        <v>409</v>
      </c>
    </row>
    <row r="1086" customFormat="1" spans="1:11">
      <c r="A1086" t="s">
        <v>319</v>
      </c>
      <c r="B1086" s="8">
        <v>242501176</v>
      </c>
      <c r="C1086" s="9">
        <v>45510</v>
      </c>
      <c r="D1086" s="8" t="s">
        <v>343</v>
      </c>
      <c r="E1086" s="10">
        <v>300000</v>
      </c>
      <c r="F1086" s="8">
        <v>0.0156</v>
      </c>
      <c r="G1086" s="11">
        <v>45570</v>
      </c>
      <c r="H1086" s="12">
        <f t="shared" si="16"/>
        <v>4680</v>
      </c>
      <c r="I1086" s="10" t="s">
        <v>10</v>
      </c>
      <c r="J1086" s="15" t="s">
        <v>409</v>
      </c>
    </row>
    <row r="1087" customFormat="1" spans="1:11">
      <c r="A1087" t="s">
        <v>319</v>
      </c>
      <c r="B1087" s="8">
        <v>242501176</v>
      </c>
      <c r="C1087" s="9">
        <v>45510</v>
      </c>
      <c r="D1087" s="8" t="s">
        <v>343</v>
      </c>
      <c r="E1087" s="10">
        <v>300000</v>
      </c>
      <c r="F1087" s="8">
        <v>0.0156</v>
      </c>
      <c r="G1087" s="11">
        <v>45631</v>
      </c>
      <c r="H1087" s="12">
        <f t="shared" si="16"/>
        <v>4680</v>
      </c>
      <c r="I1087" s="10" t="s">
        <v>10</v>
      </c>
      <c r="J1087" s="15" t="s">
        <v>409</v>
      </c>
    </row>
    <row r="1088" customFormat="1" spans="1:11">
      <c r="A1088" t="s">
        <v>319</v>
      </c>
      <c r="B1088" s="8">
        <v>242501176</v>
      </c>
      <c r="C1088" s="9">
        <v>45510</v>
      </c>
      <c r="D1088" s="8" t="s">
        <v>343</v>
      </c>
      <c r="E1088" s="10">
        <v>300000</v>
      </c>
      <c r="F1088" s="8">
        <v>0.0156</v>
      </c>
      <c r="G1088" s="11">
        <v>45662</v>
      </c>
      <c r="H1088" s="12">
        <f t="shared" si="16"/>
        <v>4680</v>
      </c>
      <c r="I1088" s="10" t="s">
        <v>10</v>
      </c>
      <c r="J1088" s="15" t="s">
        <v>409</v>
      </c>
    </row>
    <row r="1089" customFormat="1" spans="1:11">
      <c r="A1089" t="s">
        <v>319</v>
      </c>
      <c r="B1089" s="8">
        <v>242501176</v>
      </c>
      <c r="C1089" s="9">
        <v>45510</v>
      </c>
      <c r="D1089" s="8" t="s">
        <v>343</v>
      </c>
      <c r="E1089" s="10">
        <v>300000</v>
      </c>
      <c r="F1089" s="8">
        <v>0.0156</v>
      </c>
      <c r="G1089" s="11">
        <v>45721</v>
      </c>
      <c r="H1089" s="12">
        <f t="shared" si="16"/>
        <v>4680</v>
      </c>
      <c r="I1089" s="10" t="s">
        <v>10</v>
      </c>
      <c r="J1089" s="15" t="s">
        <v>409</v>
      </c>
    </row>
    <row r="1090" customFormat="1" spans="1:11">
      <c r="A1090" t="s">
        <v>319</v>
      </c>
      <c r="B1090" s="8">
        <v>242501182</v>
      </c>
      <c r="C1090" s="9">
        <v>45511</v>
      </c>
      <c r="D1090" s="8" t="s">
        <v>215</v>
      </c>
      <c r="E1090" s="10">
        <v>100000</v>
      </c>
      <c r="F1090" s="8">
        <v>0.027</v>
      </c>
      <c r="G1090" s="11">
        <v>45631</v>
      </c>
      <c r="H1090" s="12">
        <f t="shared" ref="H1090:H1153" si="17">E1090*F1090</f>
        <v>2700</v>
      </c>
      <c r="I1090" s="10" t="s">
        <v>10</v>
      </c>
      <c r="J1090" s="13">
        <v>45561</v>
      </c>
      <c r="K1090" t="s">
        <v>382</v>
      </c>
    </row>
    <row r="1091" customFormat="1" spans="1:11">
      <c r="A1091" t="s">
        <v>319</v>
      </c>
      <c r="B1091" s="8">
        <v>242501187</v>
      </c>
      <c r="C1091" s="9">
        <v>45511</v>
      </c>
      <c r="D1091" s="8" t="s">
        <v>239</v>
      </c>
      <c r="E1091" s="10">
        <v>40000</v>
      </c>
      <c r="F1091" s="8">
        <v>0.0278</v>
      </c>
      <c r="G1091" s="11">
        <v>45526</v>
      </c>
      <c r="H1091" s="12">
        <f t="shared" si="17"/>
        <v>1112</v>
      </c>
      <c r="I1091" s="10" t="s">
        <v>10</v>
      </c>
      <c r="J1091" s="13">
        <v>45519</v>
      </c>
    </row>
    <row r="1092" customFormat="1" spans="1:11">
      <c r="A1092" t="s">
        <v>319</v>
      </c>
      <c r="B1092" s="8">
        <v>242501187</v>
      </c>
      <c r="C1092" s="9">
        <v>45511</v>
      </c>
      <c r="D1092" s="8" t="s">
        <v>239</v>
      </c>
      <c r="E1092" s="10">
        <v>40000</v>
      </c>
      <c r="F1092" s="8">
        <v>0.0278</v>
      </c>
      <c r="G1092" s="11">
        <v>45557</v>
      </c>
      <c r="H1092" s="12">
        <f t="shared" si="17"/>
        <v>1112</v>
      </c>
      <c r="I1092" s="10" t="s">
        <v>10</v>
      </c>
      <c r="J1092" s="13">
        <v>45519</v>
      </c>
    </row>
    <row r="1093" customFormat="1" spans="1:11">
      <c r="A1093" t="s">
        <v>319</v>
      </c>
      <c r="B1093" s="8">
        <v>242501195</v>
      </c>
      <c r="C1093" s="9">
        <v>45512</v>
      </c>
      <c r="D1093" s="8" t="s">
        <v>264</v>
      </c>
      <c r="E1093" s="10">
        <v>30000</v>
      </c>
      <c r="F1093" s="8">
        <v>0.03</v>
      </c>
      <c r="G1093" s="11">
        <v>45526</v>
      </c>
      <c r="H1093" s="12">
        <f t="shared" si="17"/>
        <v>900</v>
      </c>
      <c r="I1093" s="10" t="s">
        <v>10</v>
      </c>
      <c r="J1093" s="13">
        <v>45519</v>
      </c>
    </row>
    <row r="1094" customFormat="1" spans="1:11">
      <c r="A1094" t="s">
        <v>319</v>
      </c>
      <c r="B1094" s="8">
        <v>242501195</v>
      </c>
      <c r="C1094" s="9">
        <v>45512</v>
      </c>
      <c r="D1094" s="8" t="s">
        <v>264</v>
      </c>
      <c r="E1094" s="10">
        <v>30000</v>
      </c>
      <c r="F1094" s="8">
        <v>0.03</v>
      </c>
      <c r="G1094" s="11">
        <v>45557</v>
      </c>
      <c r="H1094" s="12">
        <f t="shared" si="17"/>
        <v>900</v>
      </c>
      <c r="I1094" s="10" t="s">
        <v>10</v>
      </c>
      <c r="J1094" s="13">
        <v>45519</v>
      </c>
    </row>
    <row r="1095" customFormat="1" spans="1:11">
      <c r="A1095" t="s">
        <v>319</v>
      </c>
      <c r="B1095" s="8">
        <v>242501196</v>
      </c>
      <c r="C1095" s="9">
        <v>45512</v>
      </c>
      <c r="D1095" s="8" t="s">
        <v>315</v>
      </c>
      <c r="E1095" s="10">
        <v>20000</v>
      </c>
      <c r="F1095" s="8">
        <v>0.058</v>
      </c>
      <c r="G1095" s="11">
        <v>45540</v>
      </c>
      <c r="H1095" s="12">
        <f t="shared" si="17"/>
        <v>1160</v>
      </c>
      <c r="I1095" s="10" t="s">
        <v>10</v>
      </c>
      <c r="J1095" s="13">
        <v>45519</v>
      </c>
    </row>
    <row r="1096" customFormat="1" spans="1:11">
      <c r="A1096" t="s">
        <v>319</v>
      </c>
      <c r="B1096" s="8">
        <v>242501213</v>
      </c>
      <c r="C1096" s="9">
        <v>45516</v>
      </c>
      <c r="D1096" s="8" t="s">
        <v>257</v>
      </c>
      <c r="E1096" s="10">
        <v>52000</v>
      </c>
      <c r="F1096" s="8">
        <v>0.01</v>
      </c>
      <c r="G1096" s="11">
        <v>45557</v>
      </c>
      <c r="H1096" s="12">
        <f t="shared" si="17"/>
        <v>520</v>
      </c>
      <c r="I1096" s="10" t="s">
        <v>10</v>
      </c>
      <c r="J1096" s="13">
        <v>45532</v>
      </c>
    </row>
    <row r="1097" customFormat="1" spans="1:11">
      <c r="A1097" t="s">
        <v>319</v>
      </c>
      <c r="B1097" s="8">
        <v>242501213</v>
      </c>
      <c r="C1097" s="9">
        <v>45516</v>
      </c>
      <c r="D1097" s="8" t="s">
        <v>210</v>
      </c>
      <c r="E1097" s="10">
        <v>120000</v>
      </c>
      <c r="F1097" s="8">
        <v>0.024</v>
      </c>
      <c r="G1097" s="11">
        <v>45526</v>
      </c>
      <c r="H1097" s="12">
        <f t="shared" si="17"/>
        <v>2880</v>
      </c>
      <c r="I1097" s="10" t="s">
        <v>10</v>
      </c>
      <c r="J1097" s="13">
        <v>45532</v>
      </c>
    </row>
    <row r="1098" customFormat="1" spans="1:11">
      <c r="A1098" t="s">
        <v>319</v>
      </c>
      <c r="B1098" s="8">
        <v>242501213</v>
      </c>
      <c r="C1098" s="9">
        <v>45516</v>
      </c>
      <c r="D1098" s="8" t="s">
        <v>210</v>
      </c>
      <c r="E1098" s="10">
        <v>120000</v>
      </c>
      <c r="F1098" s="8">
        <v>0.024</v>
      </c>
      <c r="G1098" s="11">
        <v>45540</v>
      </c>
      <c r="H1098" s="12">
        <f t="shared" si="17"/>
        <v>2880</v>
      </c>
      <c r="I1098" s="10" t="s">
        <v>10</v>
      </c>
      <c r="J1098" s="13">
        <v>45532</v>
      </c>
    </row>
    <row r="1099" customFormat="1" spans="1:11">
      <c r="A1099" t="s">
        <v>319</v>
      </c>
      <c r="B1099" s="8">
        <v>242501213</v>
      </c>
      <c r="C1099" s="9">
        <v>45516</v>
      </c>
      <c r="D1099" s="8" t="s">
        <v>210</v>
      </c>
      <c r="E1099" s="10">
        <v>120000</v>
      </c>
      <c r="F1099" s="8">
        <v>0.024</v>
      </c>
      <c r="G1099" s="11">
        <v>45557</v>
      </c>
      <c r="H1099" s="12">
        <f t="shared" si="17"/>
        <v>2880</v>
      </c>
      <c r="I1099" s="10" t="s">
        <v>10</v>
      </c>
      <c r="J1099" s="13">
        <v>45532</v>
      </c>
    </row>
    <row r="1100" customFormat="1" spans="1:11">
      <c r="A1100" t="s">
        <v>319</v>
      </c>
      <c r="B1100" s="8">
        <v>242501215</v>
      </c>
      <c r="C1100" s="9">
        <v>45516</v>
      </c>
      <c r="D1100" s="8" t="s">
        <v>236</v>
      </c>
      <c r="E1100" s="10">
        <v>64000</v>
      </c>
      <c r="F1100" s="8">
        <v>0.006</v>
      </c>
      <c r="G1100" s="11">
        <v>45540</v>
      </c>
      <c r="H1100" s="12">
        <f t="shared" si="17"/>
        <v>384</v>
      </c>
      <c r="I1100" s="10" t="s">
        <v>10</v>
      </c>
      <c r="J1100" s="13">
        <v>45532</v>
      </c>
    </row>
    <row r="1101" customFormat="1" spans="1:11">
      <c r="A1101" t="s">
        <v>319</v>
      </c>
      <c r="B1101" s="8">
        <v>242501215</v>
      </c>
      <c r="C1101" s="9">
        <v>45516</v>
      </c>
      <c r="D1101" s="8" t="s">
        <v>236</v>
      </c>
      <c r="E1101" s="10">
        <v>64000</v>
      </c>
      <c r="F1101" s="8">
        <v>0.006</v>
      </c>
      <c r="G1101" s="11">
        <v>45557</v>
      </c>
      <c r="H1101" s="12">
        <f t="shared" si="17"/>
        <v>384</v>
      </c>
      <c r="I1101" s="10" t="s">
        <v>10</v>
      </c>
      <c r="J1101" s="13">
        <v>45532</v>
      </c>
    </row>
    <row r="1102" customFormat="1" spans="1:11">
      <c r="A1102" t="s">
        <v>319</v>
      </c>
      <c r="B1102" s="8">
        <v>242501215</v>
      </c>
      <c r="C1102" s="9">
        <v>45516</v>
      </c>
      <c r="D1102" s="8" t="s">
        <v>243</v>
      </c>
      <c r="E1102" s="10">
        <v>52000</v>
      </c>
      <c r="F1102" s="8">
        <v>0.022</v>
      </c>
      <c r="G1102" s="11">
        <v>45540</v>
      </c>
      <c r="H1102" s="12">
        <f t="shared" si="17"/>
        <v>1144</v>
      </c>
      <c r="I1102" s="10" t="s">
        <v>10</v>
      </c>
      <c r="J1102" s="13">
        <v>45532</v>
      </c>
    </row>
    <row r="1103" customFormat="1" spans="1:11">
      <c r="A1103" t="s">
        <v>319</v>
      </c>
      <c r="B1103" s="8">
        <v>242501215</v>
      </c>
      <c r="C1103" s="9">
        <v>45516</v>
      </c>
      <c r="D1103" s="8" t="s">
        <v>243</v>
      </c>
      <c r="E1103" s="10">
        <v>52000</v>
      </c>
      <c r="F1103" s="8">
        <v>0.022</v>
      </c>
      <c r="G1103" s="11">
        <v>45557</v>
      </c>
      <c r="H1103" s="12">
        <f t="shared" si="17"/>
        <v>1144</v>
      </c>
      <c r="I1103" s="10" t="s">
        <v>10</v>
      </c>
      <c r="J1103" s="13">
        <v>45532</v>
      </c>
    </row>
    <row r="1104" customFormat="1" spans="1:11">
      <c r="A1104" t="s">
        <v>319</v>
      </c>
      <c r="B1104" s="8">
        <v>242501215</v>
      </c>
      <c r="C1104" s="9">
        <v>45516</v>
      </c>
      <c r="D1104" s="8" t="s">
        <v>257</v>
      </c>
      <c r="E1104" s="10">
        <v>52000</v>
      </c>
      <c r="F1104" s="8">
        <v>0.01</v>
      </c>
      <c r="G1104" s="11">
        <v>45540</v>
      </c>
      <c r="H1104" s="12">
        <f t="shared" si="17"/>
        <v>520</v>
      </c>
      <c r="I1104" s="10" t="s">
        <v>10</v>
      </c>
      <c r="J1104" s="13">
        <v>45532</v>
      </c>
    </row>
    <row r="1105" customFormat="1" spans="1:10">
      <c r="A1105" t="s">
        <v>319</v>
      </c>
      <c r="B1105" s="8">
        <v>242501215</v>
      </c>
      <c r="C1105" s="9">
        <v>45516</v>
      </c>
      <c r="D1105" s="8" t="s">
        <v>257</v>
      </c>
      <c r="E1105" s="10">
        <v>52000</v>
      </c>
      <c r="F1105" s="8">
        <v>0.01</v>
      </c>
      <c r="G1105" s="11">
        <v>45557</v>
      </c>
      <c r="H1105" s="12">
        <f t="shared" si="17"/>
        <v>520</v>
      </c>
      <c r="I1105" s="10" t="s">
        <v>10</v>
      </c>
      <c r="J1105" s="13">
        <v>45532</v>
      </c>
    </row>
    <row r="1106" customFormat="1" spans="1:10">
      <c r="A1106" t="s">
        <v>319</v>
      </c>
      <c r="B1106" s="8">
        <v>242501215</v>
      </c>
      <c r="C1106" s="9">
        <v>45516</v>
      </c>
      <c r="D1106" s="8" t="s">
        <v>271</v>
      </c>
      <c r="E1106" s="10">
        <v>52000</v>
      </c>
      <c r="F1106" s="8">
        <v>0.024</v>
      </c>
      <c r="G1106" s="11">
        <v>45540</v>
      </c>
      <c r="H1106" s="12">
        <f t="shared" si="17"/>
        <v>1248</v>
      </c>
      <c r="I1106" s="10" t="s">
        <v>10</v>
      </c>
      <c r="J1106" s="13">
        <v>45532</v>
      </c>
    </row>
    <row r="1107" customFormat="1" spans="1:10">
      <c r="A1107" t="s">
        <v>319</v>
      </c>
      <c r="B1107" s="8">
        <v>242501215</v>
      </c>
      <c r="C1107" s="9">
        <v>45516</v>
      </c>
      <c r="D1107" s="8" t="s">
        <v>271</v>
      </c>
      <c r="E1107" s="10">
        <v>52000</v>
      </c>
      <c r="F1107" s="8">
        <v>0.024</v>
      </c>
      <c r="G1107" s="11">
        <v>45557</v>
      </c>
      <c r="H1107" s="12">
        <f t="shared" si="17"/>
        <v>1248</v>
      </c>
      <c r="I1107" s="10" t="s">
        <v>10</v>
      </c>
      <c r="J1107" s="13">
        <v>45532</v>
      </c>
    </row>
    <row r="1108" customFormat="1" spans="1:10">
      <c r="A1108" t="s">
        <v>319</v>
      </c>
      <c r="B1108" s="8">
        <v>242501215</v>
      </c>
      <c r="C1108" s="9">
        <v>45516</v>
      </c>
      <c r="D1108" s="8" t="s">
        <v>163</v>
      </c>
      <c r="E1108" s="10">
        <v>144000</v>
      </c>
      <c r="F1108" s="8">
        <v>0.0025</v>
      </c>
      <c r="G1108" s="11">
        <v>45540</v>
      </c>
      <c r="H1108" s="12">
        <f t="shared" si="17"/>
        <v>360</v>
      </c>
      <c r="I1108" s="10" t="s">
        <v>10</v>
      </c>
      <c r="J1108" s="13">
        <v>45532</v>
      </c>
    </row>
    <row r="1109" customFormat="1" spans="1:10">
      <c r="A1109" t="s">
        <v>319</v>
      </c>
      <c r="B1109" s="8">
        <v>242501215</v>
      </c>
      <c r="C1109" s="9">
        <v>45516</v>
      </c>
      <c r="D1109" s="8" t="s">
        <v>163</v>
      </c>
      <c r="E1109" s="10">
        <v>144000</v>
      </c>
      <c r="F1109" s="8">
        <v>0.0025</v>
      </c>
      <c r="G1109" s="11">
        <v>45557</v>
      </c>
      <c r="H1109" s="12">
        <f t="shared" si="17"/>
        <v>360</v>
      </c>
      <c r="I1109" s="10" t="s">
        <v>10</v>
      </c>
      <c r="J1109" s="13">
        <v>45532</v>
      </c>
    </row>
    <row r="1110" customFormat="1" spans="1:10">
      <c r="A1110" t="s">
        <v>319</v>
      </c>
      <c r="B1110" s="53">
        <v>242501217</v>
      </c>
      <c r="C1110" s="54">
        <v>45516</v>
      </c>
      <c r="D1110" s="53" t="s">
        <v>410</v>
      </c>
      <c r="E1110" s="56">
        <v>500</v>
      </c>
      <c r="F1110" s="53">
        <v>0.05</v>
      </c>
      <c r="G1110" s="57">
        <v>45517</v>
      </c>
      <c r="H1110" s="58">
        <f t="shared" si="17"/>
        <v>25</v>
      </c>
      <c r="I1110" s="56" t="s">
        <v>317</v>
      </c>
      <c r="J1110" s="15" t="s">
        <v>398</v>
      </c>
    </row>
    <row r="1111" customFormat="1" spans="1:10">
      <c r="A1111" t="s">
        <v>319</v>
      </c>
      <c r="B1111" s="8">
        <v>242501239</v>
      </c>
      <c r="C1111" s="9">
        <v>45518</v>
      </c>
      <c r="D1111" s="8" t="s">
        <v>290</v>
      </c>
      <c r="E1111" s="10">
        <v>20000</v>
      </c>
      <c r="F1111" s="8">
        <v>0.03</v>
      </c>
      <c r="G1111" s="11">
        <v>45601</v>
      </c>
      <c r="H1111" s="12">
        <f t="shared" si="17"/>
        <v>600</v>
      </c>
      <c r="I1111" s="10" t="s">
        <v>10</v>
      </c>
      <c r="J1111" s="13">
        <v>45540</v>
      </c>
    </row>
    <row r="1112" customFormat="1" spans="1:10">
      <c r="A1112" t="s">
        <v>319</v>
      </c>
      <c r="B1112" s="8">
        <v>242501239</v>
      </c>
      <c r="C1112" s="9">
        <v>45518</v>
      </c>
      <c r="D1112" s="8" t="s">
        <v>289</v>
      </c>
      <c r="E1112" s="10">
        <v>20000</v>
      </c>
      <c r="F1112" s="8">
        <v>0.033</v>
      </c>
      <c r="G1112" s="11">
        <v>45601</v>
      </c>
      <c r="H1112" s="12">
        <f t="shared" si="17"/>
        <v>660</v>
      </c>
      <c r="I1112" s="10" t="s">
        <v>10</v>
      </c>
      <c r="J1112" s="13">
        <v>45540</v>
      </c>
    </row>
    <row r="1113" customFormat="1" spans="1:10">
      <c r="A1113" t="s">
        <v>319</v>
      </c>
      <c r="B1113" s="8">
        <v>242501240</v>
      </c>
      <c r="C1113" s="9">
        <v>45518</v>
      </c>
      <c r="D1113" s="8" t="s">
        <v>216</v>
      </c>
      <c r="E1113" s="10">
        <v>50000</v>
      </c>
      <c r="F1113" s="8">
        <v>0.045</v>
      </c>
      <c r="G1113" s="11">
        <v>45570</v>
      </c>
      <c r="H1113" s="12">
        <f t="shared" si="17"/>
        <v>2250</v>
      </c>
      <c r="I1113" s="10" t="s">
        <v>10</v>
      </c>
      <c r="J1113" s="13">
        <v>45540</v>
      </c>
    </row>
    <row r="1114" customFormat="1" spans="1:10">
      <c r="A1114" t="s">
        <v>319</v>
      </c>
      <c r="B1114" s="8">
        <v>242501247</v>
      </c>
      <c r="C1114" s="9">
        <v>45520</v>
      </c>
      <c r="D1114" s="8" t="s">
        <v>56</v>
      </c>
      <c r="E1114" s="10">
        <v>50000</v>
      </c>
      <c r="F1114" s="8">
        <v>0.035</v>
      </c>
      <c r="G1114" s="11">
        <v>45570</v>
      </c>
      <c r="H1114" s="12">
        <f t="shared" si="17"/>
        <v>1750</v>
      </c>
      <c r="I1114" s="10" t="s">
        <v>10</v>
      </c>
      <c r="J1114" s="13">
        <v>45530</v>
      </c>
    </row>
    <row r="1115" customFormat="1" spans="1:10">
      <c r="A1115" t="s">
        <v>319</v>
      </c>
      <c r="B1115" s="8">
        <v>242501247</v>
      </c>
      <c r="C1115" s="9">
        <v>45520</v>
      </c>
      <c r="D1115" s="8" t="s">
        <v>56</v>
      </c>
      <c r="E1115" s="10">
        <v>60000</v>
      </c>
      <c r="F1115" s="8">
        <v>0.035</v>
      </c>
      <c r="G1115" s="11">
        <v>45601</v>
      </c>
      <c r="H1115" s="12">
        <f t="shared" si="17"/>
        <v>2100</v>
      </c>
      <c r="I1115" s="10" t="s">
        <v>10</v>
      </c>
      <c r="J1115" s="13">
        <v>45530</v>
      </c>
    </row>
    <row r="1116" customFormat="1" spans="1:10">
      <c r="A1116" t="s">
        <v>319</v>
      </c>
      <c r="B1116" s="8">
        <v>242501247</v>
      </c>
      <c r="C1116" s="9">
        <v>45520</v>
      </c>
      <c r="D1116" s="8" t="s">
        <v>204</v>
      </c>
      <c r="E1116" s="10">
        <v>300000</v>
      </c>
      <c r="F1116" s="8">
        <v>0.036</v>
      </c>
      <c r="G1116" s="11">
        <v>45631</v>
      </c>
      <c r="H1116" s="12">
        <f t="shared" si="17"/>
        <v>10800</v>
      </c>
      <c r="I1116" s="10" t="s">
        <v>10</v>
      </c>
      <c r="J1116" s="13">
        <v>45530</v>
      </c>
    </row>
    <row r="1117" customFormat="1" spans="1:10">
      <c r="A1117" t="s">
        <v>319</v>
      </c>
      <c r="B1117" s="8">
        <v>242501247</v>
      </c>
      <c r="C1117" s="9">
        <v>45520</v>
      </c>
      <c r="D1117" s="8" t="s">
        <v>100</v>
      </c>
      <c r="E1117" s="10">
        <v>20000</v>
      </c>
      <c r="F1117" s="8">
        <v>0.028</v>
      </c>
      <c r="G1117" s="11">
        <v>45540</v>
      </c>
      <c r="H1117" s="12">
        <f t="shared" si="17"/>
        <v>560</v>
      </c>
      <c r="I1117" s="10" t="s">
        <v>10</v>
      </c>
      <c r="J1117" s="13">
        <v>45530</v>
      </c>
    </row>
    <row r="1118" customFormat="1" spans="1:10">
      <c r="A1118" t="s">
        <v>319</v>
      </c>
      <c r="B1118" s="8">
        <v>242501247</v>
      </c>
      <c r="C1118" s="9">
        <v>45520</v>
      </c>
      <c r="D1118" s="8" t="s">
        <v>100</v>
      </c>
      <c r="E1118" s="10">
        <v>20000</v>
      </c>
      <c r="F1118" s="8">
        <v>0.028</v>
      </c>
      <c r="G1118" s="11">
        <v>45570</v>
      </c>
      <c r="H1118" s="12">
        <f t="shared" si="17"/>
        <v>560</v>
      </c>
      <c r="I1118" s="10" t="s">
        <v>10</v>
      </c>
      <c r="J1118" s="13">
        <v>45530</v>
      </c>
    </row>
    <row r="1119" customFormat="1" spans="1:10">
      <c r="A1119" t="s">
        <v>319</v>
      </c>
      <c r="B1119" s="8">
        <v>242501247</v>
      </c>
      <c r="C1119" s="9">
        <v>45520</v>
      </c>
      <c r="D1119" s="8" t="s">
        <v>100</v>
      </c>
      <c r="E1119" s="10">
        <v>20000</v>
      </c>
      <c r="F1119" s="8">
        <v>0.028</v>
      </c>
      <c r="G1119" s="11">
        <v>45601</v>
      </c>
      <c r="H1119" s="12">
        <f t="shared" si="17"/>
        <v>560</v>
      </c>
      <c r="I1119" s="10" t="s">
        <v>10</v>
      </c>
      <c r="J1119" s="13">
        <v>45530</v>
      </c>
    </row>
    <row r="1120" customFormat="1" spans="1:10">
      <c r="A1120" t="s">
        <v>319</v>
      </c>
      <c r="B1120" s="8">
        <v>242501247</v>
      </c>
      <c r="C1120" s="9">
        <v>45520</v>
      </c>
      <c r="D1120" s="8" t="s">
        <v>70</v>
      </c>
      <c r="E1120" s="10">
        <v>20000</v>
      </c>
      <c r="F1120" s="8">
        <v>0.028</v>
      </c>
      <c r="G1120" s="11">
        <v>45540</v>
      </c>
      <c r="H1120" s="12">
        <f t="shared" si="17"/>
        <v>560</v>
      </c>
      <c r="I1120" s="10" t="s">
        <v>10</v>
      </c>
      <c r="J1120" s="13">
        <v>45530</v>
      </c>
    </row>
    <row r="1121" customFormat="1" spans="1:11">
      <c r="A1121" t="s">
        <v>319</v>
      </c>
      <c r="B1121" s="8">
        <v>242501247</v>
      </c>
      <c r="C1121" s="9">
        <v>45520</v>
      </c>
      <c r="D1121" s="8" t="s">
        <v>240</v>
      </c>
      <c r="E1121" s="10">
        <v>100000</v>
      </c>
      <c r="F1121" s="8">
        <v>0.0278</v>
      </c>
      <c r="G1121" s="11">
        <v>45601</v>
      </c>
      <c r="H1121" s="12">
        <f t="shared" si="17"/>
        <v>2780</v>
      </c>
      <c r="I1121" s="10" t="s">
        <v>10</v>
      </c>
      <c r="J1121" s="13">
        <v>45530</v>
      </c>
    </row>
    <row r="1122" customFormat="1" spans="1:11">
      <c r="A1122" t="s">
        <v>319</v>
      </c>
      <c r="B1122" s="8">
        <v>242501247</v>
      </c>
      <c r="C1122" s="9">
        <v>45520</v>
      </c>
      <c r="D1122" s="8" t="s">
        <v>238</v>
      </c>
      <c r="E1122" s="10">
        <v>500000</v>
      </c>
      <c r="F1122" s="8">
        <v>0.0325</v>
      </c>
      <c r="G1122" s="11">
        <v>45570</v>
      </c>
      <c r="H1122" s="12">
        <f t="shared" si="17"/>
        <v>16250</v>
      </c>
      <c r="I1122" s="10" t="s">
        <v>10</v>
      </c>
      <c r="J1122" s="13">
        <v>45530</v>
      </c>
    </row>
    <row r="1123" customFormat="1" spans="1:11">
      <c r="A1123" t="s">
        <v>319</v>
      </c>
      <c r="B1123" s="8">
        <v>242501247</v>
      </c>
      <c r="C1123" s="9">
        <v>45520</v>
      </c>
      <c r="D1123" s="8" t="s">
        <v>238</v>
      </c>
      <c r="E1123" s="10">
        <v>300000</v>
      </c>
      <c r="F1123" s="8">
        <v>0.0325</v>
      </c>
      <c r="G1123" s="11">
        <v>45601</v>
      </c>
      <c r="H1123" s="12">
        <f t="shared" si="17"/>
        <v>9750</v>
      </c>
      <c r="I1123" s="10" t="s">
        <v>10</v>
      </c>
      <c r="J1123" s="13">
        <v>45530</v>
      </c>
    </row>
    <row r="1124" customFormat="1" spans="1:11">
      <c r="A1124" t="s">
        <v>319</v>
      </c>
      <c r="B1124" s="8">
        <v>242501254</v>
      </c>
      <c r="C1124" s="9">
        <v>45524</v>
      </c>
      <c r="D1124" s="8" t="s">
        <v>388</v>
      </c>
      <c r="E1124" s="10">
        <v>150000</v>
      </c>
      <c r="F1124" s="8">
        <v>0.035</v>
      </c>
      <c r="G1124" s="11">
        <v>45601</v>
      </c>
      <c r="H1124" s="12">
        <f t="shared" si="17"/>
        <v>5250</v>
      </c>
      <c r="I1124" s="10" t="s">
        <v>10</v>
      </c>
      <c r="J1124" s="13">
        <v>45530</v>
      </c>
    </row>
    <row r="1125" customFormat="1" spans="1:11">
      <c r="A1125" t="s">
        <v>319</v>
      </c>
      <c r="B1125" s="8">
        <v>242501254</v>
      </c>
      <c r="C1125" s="9">
        <v>45524</v>
      </c>
      <c r="D1125" s="8" t="s">
        <v>213</v>
      </c>
      <c r="E1125" s="10">
        <v>300000</v>
      </c>
      <c r="F1125" s="8">
        <v>0.05</v>
      </c>
      <c r="G1125" s="11">
        <v>45570</v>
      </c>
      <c r="H1125" s="12">
        <f t="shared" si="17"/>
        <v>15000</v>
      </c>
      <c r="I1125" s="10" t="s">
        <v>10</v>
      </c>
      <c r="J1125" s="13">
        <v>45530</v>
      </c>
    </row>
    <row r="1126" customFormat="1" spans="1:11">
      <c r="A1126" t="s">
        <v>319</v>
      </c>
      <c r="B1126" s="8">
        <v>242501254</v>
      </c>
      <c r="C1126" s="9">
        <v>45524</v>
      </c>
      <c r="D1126" s="8" t="s">
        <v>239</v>
      </c>
      <c r="E1126" s="10">
        <v>100000</v>
      </c>
      <c r="F1126" s="8">
        <v>0.0278</v>
      </c>
      <c r="G1126" s="11">
        <v>45540</v>
      </c>
      <c r="H1126" s="12">
        <f t="shared" si="17"/>
        <v>2780</v>
      </c>
      <c r="I1126" s="10" t="s">
        <v>10</v>
      </c>
      <c r="J1126" s="13">
        <v>45530</v>
      </c>
    </row>
    <row r="1127" customFormat="1" spans="1:11">
      <c r="A1127" t="s">
        <v>319</v>
      </c>
      <c r="B1127" s="8">
        <v>242501254</v>
      </c>
      <c r="C1127" s="9">
        <v>45524</v>
      </c>
      <c r="D1127" s="8" t="s">
        <v>239</v>
      </c>
      <c r="E1127" s="10">
        <v>250000</v>
      </c>
      <c r="F1127" s="8">
        <v>0.0278</v>
      </c>
      <c r="G1127" s="11">
        <v>45570</v>
      </c>
      <c r="H1127" s="12">
        <f t="shared" si="17"/>
        <v>6950</v>
      </c>
      <c r="I1127" s="10" t="s">
        <v>10</v>
      </c>
      <c r="J1127" s="13">
        <v>45530</v>
      </c>
    </row>
    <row r="1128" customFormat="1" spans="1:11">
      <c r="A1128" t="s">
        <v>319</v>
      </c>
      <c r="B1128" s="8">
        <v>242501254</v>
      </c>
      <c r="C1128" s="9">
        <v>45524</v>
      </c>
      <c r="D1128" s="8" t="s">
        <v>239</v>
      </c>
      <c r="E1128" s="10">
        <v>200000</v>
      </c>
      <c r="F1128" s="8">
        <v>0.0278</v>
      </c>
      <c r="G1128" s="11">
        <v>45601</v>
      </c>
      <c r="H1128" s="12">
        <f t="shared" si="17"/>
        <v>5560</v>
      </c>
      <c r="I1128" s="10" t="s">
        <v>10</v>
      </c>
      <c r="J1128" s="13">
        <v>45530</v>
      </c>
    </row>
    <row r="1129" customFormat="1" spans="1:11">
      <c r="A1129" t="s">
        <v>319</v>
      </c>
      <c r="B1129" s="8">
        <v>242501254</v>
      </c>
      <c r="C1129" s="9">
        <v>45524</v>
      </c>
      <c r="D1129" s="8" t="s">
        <v>108</v>
      </c>
      <c r="E1129" s="10">
        <v>20000</v>
      </c>
      <c r="F1129" s="8">
        <v>0.04</v>
      </c>
      <c r="G1129" s="11">
        <v>45601</v>
      </c>
      <c r="H1129" s="12">
        <f t="shared" si="17"/>
        <v>800</v>
      </c>
      <c r="I1129" s="10" t="s">
        <v>10</v>
      </c>
      <c r="J1129" s="13">
        <v>45530</v>
      </c>
    </row>
    <row r="1130" customFormat="1" spans="1:11">
      <c r="A1130" t="s">
        <v>319</v>
      </c>
      <c r="B1130" s="8">
        <v>242501272</v>
      </c>
      <c r="C1130" s="9">
        <v>45525</v>
      </c>
      <c r="D1130" s="8" t="s">
        <v>271</v>
      </c>
      <c r="E1130" s="10">
        <v>52000</v>
      </c>
      <c r="F1130" s="8">
        <v>0.024</v>
      </c>
      <c r="G1130" s="11">
        <v>45557</v>
      </c>
      <c r="H1130" s="12">
        <f t="shared" si="17"/>
        <v>1248</v>
      </c>
      <c r="I1130" s="10" t="s">
        <v>10</v>
      </c>
      <c r="J1130" s="13">
        <v>45561</v>
      </c>
      <c r="K1130" t="s">
        <v>369</v>
      </c>
    </row>
    <row r="1131" customFormat="1" spans="1:11">
      <c r="A1131" t="s">
        <v>319</v>
      </c>
      <c r="B1131" s="8">
        <v>242501272</v>
      </c>
      <c r="C1131" s="9">
        <v>45525</v>
      </c>
      <c r="D1131" s="8" t="s">
        <v>271</v>
      </c>
      <c r="E1131" s="10">
        <v>48000</v>
      </c>
      <c r="F1131" s="8">
        <v>0.024</v>
      </c>
      <c r="G1131" s="11">
        <v>45587</v>
      </c>
      <c r="H1131" s="12">
        <f t="shared" si="17"/>
        <v>1152</v>
      </c>
      <c r="I1131" s="10" t="s">
        <v>10</v>
      </c>
      <c r="J1131" s="13">
        <v>45561</v>
      </c>
      <c r="K1131" t="s">
        <v>369</v>
      </c>
    </row>
    <row r="1132" customFormat="1" spans="1:11">
      <c r="A1132" t="s">
        <v>319</v>
      </c>
      <c r="B1132" s="8">
        <v>242501273</v>
      </c>
      <c r="C1132" s="9">
        <v>45526</v>
      </c>
      <c r="D1132" s="8" t="s">
        <v>400</v>
      </c>
      <c r="E1132" s="10">
        <v>50000</v>
      </c>
      <c r="F1132" s="8">
        <v>0.0525</v>
      </c>
      <c r="G1132" s="11">
        <v>45527</v>
      </c>
      <c r="H1132" s="12">
        <f t="shared" si="17"/>
        <v>2625</v>
      </c>
      <c r="I1132" s="10" t="s">
        <v>10</v>
      </c>
      <c r="J1132" s="13">
        <v>45548</v>
      </c>
    </row>
    <row r="1133" customFormat="1" spans="1:11">
      <c r="A1133" t="s">
        <v>319</v>
      </c>
      <c r="B1133" s="8">
        <v>242501274</v>
      </c>
      <c r="C1133" s="9">
        <v>45526</v>
      </c>
      <c r="D1133" s="8" t="s">
        <v>411</v>
      </c>
      <c r="E1133" s="10">
        <v>100000</v>
      </c>
      <c r="F1133" s="8">
        <v>0.0072</v>
      </c>
      <c r="G1133" s="11">
        <v>45587</v>
      </c>
      <c r="H1133" s="12">
        <f t="shared" si="17"/>
        <v>720</v>
      </c>
      <c r="I1133" s="10" t="s">
        <v>10</v>
      </c>
      <c r="J1133" s="15" t="s">
        <v>412</v>
      </c>
    </row>
    <row r="1134" customFormat="1" spans="1:11">
      <c r="A1134" t="s">
        <v>319</v>
      </c>
      <c r="B1134" s="8">
        <v>242501274</v>
      </c>
      <c r="C1134" s="9">
        <v>45526</v>
      </c>
      <c r="D1134" s="8" t="s">
        <v>411</v>
      </c>
      <c r="E1134" s="10">
        <v>100000</v>
      </c>
      <c r="F1134" s="8">
        <v>0.0072</v>
      </c>
      <c r="G1134" s="11">
        <v>45587</v>
      </c>
      <c r="H1134" s="12">
        <f t="shared" si="17"/>
        <v>720</v>
      </c>
      <c r="I1134" s="10" t="s">
        <v>10</v>
      </c>
      <c r="J1134" s="15" t="s">
        <v>412</v>
      </c>
    </row>
    <row r="1135" customFormat="1" spans="1:11">
      <c r="A1135" t="s">
        <v>319</v>
      </c>
      <c r="B1135" s="8">
        <v>242501274</v>
      </c>
      <c r="C1135" s="9">
        <v>45526</v>
      </c>
      <c r="D1135" s="8" t="s">
        <v>411</v>
      </c>
      <c r="E1135" s="10">
        <v>100000</v>
      </c>
      <c r="F1135" s="8">
        <v>0.0072</v>
      </c>
      <c r="G1135" s="11">
        <v>45631</v>
      </c>
      <c r="H1135" s="12">
        <f t="shared" si="17"/>
        <v>720</v>
      </c>
      <c r="I1135" s="10" t="s">
        <v>10</v>
      </c>
      <c r="J1135" s="15" t="s">
        <v>412</v>
      </c>
    </row>
    <row r="1136" customFormat="1" spans="1:11">
      <c r="A1136" t="s">
        <v>319</v>
      </c>
      <c r="B1136" s="8">
        <v>242501274</v>
      </c>
      <c r="C1136" s="9">
        <v>45526</v>
      </c>
      <c r="D1136" s="8" t="s">
        <v>411</v>
      </c>
      <c r="E1136" s="10">
        <v>100000</v>
      </c>
      <c r="F1136" s="8">
        <v>0.0072</v>
      </c>
      <c r="G1136" s="11">
        <v>45631</v>
      </c>
      <c r="H1136" s="12">
        <f t="shared" si="17"/>
        <v>720</v>
      </c>
      <c r="I1136" s="10" t="s">
        <v>10</v>
      </c>
      <c r="J1136" s="15" t="s">
        <v>412</v>
      </c>
    </row>
    <row r="1137" customFormat="1" spans="1:10">
      <c r="A1137" t="s">
        <v>319</v>
      </c>
      <c r="B1137" s="8">
        <v>242501274</v>
      </c>
      <c r="C1137" s="9">
        <v>45526</v>
      </c>
      <c r="D1137" s="8" t="s">
        <v>411</v>
      </c>
      <c r="E1137" s="10">
        <v>100000</v>
      </c>
      <c r="F1137" s="8">
        <v>0.0072</v>
      </c>
      <c r="G1137" s="11">
        <v>45662</v>
      </c>
      <c r="H1137" s="12">
        <f t="shared" si="17"/>
        <v>720</v>
      </c>
      <c r="I1137" s="10" t="s">
        <v>10</v>
      </c>
      <c r="J1137" s="15" t="s">
        <v>412</v>
      </c>
    </row>
    <row r="1138" customFormat="1" spans="1:10">
      <c r="A1138" t="s">
        <v>319</v>
      </c>
      <c r="B1138" s="8">
        <v>242501274</v>
      </c>
      <c r="C1138" s="9">
        <v>45526</v>
      </c>
      <c r="D1138" s="8" t="s">
        <v>411</v>
      </c>
      <c r="E1138" s="10">
        <v>100000</v>
      </c>
      <c r="F1138" s="8">
        <v>0.0072</v>
      </c>
      <c r="G1138" s="11">
        <v>45662</v>
      </c>
      <c r="H1138" s="12">
        <f t="shared" si="17"/>
        <v>720</v>
      </c>
      <c r="I1138" s="10" t="s">
        <v>10</v>
      </c>
      <c r="J1138" s="15" t="s">
        <v>412</v>
      </c>
    </row>
    <row r="1139" customFormat="1" spans="1:10">
      <c r="A1139" t="s">
        <v>319</v>
      </c>
      <c r="B1139" s="8">
        <v>242501274</v>
      </c>
      <c r="C1139" s="9">
        <v>45526</v>
      </c>
      <c r="D1139" s="8" t="s">
        <v>411</v>
      </c>
      <c r="E1139" s="10">
        <v>100000</v>
      </c>
      <c r="F1139" s="8">
        <v>0.0072</v>
      </c>
      <c r="G1139" s="11">
        <v>45721</v>
      </c>
      <c r="H1139" s="12">
        <f t="shared" si="17"/>
        <v>720</v>
      </c>
      <c r="I1139" s="10" t="s">
        <v>10</v>
      </c>
      <c r="J1139" s="15" t="s">
        <v>412</v>
      </c>
    </row>
    <row r="1140" customFormat="1" spans="1:10">
      <c r="A1140" t="s">
        <v>319</v>
      </c>
      <c r="B1140" s="8">
        <v>242501274</v>
      </c>
      <c r="C1140" s="9">
        <v>45526</v>
      </c>
      <c r="D1140" s="8" t="s">
        <v>411</v>
      </c>
      <c r="E1140" s="10">
        <v>100000</v>
      </c>
      <c r="F1140" s="8">
        <v>0.0072</v>
      </c>
      <c r="G1140" s="11">
        <v>45721</v>
      </c>
      <c r="H1140" s="12">
        <f t="shared" si="17"/>
        <v>720</v>
      </c>
      <c r="I1140" s="10" t="s">
        <v>10</v>
      </c>
      <c r="J1140" s="15" t="s">
        <v>412</v>
      </c>
    </row>
    <row r="1141" customFormat="1" spans="1:10">
      <c r="A1141" t="s">
        <v>319</v>
      </c>
      <c r="B1141" s="8">
        <v>242501274</v>
      </c>
      <c r="C1141" s="9">
        <v>45526</v>
      </c>
      <c r="D1141" s="8" t="s">
        <v>357</v>
      </c>
      <c r="E1141" s="10">
        <v>100000</v>
      </c>
      <c r="F1141" s="8">
        <v>0.0072</v>
      </c>
      <c r="G1141" s="11">
        <v>45587</v>
      </c>
      <c r="H1141" s="12">
        <f t="shared" si="17"/>
        <v>720</v>
      </c>
      <c r="I1141" s="10" t="s">
        <v>10</v>
      </c>
      <c r="J1141" s="15" t="s">
        <v>412</v>
      </c>
    </row>
    <row r="1142" customFormat="1" spans="1:10">
      <c r="A1142" t="s">
        <v>319</v>
      </c>
      <c r="B1142" s="8">
        <v>242501274</v>
      </c>
      <c r="C1142" s="9">
        <v>45526</v>
      </c>
      <c r="D1142" s="8" t="s">
        <v>357</v>
      </c>
      <c r="E1142" s="10">
        <v>100000</v>
      </c>
      <c r="F1142" s="8">
        <v>0.0072</v>
      </c>
      <c r="G1142" s="11">
        <v>45587</v>
      </c>
      <c r="H1142" s="12">
        <f t="shared" si="17"/>
        <v>720</v>
      </c>
      <c r="I1142" s="10" t="s">
        <v>10</v>
      </c>
      <c r="J1142" s="15" t="s">
        <v>412</v>
      </c>
    </row>
    <row r="1143" customFormat="1" spans="1:10">
      <c r="A1143" t="s">
        <v>319</v>
      </c>
      <c r="B1143" s="8">
        <v>242501274</v>
      </c>
      <c r="C1143" s="9">
        <v>45526</v>
      </c>
      <c r="D1143" s="8" t="s">
        <v>357</v>
      </c>
      <c r="E1143" s="10">
        <v>75000</v>
      </c>
      <c r="F1143" s="8">
        <v>0.0072</v>
      </c>
      <c r="G1143" s="11">
        <v>45631</v>
      </c>
      <c r="H1143" s="12">
        <f t="shared" si="17"/>
        <v>540</v>
      </c>
      <c r="I1143" s="10" t="s">
        <v>10</v>
      </c>
      <c r="J1143" s="15" t="s">
        <v>412</v>
      </c>
    </row>
    <row r="1144" customFormat="1" spans="1:10">
      <c r="A1144" t="s">
        <v>319</v>
      </c>
      <c r="B1144" s="8">
        <v>242501274</v>
      </c>
      <c r="C1144" s="9">
        <v>45526</v>
      </c>
      <c r="D1144" s="8" t="s">
        <v>357</v>
      </c>
      <c r="E1144" s="10">
        <v>75000</v>
      </c>
      <c r="F1144" s="8">
        <v>0.0072</v>
      </c>
      <c r="G1144" s="11">
        <v>45631</v>
      </c>
      <c r="H1144" s="12">
        <f t="shared" si="17"/>
        <v>540</v>
      </c>
      <c r="I1144" s="10" t="s">
        <v>10</v>
      </c>
      <c r="J1144" s="15" t="s">
        <v>412</v>
      </c>
    </row>
    <row r="1145" customFormat="1" spans="1:10">
      <c r="A1145" t="s">
        <v>319</v>
      </c>
      <c r="B1145" s="8">
        <v>242501274</v>
      </c>
      <c r="C1145" s="9">
        <v>45526</v>
      </c>
      <c r="D1145" s="8" t="s">
        <v>357</v>
      </c>
      <c r="E1145" s="10">
        <v>150000</v>
      </c>
      <c r="F1145" s="8">
        <v>0.0072</v>
      </c>
      <c r="G1145" s="11">
        <v>45693</v>
      </c>
      <c r="H1145" s="12">
        <f t="shared" si="17"/>
        <v>1080</v>
      </c>
      <c r="I1145" s="10" t="s">
        <v>10</v>
      </c>
      <c r="J1145" s="15" t="s">
        <v>412</v>
      </c>
    </row>
    <row r="1146" customFormat="1" spans="1:10">
      <c r="A1146" t="s">
        <v>319</v>
      </c>
      <c r="B1146" s="8">
        <v>242501274</v>
      </c>
      <c r="C1146" s="9">
        <v>45526</v>
      </c>
      <c r="D1146" s="8" t="s">
        <v>357</v>
      </c>
      <c r="E1146" s="10">
        <v>150000</v>
      </c>
      <c r="F1146" s="8">
        <v>0.0072</v>
      </c>
      <c r="G1146" s="11">
        <v>45752</v>
      </c>
      <c r="H1146" s="12">
        <f t="shared" si="17"/>
        <v>1080</v>
      </c>
      <c r="I1146" s="10" t="s">
        <v>10</v>
      </c>
      <c r="J1146" s="15" t="s">
        <v>412</v>
      </c>
    </row>
    <row r="1147" customFormat="1" spans="1:10">
      <c r="A1147" t="s">
        <v>319</v>
      </c>
      <c r="B1147" s="8">
        <v>242501275</v>
      </c>
      <c r="C1147" s="9">
        <v>45526</v>
      </c>
      <c r="D1147" s="8" t="s">
        <v>200</v>
      </c>
      <c r="E1147" s="10">
        <v>100000</v>
      </c>
      <c r="F1147" s="8">
        <v>0.05</v>
      </c>
      <c r="G1147" s="11">
        <v>45618</v>
      </c>
      <c r="H1147" s="12">
        <f t="shared" si="17"/>
        <v>5000</v>
      </c>
      <c r="I1147" s="10" t="s">
        <v>10</v>
      </c>
      <c r="J1147" s="13">
        <v>45540</v>
      </c>
    </row>
    <row r="1148" customFormat="1" spans="1:10">
      <c r="A1148" t="s">
        <v>319</v>
      </c>
      <c r="B1148" s="53">
        <v>242501276</v>
      </c>
      <c r="C1148" s="54">
        <v>45526</v>
      </c>
      <c r="D1148" s="53" t="s">
        <v>413</v>
      </c>
      <c r="E1148" s="56">
        <v>25000</v>
      </c>
      <c r="F1148" s="53">
        <v>0.007</v>
      </c>
      <c r="G1148" s="57">
        <v>45540</v>
      </c>
      <c r="H1148" s="58">
        <f t="shared" si="17"/>
        <v>175</v>
      </c>
      <c r="I1148" s="56" t="s">
        <v>317</v>
      </c>
      <c r="J1148" s="15" t="s">
        <v>325</v>
      </c>
    </row>
    <row r="1149" customFormat="1" spans="1:10">
      <c r="A1149" t="s">
        <v>319</v>
      </c>
      <c r="B1149" s="53">
        <v>242501276</v>
      </c>
      <c r="C1149" s="54">
        <v>45526</v>
      </c>
      <c r="D1149" s="53" t="s">
        <v>414</v>
      </c>
      <c r="E1149" s="56">
        <v>100000</v>
      </c>
      <c r="F1149" s="53">
        <v>0.007</v>
      </c>
      <c r="G1149" s="57">
        <v>45540</v>
      </c>
      <c r="H1149" s="58">
        <f t="shared" si="17"/>
        <v>700</v>
      </c>
      <c r="I1149" s="56" t="s">
        <v>317</v>
      </c>
      <c r="J1149" s="15" t="s">
        <v>325</v>
      </c>
    </row>
    <row r="1150" customFormat="1" spans="1:10">
      <c r="A1150" t="s">
        <v>319</v>
      </c>
      <c r="B1150" s="53">
        <v>242501276</v>
      </c>
      <c r="C1150" s="54">
        <v>45526</v>
      </c>
      <c r="D1150" s="53" t="s">
        <v>357</v>
      </c>
      <c r="E1150" s="56">
        <v>100000</v>
      </c>
      <c r="F1150" s="53">
        <v>0.007</v>
      </c>
      <c r="G1150" s="57">
        <v>45601</v>
      </c>
      <c r="H1150" s="58">
        <f t="shared" si="17"/>
        <v>700</v>
      </c>
      <c r="I1150" s="56" t="s">
        <v>317</v>
      </c>
      <c r="J1150" s="15" t="s">
        <v>325</v>
      </c>
    </row>
    <row r="1151" customFormat="1" spans="1:10">
      <c r="A1151" t="s">
        <v>319</v>
      </c>
      <c r="B1151" s="8">
        <v>242501277</v>
      </c>
      <c r="C1151" s="9">
        <v>45526</v>
      </c>
      <c r="D1151" s="8" t="s">
        <v>370</v>
      </c>
      <c r="E1151" s="10">
        <v>24000</v>
      </c>
      <c r="F1151" s="8">
        <v>0.03</v>
      </c>
      <c r="G1151" s="11">
        <v>45570</v>
      </c>
      <c r="H1151" s="12">
        <f t="shared" si="17"/>
        <v>720</v>
      </c>
      <c r="I1151" s="10" t="s">
        <v>10</v>
      </c>
      <c r="J1151" s="15" t="s">
        <v>415</v>
      </c>
    </row>
    <row r="1152" customFormat="1" spans="1:10">
      <c r="A1152" t="s">
        <v>319</v>
      </c>
      <c r="B1152" s="8">
        <v>242501288</v>
      </c>
      <c r="C1152" s="9">
        <v>45530</v>
      </c>
      <c r="D1152" s="8" t="s">
        <v>416</v>
      </c>
      <c r="E1152" s="10">
        <v>25000</v>
      </c>
      <c r="F1152" s="8">
        <v>0.098</v>
      </c>
      <c r="G1152" s="11">
        <v>45587</v>
      </c>
      <c r="H1152" s="12">
        <f t="shared" si="17"/>
        <v>2450</v>
      </c>
      <c r="I1152" s="10" t="s">
        <v>10</v>
      </c>
      <c r="J1152" s="15" t="s">
        <v>417</v>
      </c>
    </row>
    <row r="1153" customFormat="1" spans="1:10">
      <c r="A1153" t="s">
        <v>319</v>
      </c>
      <c r="B1153" s="8">
        <v>242501288</v>
      </c>
      <c r="C1153" s="9">
        <v>45530</v>
      </c>
      <c r="D1153" s="8" t="s">
        <v>416</v>
      </c>
      <c r="E1153" s="10">
        <v>25000</v>
      </c>
      <c r="F1153" s="8">
        <v>0.098</v>
      </c>
      <c r="G1153" s="11">
        <v>45648</v>
      </c>
      <c r="H1153" s="12">
        <f t="shared" si="17"/>
        <v>2450</v>
      </c>
      <c r="I1153" s="10" t="s">
        <v>10</v>
      </c>
      <c r="J1153" s="15" t="s">
        <v>417</v>
      </c>
    </row>
    <row r="1154" customFormat="1" spans="1:10">
      <c r="A1154" t="s">
        <v>319</v>
      </c>
      <c r="B1154" s="8">
        <v>242501288</v>
      </c>
      <c r="C1154" s="9">
        <v>45530</v>
      </c>
      <c r="D1154" s="8" t="s">
        <v>416</v>
      </c>
      <c r="E1154" s="10">
        <v>25000</v>
      </c>
      <c r="F1154" s="8">
        <v>0.098</v>
      </c>
      <c r="G1154" s="11">
        <v>45679</v>
      </c>
      <c r="H1154" s="12">
        <f t="shared" ref="H1154:H1217" si="18">E1154*F1154</f>
        <v>2450</v>
      </c>
      <c r="I1154" s="10" t="s">
        <v>10</v>
      </c>
      <c r="J1154" s="15" t="s">
        <v>417</v>
      </c>
    </row>
    <row r="1155" customFormat="1" spans="1:10">
      <c r="A1155" t="s">
        <v>319</v>
      </c>
      <c r="B1155" s="8">
        <v>242501288</v>
      </c>
      <c r="C1155" s="9">
        <v>45530</v>
      </c>
      <c r="D1155" s="8" t="s">
        <v>416</v>
      </c>
      <c r="E1155" s="10">
        <v>25000</v>
      </c>
      <c r="F1155" s="8">
        <v>0.098</v>
      </c>
      <c r="G1155" s="11">
        <v>45710</v>
      </c>
      <c r="H1155" s="12">
        <f t="shared" si="18"/>
        <v>2450</v>
      </c>
      <c r="I1155" s="10" t="s">
        <v>10</v>
      </c>
      <c r="J1155" s="15" t="s">
        <v>417</v>
      </c>
    </row>
    <row r="1156" customFormat="1" spans="1:10">
      <c r="A1156" t="s">
        <v>319</v>
      </c>
      <c r="B1156" s="8">
        <v>242501288</v>
      </c>
      <c r="C1156" s="9">
        <v>45530</v>
      </c>
      <c r="D1156" s="8" t="s">
        <v>416</v>
      </c>
      <c r="E1156" s="10">
        <v>25000</v>
      </c>
      <c r="F1156" s="8">
        <v>0.098</v>
      </c>
      <c r="G1156" s="11">
        <v>45738</v>
      </c>
      <c r="H1156" s="12">
        <f t="shared" si="18"/>
        <v>2450</v>
      </c>
      <c r="I1156" s="10" t="s">
        <v>10</v>
      </c>
      <c r="J1156" s="15" t="s">
        <v>417</v>
      </c>
    </row>
    <row r="1157" customFormat="1" spans="1:10">
      <c r="A1157" t="s">
        <v>319</v>
      </c>
      <c r="B1157" s="8">
        <v>242501288</v>
      </c>
      <c r="C1157" s="9">
        <v>45530</v>
      </c>
      <c r="D1157" s="8" t="s">
        <v>416</v>
      </c>
      <c r="E1157" s="10">
        <v>25000</v>
      </c>
      <c r="F1157" s="8">
        <v>0.098</v>
      </c>
      <c r="G1157" s="11">
        <v>45434</v>
      </c>
      <c r="H1157" s="12">
        <f t="shared" si="18"/>
        <v>2450</v>
      </c>
      <c r="I1157" s="10" t="s">
        <v>10</v>
      </c>
      <c r="J1157" s="15" t="s">
        <v>418</v>
      </c>
    </row>
    <row r="1158" customFormat="1" spans="1:10">
      <c r="A1158" t="s">
        <v>319</v>
      </c>
      <c r="B1158" s="8">
        <v>242501288</v>
      </c>
      <c r="C1158" s="9">
        <v>45530</v>
      </c>
      <c r="D1158" s="8" t="s">
        <v>419</v>
      </c>
      <c r="E1158" s="10">
        <v>240000</v>
      </c>
      <c r="F1158" s="8">
        <v>0.0035</v>
      </c>
      <c r="G1158" s="11">
        <v>45587</v>
      </c>
      <c r="H1158" s="12">
        <f t="shared" si="18"/>
        <v>840</v>
      </c>
      <c r="I1158" s="10" t="s">
        <v>10</v>
      </c>
      <c r="J1158" s="15" t="s">
        <v>417</v>
      </c>
    </row>
    <row r="1159" customFormat="1" spans="1:10">
      <c r="A1159" t="s">
        <v>319</v>
      </c>
      <c r="B1159" s="8">
        <v>242501288</v>
      </c>
      <c r="C1159" s="9">
        <v>45530</v>
      </c>
      <c r="D1159" s="8" t="s">
        <v>419</v>
      </c>
      <c r="E1159" s="10">
        <v>256000</v>
      </c>
      <c r="F1159" s="8">
        <v>0.0035</v>
      </c>
      <c r="G1159" s="11">
        <v>45648</v>
      </c>
      <c r="H1159" s="12">
        <f t="shared" si="18"/>
        <v>896</v>
      </c>
      <c r="I1159" s="10" t="s">
        <v>10</v>
      </c>
      <c r="J1159" s="15" t="s">
        <v>417</v>
      </c>
    </row>
    <row r="1160" customFormat="1" spans="1:10">
      <c r="A1160" t="s">
        <v>319</v>
      </c>
      <c r="B1160" s="8">
        <v>242501288</v>
      </c>
      <c r="C1160" s="9">
        <v>45530</v>
      </c>
      <c r="D1160" s="8" t="s">
        <v>419</v>
      </c>
      <c r="E1160" s="10">
        <v>240000</v>
      </c>
      <c r="F1160" s="8">
        <v>0.0035</v>
      </c>
      <c r="G1160" s="11">
        <v>45679</v>
      </c>
      <c r="H1160" s="12">
        <f t="shared" si="18"/>
        <v>840</v>
      </c>
      <c r="I1160" s="10" t="s">
        <v>10</v>
      </c>
      <c r="J1160" s="15" t="s">
        <v>417</v>
      </c>
    </row>
    <row r="1161" customFormat="1" spans="1:10">
      <c r="A1161" t="s">
        <v>319</v>
      </c>
      <c r="B1161" s="8">
        <v>242501288</v>
      </c>
      <c r="C1161" s="9">
        <v>45530</v>
      </c>
      <c r="D1161" s="8" t="s">
        <v>419</v>
      </c>
      <c r="E1161" s="10">
        <v>256000</v>
      </c>
      <c r="F1161" s="8">
        <v>0.0035</v>
      </c>
      <c r="G1161" s="11">
        <v>45710</v>
      </c>
      <c r="H1161" s="12">
        <f t="shared" si="18"/>
        <v>896</v>
      </c>
      <c r="I1161" s="10" t="s">
        <v>10</v>
      </c>
      <c r="J1161" s="15" t="s">
        <v>417</v>
      </c>
    </row>
    <row r="1162" customFormat="1" spans="1:10">
      <c r="A1162" t="s">
        <v>319</v>
      </c>
      <c r="B1162" s="8">
        <v>242501288</v>
      </c>
      <c r="C1162" s="9">
        <v>45530</v>
      </c>
      <c r="D1162" s="8" t="s">
        <v>419</v>
      </c>
      <c r="E1162" s="10">
        <v>240000</v>
      </c>
      <c r="F1162" s="8">
        <v>0.0035</v>
      </c>
      <c r="G1162" s="11">
        <v>45738</v>
      </c>
      <c r="H1162" s="12">
        <f t="shared" si="18"/>
        <v>840</v>
      </c>
      <c r="I1162" s="10" t="s">
        <v>10</v>
      </c>
      <c r="J1162" s="15" t="s">
        <v>417</v>
      </c>
    </row>
    <row r="1163" customFormat="1" spans="1:10">
      <c r="A1163" t="s">
        <v>319</v>
      </c>
      <c r="B1163" s="8">
        <v>242501288</v>
      </c>
      <c r="C1163" s="9">
        <v>45530</v>
      </c>
      <c r="D1163" s="8" t="s">
        <v>419</v>
      </c>
      <c r="E1163" s="10">
        <v>256000</v>
      </c>
      <c r="F1163" s="8">
        <v>0.0035</v>
      </c>
      <c r="G1163" s="11">
        <v>45434</v>
      </c>
      <c r="H1163" s="12">
        <f t="shared" si="18"/>
        <v>896</v>
      </c>
      <c r="I1163" s="10" t="s">
        <v>10</v>
      </c>
      <c r="J1163" s="15" t="s">
        <v>418</v>
      </c>
    </row>
    <row r="1164" customFormat="1" spans="1:10">
      <c r="A1164" t="s">
        <v>319</v>
      </c>
      <c r="B1164" s="8">
        <v>242501312</v>
      </c>
      <c r="C1164" s="9">
        <v>45533</v>
      </c>
      <c r="D1164" s="8" t="s">
        <v>33</v>
      </c>
      <c r="E1164" s="10">
        <v>500000</v>
      </c>
      <c r="F1164" s="8">
        <v>0.02</v>
      </c>
      <c r="G1164" s="11">
        <v>45557</v>
      </c>
      <c r="H1164" s="12">
        <f t="shared" si="18"/>
        <v>10000</v>
      </c>
      <c r="I1164" s="10" t="s">
        <v>10</v>
      </c>
      <c r="J1164" s="13">
        <v>45540</v>
      </c>
    </row>
    <row r="1165" customFormat="1" spans="1:10">
      <c r="A1165" t="s">
        <v>319</v>
      </c>
      <c r="B1165" s="8">
        <v>242501312</v>
      </c>
      <c r="C1165" s="9">
        <v>45533</v>
      </c>
      <c r="D1165" s="8" t="s">
        <v>33</v>
      </c>
      <c r="E1165" s="10">
        <v>500000</v>
      </c>
      <c r="F1165" s="8">
        <v>0.02</v>
      </c>
      <c r="G1165" s="11">
        <v>45587</v>
      </c>
      <c r="H1165" s="12">
        <f t="shared" si="18"/>
        <v>10000</v>
      </c>
      <c r="I1165" s="10" t="s">
        <v>10</v>
      </c>
      <c r="J1165" s="13">
        <v>45540</v>
      </c>
    </row>
    <row r="1166" customFormat="1" spans="1:10">
      <c r="A1166" t="s">
        <v>319</v>
      </c>
      <c r="B1166" s="8">
        <v>242501312</v>
      </c>
      <c r="C1166" s="9">
        <v>45533</v>
      </c>
      <c r="D1166" s="8" t="s">
        <v>33</v>
      </c>
      <c r="E1166" s="10">
        <v>500000</v>
      </c>
      <c r="F1166" s="8">
        <v>0.02</v>
      </c>
      <c r="G1166" s="11">
        <v>45618</v>
      </c>
      <c r="H1166" s="12">
        <f t="shared" si="18"/>
        <v>10000</v>
      </c>
      <c r="I1166" s="10" t="s">
        <v>10</v>
      </c>
      <c r="J1166" s="13">
        <v>45540</v>
      </c>
    </row>
    <row r="1167" customFormat="1" spans="1:10">
      <c r="A1167" t="s">
        <v>319</v>
      </c>
      <c r="B1167" s="8">
        <v>242501314</v>
      </c>
      <c r="C1167" s="9">
        <v>45533</v>
      </c>
      <c r="D1167" s="8" t="s">
        <v>34</v>
      </c>
      <c r="E1167" s="10">
        <v>40000</v>
      </c>
      <c r="F1167" s="8">
        <v>0.051</v>
      </c>
      <c r="G1167" s="11">
        <v>45540</v>
      </c>
      <c r="H1167" s="12">
        <f t="shared" si="18"/>
        <v>2040</v>
      </c>
      <c r="I1167" s="10" t="s">
        <v>10</v>
      </c>
      <c r="J1167" s="13">
        <v>45540</v>
      </c>
    </row>
    <row r="1168" customFormat="1" spans="1:10">
      <c r="A1168" t="s">
        <v>319</v>
      </c>
      <c r="B1168" s="8">
        <v>242501314</v>
      </c>
      <c r="C1168" s="9">
        <v>45533</v>
      </c>
      <c r="D1168" s="8" t="s">
        <v>33</v>
      </c>
      <c r="E1168" s="10">
        <v>100000</v>
      </c>
      <c r="F1168" s="8">
        <v>0.02</v>
      </c>
      <c r="G1168" s="11">
        <v>45557</v>
      </c>
      <c r="H1168" s="12">
        <f t="shared" si="18"/>
        <v>2000</v>
      </c>
      <c r="I1168" s="10" t="s">
        <v>10</v>
      </c>
      <c r="J1168" s="13">
        <v>45540</v>
      </c>
    </row>
    <row r="1169" customFormat="1" spans="1:11">
      <c r="A1169" t="s">
        <v>319</v>
      </c>
      <c r="B1169" s="8">
        <v>242501314</v>
      </c>
      <c r="C1169" s="9">
        <v>45533</v>
      </c>
      <c r="D1169" s="8" t="s">
        <v>33</v>
      </c>
      <c r="E1169" s="10">
        <v>100000</v>
      </c>
      <c r="F1169" s="8">
        <v>0.02</v>
      </c>
      <c r="G1169" s="11">
        <v>45587</v>
      </c>
      <c r="H1169" s="12">
        <f t="shared" si="18"/>
        <v>2000</v>
      </c>
      <c r="I1169" s="10" t="s">
        <v>10</v>
      </c>
      <c r="J1169" s="13">
        <v>45540</v>
      </c>
    </row>
    <row r="1170" customFormat="1" spans="1:11">
      <c r="A1170" t="s">
        <v>319</v>
      </c>
      <c r="B1170" s="8">
        <v>242501314</v>
      </c>
      <c r="C1170" s="9">
        <v>45533</v>
      </c>
      <c r="D1170" s="8" t="s">
        <v>33</v>
      </c>
      <c r="E1170" s="10">
        <v>100000</v>
      </c>
      <c r="F1170" s="8">
        <v>0.02</v>
      </c>
      <c r="G1170" s="11">
        <v>45618</v>
      </c>
      <c r="H1170" s="12">
        <f t="shared" si="18"/>
        <v>2000</v>
      </c>
      <c r="I1170" s="10" t="s">
        <v>10</v>
      </c>
      <c r="J1170" s="13">
        <v>45540</v>
      </c>
    </row>
    <row r="1171" customFormat="1" spans="1:11">
      <c r="A1171" t="s">
        <v>319</v>
      </c>
      <c r="B1171" s="8">
        <v>242501315</v>
      </c>
      <c r="C1171" s="9">
        <v>45533</v>
      </c>
      <c r="D1171" s="8" t="s">
        <v>34</v>
      </c>
      <c r="E1171" s="10">
        <v>100000</v>
      </c>
      <c r="F1171" s="8">
        <v>0.051</v>
      </c>
      <c r="G1171" s="11">
        <v>45570</v>
      </c>
      <c r="H1171" s="12">
        <f t="shared" si="18"/>
        <v>5100</v>
      </c>
      <c r="I1171" s="10" t="s">
        <v>10</v>
      </c>
      <c r="J1171" s="13">
        <v>45540</v>
      </c>
    </row>
    <row r="1172" customFormat="1" spans="1:11">
      <c r="A1172" t="s">
        <v>319</v>
      </c>
      <c r="B1172" s="8">
        <v>242501315</v>
      </c>
      <c r="C1172" s="9">
        <v>45533</v>
      </c>
      <c r="D1172" s="8" t="s">
        <v>34</v>
      </c>
      <c r="E1172" s="10">
        <v>80000</v>
      </c>
      <c r="F1172" s="8">
        <v>0.051</v>
      </c>
      <c r="G1172" s="11">
        <v>45601</v>
      </c>
      <c r="H1172" s="12">
        <f t="shared" si="18"/>
        <v>4080</v>
      </c>
      <c r="I1172" s="10" t="s">
        <v>10</v>
      </c>
      <c r="J1172" s="13">
        <v>45540</v>
      </c>
    </row>
    <row r="1173" customFormat="1" spans="1:11">
      <c r="A1173" t="s">
        <v>319</v>
      </c>
      <c r="B1173" s="8">
        <v>242501316</v>
      </c>
      <c r="C1173" s="9">
        <v>45533</v>
      </c>
      <c r="D1173" s="8" t="s">
        <v>215</v>
      </c>
      <c r="E1173" s="10">
        <v>600000</v>
      </c>
      <c r="F1173" s="8">
        <v>0.027</v>
      </c>
      <c r="G1173" s="11">
        <v>45540</v>
      </c>
      <c r="H1173" s="12">
        <f t="shared" si="18"/>
        <v>16200</v>
      </c>
      <c r="I1173" s="10" t="s">
        <v>10</v>
      </c>
      <c r="J1173" s="13">
        <v>45540</v>
      </c>
    </row>
    <row r="1174" customFormat="1" spans="1:11">
      <c r="A1174" t="s">
        <v>319</v>
      </c>
      <c r="B1174" s="8">
        <v>242501341</v>
      </c>
      <c r="C1174" s="9">
        <v>45538</v>
      </c>
      <c r="D1174" s="8" t="s">
        <v>416</v>
      </c>
      <c r="E1174" s="10">
        <v>30000</v>
      </c>
      <c r="F1174" s="8">
        <v>0.098</v>
      </c>
      <c r="G1174" s="11">
        <v>45540</v>
      </c>
      <c r="H1174" s="12">
        <f t="shared" si="18"/>
        <v>2940</v>
      </c>
      <c r="I1174" s="10" t="s">
        <v>10</v>
      </c>
      <c r="J1174" s="15" t="s">
        <v>420</v>
      </c>
    </row>
    <row r="1175" customFormat="1" spans="1:11">
      <c r="A1175" t="s">
        <v>319</v>
      </c>
      <c r="B1175" s="8">
        <v>242501348</v>
      </c>
      <c r="C1175" s="9">
        <v>45539</v>
      </c>
      <c r="D1175" s="8" t="s">
        <v>290</v>
      </c>
      <c r="E1175" s="10">
        <v>20000</v>
      </c>
      <c r="F1175" s="8">
        <v>0.03</v>
      </c>
      <c r="G1175" s="11">
        <v>45587</v>
      </c>
      <c r="H1175" s="12">
        <f t="shared" si="18"/>
        <v>600</v>
      </c>
      <c r="I1175" s="10" t="s">
        <v>10</v>
      </c>
      <c r="J1175" s="13">
        <v>45554</v>
      </c>
      <c r="K1175" t="s">
        <v>369</v>
      </c>
    </row>
    <row r="1176" customFormat="1" spans="1:11">
      <c r="A1176" t="s">
        <v>319</v>
      </c>
      <c r="B1176" s="8">
        <v>242501348</v>
      </c>
      <c r="C1176" s="9">
        <v>45539</v>
      </c>
      <c r="D1176" s="8" t="s">
        <v>289</v>
      </c>
      <c r="E1176" s="10">
        <v>20000</v>
      </c>
      <c r="F1176" s="8">
        <v>0.033</v>
      </c>
      <c r="G1176" s="11">
        <v>45587</v>
      </c>
      <c r="H1176" s="12">
        <f t="shared" si="18"/>
        <v>660</v>
      </c>
      <c r="I1176" s="10" t="s">
        <v>10</v>
      </c>
      <c r="J1176" s="13">
        <v>45554</v>
      </c>
      <c r="K1176" t="s">
        <v>369</v>
      </c>
    </row>
    <row r="1177" customFormat="1" spans="1:11">
      <c r="A1177" t="s">
        <v>319</v>
      </c>
      <c r="B1177" s="8">
        <v>242501349</v>
      </c>
      <c r="C1177" s="9">
        <v>45539</v>
      </c>
      <c r="D1177" s="8" t="s">
        <v>164</v>
      </c>
      <c r="E1177" s="10">
        <v>24000</v>
      </c>
      <c r="F1177" s="8">
        <v>0.0106</v>
      </c>
      <c r="G1177" s="11">
        <v>45540</v>
      </c>
      <c r="H1177" s="12">
        <f t="shared" si="18"/>
        <v>254.4</v>
      </c>
      <c r="I1177" s="10" t="s">
        <v>10</v>
      </c>
      <c r="J1177" s="15" t="s">
        <v>421</v>
      </c>
      <c r="K1177" t="s">
        <v>422</v>
      </c>
    </row>
    <row r="1178" customFormat="1" spans="1:11">
      <c r="A1178" t="s">
        <v>319</v>
      </c>
      <c r="B1178" s="8">
        <v>242501383</v>
      </c>
      <c r="C1178" s="9">
        <v>45541</v>
      </c>
      <c r="D1178" s="8" t="s">
        <v>58</v>
      </c>
      <c r="E1178" s="10">
        <v>300000</v>
      </c>
      <c r="F1178" s="8">
        <v>0.019</v>
      </c>
      <c r="G1178" s="11">
        <v>45587</v>
      </c>
      <c r="H1178" s="12">
        <f t="shared" si="18"/>
        <v>5700</v>
      </c>
      <c r="I1178" s="10" t="s">
        <v>10</v>
      </c>
      <c r="J1178" s="13">
        <v>45548</v>
      </c>
      <c r="K1178" t="s">
        <v>327</v>
      </c>
    </row>
    <row r="1179" customFormat="1" spans="1:11">
      <c r="A1179" t="s">
        <v>319</v>
      </c>
      <c r="B1179" s="8">
        <v>242501383</v>
      </c>
      <c r="C1179" s="9">
        <v>45541</v>
      </c>
      <c r="D1179" s="8" t="s">
        <v>58</v>
      </c>
      <c r="E1179" s="10">
        <v>400000</v>
      </c>
      <c r="F1179" s="8">
        <v>0.019</v>
      </c>
      <c r="G1179" s="11">
        <v>45618</v>
      </c>
      <c r="H1179" s="12">
        <f t="shared" si="18"/>
        <v>7600</v>
      </c>
      <c r="I1179" s="10" t="s">
        <v>10</v>
      </c>
      <c r="J1179" s="13">
        <v>45548</v>
      </c>
      <c r="K1179" t="s">
        <v>327</v>
      </c>
    </row>
    <row r="1180" customFormat="1" spans="1:11">
      <c r="A1180" t="s">
        <v>319</v>
      </c>
      <c r="B1180" s="8">
        <v>242501383</v>
      </c>
      <c r="C1180" s="9">
        <v>45541</v>
      </c>
      <c r="D1180" s="8" t="s">
        <v>58</v>
      </c>
      <c r="E1180" s="10">
        <v>350000</v>
      </c>
      <c r="F1180" s="8">
        <v>0.019</v>
      </c>
      <c r="G1180" s="11">
        <v>45648</v>
      </c>
      <c r="H1180" s="12">
        <f t="shared" si="18"/>
        <v>6650</v>
      </c>
      <c r="I1180" s="10" t="s">
        <v>10</v>
      </c>
      <c r="J1180" s="13">
        <v>45548</v>
      </c>
      <c r="K1180" t="s">
        <v>327</v>
      </c>
    </row>
    <row r="1181" customFormat="1" spans="1:11">
      <c r="A1181" t="s">
        <v>319</v>
      </c>
      <c r="B1181" s="8">
        <v>242501384</v>
      </c>
      <c r="C1181" s="9">
        <v>45541</v>
      </c>
      <c r="D1181" s="8" t="s">
        <v>58</v>
      </c>
      <c r="E1181" s="10">
        <v>30000</v>
      </c>
      <c r="F1181" s="8">
        <v>0.019</v>
      </c>
      <c r="G1181" s="11">
        <v>45587</v>
      </c>
      <c r="H1181" s="12">
        <f t="shared" si="18"/>
        <v>570</v>
      </c>
      <c r="I1181" s="10" t="s">
        <v>10</v>
      </c>
      <c r="J1181" s="13">
        <v>45548</v>
      </c>
      <c r="K1181" t="s">
        <v>327</v>
      </c>
    </row>
    <row r="1182" customFormat="1" spans="1:11">
      <c r="A1182" t="s">
        <v>319</v>
      </c>
      <c r="B1182" s="8">
        <v>242501384</v>
      </c>
      <c r="C1182" s="9">
        <v>45541</v>
      </c>
      <c r="D1182" s="8" t="s">
        <v>58</v>
      </c>
      <c r="E1182" s="10">
        <v>30000</v>
      </c>
      <c r="F1182" s="8">
        <v>0.019</v>
      </c>
      <c r="G1182" s="11">
        <v>45618</v>
      </c>
      <c r="H1182" s="12">
        <f t="shared" si="18"/>
        <v>570</v>
      </c>
      <c r="I1182" s="10" t="s">
        <v>10</v>
      </c>
      <c r="J1182" s="13">
        <v>45548</v>
      </c>
      <c r="K1182" t="s">
        <v>327</v>
      </c>
    </row>
    <row r="1183" customFormat="1" spans="1:11">
      <c r="A1183" t="s">
        <v>319</v>
      </c>
      <c r="B1183" s="8">
        <v>242501384</v>
      </c>
      <c r="C1183" s="9">
        <v>45541</v>
      </c>
      <c r="D1183" s="8" t="s">
        <v>58</v>
      </c>
      <c r="E1183" s="10">
        <v>30000</v>
      </c>
      <c r="F1183" s="8">
        <v>0.019</v>
      </c>
      <c r="G1183" s="11">
        <v>45648</v>
      </c>
      <c r="H1183" s="12">
        <f t="shared" si="18"/>
        <v>570</v>
      </c>
      <c r="I1183" s="10" t="s">
        <v>10</v>
      </c>
      <c r="J1183" s="13">
        <v>45548</v>
      </c>
      <c r="K1183" t="s">
        <v>327</v>
      </c>
    </row>
    <row r="1184" customFormat="1" spans="1:11">
      <c r="A1184" t="s">
        <v>319</v>
      </c>
      <c r="B1184" s="8">
        <v>242501385</v>
      </c>
      <c r="C1184" s="9">
        <v>45541</v>
      </c>
      <c r="D1184" s="8" t="s">
        <v>58</v>
      </c>
      <c r="E1184" s="10">
        <v>300000</v>
      </c>
      <c r="F1184" s="8">
        <v>0.019</v>
      </c>
      <c r="G1184" s="11">
        <v>45587</v>
      </c>
      <c r="H1184" s="12">
        <f t="shared" si="18"/>
        <v>5700</v>
      </c>
      <c r="I1184" s="10" t="s">
        <v>10</v>
      </c>
      <c r="J1184" s="13">
        <v>45548</v>
      </c>
      <c r="K1184" t="s">
        <v>327</v>
      </c>
    </row>
    <row r="1185" customFormat="1" spans="1:11">
      <c r="A1185" t="s">
        <v>319</v>
      </c>
      <c r="B1185" s="8">
        <v>242501407</v>
      </c>
      <c r="C1185" s="9">
        <v>45548</v>
      </c>
      <c r="D1185" s="8" t="s">
        <v>374</v>
      </c>
      <c r="E1185" s="10">
        <v>88000</v>
      </c>
      <c r="F1185" s="8">
        <v>0.01</v>
      </c>
      <c r="G1185" s="11">
        <v>45557</v>
      </c>
      <c r="H1185" s="12">
        <f t="shared" si="18"/>
        <v>880</v>
      </c>
      <c r="I1185" s="10" t="s">
        <v>10</v>
      </c>
      <c r="J1185" s="15" t="s">
        <v>423</v>
      </c>
    </row>
    <row r="1186" customFormat="1" spans="1:11">
      <c r="A1186" t="s">
        <v>319</v>
      </c>
      <c r="B1186" s="8">
        <v>242501407</v>
      </c>
      <c r="C1186" s="9">
        <v>45548</v>
      </c>
      <c r="D1186" s="8" t="s">
        <v>374</v>
      </c>
      <c r="E1186" s="10">
        <v>100000</v>
      </c>
      <c r="F1186" s="8">
        <v>0.01</v>
      </c>
      <c r="G1186" s="11">
        <v>45557</v>
      </c>
      <c r="H1186" s="12">
        <f t="shared" si="18"/>
        <v>1000</v>
      </c>
      <c r="I1186" s="10" t="s">
        <v>10</v>
      </c>
      <c r="J1186" s="15" t="s">
        <v>423</v>
      </c>
    </row>
    <row r="1187" customFormat="1" spans="1:11">
      <c r="A1187" t="s">
        <v>319</v>
      </c>
      <c r="B1187" s="8">
        <v>242501407</v>
      </c>
      <c r="C1187" s="9">
        <v>45548</v>
      </c>
      <c r="D1187" s="8" t="s">
        <v>374</v>
      </c>
      <c r="E1187" s="10">
        <v>100000</v>
      </c>
      <c r="F1187" s="8">
        <v>0.01</v>
      </c>
      <c r="G1187" s="11">
        <v>45575</v>
      </c>
      <c r="H1187" s="12">
        <f t="shared" si="18"/>
        <v>1000</v>
      </c>
      <c r="I1187" s="10" t="s">
        <v>10</v>
      </c>
      <c r="J1187" s="15" t="s">
        <v>423</v>
      </c>
    </row>
    <row r="1188" customFormat="1" spans="1:11">
      <c r="A1188" t="s">
        <v>319</v>
      </c>
      <c r="B1188" s="8">
        <v>242501407</v>
      </c>
      <c r="C1188" s="9">
        <v>45548</v>
      </c>
      <c r="D1188" s="8" t="s">
        <v>374</v>
      </c>
      <c r="E1188" s="10">
        <v>112000</v>
      </c>
      <c r="F1188" s="8">
        <v>0.01</v>
      </c>
      <c r="G1188" s="11">
        <v>45606</v>
      </c>
      <c r="H1188" s="12">
        <f t="shared" si="18"/>
        <v>1120</v>
      </c>
      <c r="I1188" s="10" t="s">
        <v>10</v>
      </c>
      <c r="J1188" s="15" t="s">
        <v>423</v>
      </c>
    </row>
    <row r="1189" customFormat="1" spans="1:11">
      <c r="A1189" t="s">
        <v>319</v>
      </c>
      <c r="B1189" s="8">
        <v>242501407</v>
      </c>
      <c r="C1189" s="9">
        <v>45548</v>
      </c>
      <c r="D1189" s="8" t="s">
        <v>375</v>
      </c>
      <c r="E1189" s="10">
        <v>90000</v>
      </c>
      <c r="F1189" s="8">
        <v>0.032</v>
      </c>
      <c r="G1189" s="11">
        <v>45557</v>
      </c>
      <c r="H1189" s="12">
        <f t="shared" si="18"/>
        <v>2880</v>
      </c>
      <c r="I1189" s="10" t="s">
        <v>10</v>
      </c>
      <c r="J1189" s="15" t="s">
        <v>423</v>
      </c>
    </row>
    <row r="1190" customFormat="1" spans="1:11">
      <c r="A1190" t="s">
        <v>319</v>
      </c>
      <c r="B1190" s="8">
        <v>242501407</v>
      </c>
      <c r="C1190" s="9">
        <v>45548</v>
      </c>
      <c r="D1190" s="8" t="s">
        <v>375</v>
      </c>
      <c r="E1190" s="10">
        <v>100000</v>
      </c>
      <c r="F1190" s="8">
        <v>0.032</v>
      </c>
      <c r="G1190" s="11">
        <v>45557</v>
      </c>
      <c r="H1190" s="12">
        <f t="shared" si="18"/>
        <v>3200</v>
      </c>
      <c r="I1190" s="10" t="s">
        <v>10</v>
      </c>
      <c r="J1190" s="15" t="s">
        <v>423</v>
      </c>
    </row>
    <row r="1191" customFormat="1" spans="1:11">
      <c r="A1191" t="s">
        <v>319</v>
      </c>
      <c r="B1191" s="8">
        <v>242501407</v>
      </c>
      <c r="C1191" s="9">
        <v>45548</v>
      </c>
      <c r="D1191" s="8" t="s">
        <v>375</v>
      </c>
      <c r="E1191" s="10">
        <v>100000</v>
      </c>
      <c r="F1191" s="8">
        <v>0.032</v>
      </c>
      <c r="G1191" s="11">
        <v>45575</v>
      </c>
      <c r="H1191" s="12">
        <f t="shared" si="18"/>
        <v>3200</v>
      </c>
      <c r="I1191" s="10" t="s">
        <v>10</v>
      </c>
      <c r="J1191" s="15" t="s">
        <v>423</v>
      </c>
    </row>
    <row r="1192" customFormat="1" spans="1:11">
      <c r="A1192" t="s">
        <v>319</v>
      </c>
      <c r="B1192" s="8">
        <v>242501407</v>
      </c>
      <c r="C1192" s="9">
        <v>45548</v>
      </c>
      <c r="D1192" s="8" t="s">
        <v>375</v>
      </c>
      <c r="E1192" s="10">
        <v>110000</v>
      </c>
      <c r="F1192" s="8">
        <v>0.032</v>
      </c>
      <c r="G1192" s="11">
        <v>45606</v>
      </c>
      <c r="H1192" s="12">
        <f t="shared" si="18"/>
        <v>3520</v>
      </c>
      <c r="I1192" s="10" t="s">
        <v>10</v>
      </c>
      <c r="J1192" s="15" t="s">
        <v>423</v>
      </c>
    </row>
    <row r="1193" customFormat="1" spans="1:11">
      <c r="A1193" t="s">
        <v>319</v>
      </c>
      <c r="B1193" s="8">
        <v>242501407</v>
      </c>
      <c r="C1193" s="9">
        <v>45548</v>
      </c>
      <c r="D1193" s="8" t="s">
        <v>424</v>
      </c>
      <c r="E1193" s="10">
        <v>90000</v>
      </c>
      <c r="F1193" s="8">
        <v>0.04</v>
      </c>
      <c r="G1193" s="11">
        <v>45557</v>
      </c>
      <c r="H1193" s="12">
        <f t="shared" si="18"/>
        <v>3600</v>
      </c>
      <c r="I1193" s="10" t="s">
        <v>10</v>
      </c>
      <c r="J1193" s="15" t="s">
        <v>423</v>
      </c>
    </row>
    <row r="1194" customFormat="1" spans="1:11">
      <c r="A1194" t="s">
        <v>319</v>
      </c>
      <c r="B1194" s="8">
        <v>242501407</v>
      </c>
      <c r="C1194" s="9">
        <v>45548</v>
      </c>
      <c r="D1194" s="8" t="s">
        <v>424</v>
      </c>
      <c r="E1194" s="10">
        <v>102000</v>
      </c>
      <c r="F1194" s="8">
        <v>0.04</v>
      </c>
      <c r="G1194" s="11">
        <v>45557</v>
      </c>
      <c r="H1194" s="12">
        <f t="shared" si="18"/>
        <v>4080</v>
      </c>
      <c r="I1194" s="10" t="s">
        <v>10</v>
      </c>
      <c r="J1194" s="15" t="s">
        <v>423</v>
      </c>
    </row>
    <row r="1195" customFormat="1" spans="1:11">
      <c r="A1195" t="s">
        <v>319</v>
      </c>
      <c r="B1195" s="8">
        <v>242501407</v>
      </c>
      <c r="C1195" s="9">
        <v>45548</v>
      </c>
      <c r="D1195" s="8" t="s">
        <v>424</v>
      </c>
      <c r="E1195" s="10">
        <v>102000</v>
      </c>
      <c r="F1195" s="8">
        <v>0.04</v>
      </c>
      <c r="G1195" s="11">
        <v>45575</v>
      </c>
      <c r="H1195" s="12">
        <f t="shared" si="18"/>
        <v>4080</v>
      </c>
      <c r="I1195" s="10" t="s">
        <v>10</v>
      </c>
      <c r="J1195" s="15" t="s">
        <v>423</v>
      </c>
    </row>
    <row r="1196" customFormat="1" spans="1:11">
      <c r="A1196" t="s">
        <v>319</v>
      </c>
      <c r="B1196" s="8">
        <v>242501407</v>
      </c>
      <c r="C1196" s="9">
        <v>45548</v>
      </c>
      <c r="D1196" s="8" t="s">
        <v>424</v>
      </c>
      <c r="E1196" s="10">
        <v>105000</v>
      </c>
      <c r="F1196" s="8">
        <v>0.04</v>
      </c>
      <c r="G1196" s="11">
        <v>45606</v>
      </c>
      <c r="H1196" s="12">
        <f t="shared" si="18"/>
        <v>4200</v>
      </c>
      <c r="I1196" s="10" t="s">
        <v>10</v>
      </c>
      <c r="J1196" s="15" t="s">
        <v>423</v>
      </c>
    </row>
    <row r="1197" customFormat="1" spans="1:11">
      <c r="A1197" t="s">
        <v>319</v>
      </c>
      <c r="B1197" s="8">
        <v>242501413</v>
      </c>
      <c r="C1197" s="9">
        <v>45551</v>
      </c>
      <c r="D1197" s="8" t="s">
        <v>297</v>
      </c>
      <c r="E1197" s="10">
        <v>400000</v>
      </c>
      <c r="F1197" s="8">
        <v>0.15</v>
      </c>
      <c r="G1197" s="11">
        <v>45587</v>
      </c>
      <c r="H1197" s="12">
        <f t="shared" si="18"/>
        <v>60000</v>
      </c>
      <c r="I1197" s="10" t="s">
        <v>10</v>
      </c>
      <c r="J1197" s="13">
        <v>45554</v>
      </c>
      <c r="K1197" t="s">
        <v>337</v>
      </c>
    </row>
    <row r="1198" customFormat="1" spans="1:11">
      <c r="A1198" t="s">
        <v>319</v>
      </c>
      <c r="B1198" s="8">
        <v>242501413</v>
      </c>
      <c r="C1198" s="9">
        <v>45551</v>
      </c>
      <c r="D1198" s="8" t="s">
        <v>297</v>
      </c>
      <c r="E1198" s="10">
        <v>454000</v>
      </c>
      <c r="F1198" s="8">
        <v>0.15</v>
      </c>
      <c r="G1198" s="11">
        <v>45601</v>
      </c>
      <c r="H1198" s="12">
        <f t="shared" si="18"/>
        <v>68100</v>
      </c>
      <c r="I1198" s="10" t="s">
        <v>10</v>
      </c>
      <c r="J1198" s="13">
        <v>45554</v>
      </c>
      <c r="K1198" t="s">
        <v>337</v>
      </c>
    </row>
    <row r="1199" customFormat="1" spans="1:11">
      <c r="A1199" t="s">
        <v>319</v>
      </c>
      <c r="B1199" s="8">
        <v>242501414</v>
      </c>
      <c r="C1199" s="9">
        <v>45551</v>
      </c>
      <c r="D1199" s="8" t="s">
        <v>226</v>
      </c>
      <c r="E1199" s="10">
        <v>200000</v>
      </c>
      <c r="F1199" s="8">
        <v>0.08</v>
      </c>
      <c r="G1199" s="11">
        <v>45648</v>
      </c>
      <c r="H1199" s="12">
        <f t="shared" si="18"/>
        <v>16000</v>
      </c>
      <c r="I1199" s="10" t="s">
        <v>10</v>
      </c>
      <c r="J1199" s="13">
        <v>45561</v>
      </c>
      <c r="K1199" t="s">
        <v>337</v>
      </c>
    </row>
    <row r="1200" customFormat="1" spans="1:11">
      <c r="A1200" t="s">
        <v>319</v>
      </c>
      <c r="B1200" s="8">
        <v>242501414</v>
      </c>
      <c r="C1200" s="9">
        <v>45551</v>
      </c>
      <c r="D1200" s="8" t="s">
        <v>226</v>
      </c>
      <c r="E1200" s="10">
        <v>200000</v>
      </c>
      <c r="F1200" s="8">
        <v>0.08</v>
      </c>
      <c r="G1200" s="11">
        <v>45679</v>
      </c>
      <c r="H1200" s="12">
        <f t="shared" si="18"/>
        <v>16000</v>
      </c>
      <c r="I1200" s="10" t="s">
        <v>10</v>
      </c>
      <c r="J1200" s="13">
        <v>45561</v>
      </c>
      <c r="K1200" t="s">
        <v>337</v>
      </c>
    </row>
    <row r="1201" customFormat="1" spans="1:11">
      <c r="A1201" t="s">
        <v>319</v>
      </c>
      <c r="B1201" s="8">
        <v>242501414</v>
      </c>
      <c r="C1201" s="9">
        <v>45551</v>
      </c>
      <c r="D1201" s="8" t="s">
        <v>254</v>
      </c>
      <c r="E1201" s="10">
        <v>500000</v>
      </c>
      <c r="F1201" s="8">
        <v>0.022</v>
      </c>
      <c r="G1201" s="11">
        <v>45648</v>
      </c>
      <c r="H1201" s="12">
        <f t="shared" si="18"/>
        <v>11000</v>
      </c>
      <c r="I1201" s="10" t="s">
        <v>10</v>
      </c>
      <c r="J1201" s="13">
        <v>45561</v>
      </c>
      <c r="K1201" t="s">
        <v>337</v>
      </c>
    </row>
    <row r="1202" customFormat="1" spans="1:11">
      <c r="A1202" t="s">
        <v>319</v>
      </c>
      <c r="B1202" s="8">
        <v>242501414</v>
      </c>
      <c r="C1202" s="9">
        <v>45551</v>
      </c>
      <c r="D1202" s="8" t="s">
        <v>254</v>
      </c>
      <c r="E1202" s="10">
        <v>500000</v>
      </c>
      <c r="F1202" s="8">
        <v>0.022</v>
      </c>
      <c r="G1202" s="11">
        <v>45679</v>
      </c>
      <c r="H1202" s="12">
        <f t="shared" si="18"/>
        <v>11000</v>
      </c>
      <c r="I1202" s="10" t="s">
        <v>10</v>
      </c>
      <c r="J1202" s="13">
        <v>45561</v>
      </c>
      <c r="K1202" t="s">
        <v>337</v>
      </c>
    </row>
    <row r="1203" customFormat="1" spans="1:11">
      <c r="A1203" t="s">
        <v>319</v>
      </c>
      <c r="B1203" s="8">
        <v>242501415</v>
      </c>
      <c r="C1203" s="9">
        <v>45551</v>
      </c>
      <c r="D1203" s="8" t="s">
        <v>164</v>
      </c>
      <c r="E1203" s="10">
        <v>30000</v>
      </c>
      <c r="F1203" s="8">
        <v>0.0106</v>
      </c>
      <c r="G1203" s="11">
        <v>45557</v>
      </c>
      <c r="H1203" s="12">
        <f t="shared" si="18"/>
        <v>318</v>
      </c>
      <c r="I1203" s="10" t="s">
        <v>10</v>
      </c>
      <c r="J1203" s="15" t="s">
        <v>421</v>
      </c>
    </row>
    <row r="1204" customFormat="1" spans="1:11">
      <c r="A1204" t="s">
        <v>319</v>
      </c>
      <c r="B1204" s="53">
        <v>242501422</v>
      </c>
      <c r="C1204" s="54">
        <v>45553</v>
      </c>
      <c r="D1204" s="53" t="s">
        <v>297</v>
      </c>
      <c r="E1204" s="56">
        <v>400000</v>
      </c>
      <c r="F1204" s="53">
        <v>0.15</v>
      </c>
      <c r="G1204" s="57">
        <v>45648</v>
      </c>
      <c r="H1204" s="58">
        <f t="shared" si="18"/>
        <v>60000</v>
      </c>
      <c r="I1204" s="56" t="s">
        <v>317</v>
      </c>
      <c r="J1204" s="15"/>
    </row>
    <row r="1205" customFormat="1" spans="1:11">
      <c r="A1205" t="s">
        <v>319</v>
      </c>
      <c r="B1205" s="53">
        <v>242501423</v>
      </c>
      <c r="C1205" s="54">
        <v>45553</v>
      </c>
      <c r="D1205" s="53" t="s">
        <v>410</v>
      </c>
      <c r="E1205" s="56">
        <v>2000</v>
      </c>
      <c r="F1205" s="53">
        <v>0.05</v>
      </c>
      <c r="G1205" s="57">
        <v>45557</v>
      </c>
      <c r="H1205" s="58">
        <f t="shared" si="18"/>
        <v>100</v>
      </c>
      <c r="I1205" s="56" t="s">
        <v>317</v>
      </c>
      <c r="J1205" s="15" t="s">
        <v>398</v>
      </c>
    </row>
    <row r="1206" customFormat="1" spans="1:11">
      <c r="A1206" t="s">
        <v>319</v>
      </c>
      <c r="B1206" s="8">
        <v>242501424</v>
      </c>
      <c r="C1206" s="9">
        <v>45553</v>
      </c>
      <c r="D1206" s="8" t="s">
        <v>425</v>
      </c>
      <c r="E1206" s="10">
        <v>10000</v>
      </c>
      <c r="F1206" s="8">
        <v>0.07</v>
      </c>
      <c r="G1206" s="11">
        <v>45553</v>
      </c>
      <c r="H1206" s="12">
        <f t="shared" si="18"/>
        <v>700</v>
      </c>
      <c r="I1206" s="10" t="s">
        <v>10</v>
      </c>
      <c r="J1206" s="13">
        <v>45432</v>
      </c>
    </row>
    <row r="1207" customFormat="1" spans="1:11">
      <c r="A1207" t="s">
        <v>319</v>
      </c>
      <c r="B1207" s="8">
        <v>242501433</v>
      </c>
      <c r="C1207" s="9">
        <v>45554</v>
      </c>
      <c r="D1207" s="8" t="s">
        <v>426</v>
      </c>
      <c r="E1207" s="10">
        <v>500000</v>
      </c>
      <c r="F1207" s="8">
        <v>0.04</v>
      </c>
      <c r="G1207" s="11">
        <v>45557</v>
      </c>
      <c r="H1207" s="12">
        <f t="shared" si="18"/>
        <v>20000</v>
      </c>
      <c r="I1207" s="10" t="s">
        <v>10</v>
      </c>
      <c r="J1207" s="13">
        <v>45432</v>
      </c>
    </row>
    <row r="1208" customFormat="1" spans="1:11">
      <c r="A1208" t="s">
        <v>319</v>
      </c>
      <c r="B1208" s="8">
        <v>242501433</v>
      </c>
      <c r="C1208" s="9">
        <v>45554</v>
      </c>
      <c r="D1208" s="8" t="s">
        <v>426</v>
      </c>
      <c r="E1208" s="10">
        <v>500000</v>
      </c>
      <c r="F1208" s="8">
        <v>0.04</v>
      </c>
      <c r="G1208" s="11">
        <v>45557</v>
      </c>
      <c r="H1208" s="12">
        <f t="shared" si="18"/>
        <v>20000</v>
      </c>
      <c r="I1208" s="10" t="s">
        <v>10</v>
      </c>
      <c r="J1208" s="13">
        <v>45432</v>
      </c>
    </row>
    <row r="1209" customFormat="1" spans="1:11">
      <c r="A1209" t="s">
        <v>319</v>
      </c>
      <c r="B1209" s="8">
        <v>242501434</v>
      </c>
      <c r="C1209" s="9">
        <v>45554</v>
      </c>
      <c r="D1209" s="8" t="s">
        <v>426</v>
      </c>
      <c r="E1209" s="10">
        <v>500000</v>
      </c>
      <c r="F1209" s="8">
        <v>0.04</v>
      </c>
      <c r="G1209" s="11">
        <v>45557</v>
      </c>
      <c r="H1209" s="12">
        <f t="shared" si="18"/>
        <v>20000</v>
      </c>
      <c r="I1209" s="10" t="s">
        <v>10</v>
      </c>
      <c r="J1209" s="13">
        <v>45432</v>
      </c>
    </row>
    <row r="1210" customFormat="1" spans="1:11">
      <c r="A1210" t="s">
        <v>319</v>
      </c>
      <c r="B1210" s="8">
        <v>242501447</v>
      </c>
      <c r="C1210" s="9">
        <v>45554</v>
      </c>
      <c r="D1210" s="8" t="s">
        <v>427</v>
      </c>
      <c r="E1210" s="10">
        <v>50000</v>
      </c>
      <c r="F1210" s="8">
        <v>0.05</v>
      </c>
      <c r="G1210" s="11">
        <v>45557</v>
      </c>
      <c r="H1210" s="12">
        <f t="shared" si="18"/>
        <v>2500</v>
      </c>
      <c r="I1210" s="10" t="s">
        <v>10</v>
      </c>
      <c r="J1210" s="13">
        <v>45437</v>
      </c>
    </row>
    <row r="1211" customFormat="1" spans="1:11">
      <c r="A1211" t="s">
        <v>319</v>
      </c>
      <c r="B1211" s="8">
        <v>242501469</v>
      </c>
      <c r="C1211" s="9">
        <v>45558</v>
      </c>
      <c r="D1211" s="8" t="s">
        <v>395</v>
      </c>
      <c r="E1211" s="10">
        <v>300000</v>
      </c>
      <c r="F1211" s="8">
        <v>0.013</v>
      </c>
      <c r="G1211" s="11">
        <v>45558</v>
      </c>
      <c r="H1211" s="12">
        <f t="shared" si="18"/>
        <v>3900</v>
      </c>
      <c r="I1211" s="10" t="s">
        <v>10</v>
      </c>
      <c r="J1211" s="13" t="s">
        <v>428</v>
      </c>
    </row>
    <row r="1212" customFormat="1" spans="1:11">
      <c r="A1212" t="s">
        <v>319</v>
      </c>
      <c r="B1212" s="8">
        <v>242501478</v>
      </c>
      <c r="C1212" s="9">
        <v>45559</v>
      </c>
      <c r="D1212" s="8" t="s">
        <v>41</v>
      </c>
      <c r="E1212" s="10">
        <v>28000</v>
      </c>
      <c r="F1212" s="8">
        <v>0.285</v>
      </c>
      <c r="G1212" s="11">
        <v>45662</v>
      </c>
      <c r="H1212" s="12">
        <f t="shared" si="18"/>
        <v>7980</v>
      </c>
      <c r="I1212" s="10" t="s">
        <v>10</v>
      </c>
      <c r="J1212" s="13">
        <v>45572</v>
      </c>
    </row>
    <row r="1213" customFormat="1" spans="1:11">
      <c r="A1213" t="s">
        <v>319</v>
      </c>
      <c r="B1213" s="8">
        <v>242501497</v>
      </c>
      <c r="C1213" s="9">
        <v>45559</v>
      </c>
      <c r="D1213" s="8" t="s">
        <v>82</v>
      </c>
      <c r="E1213" s="10">
        <v>225000</v>
      </c>
      <c r="F1213" s="8">
        <v>0.022</v>
      </c>
      <c r="G1213" s="11">
        <v>45587</v>
      </c>
      <c r="H1213" s="12">
        <f t="shared" si="18"/>
        <v>4950</v>
      </c>
      <c r="I1213" s="10" t="s">
        <v>10</v>
      </c>
      <c r="J1213" s="13">
        <v>45572</v>
      </c>
    </row>
    <row r="1214" customFormat="1" spans="1:11">
      <c r="A1214" t="s">
        <v>319</v>
      </c>
      <c r="B1214" s="8">
        <v>242501523</v>
      </c>
      <c r="C1214" s="9">
        <v>45562</v>
      </c>
      <c r="D1214" s="8" t="s">
        <v>419</v>
      </c>
      <c r="E1214" s="10">
        <v>288000</v>
      </c>
      <c r="F1214" s="8">
        <v>0.0035</v>
      </c>
      <c r="G1214" s="11">
        <v>45570</v>
      </c>
      <c r="H1214" s="12">
        <f t="shared" si="18"/>
        <v>1008</v>
      </c>
      <c r="I1214" s="10" t="s">
        <v>10</v>
      </c>
      <c r="J1214" s="15" t="s">
        <v>421</v>
      </c>
    </row>
    <row r="1215" customFormat="1" spans="1:11">
      <c r="A1215" t="s">
        <v>319</v>
      </c>
      <c r="B1215" s="8">
        <v>242501523</v>
      </c>
      <c r="C1215" s="9">
        <v>45562</v>
      </c>
      <c r="D1215" s="8" t="s">
        <v>395</v>
      </c>
      <c r="E1215" s="10">
        <v>498000</v>
      </c>
      <c r="F1215" s="8">
        <v>0.013</v>
      </c>
      <c r="G1215" s="11">
        <v>45570</v>
      </c>
      <c r="H1215" s="12">
        <f t="shared" si="18"/>
        <v>6474</v>
      </c>
      <c r="I1215" s="10" t="s">
        <v>10</v>
      </c>
      <c r="J1215" s="15" t="s">
        <v>421</v>
      </c>
    </row>
    <row r="1216" customFormat="1" spans="1:11">
      <c r="A1216" t="s">
        <v>319</v>
      </c>
      <c r="B1216" s="8">
        <v>242501557</v>
      </c>
      <c r="C1216" s="9">
        <v>45568</v>
      </c>
      <c r="D1216" s="8" t="s">
        <v>207</v>
      </c>
      <c r="E1216" s="10">
        <v>60000</v>
      </c>
      <c r="F1216" s="8">
        <v>0.03</v>
      </c>
      <c r="G1216" s="11">
        <v>45570</v>
      </c>
      <c r="H1216" s="12">
        <f t="shared" si="18"/>
        <v>1800</v>
      </c>
      <c r="I1216" s="10" t="s">
        <v>10</v>
      </c>
      <c r="J1216" s="13">
        <v>45573</v>
      </c>
    </row>
    <row r="1217" customFormat="1" spans="1:11">
      <c r="A1217" t="s">
        <v>319</v>
      </c>
      <c r="B1217" s="8">
        <v>242501557</v>
      </c>
      <c r="C1217" s="9">
        <v>45568</v>
      </c>
      <c r="D1217" s="8" t="s">
        <v>207</v>
      </c>
      <c r="E1217" s="10">
        <v>60000</v>
      </c>
      <c r="F1217" s="8">
        <v>0.03</v>
      </c>
      <c r="G1217" s="11">
        <v>45570</v>
      </c>
      <c r="H1217" s="12">
        <f t="shared" si="18"/>
        <v>1800</v>
      </c>
      <c r="I1217" s="10" t="s">
        <v>10</v>
      </c>
      <c r="J1217" s="13">
        <v>45573</v>
      </c>
    </row>
    <row r="1218" customFormat="1" spans="1:11">
      <c r="A1218" t="s">
        <v>319</v>
      </c>
      <c r="B1218" s="8">
        <v>242501564</v>
      </c>
      <c r="C1218" s="9">
        <v>45572</v>
      </c>
      <c r="D1218" s="8" t="s">
        <v>207</v>
      </c>
      <c r="E1218" s="10">
        <v>200000</v>
      </c>
      <c r="F1218" s="8">
        <v>0.03</v>
      </c>
      <c r="G1218" s="11">
        <v>45595</v>
      </c>
      <c r="H1218" s="12">
        <f t="shared" ref="H1218:H1281" si="19">E1218*F1218</f>
        <v>6000</v>
      </c>
      <c r="I1218" s="10" t="s">
        <v>10</v>
      </c>
      <c r="J1218" s="13">
        <v>45573</v>
      </c>
    </row>
    <row r="1219" customFormat="1" spans="1:11">
      <c r="A1219" t="s">
        <v>319</v>
      </c>
      <c r="B1219" s="8">
        <v>242501564</v>
      </c>
      <c r="C1219" s="9">
        <v>45572</v>
      </c>
      <c r="D1219" s="8" t="s">
        <v>207</v>
      </c>
      <c r="E1219" s="10">
        <v>200000</v>
      </c>
      <c r="F1219" s="8">
        <v>0.03</v>
      </c>
      <c r="G1219" s="11">
        <v>45595</v>
      </c>
      <c r="H1219" s="12">
        <f t="shared" si="19"/>
        <v>6000</v>
      </c>
      <c r="I1219" s="10" t="s">
        <v>10</v>
      </c>
      <c r="J1219" s="13">
        <v>45573</v>
      </c>
    </row>
    <row r="1220" customFormat="1" spans="1:11">
      <c r="A1220" t="s">
        <v>319</v>
      </c>
      <c r="B1220" s="8">
        <v>242501570</v>
      </c>
      <c r="C1220" s="9">
        <v>45573</v>
      </c>
      <c r="D1220" s="8" t="s">
        <v>290</v>
      </c>
      <c r="E1220" s="10">
        <v>20000</v>
      </c>
      <c r="F1220" s="8">
        <v>0.03</v>
      </c>
      <c r="G1220" s="11">
        <v>45601</v>
      </c>
      <c r="H1220" s="12">
        <f t="shared" si="19"/>
        <v>600</v>
      </c>
      <c r="I1220" s="10" t="s">
        <v>10</v>
      </c>
      <c r="J1220" s="13">
        <v>45576</v>
      </c>
      <c r="K1220" t="s">
        <v>369</v>
      </c>
    </row>
    <row r="1221" customFormat="1" spans="1:11">
      <c r="A1221" t="s">
        <v>319</v>
      </c>
      <c r="B1221" s="8">
        <v>242501570</v>
      </c>
      <c r="C1221" s="9">
        <v>45573</v>
      </c>
      <c r="D1221" s="8" t="s">
        <v>303</v>
      </c>
      <c r="E1221" s="10">
        <v>20000</v>
      </c>
      <c r="F1221" s="8">
        <v>0.0205</v>
      </c>
      <c r="G1221" s="11">
        <v>45631</v>
      </c>
      <c r="H1221" s="12">
        <f t="shared" si="19"/>
        <v>410</v>
      </c>
      <c r="I1221" s="10" t="s">
        <v>10</v>
      </c>
      <c r="J1221" s="13">
        <v>45582</v>
      </c>
      <c r="K1221" t="s">
        <v>369</v>
      </c>
    </row>
    <row r="1222" customFormat="1" spans="1:11">
      <c r="A1222" t="s">
        <v>319</v>
      </c>
      <c r="B1222" s="8">
        <v>242501578</v>
      </c>
      <c r="C1222" s="9">
        <v>45573</v>
      </c>
      <c r="D1222" s="8" t="s">
        <v>429</v>
      </c>
      <c r="E1222" s="10">
        <v>20000</v>
      </c>
      <c r="F1222" s="8">
        <v>0.015</v>
      </c>
      <c r="G1222" s="11">
        <v>45585</v>
      </c>
      <c r="H1222" s="12">
        <f t="shared" si="19"/>
        <v>300</v>
      </c>
      <c r="I1222" s="10" t="s">
        <v>10</v>
      </c>
      <c r="J1222" s="15" t="s">
        <v>412</v>
      </c>
    </row>
    <row r="1223" customFormat="1" spans="1:11">
      <c r="A1223" t="s">
        <v>319</v>
      </c>
      <c r="B1223" s="8">
        <v>242501586</v>
      </c>
      <c r="C1223" s="9">
        <v>45575</v>
      </c>
      <c r="D1223" s="8" t="s">
        <v>236</v>
      </c>
      <c r="E1223" s="10">
        <v>64000</v>
      </c>
      <c r="F1223" s="8">
        <v>0.006</v>
      </c>
      <c r="G1223" s="11">
        <v>45587</v>
      </c>
      <c r="H1223" s="12">
        <f t="shared" si="19"/>
        <v>384</v>
      </c>
      <c r="I1223" s="10" t="s">
        <v>10</v>
      </c>
      <c r="J1223" s="13">
        <v>45576</v>
      </c>
      <c r="K1223" t="s">
        <v>430</v>
      </c>
    </row>
    <row r="1224" customFormat="1" spans="1:11">
      <c r="A1224" t="s">
        <v>319</v>
      </c>
      <c r="B1224" s="8">
        <v>242501586</v>
      </c>
      <c r="C1224" s="9">
        <v>45575</v>
      </c>
      <c r="D1224" s="8" t="s">
        <v>236</v>
      </c>
      <c r="E1224" s="10">
        <v>64000</v>
      </c>
      <c r="F1224" s="8">
        <v>0.006</v>
      </c>
      <c r="G1224" s="11">
        <v>45601</v>
      </c>
      <c r="H1224" s="12">
        <f t="shared" si="19"/>
        <v>384</v>
      </c>
      <c r="I1224" s="10" t="s">
        <v>10</v>
      </c>
      <c r="J1224" s="13">
        <v>45576</v>
      </c>
      <c r="K1224" t="s">
        <v>430</v>
      </c>
    </row>
    <row r="1225" customFormat="1" spans="1:11">
      <c r="A1225" t="s">
        <v>319</v>
      </c>
      <c r="B1225" s="8">
        <v>242501586</v>
      </c>
      <c r="C1225" s="9">
        <v>45575</v>
      </c>
      <c r="D1225" s="8" t="s">
        <v>236</v>
      </c>
      <c r="E1225" s="10">
        <v>64000</v>
      </c>
      <c r="F1225" s="8">
        <v>0.006</v>
      </c>
      <c r="G1225" s="11">
        <v>45618</v>
      </c>
      <c r="H1225" s="12">
        <f t="shared" si="19"/>
        <v>384</v>
      </c>
      <c r="I1225" s="10" t="s">
        <v>10</v>
      </c>
      <c r="J1225" s="13">
        <v>45576</v>
      </c>
      <c r="K1225" t="s">
        <v>430</v>
      </c>
    </row>
    <row r="1226" customFormat="1" spans="1:11">
      <c r="A1226" t="s">
        <v>319</v>
      </c>
      <c r="B1226" s="8">
        <v>242501586</v>
      </c>
      <c r="C1226" s="9">
        <v>45575</v>
      </c>
      <c r="D1226" s="8" t="s">
        <v>394</v>
      </c>
      <c r="E1226" s="10">
        <v>96000</v>
      </c>
      <c r="F1226" s="8">
        <v>0.022</v>
      </c>
      <c r="G1226" s="11">
        <v>45618</v>
      </c>
      <c r="H1226" s="12">
        <f t="shared" si="19"/>
        <v>2112</v>
      </c>
      <c r="I1226" s="10" t="s">
        <v>10</v>
      </c>
      <c r="J1226" s="13">
        <v>45576</v>
      </c>
      <c r="K1226" t="s">
        <v>430</v>
      </c>
    </row>
    <row r="1227" customFormat="1" spans="1:11">
      <c r="A1227" t="s">
        <v>319</v>
      </c>
      <c r="B1227" s="8">
        <v>242501586</v>
      </c>
      <c r="C1227" s="9">
        <v>45575</v>
      </c>
      <c r="D1227" s="8" t="s">
        <v>271</v>
      </c>
      <c r="E1227" s="10">
        <v>120000</v>
      </c>
      <c r="F1227" s="8">
        <v>0.024</v>
      </c>
      <c r="G1227" s="11">
        <v>45587</v>
      </c>
      <c r="H1227" s="12">
        <f t="shared" si="19"/>
        <v>2880</v>
      </c>
      <c r="I1227" s="10" t="s">
        <v>10</v>
      </c>
      <c r="J1227" s="13">
        <v>45576</v>
      </c>
      <c r="K1227" t="s">
        <v>430</v>
      </c>
    </row>
    <row r="1228" customFormat="1" spans="1:11">
      <c r="A1228" t="s">
        <v>319</v>
      </c>
      <c r="B1228" s="8">
        <v>242501586</v>
      </c>
      <c r="C1228" s="9">
        <v>45575</v>
      </c>
      <c r="D1228" s="8" t="s">
        <v>271</v>
      </c>
      <c r="E1228" s="10">
        <v>120000</v>
      </c>
      <c r="F1228" s="8">
        <v>0.024</v>
      </c>
      <c r="G1228" s="11">
        <v>45601</v>
      </c>
      <c r="H1228" s="12">
        <f t="shared" si="19"/>
        <v>2880</v>
      </c>
      <c r="I1228" s="10" t="s">
        <v>10</v>
      </c>
      <c r="J1228" s="13">
        <v>45576</v>
      </c>
      <c r="K1228" t="s">
        <v>430</v>
      </c>
    </row>
    <row r="1229" customFormat="1" spans="1:11">
      <c r="A1229" t="s">
        <v>319</v>
      </c>
      <c r="B1229" s="8">
        <v>242501586</v>
      </c>
      <c r="C1229" s="9">
        <v>45575</v>
      </c>
      <c r="D1229" s="8" t="s">
        <v>271</v>
      </c>
      <c r="E1229" s="10">
        <v>120000</v>
      </c>
      <c r="F1229" s="8">
        <v>0.024</v>
      </c>
      <c r="G1229" s="11">
        <v>45618</v>
      </c>
      <c r="H1229" s="12">
        <f t="shared" si="19"/>
        <v>2880</v>
      </c>
      <c r="I1229" s="10" t="s">
        <v>10</v>
      </c>
      <c r="J1229" s="13">
        <v>45576</v>
      </c>
      <c r="K1229" t="s">
        <v>430</v>
      </c>
    </row>
    <row r="1230" customFormat="1" spans="1:11">
      <c r="A1230" t="s">
        <v>319</v>
      </c>
      <c r="B1230" s="8">
        <v>242501586</v>
      </c>
      <c r="C1230" s="9">
        <v>45575</v>
      </c>
      <c r="D1230" s="8" t="s">
        <v>210</v>
      </c>
      <c r="E1230" s="10">
        <v>120000</v>
      </c>
      <c r="F1230" s="8">
        <v>0.024</v>
      </c>
      <c r="G1230" s="11">
        <v>45587</v>
      </c>
      <c r="H1230" s="12">
        <f t="shared" si="19"/>
        <v>2880</v>
      </c>
      <c r="I1230" s="10" t="s">
        <v>10</v>
      </c>
      <c r="J1230" s="13">
        <v>45576</v>
      </c>
      <c r="K1230" t="s">
        <v>430</v>
      </c>
    </row>
    <row r="1231" customFormat="1" spans="1:11">
      <c r="A1231" t="s">
        <v>319</v>
      </c>
      <c r="B1231" s="8">
        <v>242501586</v>
      </c>
      <c r="C1231" s="9">
        <v>45575</v>
      </c>
      <c r="D1231" s="8" t="s">
        <v>210</v>
      </c>
      <c r="E1231" s="10">
        <v>120000</v>
      </c>
      <c r="F1231" s="8">
        <v>0.024</v>
      </c>
      <c r="G1231" s="11">
        <v>45618</v>
      </c>
      <c r="H1231" s="12">
        <f t="shared" si="19"/>
        <v>2880</v>
      </c>
      <c r="I1231" s="10" t="s">
        <v>10</v>
      </c>
      <c r="J1231" s="13">
        <v>45576</v>
      </c>
      <c r="K1231" t="s">
        <v>430</v>
      </c>
    </row>
    <row r="1232" customFormat="1" spans="1:11">
      <c r="A1232" t="s">
        <v>319</v>
      </c>
      <c r="B1232" s="8">
        <v>242501587</v>
      </c>
      <c r="C1232" s="9">
        <v>45575</v>
      </c>
      <c r="D1232" s="8" t="s">
        <v>210</v>
      </c>
      <c r="E1232" s="10">
        <v>120000</v>
      </c>
      <c r="F1232" s="8">
        <v>0.024</v>
      </c>
      <c r="G1232" s="11">
        <v>45587</v>
      </c>
      <c r="H1232" s="12">
        <f t="shared" si="19"/>
        <v>2880</v>
      </c>
      <c r="I1232" s="10" t="s">
        <v>10</v>
      </c>
      <c r="J1232" s="13">
        <v>45576</v>
      </c>
    </row>
    <row r="1233" customFormat="1" spans="1:11">
      <c r="A1233" t="s">
        <v>319</v>
      </c>
      <c r="B1233" s="8">
        <v>242501587</v>
      </c>
      <c r="C1233" s="9">
        <v>45575</v>
      </c>
      <c r="D1233" s="8" t="s">
        <v>210</v>
      </c>
      <c r="E1233" s="10">
        <v>120000</v>
      </c>
      <c r="F1233" s="8">
        <v>0.024</v>
      </c>
      <c r="G1233" s="11">
        <v>45618</v>
      </c>
      <c r="H1233" s="12">
        <f t="shared" si="19"/>
        <v>2880</v>
      </c>
      <c r="I1233" s="10" t="s">
        <v>10</v>
      </c>
      <c r="J1233" s="13">
        <v>45576</v>
      </c>
    </row>
    <row r="1234" customFormat="1" spans="1:11">
      <c r="A1234" t="s">
        <v>319</v>
      </c>
      <c r="B1234" s="8">
        <v>242501587</v>
      </c>
      <c r="C1234" s="9">
        <v>45575</v>
      </c>
      <c r="D1234" s="8" t="s">
        <v>211</v>
      </c>
      <c r="E1234" s="10">
        <v>208000</v>
      </c>
      <c r="F1234" s="8">
        <v>0.022</v>
      </c>
      <c r="G1234" s="11">
        <v>45618</v>
      </c>
      <c r="H1234" s="12">
        <f t="shared" si="19"/>
        <v>4576</v>
      </c>
      <c r="I1234" s="10" t="s">
        <v>10</v>
      </c>
      <c r="J1234" s="13">
        <v>45576</v>
      </c>
      <c r="K1234" t="s">
        <v>379</v>
      </c>
    </row>
    <row r="1235" customFormat="1" spans="1:11">
      <c r="A1235" t="s">
        <v>319</v>
      </c>
      <c r="B1235" s="8">
        <v>242501601</v>
      </c>
      <c r="C1235" s="9">
        <v>45576</v>
      </c>
      <c r="D1235" s="8" t="s">
        <v>330</v>
      </c>
      <c r="E1235" s="10">
        <v>300000</v>
      </c>
      <c r="F1235" s="8">
        <v>0.04</v>
      </c>
      <c r="G1235" s="11">
        <v>45631</v>
      </c>
      <c r="H1235" s="12">
        <f t="shared" si="19"/>
        <v>12000</v>
      </c>
      <c r="I1235" s="10" t="s">
        <v>10</v>
      </c>
      <c r="J1235" s="13">
        <v>45576</v>
      </c>
      <c r="K1235" t="s">
        <v>431</v>
      </c>
    </row>
    <row r="1236" customFormat="1" spans="1:11">
      <c r="A1236" t="s">
        <v>319</v>
      </c>
      <c r="B1236" s="8">
        <v>242501601</v>
      </c>
      <c r="C1236" s="9">
        <v>45576</v>
      </c>
      <c r="D1236" s="8" t="s">
        <v>330</v>
      </c>
      <c r="E1236" s="10">
        <v>300000</v>
      </c>
      <c r="F1236" s="8">
        <v>0.04</v>
      </c>
      <c r="G1236" s="11">
        <v>45662</v>
      </c>
      <c r="H1236" s="12">
        <f t="shared" si="19"/>
        <v>12000</v>
      </c>
      <c r="I1236" s="10" t="s">
        <v>10</v>
      </c>
      <c r="J1236" s="13">
        <v>45576</v>
      </c>
      <c r="K1236" t="s">
        <v>431</v>
      </c>
    </row>
    <row r="1237" customFormat="1" spans="1:11">
      <c r="A1237" t="s">
        <v>319</v>
      </c>
      <c r="B1237" s="8">
        <v>242501602</v>
      </c>
      <c r="C1237" s="9">
        <v>45576</v>
      </c>
      <c r="D1237" s="8" t="s">
        <v>202</v>
      </c>
      <c r="E1237" s="10">
        <v>200000</v>
      </c>
      <c r="F1237" s="8">
        <v>0.04</v>
      </c>
      <c r="G1237" s="11">
        <v>45631</v>
      </c>
      <c r="H1237" s="12">
        <f t="shared" si="19"/>
        <v>8000</v>
      </c>
      <c r="I1237" s="10" t="s">
        <v>10</v>
      </c>
      <c r="J1237" s="13">
        <v>45576</v>
      </c>
      <c r="K1237" t="s">
        <v>327</v>
      </c>
    </row>
    <row r="1238" customFormat="1" spans="1:11">
      <c r="A1238" t="s">
        <v>319</v>
      </c>
      <c r="B1238" s="8">
        <v>242501602</v>
      </c>
      <c r="C1238" s="9">
        <v>45576</v>
      </c>
      <c r="D1238" s="8" t="s">
        <v>202</v>
      </c>
      <c r="E1238" s="10">
        <v>200000</v>
      </c>
      <c r="F1238" s="8">
        <v>0.04</v>
      </c>
      <c r="G1238" s="11">
        <v>45662</v>
      </c>
      <c r="H1238" s="12">
        <f t="shared" si="19"/>
        <v>8000</v>
      </c>
      <c r="I1238" s="10" t="s">
        <v>10</v>
      </c>
      <c r="J1238" s="13">
        <v>45576</v>
      </c>
      <c r="K1238" t="s">
        <v>327</v>
      </c>
    </row>
    <row r="1239" customFormat="1" spans="1:11">
      <c r="A1239" t="s">
        <v>319</v>
      </c>
      <c r="B1239" s="8">
        <v>242501603</v>
      </c>
      <c r="C1239" s="9">
        <v>45576</v>
      </c>
      <c r="D1239" s="8" t="s">
        <v>202</v>
      </c>
      <c r="E1239" s="10">
        <v>100000</v>
      </c>
      <c r="F1239" s="8">
        <v>0.04</v>
      </c>
      <c r="G1239" s="11">
        <v>45631</v>
      </c>
      <c r="H1239" s="12">
        <f t="shared" si="19"/>
        <v>4000</v>
      </c>
      <c r="I1239" s="10" t="s">
        <v>10</v>
      </c>
      <c r="J1239" s="13">
        <v>45576</v>
      </c>
      <c r="K1239" t="s">
        <v>392</v>
      </c>
    </row>
    <row r="1240" customFormat="1" spans="1:11">
      <c r="A1240" t="s">
        <v>319</v>
      </c>
      <c r="B1240" s="8">
        <v>242501603</v>
      </c>
      <c r="C1240" s="9">
        <v>45576</v>
      </c>
      <c r="D1240" s="8" t="s">
        <v>202</v>
      </c>
      <c r="E1240" s="10">
        <v>100000</v>
      </c>
      <c r="F1240" s="8">
        <v>0.04</v>
      </c>
      <c r="G1240" s="11">
        <v>45662</v>
      </c>
      <c r="H1240" s="12">
        <f t="shared" si="19"/>
        <v>4000</v>
      </c>
      <c r="I1240" s="10" t="s">
        <v>10</v>
      </c>
      <c r="J1240" s="13">
        <v>45576</v>
      </c>
      <c r="K1240" t="s">
        <v>392</v>
      </c>
    </row>
    <row r="1241" customFormat="1" spans="1:11">
      <c r="A1241" t="s">
        <v>319</v>
      </c>
      <c r="B1241" s="8">
        <v>242501604</v>
      </c>
      <c r="C1241" s="9">
        <v>45576</v>
      </c>
      <c r="D1241" s="8" t="s">
        <v>330</v>
      </c>
      <c r="E1241" s="10">
        <v>300000</v>
      </c>
      <c r="F1241" s="8">
        <v>0.04</v>
      </c>
      <c r="G1241" s="11">
        <v>45631</v>
      </c>
      <c r="H1241" s="12">
        <f t="shared" si="19"/>
        <v>12000</v>
      </c>
      <c r="I1241" s="10" t="s">
        <v>10</v>
      </c>
      <c r="J1241" s="13">
        <v>45576</v>
      </c>
      <c r="K1241" t="s">
        <v>331</v>
      </c>
    </row>
    <row r="1242" customFormat="1" spans="1:11">
      <c r="A1242" t="s">
        <v>319</v>
      </c>
      <c r="B1242" s="8">
        <v>242501604</v>
      </c>
      <c r="C1242" s="9">
        <v>45576</v>
      </c>
      <c r="D1242" s="8" t="s">
        <v>330</v>
      </c>
      <c r="E1242" s="10">
        <v>300000</v>
      </c>
      <c r="F1242" s="8">
        <v>0.04</v>
      </c>
      <c r="G1242" s="11">
        <v>45631</v>
      </c>
      <c r="H1242" s="12">
        <f t="shared" si="19"/>
        <v>12000</v>
      </c>
      <c r="I1242" s="10" t="s">
        <v>10</v>
      </c>
      <c r="J1242" s="13">
        <v>45576</v>
      </c>
      <c r="K1242" t="s">
        <v>331</v>
      </c>
    </row>
    <row r="1243" customFormat="1" spans="1:11">
      <c r="A1243" t="s">
        <v>319</v>
      </c>
      <c r="B1243" s="8">
        <v>242501604</v>
      </c>
      <c r="C1243" s="9">
        <v>45576</v>
      </c>
      <c r="D1243" s="8" t="s">
        <v>330</v>
      </c>
      <c r="E1243" s="10">
        <v>300000</v>
      </c>
      <c r="F1243" s="8">
        <v>0.04</v>
      </c>
      <c r="G1243" s="11">
        <v>45662</v>
      </c>
      <c r="H1243" s="12">
        <f t="shared" si="19"/>
        <v>12000</v>
      </c>
      <c r="I1243" s="10" t="s">
        <v>10</v>
      </c>
      <c r="J1243" s="13">
        <v>45576</v>
      </c>
      <c r="K1243" t="s">
        <v>331</v>
      </c>
    </row>
    <row r="1244" customFormat="1" spans="1:11">
      <c r="A1244" t="s">
        <v>319</v>
      </c>
      <c r="B1244" s="8">
        <v>242501604</v>
      </c>
      <c r="C1244" s="9">
        <v>45576</v>
      </c>
      <c r="D1244" s="8" t="s">
        <v>330</v>
      </c>
      <c r="E1244" s="10">
        <v>300000</v>
      </c>
      <c r="F1244" s="8">
        <v>0.04</v>
      </c>
      <c r="G1244" s="11">
        <v>45662</v>
      </c>
      <c r="H1244" s="12">
        <f t="shared" si="19"/>
        <v>12000</v>
      </c>
      <c r="I1244" s="10" t="s">
        <v>10</v>
      </c>
      <c r="J1244" s="13">
        <v>45576</v>
      </c>
      <c r="K1244" t="s">
        <v>331</v>
      </c>
    </row>
    <row r="1245" customFormat="1" spans="1:11">
      <c r="A1245" t="s">
        <v>319</v>
      </c>
      <c r="B1245" s="8">
        <v>242501605</v>
      </c>
      <c r="C1245" s="9">
        <v>45576</v>
      </c>
      <c r="D1245" s="8" t="s">
        <v>330</v>
      </c>
      <c r="E1245" s="10">
        <v>200000</v>
      </c>
      <c r="F1245" s="8">
        <v>0.04</v>
      </c>
      <c r="G1245" s="11">
        <v>45631</v>
      </c>
      <c r="H1245" s="12">
        <f t="shared" si="19"/>
        <v>8000</v>
      </c>
      <c r="I1245" s="10" t="s">
        <v>10</v>
      </c>
      <c r="J1245" s="13">
        <v>45576</v>
      </c>
      <c r="K1245" t="s">
        <v>432</v>
      </c>
    </row>
    <row r="1246" customFormat="1" spans="1:11">
      <c r="A1246" t="s">
        <v>319</v>
      </c>
      <c r="B1246" s="8">
        <v>242501605</v>
      </c>
      <c r="C1246" s="9">
        <v>45576</v>
      </c>
      <c r="D1246" s="8" t="s">
        <v>330</v>
      </c>
      <c r="E1246" s="10">
        <v>200000</v>
      </c>
      <c r="F1246" s="8">
        <v>0.04</v>
      </c>
      <c r="G1246" s="11">
        <v>45662</v>
      </c>
      <c r="H1246" s="12">
        <f t="shared" si="19"/>
        <v>8000</v>
      </c>
      <c r="I1246" s="10" t="s">
        <v>10</v>
      </c>
      <c r="J1246" s="13">
        <v>45576</v>
      </c>
      <c r="K1246" t="s">
        <v>432</v>
      </c>
    </row>
    <row r="1247" customFormat="1" spans="1:11">
      <c r="A1247" t="s">
        <v>319</v>
      </c>
      <c r="B1247" s="8">
        <v>242501606</v>
      </c>
      <c r="C1247" s="9">
        <v>45576</v>
      </c>
      <c r="D1247" s="8" t="s">
        <v>330</v>
      </c>
      <c r="E1247" s="10">
        <v>300000</v>
      </c>
      <c r="F1247" s="8">
        <v>0.04</v>
      </c>
      <c r="G1247" s="11">
        <v>45631</v>
      </c>
      <c r="H1247" s="12">
        <f t="shared" si="19"/>
        <v>12000</v>
      </c>
      <c r="I1247" s="10" t="s">
        <v>10</v>
      </c>
      <c r="J1247" s="13">
        <v>45576</v>
      </c>
      <c r="K1247" t="s">
        <v>332</v>
      </c>
    </row>
    <row r="1248" customFormat="1" spans="1:11">
      <c r="A1248" t="s">
        <v>319</v>
      </c>
      <c r="B1248" s="8">
        <v>242501606</v>
      </c>
      <c r="C1248" s="9">
        <v>45576</v>
      </c>
      <c r="D1248" s="8" t="s">
        <v>330</v>
      </c>
      <c r="E1248" s="10">
        <v>300000</v>
      </c>
      <c r="F1248" s="8">
        <v>0.04</v>
      </c>
      <c r="G1248" s="11">
        <v>45631</v>
      </c>
      <c r="H1248" s="12">
        <f t="shared" si="19"/>
        <v>12000</v>
      </c>
      <c r="I1248" s="10" t="s">
        <v>10</v>
      </c>
      <c r="J1248" s="13">
        <v>45576</v>
      </c>
      <c r="K1248" t="s">
        <v>332</v>
      </c>
    </row>
    <row r="1249" customFormat="1" spans="1:11">
      <c r="A1249" t="s">
        <v>319</v>
      </c>
      <c r="B1249" s="8">
        <v>242501606</v>
      </c>
      <c r="C1249" s="9">
        <v>45576</v>
      </c>
      <c r="D1249" s="8" t="s">
        <v>330</v>
      </c>
      <c r="E1249" s="10">
        <v>300000</v>
      </c>
      <c r="F1249" s="8">
        <v>0.04</v>
      </c>
      <c r="G1249" s="11">
        <v>45662</v>
      </c>
      <c r="H1249" s="12">
        <f t="shared" si="19"/>
        <v>12000</v>
      </c>
      <c r="I1249" s="10" t="s">
        <v>10</v>
      </c>
      <c r="J1249" s="13">
        <v>45576</v>
      </c>
      <c r="K1249" t="s">
        <v>332</v>
      </c>
    </row>
    <row r="1250" customFormat="1" spans="1:11">
      <c r="A1250" t="s">
        <v>319</v>
      </c>
      <c r="B1250" s="8">
        <v>242501606</v>
      </c>
      <c r="C1250" s="9">
        <v>45576</v>
      </c>
      <c r="D1250" s="8" t="s">
        <v>330</v>
      </c>
      <c r="E1250" s="10">
        <v>300000</v>
      </c>
      <c r="F1250" s="8">
        <v>0.04</v>
      </c>
      <c r="G1250" s="11">
        <v>45662</v>
      </c>
      <c r="H1250" s="12">
        <f t="shared" si="19"/>
        <v>12000</v>
      </c>
      <c r="I1250" s="10" t="s">
        <v>10</v>
      </c>
      <c r="J1250" s="13">
        <v>45576</v>
      </c>
      <c r="K1250" t="s">
        <v>332</v>
      </c>
    </row>
    <row r="1251" customFormat="1" spans="1:11">
      <c r="A1251" t="s">
        <v>319</v>
      </c>
      <c r="B1251" s="8">
        <v>242501607</v>
      </c>
      <c r="C1251" s="9">
        <v>45576</v>
      </c>
      <c r="D1251" s="8" t="s">
        <v>29</v>
      </c>
      <c r="E1251" s="10">
        <v>400000</v>
      </c>
      <c r="F1251" s="8">
        <v>0.027</v>
      </c>
      <c r="G1251" s="11">
        <v>45693</v>
      </c>
      <c r="H1251" s="12">
        <f t="shared" si="19"/>
        <v>10800</v>
      </c>
      <c r="I1251" s="10" t="s">
        <v>10</v>
      </c>
      <c r="J1251" s="13">
        <v>45576</v>
      </c>
      <c r="K1251" t="s">
        <v>327</v>
      </c>
    </row>
    <row r="1252" customFormat="1" spans="1:11">
      <c r="A1252" t="s">
        <v>319</v>
      </c>
      <c r="B1252" s="8">
        <v>242501607</v>
      </c>
      <c r="C1252" s="9">
        <v>45576</v>
      </c>
      <c r="D1252" s="8" t="s">
        <v>29</v>
      </c>
      <c r="E1252" s="10">
        <v>400000</v>
      </c>
      <c r="F1252" s="8">
        <v>0.027</v>
      </c>
      <c r="G1252" s="11">
        <v>45693</v>
      </c>
      <c r="H1252" s="12">
        <f t="shared" si="19"/>
        <v>10800</v>
      </c>
      <c r="I1252" s="10" t="s">
        <v>10</v>
      </c>
      <c r="J1252" s="13">
        <v>45576</v>
      </c>
      <c r="K1252" t="s">
        <v>327</v>
      </c>
    </row>
    <row r="1253" customFormat="1" spans="1:11">
      <c r="A1253" t="s">
        <v>319</v>
      </c>
      <c r="B1253" s="8">
        <v>242501607</v>
      </c>
      <c r="C1253" s="9">
        <v>45576</v>
      </c>
      <c r="D1253" s="8" t="s">
        <v>29</v>
      </c>
      <c r="E1253" s="10">
        <v>400000</v>
      </c>
      <c r="F1253" s="8">
        <v>0.027</v>
      </c>
      <c r="G1253" s="11">
        <v>45693</v>
      </c>
      <c r="H1253" s="12">
        <f t="shared" si="19"/>
        <v>10800</v>
      </c>
      <c r="I1253" s="10" t="s">
        <v>10</v>
      </c>
      <c r="J1253" s="13">
        <v>45576</v>
      </c>
      <c r="K1253" t="s">
        <v>327</v>
      </c>
    </row>
    <row r="1254" customFormat="1" spans="1:11">
      <c r="A1254" t="s">
        <v>319</v>
      </c>
      <c r="B1254" s="8">
        <v>242501608</v>
      </c>
      <c r="C1254" s="9">
        <v>45576</v>
      </c>
      <c r="D1254" s="8" t="s">
        <v>29</v>
      </c>
      <c r="E1254" s="10">
        <v>200000</v>
      </c>
      <c r="F1254" s="8">
        <v>0.027</v>
      </c>
      <c r="G1254" s="11">
        <v>45693</v>
      </c>
      <c r="H1254" s="12">
        <f t="shared" si="19"/>
        <v>5400</v>
      </c>
      <c r="I1254" s="10" t="s">
        <v>10</v>
      </c>
      <c r="J1254" s="13">
        <v>45576</v>
      </c>
      <c r="K1254" t="s">
        <v>327</v>
      </c>
    </row>
    <row r="1255" customFormat="1" spans="1:11">
      <c r="A1255" t="s">
        <v>319</v>
      </c>
      <c r="B1255" s="8">
        <v>242501613</v>
      </c>
      <c r="C1255" s="9">
        <v>45576</v>
      </c>
      <c r="D1255" s="8" t="s">
        <v>215</v>
      </c>
      <c r="E1255" s="10">
        <v>100000</v>
      </c>
      <c r="F1255" s="8">
        <v>0.027</v>
      </c>
      <c r="G1255" s="11">
        <v>45648</v>
      </c>
      <c r="H1255" s="12">
        <f t="shared" si="19"/>
        <v>2700</v>
      </c>
      <c r="I1255" s="10" t="s">
        <v>10</v>
      </c>
      <c r="J1255" s="13">
        <v>45582</v>
      </c>
    </row>
    <row r="1256" customFormat="1" spans="1:11">
      <c r="A1256" t="s">
        <v>319</v>
      </c>
      <c r="B1256" s="8">
        <v>242501613</v>
      </c>
      <c r="C1256" s="9">
        <v>45576</v>
      </c>
      <c r="D1256" s="8" t="s">
        <v>215</v>
      </c>
      <c r="E1256" s="10">
        <v>200000</v>
      </c>
      <c r="F1256" s="8">
        <v>0.027</v>
      </c>
      <c r="G1256" s="11">
        <v>45778</v>
      </c>
      <c r="H1256" s="12">
        <f t="shared" si="19"/>
        <v>5400</v>
      </c>
      <c r="I1256" s="10" t="s">
        <v>10</v>
      </c>
      <c r="J1256" s="13">
        <v>45582</v>
      </c>
    </row>
    <row r="1257" customFormat="1" spans="1:11">
      <c r="A1257" t="s">
        <v>319</v>
      </c>
      <c r="B1257" s="8">
        <v>242501614</v>
      </c>
      <c r="C1257" s="9">
        <v>45576</v>
      </c>
      <c r="D1257" s="8" t="s">
        <v>215</v>
      </c>
      <c r="E1257" s="10">
        <v>80000</v>
      </c>
      <c r="F1257" s="8">
        <v>0.027</v>
      </c>
      <c r="G1257" s="11">
        <v>45648</v>
      </c>
      <c r="H1257" s="12">
        <f t="shared" si="19"/>
        <v>2160</v>
      </c>
      <c r="I1257" s="10" t="s">
        <v>10</v>
      </c>
      <c r="J1257" s="13">
        <v>45582</v>
      </c>
      <c r="K1257" t="s">
        <v>369</v>
      </c>
    </row>
    <row r="1258" customFormat="1" spans="1:11">
      <c r="A1258" t="s">
        <v>319</v>
      </c>
      <c r="B1258" s="8">
        <v>242501615</v>
      </c>
      <c r="C1258" s="9">
        <v>45576</v>
      </c>
      <c r="D1258" s="8" t="s">
        <v>215</v>
      </c>
      <c r="E1258" s="10">
        <v>50000</v>
      </c>
      <c r="F1258" s="8">
        <v>0.027</v>
      </c>
      <c r="G1258" s="11">
        <v>45601</v>
      </c>
      <c r="H1258" s="12">
        <f t="shared" si="19"/>
        <v>1350</v>
      </c>
      <c r="I1258" s="10" t="s">
        <v>10</v>
      </c>
      <c r="J1258" s="13">
        <v>45583</v>
      </c>
      <c r="K1258" t="s">
        <v>378</v>
      </c>
    </row>
    <row r="1259" customFormat="1" spans="1:11">
      <c r="A1259" t="s">
        <v>319</v>
      </c>
      <c r="B1259" s="8">
        <v>242501615</v>
      </c>
      <c r="C1259" s="9">
        <v>45576</v>
      </c>
      <c r="D1259" s="8" t="s">
        <v>215</v>
      </c>
      <c r="E1259" s="10">
        <v>40000</v>
      </c>
      <c r="F1259" s="8">
        <v>0.027</v>
      </c>
      <c r="G1259" s="11">
        <v>45601</v>
      </c>
      <c r="H1259" s="12">
        <f t="shared" si="19"/>
        <v>1080</v>
      </c>
      <c r="I1259" s="10" t="s">
        <v>10</v>
      </c>
      <c r="J1259" s="13">
        <v>45583</v>
      </c>
      <c r="K1259" t="s">
        <v>378</v>
      </c>
    </row>
    <row r="1260" customFormat="1" spans="1:11">
      <c r="A1260" t="s">
        <v>319</v>
      </c>
      <c r="B1260" s="8">
        <v>242501622</v>
      </c>
      <c r="C1260" s="9">
        <v>45579</v>
      </c>
      <c r="D1260" s="8" t="s">
        <v>370</v>
      </c>
      <c r="E1260" s="10">
        <v>24000</v>
      </c>
      <c r="F1260" s="8">
        <v>0.03</v>
      </c>
      <c r="G1260" s="11">
        <v>45627</v>
      </c>
      <c r="H1260" s="12">
        <f t="shared" si="19"/>
        <v>720</v>
      </c>
      <c r="I1260" s="10" t="s">
        <v>10</v>
      </c>
      <c r="J1260" s="15" t="s">
        <v>433</v>
      </c>
    </row>
    <row r="1261" customFormat="1" spans="1:11">
      <c r="A1261" t="s">
        <v>319</v>
      </c>
      <c r="B1261" s="8">
        <v>242501623</v>
      </c>
      <c r="C1261" s="9">
        <v>45579</v>
      </c>
      <c r="D1261" s="8" t="s">
        <v>289</v>
      </c>
      <c r="E1261" s="10">
        <v>20000</v>
      </c>
      <c r="F1261" s="8">
        <v>0.033</v>
      </c>
      <c r="G1261" s="11">
        <v>45679</v>
      </c>
      <c r="H1261" s="12">
        <f t="shared" si="19"/>
        <v>660</v>
      </c>
      <c r="I1261" s="10" t="s">
        <v>10</v>
      </c>
      <c r="J1261" s="13">
        <v>45582</v>
      </c>
      <c r="K1261" t="s">
        <v>369</v>
      </c>
    </row>
    <row r="1262" customFormat="1" spans="1:11">
      <c r="A1262" t="s">
        <v>319</v>
      </c>
      <c r="B1262" s="8">
        <v>242501623</v>
      </c>
      <c r="C1262" s="9">
        <v>45579</v>
      </c>
      <c r="D1262" s="8" t="s">
        <v>291</v>
      </c>
      <c r="E1262" s="10">
        <v>20000</v>
      </c>
      <c r="F1262" s="8">
        <v>0.03</v>
      </c>
      <c r="G1262" s="11">
        <v>45618</v>
      </c>
      <c r="H1262" s="12">
        <f t="shared" si="19"/>
        <v>600</v>
      </c>
      <c r="I1262" s="10" t="s">
        <v>10</v>
      </c>
      <c r="J1262" s="13">
        <v>45582</v>
      </c>
      <c r="K1262" t="s">
        <v>369</v>
      </c>
    </row>
    <row r="1263" customFormat="1" spans="1:11">
      <c r="A1263" t="s">
        <v>319</v>
      </c>
      <c r="B1263" s="8">
        <v>242501624</v>
      </c>
      <c r="C1263" s="9">
        <v>45579</v>
      </c>
      <c r="D1263" s="8" t="s">
        <v>290</v>
      </c>
      <c r="E1263" s="10">
        <v>28000</v>
      </c>
      <c r="F1263" s="8">
        <v>0.03</v>
      </c>
      <c r="G1263" s="11">
        <v>45587</v>
      </c>
      <c r="H1263" s="12">
        <f t="shared" si="19"/>
        <v>840</v>
      </c>
      <c r="I1263" s="10" t="s">
        <v>10</v>
      </c>
      <c r="J1263" s="13">
        <v>45582</v>
      </c>
      <c r="K1263" t="s">
        <v>369</v>
      </c>
    </row>
    <row r="1264" customFormat="1" spans="1:11">
      <c r="A1264" t="s">
        <v>319</v>
      </c>
      <c r="B1264" s="8">
        <v>242501624</v>
      </c>
      <c r="C1264" s="9">
        <v>45579</v>
      </c>
      <c r="D1264" s="8" t="s">
        <v>292</v>
      </c>
      <c r="E1264" s="10">
        <v>28000</v>
      </c>
      <c r="F1264" s="8">
        <v>0.0205</v>
      </c>
      <c r="G1264" s="11">
        <v>45587</v>
      </c>
      <c r="H1264" s="12">
        <f t="shared" si="19"/>
        <v>574</v>
      </c>
      <c r="I1264" s="10" t="s">
        <v>10</v>
      </c>
      <c r="J1264" s="13">
        <v>45593</v>
      </c>
      <c r="K1264" t="s">
        <v>369</v>
      </c>
    </row>
    <row r="1265" customFormat="1" spans="1:11">
      <c r="A1265" t="s">
        <v>319</v>
      </c>
      <c r="B1265" s="8">
        <v>242501624</v>
      </c>
      <c r="C1265" s="9">
        <v>45579</v>
      </c>
      <c r="D1265" s="8" t="s">
        <v>289</v>
      </c>
      <c r="E1265" s="10">
        <v>44000</v>
      </c>
      <c r="F1265" s="8">
        <v>0.033</v>
      </c>
      <c r="G1265" s="11">
        <v>45587</v>
      </c>
      <c r="H1265" s="12">
        <f t="shared" si="19"/>
        <v>1452</v>
      </c>
      <c r="I1265" s="10" t="s">
        <v>10</v>
      </c>
      <c r="J1265" s="13">
        <v>45582</v>
      </c>
      <c r="K1265" t="s">
        <v>369</v>
      </c>
    </row>
    <row r="1266" customFormat="1" spans="1:11">
      <c r="A1266" t="s">
        <v>319</v>
      </c>
      <c r="B1266" s="8">
        <v>242501624</v>
      </c>
      <c r="C1266" s="9">
        <v>45579</v>
      </c>
      <c r="D1266" s="8" t="s">
        <v>289</v>
      </c>
      <c r="E1266" s="10">
        <v>44000</v>
      </c>
      <c r="F1266" s="8">
        <v>0.033</v>
      </c>
      <c r="G1266" s="11">
        <v>45601</v>
      </c>
      <c r="H1266" s="12">
        <f t="shared" si="19"/>
        <v>1452</v>
      </c>
      <c r="I1266" s="10" t="s">
        <v>10</v>
      </c>
      <c r="J1266" s="13">
        <v>45582</v>
      </c>
      <c r="K1266" t="s">
        <v>369</v>
      </c>
    </row>
    <row r="1267" customFormat="1" spans="1:11">
      <c r="A1267" t="s">
        <v>319</v>
      </c>
      <c r="B1267" s="8">
        <v>242501624</v>
      </c>
      <c r="C1267" s="9">
        <v>45579</v>
      </c>
      <c r="D1267" s="8" t="s">
        <v>291</v>
      </c>
      <c r="E1267" s="10">
        <v>28000</v>
      </c>
      <c r="F1267" s="8">
        <v>0.03</v>
      </c>
      <c r="G1267" s="11">
        <v>45587</v>
      </c>
      <c r="H1267" s="12">
        <f t="shared" si="19"/>
        <v>840</v>
      </c>
      <c r="I1267" s="10" t="s">
        <v>10</v>
      </c>
      <c r="J1267" s="13">
        <v>45582</v>
      </c>
      <c r="K1267" t="s">
        <v>369</v>
      </c>
    </row>
    <row r="1268" customFormat="1" spans="1:11">
      <c r="A1268" t="s">
        <v>319</v>
      </c>
      <c r="B1268" s="8">
        <v>242501625</v>
      </c>
      <c r="C1268" s="9">
        <v>45579</v>
      </c>
      <c r="D1268" s="8" t="s">
        <v>314</v>
      </c>
      <c r="E1268" s="10">
        <v>300000</v>
      </c>
      <c r="F1268" s="8">
        <v>0.021</v>
      </c>
      <c r="G1268" s="11">
        <v>45648</v>
      </c>
      <c r="H1268" s="12">
        <f t="shared" si="19"/>
        <v>6300</v>
      </c>
      <c r="I1268" s="10" t="s">
        <v>10</v>
      </c>
      <c r="J1268" s="15"/>
      <c r="K1268" t="s">
        <v>369</v>
      </c>
    </row>
    <row r="1269" customFormat="1" spans="1:11">
      <c r="A1269" t="s">
        <v>319</v>
      </c>
      <c r="B1269" s="8">
        <v>242501627</v>
      </c>
      <c r="C1269" s="9">
        <v>45580</v>
      </c>
      <c r="D1269" s="8" t="s">
        <v>248</v>
      </c>
      <c r="E1269" s="10">
        <v>100000</v>
      </c>
      <c r="F1269" s="8">
        <v>0.065</v>
      </c>
      <c r="G1269" s="11">
        <v>45587</v>
      </c>
      <c r="H1269" s="12">
        <f t="shared" si="19"/>
        <v>6500</v>
      </c>
      <c r="I1269" s="10" t="s">
        <v>10</v>
      </c>
      <c r="J1269" s="13">
        <v>45583</v>
      </c>
      <c r="K1269" t="s">
        <v>377</v>
      </c>
    </row>
    <row r="1270" customFormat="1" spans="1:11">
      <c r="A1270" t="s">
        <v>319</v>
      </c>
      <c r="B1270" s="8">
        <v>242501627</v>
      </c>
      <c r="C1270" s="9">
        <v>45580</v>
      </c>
      <c r="D1270" s="8" t="s">
        <v>248</v>
      </c>
      <c r="E1270" s="10">
        <v>100000</v>
      </c>
      <c r="F1270" s="8">
        <v>0.065</v>
      </c>
      <c r="G1270" s="11">
        <v>45618</v>
      </c>
      <c r="H1270" s="12">
        <f t="shared" si="19"/>
        <v>6500</v>
      </c>
      <c r="I1270" s="10" t="s">
        <v>10</v>
      </c>
      <c r="J1270" s="13">
        <v>45583</v>
      </c>
      <c r="K1270" t="s">
        <v>377</v>
      </c>
    </row>
    <row r="1271" customFormat="1" spans="1:11">
      <c r="A1271" t="s">
        <v>319</v>
      </c>
      <c r="B1271" s="8">
        <v>242501627</v>
      </c>
      <c r="C1271" s="9">
        <v>45580</v>
      </c>
      <c r="D1271" s="8" t="s">
        <v>248</v>
      </c>
      <c r="E1271" s="10">
        <v>100000</v>
      </c>
      <c r="F1271" s="8">
        <v>0.065</v>
      </c>
      <c r="G1271" s="11">
        <v>45648</v>
      </c>
      <c r="H1271" s="12">
        <f t="shared" si="19"/>
        <v>6500</v>
      </c>
      <c r="I1271" s="10" t="s">
        <v>10</v>
      </c>
      <c r="J1271" s="13">
        <v>45583</v>
      </c>
      <c r="K1271" t="s">
        <v>377</v>
      </c>
    </row>
    <row r="1272" customFormat="1" spans="1:11">
      <c r="A1272" t="s">
        <v>319</v>
      </c>
      <c r="B1272" s="8">
        <v>242501648</v>
      </c>
      <c r="C1272" s="9">
        <v>45581</v>
      </c>
      <c r="D1272" s="8" t="s">
        <v>400</v>
      </c>
      <c r="E1272" s="10">
        <v>30000</v>
      </c>
      <c r="F1272" s="8">
        <v>0.0525</v>
      </c>
      <c r="G1272" s="11">
        <v>45631</v>
      </c>
      <c r="H1272" s="12">
        <f t="shared" si="19"/>
        <v>1575</v>
      </c>
      <c r="I1272" s="10" t="s">
        <v>10</v>
      </c>
      <c r="J1272" s="13">
        <v>45593</v>
      </c>
      <c r="K1272" t="s">
        <v>365</v>
      </c>
    </row>
    <row r="1273" customFormat="1" spans="1:11">
      <c r="A1273" t="s">
        <v>319</v>
      </c>
      <c r="B1273" s="8">
        <v>242501648</v>
      </c>
      <c r="C1273" s="9">
        <v>45581</v>
      </c>
      <c r="D1273" s="8" t="s">
        <v>400</v>
      </c>
      <c r="E1273" s="10">
        <v>30000</v>
      </c>
      <c r="F1273" s="8">
        <v>0.0525</v>
      </c>
      <c r="G1273" s="11">
        <v>45662</v>
      </c>
      <c r="H1273" s="12">
        <f t="shared" si="19"/>
        <v>1575</v>
      </c>
      <c r="I1273" s="10" t="s">
        <v>10</v>
      </c>
      <c r="J1273" s="13">
        <v>45593</v>
      </c>
      <c r="K1273" t="s">
        <v>365</v>
      </c>
    </row>
    <row r="1274" customFormat="1" spans="1:11">
      <c r="A1274" t="s">
        <v>319</v>
      </c>
      <c r="B1274" s="8">
        <v>242501649</v>
      </c>
      <c r="C1274" s="9">
        <v>45581</v>
      </c>
      <c r="D1274" s="8" t="s">
        <v>298</v>
      </c>
      <c r="E1274" s="10">
        <v>20000</v>
      </c>
      <c r="F1274" s="8">
        <v>0.15</v>
      </c>
      <c r="G1274" s="11">
        <v>45618</v>
      </c>
      <c r="H1274" s="12">
        <f t="shared" si="19"/>
        <v>3000</v>
      </c>
      <c r="I1274" s="10" t="s">
        <v>10</v>
      </c>
      <c r="J1274" s="13">
        <v>45583</v>
      </c>
      <c r="K1274" t="s">
        <v>377</v>
      </c>
    </row>
    <row r="1275" customFormat="1" spans="1:11">
      <c r="A1275" t="s">
        <v>319</v>
      </c>
      <c r="B1275" s="8">
        <v>242501649</v>
      </c>
      <c r="C1275" s="9">
        <v>45581</v>
      </c>
      <c r="D1275" s="8" t="s">
        <v>298</v>
      </c>
      <c r="E1275" s="10">
        <v>20000</v>
      </c>
      <c r="F1275" s="8">
        <v>0.15</v>
      </c>
      <c r="G1275" s="11">
        <v>45679</v>
      </c>
      <c r="H1275" s="12">
        <f t="shared" si="19"/>
        <v>3000</v>
      </c>
      <c r="I1275" s="10" t="s">
        <v>10</v>
      </c>
      <c r="J1275" s="13">
        <v>45583</v>
      </c>
      <c r="K1275" t="s">
        <v>377</v>
      </c>
    </row>
    <row r="1276" customFormat="1" spans="1:11">
      <c r="A1276" t="s">
        <v>319</v>
      </c>
      <c r="B1276" s="8">
        <v>242501649</v>
      </c>
      <c r="C1276" s="9">
        <v>45581</v>
      </c>
      <c r="D1276" s="8" t="s">
        <v>206</v>
      </c>
      <c r="E1276" s="10">
        <v>200000</v>
      </c>
      <c r="F1276" s="8">
        <v>0.065</v>
      </c>
      <c r="G1276" s="11">
        <v>45648</v>
      </c>
      <c r="H1276" s="12">
        <f t="shared" si="19"/>
        <v>13000</v>
      </c>
      <c r="I1276" s="10" t="s">
        <v>10</v>
      </c>
      <c r="J1276" s="13">
        <v>45583</v>
      </c>
      <c r="K1276" t="s">
        <v>377</v>
      </c>
    </row>
    <row r="1277" customFormat="1" spans="1:11">
      <c r="A1277" t="s">
        <v>319</v>
      </c>
      <c r="B1277" s="8">
        <v>242501649</v>
      </c>
      <c r="C1277" s="9">
        <v>45581</v>
      </c>
      <c r="D1277" s="8" t="s">
        <v>206</v>
      </c>
      <c r="E1277" s="10">
        <v>200000</v>
      </c>
      <c r="F1277" s="8">
        <v>0.065</v>
      </c>
      <c r="G1277" s="11">
        <v>45679</v>
      </c>
      <c r="H1277" s="12">
        <f t="shared" si="19"/>
        <v>13000</v>
      </c>
      <c r="I1277" s="10" t="s">
        <v>10</v>
      </c>
      <c r="J1277" s="13">
        <v>45583</v>
      </c>
      <c r="K1277" t="s">
        <v>377</v>
      </c>
    </row>
    <row r="1278" customFormat="1" spans="1:11">
      <c r="A1278" t="s">
        <v>319</v>
      </c>
      <c r="B1278" s="8">
        <v>242501681</v>
      </c>
      <c r="C1278" s="9">
        <v>45582</v>
      </c>
      <c r="D1278" s="8" t="s">
        <v>434</v>
      </c>
      <c r="E1278" s="10">
        <v>170000</v>
      </c>
      <c r="F1278" s="8">
        <v>0.027</v>
      </c>
      <c r="G1278" s="11">
        <v>45587</v>
      </c>
      <c r="H1278" s="12">
        <f t="shared" si="19"/>
        <v>4590</v>
      </c>
      <c r="I1278" s="10" t="s">
        <v>10</v>
      </c>
      <c r="J1278" s="13">
        <v>45593</v>
      </c>
      <c r="K1278" t="s">
        <v>435</v>
      </c>
    </row>
    <row r="1279" customFormat="1" spans="1:11">
      <c r="A1279" t="s">
        <v>319</v>
      </c>
      <c r="B1279" s="8">
        <v>242501681</v>
      </c>
      <c r="C1279" s="9">
        <v>45582</v>
      </c>
      <c r="D1279" s="8" t="s">
        <v>181</v>
      </c>
      <c r="E1279" s="10">
        <v>200000</v>
      </c>
      <c r="F1279" s="8">
        <v>0.03</v>
      </c>
      <c r="G1279" s="11">
        <v>45618</v>
      </c>
      <c r="H1279" s="12">
        <f t="shared" si="19"/>
        <v>6000</v>
      </c>
      <c r="I1279" s="10" t="s">
        <v>10</v>
      </c>
      <c r="J1279" s="13">
        <v>45593</v>
      </c>
      <c r="K1279" t="s">
        <v>435</v>
      </c>
    </row>
    <row r="1280" customFormat="1" spans="1:11">
      <c r="A1280" t="s">
        <v>319</v>
      </c>
      <c r="B1280" s="8">
        <v>242501681</v>
      </c>
      <c r="C1280" s="9">
        <v>45582</v>
      </c>
      <c r="D1280" s="8" t="s">
        <v>137</v>
      </c>
      <c r="E1280" s="10">
        <v>100000</v>
      </c>
      <c r="F1280" s="8">
        <v>0.019</v>
      </c>
      <c r="G1280" s="11">
        <v>45587</v>
      </c>
      <c r="H1280" s="12">
        <f t="shared" si="19"/>
        <v>1900</v>
      </c>
      <c r="I1280" s="10" t="s">
        <v>10</v>
      </c>
      <c r="J1280" s="13">
        <v>45593</v>
      </c>
      <c r="K1280" t="s">
        <v>435</v>
      </c>
    </row>
    <row r="1281" customFormat="1" spans="1:11">
      <c r="A1281" t="s">
        <v>319</v>
      </c>
      <c r="B1281" s="8">
        <v>242501682</v>
      </c>
      <c r="C1281" s="9">
        <v>45582</v>
      </c>
      <c r="D1281" s="8" t="s">
        <v>434</v>
      </c>
      <c r="E1281" s="10">
        <v>480000</v>
      </c>
      <c r="F1281" s="8">
        <v>0.027</v>
      </c>
      <c r="G1281" s="11">
        <v>45618</v>
      </c>
      <c r="H1281" s="12">
        <f t="shared" si="19"/>
        <v>12960</v>
      </c>
      <c r="I1281" s="10" t="s">
        <v>10</v>
      </c>
      <c r="J1281" s="13">
        <v>45593</v>
      </c>
      <c r="K1281" t="s">
        <v>435</v>
      </c>
    </row>
    <row r="1282" customFormat="1" spans="1:11">
      <c r="A1282" t="s">
        <v>319</v>
      </c>
      <c r="B1282" s="8">
        <v>242501682</v>
      </c>
      <c r="C1282" s="9">
        <v>45582</v>
      </c>
      <c r="D1282" s="8" t="s">
        <v>137</v>
      </c>
      <c r="E1282" s="10">
        <v>180000</v>
      </c>
      <c r="F1282" s="8">
        <v>0.019</v>
      </c>
      <c r="G1282" s="11">
        <v>45618</v>
      </c>
      <c r="H1282" s="12">
        <f t="shared" ref="H1282:H1345" si="20">E1282*F1282</f>
        <v>3420</v>
      </c>
      <c r="I1282" s="10" t="s">
        <v>10</v>
      </c>
      <c r="J1282" s="13">
        <v>45593</v>
      </c>
      <c r="K1282" t="s">
        <v>435</v>
      </c>
    </row>
    <row r="1283" customFormat="1" spans="1:11">
      <c r="A1283" t="s">
        <v>319</v>
      </c>
      <c r="B1283" s="8">
        <v>242501711</v>
      </c>
      <c r="C1283" s="9">
        <v>45586</v>
      </c>
      <c r="D1283" s="8" t="s">
        <v>56</v>
      </c>
      <c r="E1283" s="10">
        <v>70000</v>
      </c>
      <c r="F1283" s="8">
        <v>0.035</v>
      </c>
      <c r="G1283" s="11">
        <v>45618</v>
      </c>
      <c r="H1283" s="12">
        <f t="shared" si="20"/>
        <v>2450</v>
      </c>
      <c r="I1283" s="10" t="s">
        <v>10</v>
      </c>
      <c r="J1283" s="13">
        <v>45593</v>
      </c>
      <c r="K1283" t="s">
        <v>385</v>
      </c>
    </row>
    <row r="1284" customFormat="1" spans="1:11">
      <c r="A1284" t="s">
        <v>319</v>
      </c>
      <c r="B1284" s="8">
        <v>242501711</v>
      </c>
      <c r="C1284" s="9">
        <v>45586</v>
      </c>
      <c r="D1284" s="8" t="s">
        <v>56</v>
      </c>
      <c r="E1284" s="10">
        <v>70000</v>
      </c>
      <c r="F1284" s="8">
        <v>0.035</v>
      </c>
      <c r="G1284" s="11">
        <v>45648</v>
      </c>
      <c r="H1284" s="12">
        <f t="shared" si="20"/>
        <v>2450</v>
      </c>
      <c r="I1284" s="10" t="s">
        <v>10</v>
      </c>
      <c r="J1284" s="13">
        <v>45593</v>
      </c>
      <c r="K1284" t="s">
        <v>385</v>
      </c>
    </row>
    <row r="1285" customFormat="1" spans="1:11">
      <c r="A1285" t="s">
        <v>319</v>
      </c>
      <c r="B1285" s="8">
        <v>242501711</v>
      </c>
      <c r="C1285" s="9">
        <v>45586</v>
      </c>
      <c r="D1285" s="8" t="s">
        <v>181</v>
      </c>
      <c r="E1285" s="10">
        <v>60000</v>
      </c>
      <c r="F1285" s="8">
        <v>0.03</v>
      </c>
      <c r="G1285" s="11">
        <v>45618</v>
      </c>
      <c r="H1285" s="12">
        <f t="shared" si="20"/>
        <v>1800</v>
      </c>
      <c r="I1285" s="10" t="s">
        <v>10</v>
      </c>
      <c r="J1285" s="13">
        <v>45593</v>
      </c>
      <c r="K1285" t="s">
        <v>385</v>
      </c>
    </row>
    <row r="1286" customFormat="1" spans="1:11">
      <c r="A1286" t="s">
        <v>319</v>
      </c>
      <c r="B1286" s="8">
        <v>242501711</v>
      </c>
      <c r="C1286" s="9">
        <v>45586</v>
      </c>
      <c r="D1286" s="8" t="s">
        <v>181</v>
      </c>
      <c r="E1286" s="10">
        <v>60000</v>
      </c>
      <c r="F1286" s="8">
        <v>0.03</v>
      </c>
      <c r="G1286" s="11">
        <v>45648</v>
      </c>
      <c r="H1286" s="12">
        <f t="shared" si="20"/>
        <v>1800</v>
      </c>
      <c r="I1286" s="10" t="s">
        <v>10</v>
      </c>
      <c r="J1286" s="13">
        <v>45593</v>
      </c>
      <c r="K1286" t="s">
        <v>385</v>
      </c>
    </row>
    <row r="1287" customFormat="1" spans="1:11">
      <c r="A1287" t="s">
        <v>319</v>
      </c>
      <c r="B1287" s="8">
        <v>242501711</v>
      </c>
      <c r="C1287" s="9">
        <v>45586</v>
      </c>
      <c r="D1287" s="8" t="s">
        <v>25</v>
      </c>
      <c r="E1287" s="10">
        <v>20000</v>
      </c>
      <c r="F1287" s="8">
        <v>0.016</v>
      </c>
      <c r="G1287" s="11">
        <v>45679</v>
      </c>
      <c r="H1287" s="12">
        <f t="shared" si="20"/>
        <v>320</v>
      </c>
      <c r="I1287" s="10" t="s">
        <v>10</v>
      </c>
      <c r="J1287" s="13">
        <v>45593</v>
      </c>
      <c r="K1287" t="s">
        <v>385</v>
      </c>
    </row>
    <row r="1288" customFormat="1" spans="1:11">
      <c r="A1288" t="s">
        <v>319</v>
      </c>
      <c r="B1288" s="8">
        <v>242501711</v>
      </c>
      <c r="C1288" s="9">
        <v>45586</v>
      </c>
      <c r="D1288" s="50" t="s">
        <v>129</v>
      </c>
      <c r="E1288" s="10">
        <v>100000</v>
      </c>
      <c r="F1288" s="8">
        <v>0.0278</v>
      </c>
      <c r="G1288" s="11">
        <v>45618</v>
      </c>
      <c r="H1288" s="12">
        <f t="shared" si="20"/>
        <v>2780</v>
      </c>
      <c r="I1288" s="10" t="s">
        <v>10</v>
      </c>
      <c r="J1288" s="13">
        <v>45593</v>
      </c>
      <c r="K1288" t="s">
        <v>385</v>
      </c>
    </row>
    <row r="1289" customFormat="1" spans="1:11">
      <c r="A1289" t="s">
        <v>319</v>
      </c>
      <c r="B1289" s="8">
        <v>242501711</v>
      </c>
      <c r="C1289" s="9">
        <v>45586</v>
      </c>
      <c r="D1289" s="50" t="s">
        <v>129</v>
      </c>
      <c r="E1289" s="10">
        <v>100000</v>
      </c>
      <c r="F1289" s="8">
        <v>0.0278</v>
      </c>
      <c r="G1289" s="11">
        <v>45618</v>
      </c>
      <c r="H1289" s="12">
        <f t="shared" si="20"/>
        <v>2780</v>
      </c>
      <c r="I1289" s="10" t="s">
        <v>10</v>
      </c>
      <c r="J1289" s="13">
        <v>45593</v>
      </c>
      <c r="K1289" t="s">
        <v>385</v>
      </c>
    </row>
    <row r="1290" customFormat="1" spans="1:11">
      <c r="A1290" t="s">
        <v>319</v>
      </c>
      <c r="B1290" s="8">
        <v>242501711</v>
      </c>
      <c r="C1290" s="9">
        <v>45586</v>
      </c>
      <c r="D1290" s="50" t="s">
        <v>129</v>
      </c>
      <c r="E1290" s="10">
        <v>100000</v>
      </c>
      <c r="F1290" s="8">
        <v>0.0278</v>
      </c>
      <c r="G1290" s="11">
        <v>45648</v>
      </c>
      <c r="H1290" s="12">
        <f t="shared" si="20"/>
        <v>2780</v>
      </c>
      <c r="I1290" s="10" t="s">
        <v>10</v>
      </c>
      <c r="J1290" s="13">
        <v>45593</v>
      </c>
      <c r="K1290" t="s">
        <v>385</v>
      </c>
    </row>
    <row r="1291" customFormat="1" spans="1:11">
      <c r="A1291" t="s">
        <v>319</v>
      </c>
      <c r="B1291" s="8">
        <v>242501711</v>
      </c>
      <c r="C1291" s="9">
        <v>45586</v>
      </c>
      <c r="D1291" s="50" t="s">
        <v>129</v>
      </c>
      <c r="E1291" s="10">
        <v>100000</v>
      </c>
      <c r="F1291" s="8">
        <v>0.0278</v>
      </c>
      <c r="G1291" s="11">
        <v>45648</v>
      </c>
      <c r="H1291" s="12">
        <f t="shared" si="20"/>
        <v>2780</v>
      </c>
      <c r="I1291" s="10" t="s">
        <v>10</v>
      </c>
      <c r="J1291" s="13">
        <v>45593</v>
      </c>
      <c r="K1291" t="s">
        <v>385</v>
      </c>
    </row>
    <row r="1292" customFormat="1" spans="1:11">
      <c r="A1292" t="s">
        <v>319</v>
      </c>
      <c r="B1292" s="8">
        <v>242501711</v>
      </c>
      <c r="C1292" s="9">
        <v>45586</v>
      </c>
      <c r="D1292" s="50" t="s">
        <v>127</v>
      </c>
      <c r="E1292" s="10">
        <v>100000</v>
      </c>
      <c r="F1292" s="8">
        <v>0.0325</v>
      </c>
      <c r="G1292" s="11">
        <v>45618</v>
      </c>
      <c r="H1292" s="12">
        <f t="shared" si="20"/>
        <v>3250</v>
      </c>
      <c r="I1292" s="10" t="s">
        <v>10</v>
      </c>
      <c r="J1292" s="13">
        <v>45593</v>
      </c>
      <c r="K1292" t="s">
        <v>385</v>
      </c>
    </row>
    <row r="1293" customFormat="1" spans="1:11">
      <c r="A1293" t="s">
        <v>319</v>
      </c>
      <c r="B1293" s="8">
        <v>242501711</v>
      </c>
      <c r="C1293" s="9">
        <v>45586</v>
      </c>
      <c r="D1293" s="50" t="s">
        <v>127</v>
      </c>
      <c r="E1293" s="10">
        <v>100000</v>
      </c>
      <c r="F1293" s="8">
        <v>0.0325</v>
      </c>
      <c r="G1293" s="11">
        <v>45618</v>
      </c>
      <c r="H1293" s="12">
        <f t="shared" si="20"/>
        <v>3250</v>
      </c>
      <c r="I1293" s="10" t="s">
        <v>10</v>
      </c>
      <c r="J1293" s="13">
        <v>45593</v>
      </c>
      <c r="K1293" t="s">
        <v>385</v>
      </c>
    </row>
    <row r="1294" customFormat="1" spans="1:11">
      <c r="A1294" t="s">
        <v>319</v>
      </c>
      <c r="B1294" s="8">
        <v>242501711</v>
      </c>
      <c r="C1294" s="9">
        <v>45586</v>
      </c>
      <c r="D1294" s="50" t="s">
        <v>127</v>
      </c>
      <c r="E1294" s="10">
        <v>100000</v>
      </c>
      <c r="F1294" s="8">
        <v>0.0325</v>
      </c>
      <c r="G1294" s="11">
        <v>45618</v>
      </c>
      <c r="H1294" s="12">
        <f t="shared" si="20"/>
        <v>3250</v>
      </c>
      <c r="I1294" s="10" t="s">
        <v>10</v>
      </c>
      <c r="J1294" s="13">
        <v>45593</v>
      </c>
      <c r="K1294" t="s">
        <v>385</v>
      </c>
    </row>
    <row r="1295" customFormat="1" spans="1:11">
      <c r="A1295" t="s">
        <v>319</v>
      </c>
      <c r="B1295" s="8">
        <v>242501711</v>
      </c>
      <c r="C1295" s="9">
        <v>45586</v>
      </c>
      <c r="D1295" s="50" t="s">
        <v>127</v>
      </c>
      <c r="E1295" s="10">
        <v>100000</v>
      </c>
      <c r="F1295" s="8">
        <v>0.0325</v>
      </c>
      <c r="G1295" s="11">
        <v>45618</v>
      </c>
      <c r="H1295" s="12">
        <f t="shared" si="20"/>
        <v>3250</v>
      </c>
      <c r="I1295" s="10" t="s">
        <v>10</v>
      </c>
      <c r="J1295" s="13">
        <v>45593</v>
      </c>
      <c r="K1295" t="s">
        <v>385</v>
      </c>
    </row>
    <row r="1296" customFormat="1" spans="1:11">
      <c r="A1296" t="s">
        <v>319</v>
      </c>
      <c r="B1296" s="8">
        <v>242501711</v>
      </c>
      <c r="C1296" s="9">
        <v>45586</v>
      </c>
      <c r="D1296" s="50" t="s">
        <v>127</v>
      </c>
      <c r="E1296" s="10">
        <v>100000</v>
      </c>
      <c r="F1296" s="8">
        <v>0.0325</v>
      </c>
      <c r="G1296" s="11">
        <v>45618</v>
      </c>
      <c r="H1296" s="12">
        <f t="shared" si="20"/>
        <v>3250</v>
      </c>
      <c r="I1296" s="10" t="s">
        <v>10</v>
      </c>
      <c r="J1296" s="13">
        <v>45593</v>
      </c>
      <c r="K1296" t="s">
        <v>385</v>
      </c>
    </row>
    <row r="1297" customFormat="1" spans="1:11">
      <c r="A1297" t="s">
        <v>319</v>
      </c>
      <c r="B1297" s="8">
        <v>242501711</v>
      </c>
      <c r="C1297" s="9">
        <v>45586</v>
      </c>
      <c r="D1297" s="50" t="s">
        <v>127</v>
      </c>
      <c r="E1297" s="77">
        <v>150000</v>
      </c>
      <c r="F1297" s="8">
        <v>0.0325</v>
      </c>
      <c r="G1297" s="11">
        <v>45648</v>
      </c>
      <c r="H1297" s="12">
        <f t="shared" si="20"/>
        <v>4875</v>
      </c>
      <c r="I1297" s="10" t="s">
        <v>10</v>
      </c>
      <c r="J1297" s="13">
        <v>45593</v>
      </c>
      <c r="K1297" t="s">
        <v>385</v>
      </c>
    </row>
    <row r="1298" customFormat="1" spans="1:11">
      <c r="A1298" t="s">
        <v>319</v>
      </c>
      <c r="B1298" s="8">
        <v>242501711</v>
      </c>
      <c r="C1298" s="9">
        <v>45586</v>
      </c>
      <c r="D1298" s="50" t="s">
        <v>127</v>
      </c>
      <c r="E1298" s="10">
        <v>100000</v>
      </c>
      <c r="F1298" s="8">
        <v>0.0325</v>
      </c>
      <c r="G1298" s="11">
        <v>45648</v>
      </c>
      <c r="H1298" s="12">
        <f t="shared" si="20"/>
        <v>3250</v>
      </c>
      <c r="I1298" s="10" t="s">
        <v>10</v>
      </c>
      <c r="J1298" s="13">
        <v>45593</v>
      </c>
      <c r="K1298" t="s">
        <v>385</v>
      </c>
    </row>
    <row r="1299" customFormat="1" spans="1:11">
      <c r="A1299" t="s">
        <v>319</v>
      </c>
      <c r="B1299" s="8">
        <v>242501711</v>
      </c>
      <c r="C1299" s="9">
        <v>45586</v>
      </c>
      <c r="D1299" s="50" t="s">
        <v>127</v>
      </c>
      <c r="E1299" s="10">
        <v>100000</v>
      </c>
      <c r="F1299" s="8">
        <v>0.0325</v>
      </c>
      <c r="G1299" s="11">
        <v>45648</v>
      </c>
      <c r="H1299" s="12">
        <f t="shared" si="20"/>
        <v>3250</v>
      </c>
      <c r="I1299" s="10" t="s">
        <v>10</v>
      </c>
      <c r="J1299" s="13">
        <v>45593</v>
      </c>
      <c r="K1299" t="s">
        <v>385</v>
      </c>
    </row>
    <row r="1300" customFormat="1" spans="1:11">
      <c r="A1300" t="s">
        <v>319</v>
      </c>
      <c r="B1300" s="8">
        <v>242501711</v>
      </c>
      <c r="C1300" s="9">
        <v>45586</v>
      </c>
      <c r="D1300" s="50" t="s">
        <v>127</v>
      </c>
      <c r="E1300" s="10">
        <v>100000</v>
      </c>
      <c r="F1300" s="8">
        <v>0.0325</v>
      </c>
      <c r="G1300" s="11">
        <v>45648</v>
      </c>
      <c r="H1300" s="12">
        <f t="shared" si="20"/>
        <v>3250</v>
      </c>
      <c r="I1300" s="10" t="s">
        <v>10</v>
      </c>
      <c r="J1300" s="13">
        <v>45593</v>
      </c>
      <c r="K1300" t="s">
        <v>385</v>
      </c>
    </row>
    <row r="1301" customFormat="1" spans="1:11">
      <c r="A1301" t="s">
        <v>319</v>
      </c>
      <c r="B1301" s="8">
        <v>242501712</v>
      </c>
      <c r="C1301" s="9">
        <v>45586</v>
      </c>
      <c r="D1301" s="8" t="s">
        <v>58</v>
      </c>
      <c r="E1301" s="10">
        <v>20000</v>
      </c>
      <c r="F1301" s="8">
        <v>0.019</v>
      </c>
      <c r="G1301" s="11">
        <v>45618</v>
      </c>
      <c r="H1301" s="12">
        <f t="shared" si="20"/>
        <v>380</v>
      </c>
      <c r="I1301" s="10" t="s">
        <v>10</v>
      </c>
      <c r="J1301" s="13">
        <v>45593</v>
      </c>
      <c r="K1301" t="s">
        <v>385</v>
      </c>
    </row>
    <row r="1302" customFormat="1" spans="1:11">
      <c r="A1302" t="s">
        <v>319</v>
      </c>
      <c r="B1302" s="8">
        <v>242501712</v>
      </c>
      <c r="C1302" s="9">
        <v>45586</v>
      </c>
      <c r="D1302" s="8" t="s">
        <v>58</v>
      </c>
      <c r="E1302" s="10">
        <v>20000</v>
      </c>
      <c r="F1302" s="8">
        <v>0.019</v>
      </c>
      <c r="G1302" s="11">
        <v>45648</v>
      </c>
      <c r="H1302" s="12">
        <f t="shared" si="20"/>
        <v>380</v>
      </c>
      <c r="I1302" s="10" t="s">
        <v>10</v>
      </c>
      <c r="J1302" s="13">
        <v>45593</v>
      </c>
      <c r="K1302" t="s">
        <v>385</v>
      </c>
    </row>
    <row r="1303" customFormat="1" spans="1:11">
      <c r="A1303" t="s">
        <v>319</v>
      </c>
      <c r="B1303" s="8">
        <v>242501712</v>
      </c>
      <c r="C1303" s="9">
        <v>45586</v>
      </c>
      <c r="D1303" s="8" t="s">
        <v>58</v>
      </c>
      <c r="E1303" s="10">
        <v>20000</v>
      </c>
      <c r="F1303" s="8">
        <v>0.019</v>
      </c>
      <c r="G1303" s="11">
        <v>45679</v>
      </c>
      <c r="H1303" s="12">
        <f t="shared" si="20"/>
        <v>380</v>
      </c>
      <c r="I1303" s="10" t="s">
        <v>10</v>
      </c>
      <c r="J1303" s="13">
        <v>45593</v>
      </c>
      <c r="K1303" t="s">
        <v>385</v>
      </c>
    </row>
    <row r="1304" customFormat="1" spans="1:11">
      <c r="A1304" t="s">
        <v>319</v>
      </c>
      <c r="B1304" s="8">
        <v>242501712</v>
      </c>
      <c r="C1304" s="9">
        <v>45586</v>
      </c>
      <c r="D1304" s="8" t="s">
        <v>106</v>
      </c>
      <c r="E1304" s="10">
        <v>100000</v>
      </c>
      <c r="F1304" s="8">
        <v>0.04</v>
      </c>
      <c r="G1304" s="11">
        <v>45648</v>
      </c>
      <c r="H1304" s="12">
        <f t="shared" si="20"/>
        <v>4000</v>
      </c>
      <c r="I1304" s="10" t="s">
        <v>10</v>
      </c>
      <c r="J1304" s="13">
        <v>45593</v>
      </c>
      <c r="K1304" t="s">
        <v>385</v>
      </c>
    </row>
    <row r="1305" customFormat="1" spans="1:11">
      <c r="A1305" t="s">
        <v>319</v>
      </c>
      <c r="B1305" s="8">
        <v>242501712</v>
      </c>
      <c r="C1305" s="9">
        <v>45586</v>
      </c>
      <c r="D1305" s="8" t="s">
        <v>282</v>
      </c>
      <c r="E1305" s="10">
        <v>30000</v>
      </c>
      <c r="F1305" s="8">
        <v>0.032</v>
      </c>
      <c r="G1305" s="11">
        <v>45618</v>
      </c>
      <c r="H1305" s="12">
        <f t="shared" si="20"/>
        <v>960</v>
      </c>
      <c r="I1305" s="10" t="s">
        <v>10</v>
      </c>
      <c r="J1305" s="13">
        <v>45593</v>
      </c>
      <c r="K1305" t="s">
        <v>385</v>
      </c>
    </row>
    <row r="1306" customFormat="1" spans="1:11">
      <c r="A1306" t="s">
        <v>319</v>
      </c>
      <c r="B1306" s="8">
        <v>242501712</v>
      </c>
      <c r="C1306" s="9">
        <v>45586</v>
      </c>
      <c r="D1306" s="8" t="s">
        <v>282</v>
      </c>
      <c r="E1306" s="10">
        <v>30000</v>
      </c>
      <c r="F1306" s="8">
        <v>0.032</v>
      </c>
      <c r="G1306" s="11">
        <v>45648</v>
      </c>
      <c r="H1306" s="12">
        <f t="shared" si="20"/>
        <v>960</v>
      </c>
      <c r="I1306" s="10" t="s">
        <v>10</v>
      </c>
      <c r="J1306" s="13">
        <v>45593</v>
      </c>
      <c r="K1306" t="s">
        <v>385</v>
      </c>
    </row>
    <row r="1307" customFormat="1" spans="1:11">
      <c r="A1307" t="s">
        <v>319</v>
      </c>
      <c r="B1307" s="8">
        <v>242501712</v>
      </c>
      <c r="C1307" s="9">
        <v>45586</v>
      </c>
      <c r="D1307" s="8" t="s">
        <v>282</v>
      </c>
      <c r="E1307" s="10">
        <v>30000</v>
      </c>
      <c r="F1307" s="8">
        <v>0.032</v>
      </c>
      <c r="G1307" s="11">
        <v>45679</v>
      </c>
      <c r="H1307" s="12">
        <f t="shared" si="20"/>
        <v>960</v>
      </c>
      <c r="I1307" s="10" t="s">
        <v>10</v>
      </c>
      <c r="J1307" s="13">
        <v>45593</v>
      </c>
      <c r="K1307" t="s">
        <v>385</v>
      </c>
    </row>
    <row r="1308" customFormat="1" spans="1:11">
      <c r="A1308" t="s">
        <v>319</v>
      </c>
      <c r="B1308" s="8">
        <v>242501712</v>
      </c>
      <c r="C1308" s="9">
        <v>45586</v>
      </c>
      <c r="D1308" s="8" t="s">
        <v>213</v>
      </c>
      <c r="E1308" s="10">
        <v>100000</v>
      </c>
      <c r="F1308" s="8">
        <v>0.05</v>
      </c>
      <c r="G1308" s="11">
        <v>45618</v>
      </c>
      <c r="H1308" s="12">
        <f t="shared" si="20"/>
        <v>5000</v>
      </c>
      <c r="I1308" s="10" t="s">
        <v>10</v>
      </c>
      <c r="J1308" s="13">
        <v>45593</v>
      </c>
      <c r="K1308" t="s">
        <v>385</v>
      </c>
    </row>
    <row r="1309" customFormat="1" spans="1:11">
      <c r="A1309" t="s">
        <v>319</v>
      </c>
      <c r="B1309" s="8">
        <v>242501712</v>
      </c>
      <c r="C1309" s="9">
        <v>45586</v>
      </c>
      <c r="D1309" s="8" t="s">
        <v>213</v>
      </c>
      <c r="E1309" s="10">
        <v>100000</v>
      </c>
      <c r="F1309" s="8">
        <v>0.05</v>
      </c>
      <c r="G1309" s="11">
        <v>45618</v>
      </c>
      <c r="H1309" s="12">
        <f t="shared" si="20"/>
        <v>5000</v>
      </c>
      <c r="I1309" s="10" t="s">
        <v>10</v>
      </c>
      <c r="J1309" s="13">
        <v>45593</v>
      </c>
      <c r="K1309" t="s">
        <v>385</v>
      </c>
    </row>
    <row r="1310" customFormat="1" spans="1:11">
      <c r="A1310" t="s">
        <v>319</v>
      </c>
      <c r="B1310" s="8">
        <v>242501712</v>
      </c>
      <c r="C1310" s="9">
        <v>45586</v>
      </c>
      <c r="D1310" s="8" t="s">
        <v>213</v>
      </c>
      <c r="E1310" s="10">
        <v>100000</v>
      </c>
      <c r="F1310" s="8">
        <v>0.05</v>
      </c>
      <c r="G1310" s="11">
        <v>45618</v>
      </c>
      <c r="H1310" s="12">
        <f t="shared" si="20"/>
        <v>5000</v>
      </c>
      <c r="I1310" s="10" t="s">
        <v>10</v>
      </c>
      <c r="J1310" s="13">
        <v>45593</v>
      </c>
      <c r="K1310" t="s">
        <v>385</v>
      </c>
    </row>
    <row r="1311" customFormat="1" spans="1:11">
      <c r="A1311" t="s">
        <v>319</v>
      </c>
      <c r="B1311" s="8">
        <v>242501712</v>
      </c>
      <c r="C1311" s="9">
        <v>45586</v>
      </c>
      <c r="D1311" s="8" t="s">
        <v>213</v>
      </c>
      <c r="E1311" s="10">
        <v>100000</v>
      </c>
      <c r="F1311" s="8">
        <v>0.05</v>
      </c>
      <c r="G1311" s="11">
        <v>45618</v>
      </c>
      <c r="H1311" s="12">
        <f t="shared" si="20"/>
        <v>5000</v>
      </c>
      <c r="I1311" s="10" t="s">
        <v>10</v>
      </c>
      <c r="J1311" s="13">
        <v>45593</v>
      </c>
      <c r="K1311" t="s">
        <v>385</v>
      </c>
    </row>
    <row r="1312" customFormat="1" spans="1:11">
      <c r="A1312" t="s">
        <v>319</v>
      </c>
      <c r="B1312" s="8">
        <v>242501712</v>
      </c>
      <c r="C1312" s="9">
        <v>45586</v>
      </c>
      <c r="D1312" s="8" t="s">
        <v>213</v>
      </c>
      <c r="E1312" s="10">
        <v>100000</v>
      </c>
      <c r="F1312" s="8">
        <v>0.05</v>
      </c>
      <c r="G1312" s="11">
        <v>45648</v>
      </c>
      <c r="H1312" s="12">
        <f t="shared" si="20"/>
        <v>5000</v>
      </c>
      <c r="I1312" s="10" t="s">
        <v>10</v>
      </c>
      <c r="J1312" s="13">
        <v>45593</v>
      </c>
      <c r="K1312" t="s">
        <v>385</v>
      </c>
    </row>
    <row r="1313" customFormat="1" spans="1:11">
      <c r="A1313" t="s">
        <v>319</v>
      </c>
      <c r="B1313" s="8">
        <v>242501712</v>
      </c>
      <c r="C1313" s="9">
        <v>45586</v>
      </c>
      <c r="D1313" s="8" t="s">
        <v>213</v>
      </c>
      <c r="E1313" s="10">
        <v>100000</v>
      </c>
      <c r="F1313" s="8">
        <v>0.05</v>
      </c>
      <c r="G1313" s="11">
        <v>45648</v>
      </c>
      <c r="H1313" s="12">
        <f t="shared" si="20"/>
        <v>5000</v>
      </c>
      <c r="I1313" s="10" t="s">
        <v>10</v>
      </c>
      <c r="J1313" s="13">
        <v>45593</v>
      </c>
      <c r="K1313" t="s">
        <v>385</v>
      </c>
    </row>
    <row r="1314" customFormat="1" spans="1:11">
      <c r="A1314" t="s">
        <v>319</v>
      </c>
      <c r="B1314" s="8">
        <v>242501712</v>
      </c>
      <c r="C1314" s="9">
        <v>45586</v>
      </c>
      <c r="D1314" s="8" t="s">
        <v>213</v>
      </c>
      <c r="E1314" s="10">
        <v>150000</v>
      </c>
      <c r="F1314" s="8">
        <v>0.05</v>
      </c>
      <c r="G1314" s="11">
        <v>45648</v>
      </c>
      <c r="H1314" s="12">
        <f t="shared" si="20"/>
        <v>7500</v>
      </c>
      <c r="I1314" s="10" t="s">
        <v>10</v>
      </c>
      <c r="J1314" s="13">
        <v>45593</v>
      </c>
      <c r="K1314" t="s">
        <v>385</v>
      </c>
    </row>
    <row r="1315" customFormat="1" spans="1:11">
      <c r="A1315" t="s">
        <v>319</v>
      </c>
      <c r="B1315" s="8">
        <v>242501712</v>
      </c>
      <c r="C1315" s="9">
        <v>45586</v>
      </c>
      <c r="D1315" s="8" t="s">
        <v>239</v>
      </c>
      <c r="E1315" s="10">
        <v>150000</v>
      </c>
      <c r="F1315" s="8">
        <v>0.0278</v>
      </c>
      <c r="G1315" s="11">
        <v>45618</v>
      </c>
      <c r="H1315" s="12">
        <f t="shared" si="20"/>
        <v>4170</v>
      </c>
      <c r="I1315" s="10" t="s">
        <v>10</v>
      </c>
      <c r="J1315" s="13">
        <v>45593</v>
      </c>
      <c r="K1315" t="s">
        <v>385</v>
      </c>
    </row>
    <row r="1316" customFormat="1" spans="1:11">
      <c r="A1316" t="s">
        <v>319</v>
      </c>
      <c r="B1316" s="8">
        <v>242501712</v>
      </c>
      <c r="C1316" s="9">
        <v>45586</v>
      </c>
      <c r="D1316" s="8" t="s">
        <v>239</v>
      </c>
      <c r="E1316" s="10">
        <v>100000</v>
      </c>
      <c r="F1316" s="8">
        <v>0.0278</v>
      </c>
      <c r="G1316" s="11">
        <v>45648</v>
      </c>
      <c r="H1316" s="12">
        <f t="shared" si="20"/>
        <v>2780</v>
      </c>
      <c r="I1316" s="10" t="s">
        <v>10</v>
      </c>
      <c r="J1316" s="13">
        <v>45593</v>
      </c>
      <c r="K1316" t="s">
        <v>385</v>
      </c>
    </row>
    <row r="1317" customFormat="1" spans="1:11">
      <c r="A1317" t="s">
        <v>319</v>
      </c>
      <c r="B1317" s="8">
        <v>242501712</v>
      </c>
      <c r="C1317" s="9">
        <v>45586</v>
      </c>
      <c r="D1317" s="8" t="s">
        <v>239</v>
      </c>
      <c r="E1317" s="10">
        <v>100000</v>
      </c>
      <c r="F1317" s="8">
        <v>0.0278</v>
      </c>
      <c r="G1317" s="11">
        <v>45648</v>
      </c>
      <c r="H1317" s="12">
        <f t="shared" si="20"/>
        <v>2780</v>
      </c>
      <c r="I1317" s="10" t="s">
        <v>10</v>
      </c>
      <c r="J1317" s="13">
        <v>45593</v>
      </c>
      <c r="K1317" t="s">
        <v>385</v>
      </c>
    </row>
    <row r="1318" customFormat="1" spans="1:11">
      <c r="A1318" t="s">
        <v>319</v>
      </c>
      <c r="B1318" s="8">
        <v>242501712</v>
      </c>
      <c r="C1318" s="9">
        <v>45586</v>
      </c>
      <c r="D1318" s="8" t="s">
        <v>128</v>
      </c>
      <c r="E1318" s="10">
        <v>100000</v>
      </c>
      <c r="F1318" s="8">
        <v>0.0278</v>
      </c>
      <c r="G1318" s="11">
        <v>45648</v>
      </c>
      <c r="H1318" s="12">
        <f t="shared" si="20"/>
        <v>2780</v>
      </c>
      <c r="I1318" s="10" t="s">
        <v>10</v>
      </c>
      <c r="J1318" s="13">
        <v>45593</v>
      </c>
      <c r="K1318" t="s">
        <v>385</v>
      </c>
    </row>
    <row r="1319" customFormat="1" spans="1:11">
      <c r="A1319" t="s">
        <v>319</v>
      </c>
      <c r="B1319" s="8">
        <v>242501712</v>
      </c>
      <c r="C1319" s="9">
        <v>45586</v>
      </c>
      <c r="D1319" s="8" t="s">
        <v>108</v>
      </c>
      <c r="E1319" s="10">
        <v>20000</v>
      </c>
      <c r="F1319" s="8">
        <v>0.04</v>
      </c>
      <c r="G1319" s="11">
        <v>45618</v>
      </c>
      <c r="H1319" s="12">
        <f t="shared" si="20"/>
        <v>800</v>
      </c>
      <c r="I1319" s="10" t="s">
        <v>10</v>
      </c>
      <c r="J1319" s="13">
        <v>45593</v>
      </c>
      <c r="K1319" t="s">
        <v>385</v>
      </c>
    </row>
    <row r="1320" customFormat="1" spans="1:11">
      <c r="A1320" t="s">
        <v>319</v>
      </c>
      <c r="B1320" s="8">
        <v>242501712</v>
      </c>
      <c r="C1320" s="9">
        <v>45586</v>
      </c>
      <c r="D1320" s="8" t="s">
        <v>108</v>
      </c>
      <c r="E1320" s="10">
        <v>20000</v>
      </c>
      <c r="F1320" s="8">
        <v>0.04</v>
      </c>
      <c r="G1320" s="11">
        <v>45648</v>
      </c>
      <c r="H1320" s="12">
        <f t="shared" si="20"/>
        <v>800</v>
      </c>
      <c r="I1320" s="10" t="s">
        <v>10</v>
      </c>
      <c r="J1320" s="13">
        <v>45593</v>
      </c>
      <c r="K1320" t="s">
        <v>385</v>
      </c>
    </row>
    <row r="1321" customFormat="1" spans="1:11">
      <c r="A1321" t="s">
        <v>319</v>
      </c>
      <c r="B1321" s="8">
        <v>242501716</v>
      </c>
      <c r="C1321" s="9">
        <v>45587</v>
      </c>
      <c r="D1321" s="8" t="s">
        <v>400</v>
      </c>
      <c r="E1321" s="10">
        <v>60000</v>
      </c>
      <c r="F1321" s="8">
        <v>0.0525</v>
      </c>
      <c r="G1321" s="11">
        <v>45679</v>
      </c>
      <c r="H1321" s="12">
        <f t="shared" si="20"/>
        <v>3150</v>
      </c>
      <c r="I1321" s="10" t="s">
        <v>10</v>
      </c>
      <c r="J1321" s="13">
        <v>45611</v>
      </c>
    </row>
    <row r="1322" customFormat="1" spans="1:11">
      <c r="A1322" t="s">
        <v>319</v>
      </c>
      <c r="B1322" s="8">
        <v>242501717</v>
      </c>
      <c r="C1322" s="9">
        <v>45587</v>
      </c>
      <c r="D1322" s="8" t="s">
        <v>82</v>
      </c>
      <c r="E1322" s="10">
        <v>40000</v>
      </c>
      <c r="F1322" s="8">
        <v>0.022</v>
      </c>
      <c r="G1322" s="11">
        <v>45641</v>
      </c>
      <c r="H1322" s="12">
        <f t="shared" si="20"/>
        <v>880</v>
      </c>
      <c r="I1322" s="10" t="s">
        <v>10</v>
      </c>
      <c r="J1322" s="13">
        <v>45603</v>
      </c>
    </row>
    <row r="1323" customFormat="1" spans="1:11">
      <c r="A1323" t="s">
        <v>319</v>
      </c>
      <c r="B1323" s="8">
        <v>242501717</v>
      </c>
      <c r="C1323" s="9">
        <v>45587</v>
      </c>
      <c r="D1323" s="8" t="s">
        <v>82</v>
      </c>
      <c r="E1323" s="10">
        <v>80000</v>
      </c>
      <c r="F1323" s="8">
        <v>0.022</v>
      </c>
      <c r="G1323" s="11">
        <v>45672</v>
      </c>
      <c r="H1323" s="12">
        <f t="shared" si="20"/>
        <v>1760</v>
      </c>
      <c r="I1323" s="10" t="s">
        <v>10</v>
      </c>
      <c r="J1323" s="13">
        <v>45603</v>
      </c>
    </row>
    <row r="1324" customFormat="1" spans="1:11">
      <c r="A1324" t="s">
        <v>319</v>
      </c>
      <c r="B1324" s="8">
        <v>242501717</v>
      </c>
      <c r="C1324" s="9">
        <v>45587</v>
      </c>
      <c r="D1324" s="8" t="s">
        <v>329</v>
      </c>
      <c r="E1324" s="10">
        <v>30000</v>
      </c>
      <c r="F1324" s="8">
        <v>0.023</v>
      </c>
      <c r="G1324" s="11">
        <v>45641</v>
      </c>
      <c r="H1324" s="12">
        <f t="shared" si="20"/>
        <v>690</v>
      </c>
      <c r="I1324" s="10" t="s">
        <v>10</v>
      </c>
      <c r="J1324" s="13">
        <v>45603</v>
      </c>
    </row>
    <row r="1325" customFormat="1" spans="1:11">
      <c r="A1325" t="s">
        <v>319</v>
      </c>
      <c r="B1325" s="8">
        <v>242501728</v>
      </c>
      <c r="C1325" s="9">
        <v>45588</v>
      </c>
      <c r="D1325" s="8" t="s">
        <v>436</v>
      </c>
      <c r="E1325" s="10">
        <v>30000</v>
      </c>
      <c r="F1325" s="8">
        <v>0.035</v>
      </c>
      <c r="G1325" s="11">
        <v>45588</v>
      </c>
      <c r="H1325" s="12">
        <f t="shared" si="20"/>
        <v>1050</v>
      </c>
      <c r="I1325" s="10" t="s">
        <v>10</v>
      </c>
      <c r="J1325" s="13">
        <v>45593</v>
      </c>
      <c r="K1325" t="s">
        <v>327</v>
      </c>
    </row>
    <row r="1326" customFormat="1" spans="1:11">
      <c r="A1326" t="s">
        <v>319</v>
      </c>
      <c r="B1326" s="8">
        <v>242501779</v>
      </c>
      <c r="C1326" s="9">
        <v>45593</v>
      </c>
      <c r="D1326" s="8" t="s">
        <v>395</v>
      </c>
      <c r="E1326" s="10">
        <v>498000</v>
      </c>
      <c r="F1326" s="8">
        <v>0.013</v>
      </c>
      <c r="G1326" s="11">
        <v>45606</v>
      </c>
      <c r="H1326" s="12">
        <f t="shared" si="20"/>
        <v>6474</v>
      </c>
      <c r="I1326" s="10" t="s">
        <v>10</v>
      </c>
      <c r="J1326" s="13" t="s">
        <v>325</v>
      </c>
    </row>
    <row r="1327" customFormat="1" spans="1:11">
      <c r="A1327" t="s">
        <v>319</v>
      </c>
      <c r="B1327" s="8">
        <v>242501781</v>
      </c>
      <c r="C1327" s="9">
        <v>45593</v>
      </c>
      <c r="D1327" s="8" t="s">
        <v>400</v>
      </c>
      <c r="E1327" s="10">
        <v>40000</v>
      </c>
      <c r="F1327" s="8">
        <v>0.0525</v>
      </c>
      <c r="G1327" s="11">
        <v>45693</v>
      </c>
      <c r="H1327" s="12">
        <f t="shared" si="20"/>
        <v>2100</v>
      </c>
      <c r="I1327" s="10" t="s">
        <v>10</v>
      </c>
      <c r="J1327" s="13">
        <v>45611</v>
      </c>
      <c r="K1327" t="s">
        <v>365</v>
      </c>
    </row>
    <row r="1328" customFormat="1" spans="1:11">
      <c r="A1328" t="s">
        <v>319</v>
      </c>
      <c r="B1328" s="8">
        <v>242501783</v>
      </c>
      <c r="C1328" s="9">
        <v>45593</v>
      </c>
      <c r="D1328" s="8" t="s">
        <v>253</v>
      </c>
      <c r="E1328" s="10">
        <v>60000</v>
      </c>
      <c r="F1328" s="8">
        <v>0.08</v>
      </c>
      <c r="G1328" s="11">
        <v>45631</v>
      </c>
      <c r="H1328" s="12">
        <f t="shared" si="20"/>
        <v>4800</v>
      </c>
      <c r="I1328" s="10" t="s">
        <v>10</v>
      </c>
      <c r="J1328" s="13">
        <v>45609</v>
      </c>
      <c r="K1328" t="s">
        <v>437</v>
      </c>
    </row>
    <row r="1329" customFormat="1" spans="1:11">
      <c r="A1329" t="s">
        <v>319</v>
      </c>
      <c r="B1329" s="8">
        <v>242501783</v>
      </c>
      <c r="C1329" s="9">
        <v>45593</v>
      </c>
      <c r="D1329" s="8" t="s">
        <v>253</v>
      </c>
      <c r="E1329" s="10">
        <v>20000</v>
      </c>
      <c r="F1329" s="8">
        <v>0.08</v>
      </c>
      <c r="G1329" s="11">
        <v>45662</v>
      </c>
      <c r="H1329" s="12">
        <f t="shared" si="20"/>
        <v>1600</v>
      </c>
      <c r="I1329" s="10" t="s">
        <v>10</v>
      </c>
      <c r="J1329" s="13">
        <v>45609</v>
      </c>
      <c r="K1329" t="s">
        <v>437</v>
      </c>
    </row>
    <row r="1330" customFormat="1" spans="1:11">
      <c r="A1330" t="s">
        <v>319</v>
      </c>
      <c r="B1330" s="8">
        <v>242501784</v>
      </c>
      <c r="C1330" s="9">
        <v>45593</v>
      </c>
      <c r="D1330" s="8" t="s">
        <v>210</v>
      </c>
      <c r="E1330" s="10">
        <v>500000</v>
      </c>
      <c r="F1330" s="8">
        <v>0.024</v>
      </c>
      <c r="G1330" s="11">
        <v>45648</v>
      </c>
      <c r="H1330" s="12">
        <f t="shared" si="20"/>
        <v>12000</v>
      </c>
      <c r="I1330" s="10" t="s">
        <v>10</v>
      </c>
      <c r="J1330" s="13">
        <v>45609</v>
      </c>
      <c r="K1330" t="s">
        <v>380</v>
      </c>
    </row>
    <row r="1331" customFormat="1" spans="1:11">
      <c r="A1331" t="s">
        <v>319</v>
      </c>
      <c r="B1331" s="8">
        <v>242501784</v>
      </c>
      <c r="C1331" s="9">
        <v>45593</v>
      </c>
      <c r="D1331" s="8" t="s">
        <v>210</v>
      </c>
      <c r="E1331" s="10">
        <v>500000</v>
      </c>
      <c r="F1331" s="8">
        <v>0.024</v>
      </c>
      <c r="G1331" s="11">
        <v>45679</v>
      </c>
      <c r="H1331" s="12">
        <f t="shared" si="20"/>
        <v>12000</v>
      </c>
      <c r="I1331" s="10" t="s">
        <v>10</v>
      </c>
      <c r="J1331" s="13">
        <v>45609</v>
      </c>
      <c r="K1331" t="s">
        <v>380</v>
      </c>
    </row>
    <row r="1332" customFormat="1" spans="1:11">
      <c r="A1332" t="s">
        <v>319</v>
      </c>
      <c r="B1332" s="8">
        <v>242501784</v>
      </c>
      <c r="C1332" s="9">
        <v>45593</v>
      </c>
      <c r="D1332" s="8" t="s">
        <v>163</v>
      </c>
      <c r="E1332" s="10">
        <v>208000</v>
      </c>
      <c r="F1332" s="8">
        <v>0.0025</v>
      </c>
      <c r="G1332" s="11">
        <v>45648</v>
      </c>
      <c r="H1332" s="12">
        <f t="shared" si="20"/>
        <v>520</v>
      </c>
      <c r="I1332" s="10" t="s">
        <v>10</v>
      </c>
      <c r="J1332" s="13">
        <v>45609</v>
      </c>
      <c r="K1332" t="s">
        <v>380</v>
      </c>
    </row>
    <row r="1333" customFormat="1" spans="1:11">
      <c r="A1333" t="s">
        <v>319</v>
      </c>
      <c r="B1333" s="8">
        <v>242501784</v>
      </c>
      <c r="C1333" s="9">
        <v>45593</v>
      </c>
      <c r="D1333" s="8" t="s">
        <v>163</v>
      </c>
      <c r="E1333" s="10">
        <v>192000</v>
      </c>
      <c r="F1333" s="8">
        <v>0.0025</v>
      </c>
      <c r="G1333" s="11">
        <v>45679</v>
      </c>
      <c r="H1333" s="12">
        <f t="shared" si="20"/>
        <v>480</v>
      </c>
      <c r="I1333" s="10" t="s">
        <v>10</v>
      </c>
      <c r="J1333" s="13">
        <v>45609</v>
      </c>
      <c r="K1333" t="s">
        <v>380</v>
      </c>
    </row>
    <row r="1334" customFormat="1" spans="1:11">
      <c r="A1334" t="s">
        <v>319</v>
      </c>
      <c r="B1334" s="8">
        <v>242501799</v>
      </c>
      <c r="C1334" s="9">
        <v>45593</v>
      </c>
      <c r="D1334" s="8" t="s">
        <v>438</v>
      </c>
      <c r="E1334" s="10">
        <v>20000</v>
      </c>
      <c r="F1334" s="8">
        <v>0.07</v>
      </c>
      <c r="G1334" s="11">
        <v>45601</v>
      </c>
      <c r="H1334" s="12">
        <f t="shared" si="20"/>
        <v>1400</v>
      </c>
      <c r="I1334" s="10" t="s">
        <v>10</v>
      </c>
      <c r="J1334" s="13">
        <v>45609</v>
      </c>
    </row>
    <row r="1335" customFormat="1" spans="1:11">
      <c r="A1335" t="s">
        <v>319</v>
      </c>
      <c r="B1335" s="8">
        <v>242501799</v>
      </c>
      <c r="C1335" s="9">
        <v>45593</v>
      </c>
      <c r="D1335" s="8" t="s">
        <v>438</v>
      </c>
      <c r="E1335" s="10">
        <v>20000</v>
      </c>
      <c r="F1335" s="8">
        <v>0.07</v>
      </c>
      <c r="G1335" s="11">
        <v>45631</v>
      </c>
      <c r="H1335" s="12">
        <f t="shared" si="20"/>
        <v>1400</v>
      </c>
      <c r="I1335" s="10" t="s">
        <v>10</v>
      </c>
      <c r="J1335" s="13">
        <v>45609</v>
      </c>
    </row>
    <row r="1336" customFormat="1" spans="1:11">
      <c r="A1336" t="s">
        <v>319</v>
      </c>
      <c r="B1336" s="8">
        <v>242501799</v>
      </c>
      <c r="C1336" s="9">
        <v>45593</v>
      </c>
      <c r="D1336" s="8" t="s">
        <v>438</v>
      </c>
      <c r="E1336" s="10">
        <v>20000</v>
      </c>
      <c r="F1336" s="8">
        <v>0.07</v>
      </c>
      <c r="G1336" s="11">
        <v>45662</v>
      </c>
      <c r="H1336" s="12">
        <f t="shared" si="20"/>
        <v>1400</v>
      </c>
      <c r="I1336" s="10" t="s">
        <v>10</v>
      </c>
      <c r="J1336" s="13">
        <v>45609</v>
      </c>
    </row>
    <row r="1337" customFormat="1" spans="1:11">
      <c r="A1337" t="s">
        <v>319</v>
      </c>
      <c r="B1337" s="8">
        <v>242501799</v>
      </c>
      <c r="C1337" s="9">
        <v>45593</v>
      </c>
      <c r="D1337" s="8" t="s">
        <v>438</v>
      </c>
      <c r="E1337" s="10">
        <v>20000</v>
      </c>
      <c r="F1337" s="8">
        <v>0.07</v>
      </c>
      <c r="G1337" s="11">
        <v>45693</v>
      </c>
      <c r="H1337" s="12">
        <f t="shared" si="20"/>
        <v>1400</v>
      </c>
      <c r="I1337" s="10" t="s">
        <v>10</v>
      </c>
      <c r="J1337" s="13">
        <v>45609</v>
      </c>
    </row>
    <row r="1338" customFormat="1" spans="1:11">
      <c r="A1338" t="s">
        <v>319</v>
      </c>
      <c r="B1338" s="8">
        <v>242501800</v>
      </c>
      <c r="C1338" s="9">
        <v>45593</v>
      </c>
      <c r="D1338" s="8" t="s">
        <v>438</v>
      </c>
      <c r="E1338" s="10">
        <v>60000</v>
      </c>
      <c r="F1338" s="8">
        <v>0.07</v>
      </c>
      <c r="G1338" s="11">
        <v>45601</v>
      </c>
      <c r="H1338" s="12">
        <f t="shared" si="20"/>
        <v>4200</v>
      </c>
      <c r="I1338" s="10" t="s">
        <v>10</v>
      </c>
      <c r="J1338" s="13">
        <v>45609</v>
      </c>
    </row>
    <row r="1339" customFormat="1" spans="1:11">
      <c r="A1339" t="s">
        <v>319</v>
      </c>
      <c r="B1339" s="8">
        <v>242501800</v>
      </c>
      <c r="C1339" s="9">
        <v>45593</v>
      </c>
      <c r="D1339" s="8" t="s">
        <v>438</v>
      </c>
      <c r="E1339" s="10">
        <v>60000</v>
      </c>
      <c r="F1339" s="8">
        <v>0.07</v>
      </c>
      <c r="G1339" s="11">
        <v>45631</v>
      </c>
      <c r="H1339" s="12">
        <f t="shared" si="20"/>
        <v>4200</v>
      </c>
      <c r="I1339" s="10" t="s">
        <v>10</v>
      </c>
      <c r="J1339" s="13">
        <v>45609</v>
      </c>
    </row>
    <row r="1340" customFormat="1" spans="1:11">
      <c r="A1340" t="s">
        <v>319</v>
      </c>
      <c r="B1340" s="8">
        <v>242501800</v>
      </c>
      <c r="C1340" s="9">
        <v>45593</v>
      </c>
      <c r="D1340" s="8" t="s">
        <v>438</v>
      </c>
      <c r="E1340" s="10">
        <v>60000</v>
      </c>
      <c r="F1340" s="8">
        <v>0.07</v>
      </c>
      <c r="G1340" s="11">
        <v>45662</v>
      </c>
      <c r="H1340" s="12">
        <f t="shared" si="20"/>
        <v>4200</v>
      </c>
      <c r="I1340" s="10" t="s">
        <v>10</v>
      </c>
      <c r="J1340" s="13">
        <v>45609</v>
      </c>
    </row>
    <row r="1341" customFormat="1" spans="1:11">
      <c r="A1341" t="s">
        <v>319</v>
      </c>
      <c r="B1341" s="8">
        <v>242501800</v>
      </c>
      <c r="C1341" s="9">
        <v>45593</v>
      </c>
      <c r="D1341" s="8" t="s">
        <v>438</v>
      </c>
      <c r="E1341" s="10">
        <v>60000</v>
      </c>
      <c r="F1341" s="8">
        <v>0.07</v>
      </c>
      <c r="G1341" s="11">
        <v>45693</v>
      </c>
      <c r="H1341" s="12">
        <f t="shared" si="20"/>
        <v>4200</v>
      </c>
      <c r="I1341" s="10" t="s">
        <v>10</v>
      </c>
      <c r="J1341" s="13">
        <v>45609</v>
      </c>
    </row>
    <row r="1342" customFormat="1" spans="1:11">
      <c r="A1342" t="s">
        <v>319</v>
      </c>
      <c r="B1342" s="8">
        <v>242501801</v>
      </c>
      <c r="C1342" s="9">
        <v>45594</v>
      </c>
      <c r="D1342" s="8" t="s">
        <v>419</v>
      </c>
      <c r="E1342" s="10">
        <v>192000</v>
      </c>
      <c r="F1342" s="8">
        <v>0.0035</v>
      </c>
      <c r="G1342" s="11">
        <v>45606</v>
      </c>
      <c r="H1342" s="12">
        <f t="shared" si="20"/>
        <v>672</v>
      </c>
      <c r="I1342" s="10" t="s">
        <v>10</v>
      </c>
      <c r="J1342" s="15" t="s">
        <v>325</v>
      </c>
    </row>
    <row r="1343" customFormat="1" spans="1:11">
      <c r="A1343" t="s">
        <v>319</v>
      </c>
      <c r="B1343" s="8">
        <v>242501811</v>
      </c>
      <c r="C1343" s="9">
        <v>45594</v>
      </c>
      <c r="D1343" s="8" t="s">
        <v>207</v>
      </c>
      <c r="E1343" s="10">
        <v>100000</v>
      </c>
      <c r="F1343" s="8">
        <v>0.03</v>
      </c>
      <c r="G1343" s="11">
        <v>45646</v>
      </c>
      <c r="H1343" s="12">
        <f t="shared" si="20"/>
        <v>3000</v>
      </c>
      <c r="I1343" s="10" t="s">
        <v>10</v>
      </c>
      <c r="J1343" s="13">
        <v>45609</v>
      </c>
      <c r="K1343" t="s">
        <v>439</v>
      </c>
    </row>
    <row r="1344" customFormat="1" spans="1:11">
      <c r="A1344" t="s">
        <v>319</v>
      </c>
      <c r="B1344" s="8">
        <v>242501811</v>
      </c>
      <c r="C1344" s="9">
        <v>45594</v>
      </c>
      <c r="D1344" s="8" t="s">
        <v>207</v>
      </c>
      <c r="E1344" s="10">
        <v>200000</v>
      </c>
      <c r="F1344" s="8">
        <v>0.03</v>
      </c>
      <c r="G1344" s="11">
        <v>45672</v>
      </c>
      <c r="H1344" s="12">
        <f t="shared" si="20"/>
        <v>6000</v>
      </c>
      <c r="I1344" s="10" t="s">
        <v>10</v>
      </c>
      <c r="J1344" s="13">
        <v>45609</v>
      </c>
      <c r="K1344" t="s">
        <v>439</v>
      </c>
    </row>
    <row r="1345" customFormat="1" ht="29" spans="1:12">
      <c r="A1345" t="s">
        <v>319</v>
      </c>
      <c r="B1345" s="8">
        <v>242501862</v>
      </c>
      <c r="C1345" s="9">
        <v>45604</v>
      </c>
      <c r="D1345" s="50" t="s">
        <v>314</v>
      </c>
      <c r="E1345" s="10">
        <v>300000</v>
      </c>
      <c r="F1345" s="8">
        <v>0.021</v>
      </c>
      <c r="G1345" s="11">
        <v>45679</v>
      </c>
      <c r="H1345" s="12">
        <f t="shared" si="20"/>
        <v>6300</v>
      </c>
      <c r="I1345" s="10" t="s">
        <v>10</v>
      </c>
      <c r="J1345" s="13">
        <v>45614</v>
      </c>
    </row>
    <row r="1346" customFormat="1" spans="1:12">
      <c r="A1346" t="s">
        <v>319</v>
      </c>
      <c r="B1346" s="8">
        <v>242501871</v>
      </c>
      <c r="C1346" s="9">
        <v>45607</v>
      </c>
      <c r="D1346" s="8" t="s">
        <v>334</v>
      </c>
      <c r="E1346" s="10">
        <v>20000</v>
      </c>
      <c r="F1346" s="8">
        <v>0.15</v>
      </c>
      <c r="G1346" s="11">
        <v>45631</v>
      </c>
      <c r="H1346" s="12">
        <f t="shared" ref="H1346:H1409" si="21">E1346*F1346</f>
        <v>3000</v>
      </c>
      <c r="I1346" s="10" t="s">
        <v>10</v>
      </c>
      <c r="J1346" s="13">
        <v>45630</v>
      </c>
    </row>
    <row r="1347" customFormat="1" spans="1:12">
      <c r="A1347" t="s">
        <v>319</v>
      </c>
      <c r="B1347" s="14">
        <v>242501874</v>
      </c>
      <c r="C1347" s="13">
        <v>45607</v>
      </c>
      <c r="D1347" s="14" t="s">
        <v>226</v>
      </c>
      <c r="E1347" s="15">
        <v>300</v>
      </c>
      <c r="F1347" s="14">
        <v>0.08</v>
      </c>
      <c r="G1347" s="16">
        <v>45607</v>
      </c>
      <c r="H1347" s="17">
        <f t="shared" si="21"/>
        <v>24</v>
      </c>
      <c r="I1347" s="15" t="s">
        <v>51</v>
      </c>
      <c r="J1347" s="15"/>
    </row>
    <row r="1348" customFormat="1" spans="1:12">
      <c r="A1348" t="s">
        <v>319</v>
      </c>
      <c r="B1348" s="14">
        <v>242501874</v>
      </c>
      <c r="C1348" s="13">
        <v>45607</v>
      </c>
      <c r="D1348" s="14" t="s">
        <v>440</v>
      </c>
      <c r="E1348" s="15">
        <v>300</v>
      </c>
      <c r="F1348" s="14">
        <v>0.28</v>
      </c>
      <c r="G1348" s="16">
        <v>45607</v>
      </c>
      <c r="H1348" s="17">
        <f t="shared" si="21"/>
        <v>84</v>
      </c>
      <c r="I1348" s="15" t="s">
        <v>51</v>
      </c>
      <c r="J1348" s="15"/>
    </row>
    <row r="1349" customFormat="1" spans="1:12">
      <c r="A1349" t="s">
        <v>319</v>
      </c>
      <c r="B1349" s="14">
        <v>242501874</v>
      </c>
      <c r="C1349" s="13">
        <v>45607</v>
      </c>
      <c r="D1349" s="14" t="s">
        <v>427</v>
      </c>
      <c r="E1349" s="15">
        <v>500</v>
      </c>
      <c r="F1349" s="14">
        <v>0.05</v>
      </c>
      <c r="G1349" s="16">
        <v>45607</v>
      </c>
      <c r="H1349" s="17">
        <f t="shared" si="21"/>
        <v>25</v>
      </c>
      <c r="I1349" s="15" t="s">
        <v>51</v>
      </c>
      <c r="J1349" s="15"/>
    </row>
    <row r="1350" customFormat="1" spans="1:12">
      <c r="A1350" t="s">
        <v>319</v>
      </c>
      <c r="B1350" s="14">
        <v>242501874</v>
      </c>
      <c r="C1350" s="13">
        <v>45607</v>
      </c>
      <c r="D1350" s="14" t="s">
        <v>441</v>
      </c>
      <c r="E1350" s="15">
        <v>1000</v>
      </c>
      <c r="F1350" s="14">
        <v>0.06</v>
      </c>
      <c r="G1350" s="16">
        <v>45597</v>
      </c>
      <c r="H1350" s="17">
        <f t="shared" si="21"/>
        <v>60</v>
      </c>
      <c r="I1350" s="15" t="s">
        <v>51</v>
      </c>
      <c r="J1350" s="15"/>
    </row>
    <row r="1351" customFormat="1" spans="1:12">
      <c r="A1351" t="s">
        <v>319</v>
      </c>
      <c r="B1351" s="8">
        <v>242501884</v>
      </c>
      <c r="C1351" s="9">
        <v>45609</v>
      </c>
      <c r="D1351" s="8" t="s">
        <v>330</v>
      </c>
      <c r="E1351" s="10">
        <v>200000</v>
      </c>
      <c r="F1351" s="8">
        <v>0.04</v>
      </c>
      <c r="G1351" s="11">
        <v>45662</v>
      </c>
      <c r="H1351" s="12">
        <f t="shared" si="21"/>
        <v>8000</v>
      </c>
      <c r="I1351" s="10" t="s">
        <v>10</v>
      </c>
      <c r="J1351" s="13">
        <v>45614</v>
      </c>
    </row>
    <row r="1352" customFormat="1" spans="1:12">
      <c r="A1352" t="s">
        <v>319</v>
      </c>
      <c r="B1352" s="8">
        <v>242501884</v>
      </c>
      <c r="C1352" s="9">
        <v>45609</v>
      </c>
      <c r="D1352" s="8" t="s">
        <v>330</v>
      </c>
      <c r="E1352" s="10">
        <v>200000</v>
      </c>
      <c r="F1352" s="8">
        <v>0.04</v>
      </c>
      <c r="G1352" s="11">
        <v>45693</v>
      </c>
      <c r="H1352" s="12">
        <f t="shared" si="21"/>
        <v>8000</v>
      </c>
      <c r="I1352" s="10" t="s">
        <v>10</v>
      </c>
      <c r="J1352" s="13">
        <v>45614</v>
      </c>
    </row>
    <row r="1353" customFormat="1" spans="1:12">
      <c r="A1353" t="s">
        <v>319</v>
      </c>
      <c r="B1353" s="8">
        <v>242501885</v>
      </c>
      <c r="C1353" s="9">
        <v>45609</v>
      </c>
      <c r="D1353" s="8" t="s">
        <v>442</v>
      </c>
      <c r="E1353" s="10">
        <v>60000</v>
      </c>
      <c r="F1353" s="8">
        <v>0.032</v>
      </c>
      <c r="G1353" s="11">
        <v>45662</v>
      </c>
      <c r="H1353" s="12">
        <f t="shared" si="21"/>
        <v>1920</v>
      </c>
      <c r="I1353" s="10" t="s">
        <v>10</v>
      </c>
      <c r="J1353" s="15" t="s">
        <v>325</v>
      </c>
    </row>
    <row r="1354" customFormat="1" spans="1:12">
      <c r="A1354" t="s">
        <v>319</v>
      </c>
      <c r="B1354" s="8">
        <v>242501894</v>
      </c>
      <c r="C1354" s="9">
        <v>45610</v>
      </c>
      <c r="D1354" s="8" t="s">
        <v>290</v>
      </c>
      <c r="E1354" s="10">
        <v>20000</v>
      </c>
      <c r="F1354" s="8">
        <v>0.03</v>
      </c>
      <c r="G1354" s="11">
        <v>45693</v>
      </c>
      <c r="H1354" s="12">
        <f t="shared" si="21"/>
        <v>600</v>
      </c>
      <c r="I1354" s="10" t="s">
        <v>10</v>
      </c>
      <c r="J1354" s="13">
        <v>45614</v>
      </c>
    </row>
    <row r="1355" customFormat="1" spans="1:12">
      <c r="A1355" t="s">
        <v>319</v>
      </c>
      <c r="B1355" s="8">
        <v>242501894</v>
      </c>
      <c r="C1355" s="9">
        <v>45610</v>
      </c>
      <c r="D1355" s="8" t="s">
        <v>292</v>
      </c>
      <c r="E1355" s="10">
        <v>20000</v>
      </c>
      <c r="F1355" s="8">
        <v>0.0205</v>
      </c>
      <c r="G1355" s="11">
        <v>45693</v>
      </c>
      <c r="H1355" s="12">
        <f t="shared" si="21"/>
        <v>410</v>
      </c>
      <c r="I1355" s="10" t="s">
        <v>10</v>
      </c>
      <c r="J1355" s="13">
        <v>45614</v>
      </c>
    </row>
    <row r="1356" customFormat="1" spans="1:12">
      <c r="A1356" t="s">
        <v>319</v>
      </c>
      <c r="B1356" s="8">
        <v>242501894</v>
      </c>
      <c r="C1356" s="9">
        <v>45610</v>
      </c>
      <c r="D1356" s="8" t="s">
        <v>289</v>
      </c>
      <c r="E1356" s="10">
        <v>46000</v>
      </c>
      <c r="F1356" s="8">
        <v>0.033</v>
      </c>
      <c r="G1356" s="11">
        <v>45693</v>
      </c>
      <c r="H1356" s="12">
        <f t="shared" si="21"/>
        <v>1518</v>
      </c>
      <c r="I1356" s="10" t="s">
        <v>10</v>
      </c>
      <c r="J1356" s="13">
        <v>45614</v>
      </c>
    </row>
    <row r="1357" customFormat="1" spans="1:12">
      <c r="A1357" t="s">
        <v>319</v>
      </c>
      <c r="B1357" s="8">
        <v>242501894</v>
      </c>
      <c r="C1357" s="9">
        <v>45610</v>
      </c>
      <c r="D1357" s="8" t="s">
        <v>291</v>
      </c>
      <c r="E1357" s="10">
        <v>20000</v>
      </c>
      <c r="F1357" s="8">
        <v>0.03</v>
      </c>
      <c r="G1357" s="11">
        <v>45693</v>
      </c>
      <c r="H1357" s="12">
        <f t="shared" si="21"/>
        <v>600</v>
      </c>
      <c r="I1357" s="10" t="s">
        <v>10</v>
      </c>
      <c r="J1357" s="13">
        <v>45614</v>
      </c>
      <c r="L1357">
        <f>0.039*84*1.06</f>
        <v>3.47256</v>
      </c>
    </row>
    <row r="1358" customFormat="1" spans="1:12">
      <c r="A1358" t="s">
        <v>319</v>
      </c>
      <c r="B1358" s="14">
        <v>242501895</v>
      </c>
      <c r="C1358" s="13">
        <v>45610</v>
      </c>
      <c r="D1358" s="14" t="s">
        <v>443</v>
      </c>
      <c r="E1358" s="15">
        <v>6000</v>
      </c>
      <c r="F1358" s="14">
        <v>0.06</v>
      </c>
      <c r="G1358" s="16">
        <v>45618</v>
      </c>
      <c r="H1358" s="17">
        <f t="shared" si="21"/>
        <v>360</v>
      </c>
      <c r="I1358" s="15" t="s">
        <v>51</v>
      </c>
      <c r="J1358" s="15" t="s">
        <v>398</v>
      </c>
    </row>
    <row r="1359" customFormat="1" spans="1:12">
      <c r="A1359" t="s">
        <v>319</v>
      </c>
      <c r="B1359" s="8">
        <v>242501896</v>
      </c>
      <c r="C1359" s="9">
        <v>45610</v>
      </c>
      <c r="D1359" s="8" t="s">
        <v>271</v>
      </c>
      <c r="E1359" s="10">
        <v>64000</v>
      </c>
      <c r="F1359" s="8">
        <v>0.024</v>
      </c>
      <c r="G1359" s="11">
        <v>45618</v>
      </c>
      <c r="H1359" s="12">
        <f t="shared" si="21"/>
        <v>1536</v>
      </c>
      <c r="I1359" s="10" t="s">
        <v>10</v>
      </c>
      <c r="J1359" s="13">
        <v>45614</v>
      </c>
    </row>
    <row r="1360" customFormat="1" spans="1:12">
      <c r="A1360" t="s">
        <v>319</v>
      </c>
      <c r="B1360" s="8">
        <v>242501896</v>
      </c>
      <c r="C1360" s="9">
        <v>45610</v>
      </c>
      <c r="D1360" s="8" t="s">
        <v>210</v>
      </c>
      <c r="E1360" s="10">
        <v>32000</v>
      </c>
      <c r="F1360" s="8">
        <v>0.024</v>
      </c>
      <c r="G1360" s="11">
        <v>45618</v>
      </c>
      <c r="H1360" s="12">
        <f t="shared" si="21"/>
        <v>768</v>
      </c>
      <c r="I1360" s="10" t="s">
        <v>10</v>
      </c>
      <c r="J1360" s="13">
        <v>45614</v>
      </c>
    </row>
    <row r="1361" customFormat="1" spans="1:11">
      <c r="A1361" t="s">
        <v>319</v>
      </c>
      <c r="B1361" s="14">
        <v>242501902</v>
      </c>
      <c r="C1361" s="13">
        <v>45610</v>
      </c>
      <c r="D1361" s="14" t="s">
        <v>444</v>
      </c>
      <c r="E1361" s="15">
        <v>20000</v>
      </c>
      <c r="F1361" s="14">
        <v>0.035</v>
      </c>
      <c r="G1361" s="16">
        <v>45631</v>
      </c>
      <c r="H1361" s="17">
        <f t="shared" si="21"/>
        <v>700</v>
      </c>
      <c r="I1361" s="15" t="s">
        <v>51</v>
      </c>
      <c r="J1361" s="15" t="s">
        <v>398</v>
      </c>
    </row>
    <row r="1362" customFormat="1" spans="1:11">
      <c r="A1362" t="s">
        <v>319</v>
      </c>
      <c r="B1362" s="14">
        <v>242501902</v>
      </c>
      <c r="C1362" s="13">
        <v>45610</v>
      </c>
      <c r="D1362" s="14" t="s">
        <v>444</v>
      </c>
      <c r="E1362" s="15">
        <v>3900</v>
      </c>
      <c r="F1362" s="14">
        <v>0.035</v>
      </c>
      <c r="G1362" s="16">
        <v>45618</v>
      </c>
      <c r="H1362" s="17">
        <f t="shared" si="21"/>
        <v>136.5</v>
      </c>
      <c r="I1362" s="15" t="s">
        <v>51</v>
      </c>
      <c r="J1362" s="15" t="s">
        <v>398</v>
      </c>
    </row>
    <row r="1363" customFormat="1" spans="1:11">
      <c r="A1363" t="s">
        <v>319</v>
      </c>
      <c r="B1363" s="8">
        <v>242501917</v>
      </c>
      <c r="C1363" s="9">
        <v>45614</v>
      </c>
      <c r="D1363" s="8" t="s">
        <v>236</v>
      </c>
      <c r="E1363" s="10">
        <v>64000</v>
      </c>
      <c r="F1363" s="8">
        <v>0.006</v>
      </c>
      <c r="G1363" s="11">
        <v>45618</v>
      </c>
      <c r="H1363" s="12">
        <f t="shared" si="21"/>
        <v>384</v>
      </c>
      <c r="I1363" s="10" t="s">
        <v>10</v>
      </c>
      <c r="J1363" s="13">
        <v>45616</v>
      </c>
      <c r="K1363" t="s">
        <v>430</v>
      </c>
    </row>
    <row r="1364" customFormat="1" spans="1:11">
      <c r="A1364" t="s">
        <v>319</v>
      </c>
      <c r="B1364" s="8">
        <v>242501917</v>
      </c>
      <c r="C1364" s="9">
        <v>45614</v>
      </c>
      <c r="D1364" s="8" t="s">
        <v>236</v>
      </c>
      <c r="E1364" s="10">
        <v>64000</v>
      </c>
      <c r="F1364" s="8">
        <v>0.006</v>
      </c>
      <c r="G1364" s="11">
        <v>45648</v>
      </c>
      <c r="H1364" s="12">
        <f t="shared" si="21"/>
        <v>384</v>
      </c>
      <c r="I1364" s="10" t="s">
        <v>10</v>
      </c>
      <c r="J1364" s="13">
        <v>45616</v>
      </c>
      <c r="K1364" t="s">
        <v>430</v>
      </c>
    </row>
    <row r="1365" customFormat="1" spans="1:11">
      <c r="A1365" t="s">
        <v>319</v>
      </c>
      <c r="B1365" s="8">
        <v>242501917</v>
      </c>
      <c r="C1365" s="9">
        <v>45614</v>
      </c>
      <c r="D1365" s="8" t="s">
        <v>394</v>
      </c>
      <c r="E1365" s="10">
        <v>96000</v>
      </c>
      <c r="F1365" s="8">
        <v>0.022</v>
      </c>
      <c r="G1365" s="11">
        <v>45648</v>
      </c>
      <c r="H1365" s="12">
        <f t="shared" si="21"/>
        <v>2112</v>
      </c>
      <c r="I1365" s="10" t="s">
        <v>10</v>
      </c>
      <c r="J1365" s="13">
        <v>45616</v>
      </c>
      <c r="K1365" t="s">
        <v>430</v>
      </c>
    </row>
    <row r="1366" customFormat="1" spans="1:11">
      <c r="A1366" t="s">
        <v>319</v>
      </c>
      <c r="B1366" s="8">
        <v>242501917</v>
      </c>
      <c r="C1366" s="9">
        <v>45614</v>
      </c>
      <c r="D1366" s="8" t="s">
        <v>257</v>
      </c>
      <c r="E1366" s="10">
        <v>52000</v>
      </c>
      <c r="F1366" s="8">
        <v>0.01</v>
      </c>
      <c r="G1366" s="11">
        <v>45618</v>
      </c>
      <c r="H1366" s="12">
        <f t="shared" si="21"/>
        <v>520</v>
      </c>
      <c r="I1366" s="10" t="s">
        <v>10</v>
      </c>
      <c r="J1366" s="13">
        <v>45616</v>
      </c>
      <c r="K1366" t="s">
        <v>430</v>
      </c>
    </row>
    <row r="1367" customFormat="1" spans="1:11">
      <c r="A1367" t="s">
        <v>319</v>
      </c>
      <c r="B1367" s="8">
        <v>242501917</v>
      </c>
      <c r="C1367" s="9">
        <v>45614</v>
      </c>
      <c r="D1367" s="8" t="s">
        <v>257</v>
      </c>
      <c r="E1367" s="10">
        <v>80000</v>
      </c>
      <c r="F1367" s="8">
        <v>0.01</v>
      </c>
      <c r="G1367" s="11">
        <v>45648</v>
      </c>
      <c r="H1367" s="12">
        <f t="shared" si="21"/>
        <v>800</v>
      </c>
      <c r="I1367" s="10" t="s">
        <v>10</v>
      </c>
      <c r="J1367" s="13">
        <v>45616</v>
      </c>
      <c r="K1367" t="s">
        <v>430</v>
      </c>
    </row>
    <row r="1368" customFormat="1" spans="1:11">
      <c r="A1368" t="s">
        <v>319</v>
      </c>
      <c r="B1368" s="8">
        <v>242501917</v>
      </c>
      <c r="C1368" s="9">
        <v>45614</v>
      </c>
      <c r="D1368" s="8" t="s">
        <v>271</v>
      </c>
      <c r="E1368" s="10">
        <v>120000</v>
      </c>
      <c r="F1368" s="8">
        <v>0.024</v>
      </c>
      <c r="G1368" s="11">
        <v>45648</v>
      </c>
      <c r="H1368" s="12">
        <f t="shared" si="21"/>
        <v>2880</v>
      </c>
      <c r="I1368" s="10" t="s">
        <v>10</v>
      </c>
      <c r="J1368" s="13">
        <v>45616</v>
      </c>
      <c r="K1368" t="s">
        <v>430</v>
      </c>
    </row>
    <row r="1369" customFormat="1" spans="1:11">
      <c r="A1369" t="s">
        <v>319</v>
      </c>
      <c r="B1369" s="8">
        <v>242501917</v>
      </c>
      <c r="C1369" s="9">
        <v>45614</v>
      </c>
      <c r="D1369" s="8" t="s">
        <v>271</v>
      </c>
      <c r="E1369" s="10">
        <v>120000</v>
      </c>
      <c r="F1369" s="8">
        <v>0.024</v>
      </c>
      <c r="G1369" s="11">
        <v>45679</v>
      </c>
      <c r="H1369" s="12">
        <f t="shared" si="21"/>
        <v>2880</v>
      </c>
      <c r="I1369" s="10" t="s">
        <v>10</v>
      </c>
      <c r="J1369" s="13">
        <v>45616</v>
      </c>
      <c r="K1369" t="s">
        <v>430</v>
      </c>
    </row>
    <row r="1370" customFormat="1" spans="1:11">
      <c r="A1370" t="s">
        <v>319</v>
      </c>
      <c r="B1370" s="8">
        <v>242501917</v>
      </c>
      <c r="C1370" s="9">
        <v>45614</v>
      </c>
      <c r="D1370" s="8" t="s">
        <v>210</v>
      </c>
      <c r="E1370" s="10">
        <v>120000</v>
      </c>
      <c r="F1370" s="8">
        <v>0.024</v>
      </c>
      <c r="G1370" s="11">
        <v>45679</v>
      </c>
      <c r="H1370" s="12">
        <f t="shared" si="21"/>
        <v>2880</v>
      </c>
      <c r="I1370" s="10" t="s">
        <v>10</v>
      </c>
      <c r="J1370" s="13">
        <v>45616</v>
      </c>
      <c r="K1370" t="s">
        <v>430</v>
      </c>
    </row>
    <row r="1371" customFormat="1" spans="1:11">
      <c r="A1371" t="s">
        <v>319</v>
      </c>
      <c r="B1371" s="8">
        <v>242501918</v>
      </c>
      <c r="C1371" s="9">
        <v>45614</v>
      </c>
      <c r="D1371" s="8" t="s">
        <v>257</v>
      </c>
      <c r="E1371" s="10">
        <v>80000</v>
      </c>
      <c r="F1371" s="8">
        <v>0.01</v>
      </c>
      <c r="G1371" s="11">
        <v>45618</v>
      </c>
      <c r="H1371" s="12">
        <f t="shared" si="21"/>
        <v>800</v>
      </c>
      <c r="I1371" s="10" t="s">
        <v>10</v>
      </c>
      <c r="J1371" s="13">
        <v>45616</v>
      </c>
      <c r="K1371" t="s">
        <v>379</v>
      </c>
    </row>
    <row r="1372" customFormat="1" spans="1:11">
      <c r="A1372" t="s">
        <v>319</v>
      </c>
      <c r="B1372" s="8">
        <v>242501918</v>
      </c>
      <c r="C1372" s="9">
        <v>45614</v>
      </c>
      <c r="D1372" s="8" t="s">
        <v>257</v>
      </c>
      <c r="E1372" s="10">
        <v>80000</v>
      </c>
      <c r="F1372" s="8">
        <v>0.01</v>
      </c>
      <c r="G1372" s="11">
        <v>45631</v>
      </c>
      <c r="H1372" s="12">
        <f t="shared" si="21"/>
        <v>800</v>
      </c>
      <c r="I1372" s="10" t="s">
        <v>10</v>
      </c>
      <c r="J1372" s="13">
        <v>45616</v>
      </c>
      <c r="K1372" t="s">
        <v>379</v>
      </c>
    </row>
    <row r="1373" customFormat="1" spans="1:11">
      <c r="A1373" t="s">
        <v>319</v>
      </c>
      <c r="B1373" s="8">
        <v>242501918</v>
      </c>
      <c r="C1373" s="9">
        <v>45614</v>
      </c>
      <c r="D1373" s="8" t="s">
        <v>210</v>
      </c>
      <c r="E1373" s="10">
        <v>120000</v>
      </c>
      <c r="F1373" s="8">
        <v>0.024</v>
      </c>
      <c r="G1373" s="11">
        <v>45648</v>
      </c>
      <c r="H1373" s="12">
        <f t="shared" si="21"/>
        <v>2880</v>
      </c>
      <c r="I1373" s="10" t="s">
        <v>10</v>
      </c>
      <c r="J1373" s="13">
        <v>45616</v>
      </c>
      <c r="K1373" t="s">
        <v>379</v>
      </c>
    </row>
    <row r="1374" customFormat="1" spans="1:11">
      <c r="A1374" t="s">
        <v>319</v>
      </c>
      <c r="B1374" s="8">
        <v>242501930</v>
      </c>
      <c r="C1374" s="9">
        <v>45614</v>
      </c>
      <c r="D1374" s="8" t="s">
        <v>288</v>
      </c>
      <c r="E1374" s="10">
        <v>30000</v>
      </c>
      <c r="F1374" s="8">
        <v>0.022</v>
      </c>
      <c r="G1374" s="11">
        <v>45679</v>
      </c>
      <c r="H1374" s="12">
        <f t="shared" si="21"/>
        <v>660</v>
      </c>
      <c r="I1374" s="10" t="s">
        <v>10</v>
      </c>
      <c r="J1374" s="13">
        <v>45616</v>
      </c>
    </row>
    <row r="1375" customFormat="1" spans="1:11">
      <c r="A1375" t="s">
        <v>319</v>
      </c>
      <c r="B1375" s="8">
        <v>242501930</v>
      </c>
      <c r="C1375" s="9">
        <v>45614</v>
      </c>
      <c r="D1375" s="8" t="s">
        <v>287</v>
      </c>
      <c r="E1375" s="10">
        <v>20000</v>
      </c>
      <c r="F1375" s="8">
        <v>0.018</v>
      </c>
      <c r="G1375" s="11">
        <v>45648</v>
      </c>
      <c r="H1375" s="12">
        <f t="shared" si="21"/>
        <v>360</v>
      </c>
      <c r="I1375" s="10" t="s">
        <v>10</v>
      </c>
      <c r="J1375" s="13">
        <v>45616</v>
      </c>
    </row>
    <row r="1376" customFormat="1" spans="1:11">
      <c r="A1376" t="s">
        <v>319</v>
      </c>
      <c r="B1376" s="8">
        <v>242501930</v>
      </c>
      <c r="C1376" s="9">
        <v>45614</v>
      </c>
      <c r="D1376" s="8" t="s">
        <v>287</v>
      </c>
      <c r="E1376" s="10">
        <v>20000</v>
      </c>
      <c r="F1376" s="8">
        <v>0.018</v>
      </c>
      <c r="G1376" s="11">
        <v>45679</v>
      </c>
      <c r="H1376" s="12">
        <f t="shared" si="21"/>
        <v>360</v>
      </c>
      <c r="I1376" s="10" t="s">
        <v>10</v>
      </c>
      <c r="J1376" s="13">
        <v>45616</v>
      </c>
    </row>
    <row r="1377" customFormat="1" spans="1:11">
      <c r="A1377" t="s">
        <v>319</v>
      </c>
      <c r="B1377" s="8">
        <v>242501930</v>
      </c>
      <c r="C1377" s="9">
        <v>45614</v>
      </c>
      <c r="D1377" s="8" t="s">
        <v>287</v>
      </c>
      <c r="E1377" s="10">
        <v>20000</v>
      </c>
      <c r="F1377" s="8">
        <v>0.018</v>
      </c>
      <c r="G1377" s="11">
        <v>45710</v>
      </c>
      <c r="H1377" s="12">
        <f t="shared" si="21"/>
        <v>360</v>
      </c>
      <c r="I1377" s="10" t="s">
        <v>10</v>
      </c>
      <c r="J1377" s="13">
        <v>45616</v>
      </c>
    </row>
    <row r="1378" customFormat="1" spans="1:11">
      <c r="A1378" t="s">
        <v>319</v>
      </c>
      <c r="B1378" s="8">
        <v>242501931</v>
      </c>
      <c r="C1378" s="9">
        <v>45614</v>
      </c>
      <c r="D1378" s="8" t="s">
        <v>231</v>
      </c>
      <c r="E1378" s="10">
        <v>102000</v>
      </c>
      <c r="F1378" s="8">
        <v>0.0082</v>
      </c>
      <c r="G1378" s="11">
        <v>45648</v>
      </c>
      <c r="H1378" s="12">
        <f t="shared" si="21"/>
        <v>836.4</v>
      </c>
      <c r="I1378" s="10" t="s">
        <v>10</v>
      </c>
      <c r="J1378" s="13">
        <v>45616</v>
      </c>
    </row>
    <row r="1379" customFormat="1" spans="1:11">
      <c r="A1379" t="s">
        <v>319</v>
      </c>
      <c r="B1379" s="8">
        <v>242501931</v>
      </c>
      <c r="C1379" s="9">
        <v>45614</v>
      </c>
      <c r="D1379" s="8" t="s">
        <v>231</v>
      </c>
      <c r="E1379" s="10">
        <v>102000</v>
      </c>
      <c r="F1379" s="8">
        <v>0.0082</v>
      </c>
      <c r="G1379" s="11">
        <v>45679</v>
      </c>
      <c r="H1379" s="12">
        <f t="shared" si="21"/>
        <v>836.4</v>
      </c>
      <c r="I1379" s="10" t="s">
        <v>10</v>
      </c>
      <c r="J1379" s="13">
        <v>45616</v>
      </c>
    </row>
    <row r="1380" customFormat="1" spans="1:11">
      <c r="A1380" t="s">
        <v>319</v>
      </c>
      <c r="B1380" s="8">
        <v>242501931</v>
      </c>
      <c r="C1380" s="9">
        <v>45614</v>
      </c>
      <c r="D1380" s="8" t="s">
        <v>231</v>
      </c>
      <c r="E1380" s="10">
        <v>102000</v>
      </c>
      <c r="F1380" s="8">
        <v>0.0082</v>
      </c>
      <c r="G1380" s="11">
        <v>45710</v>
      </c>
      <c r="H1380" s="12">
        <f t="shared" si="21"/>
        <v>836.4</v>
      </c>
      <c r="I1380" s="10" t="s">
        <v>10</v>
      </c>
      <c r="J1380" s="13">
        <v>45616</v>
      </c>
    </row>
    <row r="1381" customFormat="1" spans="1:11">
      <c r="A1381" t="s">
        <v>319</v>
      </c>
      <c r="B1381" s="8">
        <v>242501932</v>
      </c>
      <c r="C1381" s="9">
        <v>45614</v>
      </c>
      <c r="D1381" s="8" t="s">
        <v>100</v>
      </c>
      <c r="E1381" s="10">
        <v>20000</v>
      </c>
      <c r="F1381" s="8">
        <v>0.028</v>
      </c>
      <c r="G1381" s="11">
        <v>45679</v>
      </c>
      <c r="H1381" s="12">
        <f t="shared" si="21"/>
        <v>560</v>
      </c>
      <c r="I1381" s="10" t="s">
        <v>10</v>
      </c>
      <c r="J1381" s="13">
        <v>45616</v>
      </c>
      <c r="K1381" t="s">
        <v>385</v>
      </c>
    </row>
    <row r="1382" customFormat="1" spans="1:11">
      <c r="A1382" t="s">
        <v>319</v>
      </c>
      <c r="B1382" s="8">
        <v>242501932</v>
      </c>
      <c r="C1382" s="9">
        <v>45614</v>
      </c>
      <c r="D1382" s="8" t="s">
        <v>100</v>
      </c>
      <c r="E1382" s="10">
        <v>20000</v>
      </c>
      <c r="F1382" s="8">
        <v>0.028</v>
      </c>
      <c r="G1382" s="11">
        <v>45710</v>
      </c>
      <c r="H1382" s="12">
        <f t="shared" si="21"/>
        <v>560</v>
      </c>
      <c r="I1382" s="10" t="s">
        <v>10</v>
      </c>
      <c r="J1382" s="13">
        <v>45616</v>
      </c>
      <c r="K1382" t="s">
        <v>385</v>
      </c>
    </row>
    <row r="1383" customFormat="1" spans="1:11">
      <c r="A1383" t="s">
        <v>319</v>
      </c>
      <c r="B1383" s="8">
        <v>242501933</v>
      </c>
      <c r="C1383" s="9">
        <v>45614</v>
      </c>
      <c r="D1383" s="8" t="s">
        <v>182</v>
      </c>
      <c r="E1383" s="10">
        <v>200000</v>
      </c>
      <c r="F1383" s="8">
        <v>0.025</v>
      </c>
      <c r="G1383" s="11">
        <v>45679</v>
      </c>
      <c r="H1383" s="12">
        <f t="shared" si="21"/>
        <v>5000</v>
      </c>
      <c r="I1383" s="10" t="s">
        <v>10</v>
      </c>
      <c r="J1383" s="13">
        <v>45616</v>
      </c>
      <c r="K1383" t="s">
        <v>391</v>
      </c>
    </row>
    <row r="1384" customFormat="1" spans="1:11">
      <c r="A1384" t="s">
        <v>319</v>
      </c>
      <c r="B1384" s="8">
        <v>242501934</v>
      </c>
      <c r="C1384" s="9">
        <v>45614</v>
      </c>
      <c r="D1384" s="8" t="s">
        <v>100</v>
      </c>
      <c r="E1384" s="10">
        <v>250000</v>
      </c>
      <c r="F1384" s="8">
        <v>0.028</v>
      </c>
      <c r="G1384" s="11">
        <v>45679</v>
      </c>
      <c r="H1384" s="12">
        <f t="shared" si="21"/>
        <v>7000</v>
      </c>
      <c r="I1384" s="10" t="s">
        <v>10</v>
      </c>
      <c r="J1384" s="13">
        <v>45616</v>
      </c>
      <c r="K1384" t="s">
        <v>445</v>
      </c>
    </row>
    <row r="1385" customFormat="1" spans="1:11">
      <c r="A1385" t="s">
        <v>319</v>
      </c>
      <c r="B1385" s="8">
        <v>242501935</v>
      </c>
      <c r="C1385" s="9">
        <v>45614</v>
      </c>
      <c r="D1385" s="8" t="s">
        <v>274</v>
      </c>
      <c r="E1385" s="10">
        <v>100000</v>
      </c>
      <c r="F1385" s="8">
        <v>0.028</v>
      </c>
      <c r="G1385" s="11">
        <v>45693</v>
      </c>
      <c r="H1385" s="12">
        <f t="shared" si="21"/>
        <v>2800</v>
      </c>
      <c r="I1385" s="10" t="s">
        <v>10</v>
      </c>
      <c r="J1385" s="13">
        <v>45616</v>
      </c>
      <c r="K1385" t="s">
        <v>405</v>
      </c>
    </row>
    <row r="1386" customFormat="1" spans="1:11">
      <c r="A1386" t="s">
        <v>319</v>
      </c>
      <c r="B1386" s="8">
        <v>242501935</v>
      </c>
      <c r="C1386" s="9">
        <v>45614</v>
      </c>
      <c r="D1386" s="8" t="s">
        <v>273</v>
      </c>
      <c r="E1386" s="10">
        <v>30000</v>
      </c>
      <c r="F1386" s="8">
        <v>0.028</v>
      </c>
      <c r="G1386" s="11">
        <v>45618</v>
      </c>
      <c r="H1386" s="12">
        <f t="shared" si="21"/>
        <v>840</v>
      </c>
      <c r="I1386" s="10" t="s">
        <v>10</v>
      </c>
      <c r="J1386" s="13">
        <v>45616</v>
      </c>
      <c r="K1386" t="s">
        <v>405</v>
      </c>
    </row>
    <row r="1387" customFormat="1" spans="1:11">
      <c r="A1387" t="s">
        <v>319</v>
      </c>
      <c r="B1387" s="8">
        <v>242501935</v>
      </c>
      <c r="C1387" s="9">
        <v>45614</v>
      </c>
      <c r="D1387" s="8" t="s">
        <v>273</v>
      </c>
      <c r="E1387" s="10">
        <v>40000</v>
      </c>
      <c r="F1387" s="8">
        <v>0.028</v>
      </c>
      <c r="G1387" s="11">
        <v>45648</v>
      </c>
      <c r="H1387" s="12">
        <f t="shared" si="21"/>
        <v>1120</v>
      </c>
      <c r="I1387" s="10" t="s">
        <v>10</v>
      </c>
      <c r="J1387" s="13">
        <v>45616</v>
      </c>
      <c r="K1387" t="s">
        <v>405</v>
      </c>
    </row>
    <row r="1388" customFormat="1" spans="1:11">
      <c r="A1388" t="s">
        <v>319</v>
      </c>
      <c r="B1388" s="8">
        <v>242501935</v>
      </c>
      <c r="C1388" s="9">
        <v>45614</v>
      </c>
      <c r="D1388" s="8" t="s">
        <v>273</v>
      </c>
      <c r="E1388" s="10">
        <v>50000</v>
      </c>
      <c r="F1388" s="8">
        <v>0.028</v>
      </c>
      <c r="G1388" s="11">
        <v>45679</v>
      </c>
      <c r="H1388" s="12">
        <f t="shared" si="21"/>
        <v>1400</v>
      </c>
      <c r="I1388" s="10" t="s">
        <v>10</v>
      </c>
      <c r="J1388" s="13">
        <v>45616</v>
      </c>
      <c r="K1388" t="s">
        <v>405</v>
      </c>
    </row>
    <row r="1389" customFormat="1" spans="1:11">
      <c r="A1389" t="s">
        <v>319</v>
      </c>
      <c r="B1389" s="8">
        <v>242501935</v>
      </c>
      <c r="C1389" s="9">
        <v>45614</v>
      </c>
      <c r="D1389" s="8" t="s">
        <v>273</v>
      </c>
      <c r="E1389" s="10">
        <v>40000</v>
      </c>
      <c r="F1389" s="8">
        <v>0.028</v>
      </c>
      <c r="G1389" s="11">
        <v>45710</v>
      </c>
      <c r="H1389" s="12">
        <f t="shared" si="21"/>
        <v>1120</v>
      </c>
      <c r="I1389" s="10" t="s">
        <v>10</v>
      </c>
      <c r="J1389" s="13">
        <v>45616</v>
      </c>
      <c r="K1389" t="s">
        <v>405</v>
      </c>
    </row>
    <row r="1390" customFormat="1" spans="1:11">
      <c r="A1390" t="s">
        <v>319</v>
      </c>
      <c r="B1390" s="8">
        <v>242501935</v>
      </c>
      <c r="C1390" s="9">
        <v>45614</v>
      </c>
      <c r="D1390" s="8" t="s">
        <v>272</v>
      </c>
      <c r="E1390" s="10">
        <v>20000</v>
      </c>
      <c r="F1390" s="8">
        <v>0.034</v>
      </c>
      <c r="G1390" s="11">
        <v>45710</v>
      </c>
      <c r="H1390" s="12">
        <f t="shared" si="21"/>
        <v>680</v>
      </c>
      <c r="I1390" s="10" t="s">
        <v>10</v>
      </c>
      <c r="J1390" s="13">
        <v>45616</v>
      </c>
      <c r="K1390" t="s">
        <v>405</v>
      </c>
    </row>
    <row r="1391" customFormat="1" spans="1:11">
      <c r="A1391" t="s">
        <v>319</v>
      </c>
      <c r="B1391" s="8">
        <v>242501935</v>
      </c>
      <c r="C1391" s="9">
        <v>45614</v>
      </c>
      <c r="D1391" s="8" t="s">
        <v>231</v>
      </c>
      <c r="E1391" s="10">
        <v>150000</v>
      </c>
      <c r="F1391" s="8">
        <v>0.0082</v>
      </c>
      <c r="G1391" s="11">
        <v>45679</v>
      </c>
      <c r="H1391" s="12">
        <f t="shared" si="21"/>
        <v>1230</v>
      </c>
      <c r="I1391" s="10" t="s">
        <v>10</v>
      </c>
      <c r="J1391" s="13">
        <v>45616</v>
      </c>
      <c r="K1391" t="s">
        <v>405</v>
      </c>
    </row>
    <row r="1392" customFormat="1" spans="1:11">
      <c r="A1392" t="s">
        <v>319</v>
      </c>
      <c r="B1392" s="8">
        <v>242501935</v>
      </c>
      <c r="C1392" s="9">
        <v>45614</v>
      </c>
      <c r="D1392" s="8" t="s">
        <v>231</v>
      </c>
      <c r="E1392" s="10">
        <v>150000</v>
      </c>
      <c r="F1392" s="8">
        <v>0.0082</v>
      </c>
      <c r="G1392" s="11">
        <v>45710</v>
      </c>
      <c r="H1392" s="12">
        <f t="shared" si="21"/>
        <v>1230</v>
      </c>
      <c r="I1392" s="10" t="s">
        <v>10</v>
      </c>
      <c r="J1392" s="13">
        <v>45616</v>
      </c>
      <c r="K1392" t="s">
        <v>405</v>
      </c>
    </row>
    <row r="1393" customFormat="1" spans="1:10">
      <c r="A1393" t="s">
        <v>319</v>
      </c>
      <c r="B1393" s="14">
        <v>242501956</v>
      </c>
      <c r="C1393" s="13">
        <v>45617</v>
      </c>
      <c r="D1393" s="14" t="s">
        <v>446</v>
      </c>
      <c r="E1393" s="15">
        <v>30000</v>
      </c>
      <c r="F1393" s="14">
        <v>0.064</v>
      </c>
      <c r="G1393" s="16">
        <v>45662</v>
      </c>
      <c r="H1393" s="17">
        <f t="shared" si="21"/>
        <v>1920</v>
      </c>
      <c r="I1393" s="15" t="s">
        <v>317</v>
      </c>
      <c r="J1393" s="15" t="s">
        <v>325</v>
      </c>
    </row>
    <row r="1394" customFormat="1" spans="1:10">
      <c r="A1394" t="s">
        <v>319</v>
      </c>
      <c r="B1394" s="14">
        <v>242501956</v>
      </c>
      <c r="C1394" s="13">
        <v>45617</v>
      </c>
      <c r="D1394" s="14" t="s">
        <v>446</v>
      </c>
      <c r="E1394" s="15">
        <v>30000</v>
      </c>
      <c r="F1394" s="14">
        <v>0.064</v>
      </c>
      <c r="G1394" s="16">
        <v>45662</v>
      </c>
      <c r="H1394" s="17">
        <f t="shared" si="21"/>
        <v>1920</v>
      </c>
      <c r="I1394" s="15" t="s">
        <v>317</v>
      </c>
      <c r="J1394" s="15" t="s">
        <v>325</v>
      </c>
    </row>
    <row r="1395" customFormat="1" spans="1:10">
      <c r="A1395" t="s">
        <v>319</v>
      </c>
      <c r="B1395" s="14">
        <v>242501956</v>
      </c>
      <c r="C1395" s="13">
        <v>45617</v>
      </c>
      <c r="D1395" s="14" t="s">
        <v>446</v>
      </c>
      <c r="E1395" s="15">
        <v>30000</v>
      </c>
      <c r="F1395" s="14">
        <v>0.064</v>
      </c>
      <c r="G1395" s="16">
        <v>45677</v>
      </c>
      <c r="H1395" s="17">
        <f t="shared" si="21"/>
        <v>1920</v>
      </c>
      <c r="I1395" s="15" t="s">
        <v>317</v>
      </c>
      <c r="J1395" s="15" t="s">
        <v>325</v>
      </c>
    </row>
    <row r="1396" customFormat="1" spans="1:10">
      <c r="A1396" t="s">
        <v>319</v>
      </c>
      <c r="B1396" s="14">
        <v>242501956</v>
      </c>
      <c r="C1396" s="13">
        <v>45617</v>
      </c>
      <c r="D1396" s="14" t="s">
        <v>446</v>
      </c>
      <c r="E1396" s="15">
        <v>30000</v>
      </c>
      <c r="F1396" s="14">
        <v>0.064</v>
      </c>
      <c r="G1396" s="16">
        <v>45677</v>
      </c>
      <c r="H1396" s="17">
        <f t="shared" si="21"/>
        <v>1920</v>
      </c>
      <c r="I1396" s="15" t="s">
        <v>317</v>
      </c>
      <c r="J1396" s="15" t="s">
        <v>325</v>
      </c>
    </row>
    <row r="1397" customFormat="1" spans="1:10">
      <c r="A1397" t="s">
        <v>319</v>
      </c>
      <c r="B1397" s="8">
        <v>242501957</v>
      </c>
      <c r="C1397" s="9">
        <v>45617</v>
      </c>
      <c r="D1397" s="8" t="s">
        <v>370</v>
      </c>
      <c r="E1397" s="10">
        <v>24000</v>
      </c>
      <c r="F1397" s="8">
        <v>0.03</v>
      </c>
      <c r="G1397" s="11">
        <v>45641</v>
      </c>
      <c r="H1397" s="12">
        <f t="shared" si="21"/>
        <v>720</v>
      </c>
      <c r="I1397" s="10" t="s">
        <v>10</v>
      </c>
      <c r="J1397" s="15" t="s">
        <v>447</v>
      </c>
    </row>
    <row r="1398" customFormat="1" spans="1:10">
      <c r="A1398" t="s">
        <v>319</v>
      </c>
      <c r="B1398" s="8">
        <v>242501958</v>
      </c>
      <c r="C1398" s="9">
        <v>45617</v>
      </c>
      <c r="D1398" s="8" t="s">
        <v>343</v>
      </c>
      <c r="E1398" s="10">
        <v>100000</v>
      </c>
      <c r="F1398" s="8">
        <v>0.0156</v>
      </c>
      <c r="G1398" s="11">
        <v>45682</v>
      </c>
      <c r="H1398" s="12">
        <f t="shared" si="21"/>
        <v>1560</v>
      </c>
      <c r="I1398" s="10" t="s">
        <v>10</v>
      </c>
      <c r="J1398" s="15" t="s">
        <v>448</v>
      </c>
    </row>
    <row r="1399" customFormat="1" spans="1:10">
      <c r="A1399" t="s">
        <v>319</v>
      </c>
      <c r="B1399" s="8">
        <v>242501958</v>
      </c>
      <c r="C1399" s="9">
        <v>45617</v>
      </c>
      <c r="D1399" s="8" t="s">
        <v>343</v>
      </c>
      <c r="E1399" s="10">
        <v>100000</v>
      </c>
      <c r="F1399" s="8">
        <v>0.0156</v>
      </c>
      <c r="G1399" s="11">
        <v>45682</v>
      </c>
      <c r="H1399" s="12">
        <f t="shared" si="21"/>
        <v>1560</v>
      </c>
      <c r="I1399" s="10" t="s">
        <v>10</v>
      </c>
      <c r="J1399" s="15" t="s">
        <v>448</v>
      </c>
    </row>
    <row r="1400" customFormat="1" spans="1:10">
      <c r="A1400" t="s">
        <v>319</v>
      </c>
      <c r="B1400" s="8">
        <v>242501958</v>
      </c>
      <c r="C1400" s="9">
        <v>45617</v>
      </c>
      <c r="D1400" s="8" t="s">
        <v>343</v>
      </c>
      <c r="E1400" s="10">
        <v>100000</v>
      </c>
      <c r="F1400" s="8">
        <v>0.0156</v>
      </c>
      <c r="G1400" s="11">
        <v>45682</v>
      </c>
      <c r="H1400" s="12">
        <f t="shared" si="21"/>
        <v>1560</v>
      </c>
      <c r="I1400" s="10" t="s">
        <v>10</v>
      </c>
      <c r="J1400" s="15" t="s">
        <v>448</v>
      </c>
    </row>
    <row r="1401" customFormat="1" spans="1:10">
      <c r="A1401" t="s">
        <v>319</v>
      </c>
      <c r="B1401" s="8">
        <v>242501958</v>
      </c>
      <c r="C1401" s="9">
        <v>45617</v>
      </c>
      <c r="D1401" s="8" t="s">
        <v>343</v>
      </c>
      <c r="E1401" s="10">
        <v>100000</v>
      </c>
      <c r="F1401" s="8">
        <v>0.0156</v>
      </c>
      <c r="G1401" s="11">
        <v>45682</v>
      </c>
      <c r="H1401" s="12">
        <f t="shared" si="21"/>
        <v>1560</v>
      </c>
      <c r="I1401" s="10" t="s">
        <v>10</v>
      </c>
      <c r="J1401" s="15" t="s">
        <v>448</v>
      </c>
    </row>
    <row r="1402" customFormat="1" spans="1:10">
      <c r="A1402" t="s">
        <v>319</v>
      </c>
      <c r="B1402" s="14">
        <v>242501959</v>
      </c>
      <c r="C1402" s="13">
        <v>45617</v>
      </c>
      <c r="D1402" s="14" t="s">
        <v>446</v>
      </c>
      <c r="E1402" s="15">
        <v>30000</v>
      </c>
      <c r="F1402" s="14">
        <v>0.064</v>
      </c>
      <c r="G1402" s="16">
        <v>45631</v>
      </c>
      <c r="H1402" s="17">
        <f t="shared" si="21"/>
        <v>1920</v>
      </c>
      <c r="I1402" s="15" t="s">
        <v>317</v>
      </c>
      <c r="J1402" s="15" t="s">
        <v>325</v>
      </c>
    </row>
    <row r="1403" customFormat="1" spans="1:10">
      <c r="A1403" t="s">
        <v>319</v>
      </c>
      <c r="B1403" s="14">
        <v>242501959</v>
      </c>
      <c r="C1403" s="13">
        <v>45617</v>
      </c>
      <c r="D1403" s="14" t="s">
        <v>446</v>
      </c>
      <c r="E1403" s="15">
        <v>30000</v>
      </c>
      <c r="F1403" s="14">
        <v>0.064</v>
      </c>
      <c r="G1403" s="16">
        <v>45631</v>
      </c>
      <c r="H1403" s="17">
        <f t="shared" si="21"/>
        <v>1920</v>
      </c>
      <c r="I1403" s="15" t="s">
        <v>317</v>
      </c>
      <c r="J1403" s="15" t="s">
        <v>325</v>
      </c>
    </row>
    <row r="1404" customFormat="1" spans="1:10">
      <c r="A1404" t="s">
        <v>319</v>
      </c>
      <c r="B1404" s="14">
        <v>242501959</v>
      </c>
      <c r="C1404" s="13">
        <v>45617</v>
      </c>
      <c r="D1404" s="14" t="s">
        <v>446</v>
      </c>
      <c r="E1404" s="15">
        <v>30000</v>
      </c>
      <c r="F1404" s="14">
        <v>0.064</v>
      </c>
      <c r="G1404" s="16">
        <v>45631</v>
      </c>
      <c r="H1404" s="17">
        <f t="shared" si="21"/>
        <v>1920</v>
      </c>
      <c r="I1404" s="15" t="s">
        <v>317</v>
      </c>
      <c r="J1404" s="15" t="s">
        <v>325</v>
      </c>
    </row>
    <row r="1405" customFormat="1" spans="1:10">
      <c r="A1405" t="s">
        <v>319</v>
      </c>
      <c r="B1405" s="14">
        <v>242501959</v>
      </c>
      <c r="C1405" s="13">
        <v>45617</v>
      </c>
      <c r="D1405" s="14" t="s">
        <v>446</v>
      </c>
      <c r="E1405" s="15">
        <v>30000</v>
      </c>
      <c r="F1405" s="14">
        <v>0.064</v>
      </c>
      <c r="G1405" s="16">
        <v>45631</v>
      </c>
      <c r="H1405" s="17">
        <f t="shared" si="21"/>
        <v>1920</v>
      </c>
      <c r="I1405" s="15" t="s">
        <v>317</v>
      </c>
      <c r="J1405" s="15" t="s">
        <v>325</v>
      </c>
    </row>
    <row r="1406" customFormat="1" spans="1:10">
      <c r="A1406" t="s">
        <v>319</v>
      </c>
      <c r="B1406" s="14">
        <v>242501959</v>
      </c>
      <c r="C1406" s="13">
        <v>45617</v>
      </c>
      <c r="D1406" s="14" t="s">
        <v>446</v>
      </c>
      <c r="E1406" s="15">
        <v>30000</v>
      </c>
      <c r="F1406" s="14">
        <v>0.064</v>
      </c>
      <c r="G1406" s="16">
        <v>45662</v>
      </c>
      <c r="H1406" s="17">
        <f t="shared" si="21"/>
        <v>1920</v>
      </c>
      <c r="I1406" s="15" t="s">
        <v>317</v>
      </c>
      <c r="J1406" s="15" t="s">
        <v>325</v>
      </c>
    </row>
    <row r="1407" customFormat="1" spans="1:10">
      <c r="A1407" t="s">
        <v>319</v>
      </c>
      <c r="B1407" s="14">
        <v>242501959</v>
      </c>
      <c r="C1407" s="13">
        <v>45617</v>
      </c>
      <c r="D1407" s="14" t="s">
        <v>446</v>
      </c>
      <c r="E1407" s="15">
        <v>30000</v>
      </c>
      <c r="F1407" s="14">
        <v>0.064</v>
      </c>
      <c r="G1407" s="16">
        <v>45662</v>
      </c>
      <c r="H1407" s="17">
        <f t="shared" si="21"/>
        <v>1920</v>
      </c>
      <c r="I1407" s="15" t="s">
        <v>317</v>
      </c>
      <c r="J1407" s="15" t="s">
        <v>325</v>
      </c>
    </row>
    <row r="1408" customFormat="1" spans="1:10">
      <c r="A1408" t="s">
        <v>319</v>
      </c>
      <c r="B1408" s="14">
        <v>242501960</v>
      </c>
      <c r="C1408" s="13">
        <v>45617</v>
      </c>
      <c r="D1408" s="14" t="s">
        <v>449</v>
      </c>
      <c r="E1408" s="15">
        <v>2000000</v>
      </c>
      <c r="F1408" s="14">
        <v>0.00229</v>
      </c>
      <c r="G1408" s="16">
        <v>45631</v>
      </c>
      <c r="H1408" s="17">
        <f t="shared" si="21"/>
        <v>4580</v>
      </c>
      <c r="I1408" s="15" t="s">
        <v>317</v>
      </c>
      <c r="J1408" s="15" t="s">
        <v>325</v>
      </c>
    </row>
    <row r="1409" customFormat="1" spans="1:11">
      <c r="A1409" t="s">
        <v>319</v>
      </c>
      <c r="B1409" s="14">
        <v>242501960</v>
      </c>
      <c r="C1409" s="13">
        <v>45617</v>
      </c>
      <c r="D1409" s="14" t="s">
        <v>449</v>
      </c>
      <c r="E1409" s="15">
        <v>2000000</v>
      </c>
      <c r="F1409" s="14">
        <v>0.00229</v>
      </c>
      <c r="G1409" s="16">
        <v>45631</v>
      </c>
      <c r="H1409" s="17">
        <f t="shared" si="21"/>
        <v>4580</v>
      </c>
      <c r="I1409" s="15" t="s">
        <v>317</v>
      </c>
      <c r="J1409" s="15" t="s">
        <v>325</v>
      </c>
    </row>
    <row r="1410" customFormat="1" spans="1:11">
      <c r="A1410" t="s">
        <v>319</v>
      </c>
      <c r="B1410" s="14">
        <v>242501960</v>
      </c>
      <c r="C1410" s="13">
        <v>45617</v>
      </c>
      <c r="D1410" s="14" t="s">
        <v>449</v>
      </c>
      <c r="E1410" s="15">
        <v>608000</v>
      </c>
      <c r="F1410" s="14">
        <v>0.00229</v>
      </c>
      <c r="G1410" s="16">
        <v>45631</v>
      </c>
      <c r="H1410" s="17">
        <f t="shared" ref="H1410:H1473" si="22">E1410*F1410</f>
        <v>1392.32</v>
      </c>
      <c r="I1410" s="15" t="s">
        <v>317</v>
      </c>
      <c r="J1410" s="15" t="s">
        <v>325</v>
      </c>
    </row>
    <row r="1411" customFormat="1" spans="1:11">
      <c r="A1411" t="s">
        <v>319</v>
      </c>
      <c r="B1411" s="8">
        <v>242501962</v>
      </c>
      <c r="C1411" s="9">
        <v>45617</v>
      </c>
      <c r="D1411" s="8" t="s">
        <v>399</v>
      </c>
      <c r="E1411" s="10">
        <v>20000</v>
      </c>
      <c r="F1411" s="8">
        <v>0.0175</v>
      </c>
      <c r="G1411" s="11">
        <v>45641</v>
      </c>
      <c r="H1411" s="12">
        <f t="shared" si="22"/>
        <v>350</v>
      </c>
      <c r="I1411" s="10" t="s">
        <v>10</v>
      </c>
      <c r="J1411" s="15" t="s">
        <v>450</v>
      </c>
    </row>
    <row r="1412" customFormat="1" spans="1:11">
      <c r="A1412" t="s">
        <v>319</v>
      </c>
      <c r="B1412" s="8">
        <v>242501983</v>
      </c>
      <c r="C1412" s="9">
        <v>45622</v>
      </c>
      <c r="D1412" s="8" t="s">
        <v>207</v>
      </c>
      <c r="E1412" s="10">
        <v>200000</v>
      </c>
      <c r="F1412" s="8">
        <v>0.03</v>
      </c>
      <c r="G1412" s="11">
        <v>45679</v>
      </c>
      <c r="H1412" s="12">
        <f t="shared" si="22"/>
        <v>6000</v>
      </c>
      <c r="I1412" s="10" t="s">
        <v>10</v>
      </c>
      <c r="J1412" s="13">
        <v>45628</v>
      </c>
    </row>
    <row r="1413" customFormat="1" spans="1:11">
      <c r="A1413" t="s">
        <v>319</v>
      </c>
      <c r="B1413" s="8">
        <v>242502013</v>
      </c>
      <c r="C1413" s="9">
        <v>45625</v>
      </c>
      <c r="D1413" s="8" t="s">
        <v>436</v>
      </c>
      <c r="E1413" s="10">
        <v>40000</v>
      </c>
      <c r="F1413" s="8">
        <v>0.035</v>
      </c>
      <c r="G1413" s="11">
        <v>45648</v>
      </c>
      <c r="H1413" s="12">
        <f t="shared" si="22"/>
        <v>1400</v>
      </c>
      <c r="I1413" s="10" t="s">
        <v>10</v>
      </c>
      <c r="J1413" s="13">
        <v>45628</v>
      </c>
    </row>
    <row r="1414" customFormat="1" spans="1:11">
      <c r="A1414" t="s">
        <v>319</v>
      </c>
      <c r="B1414" s="8">
        <v>242502013</v>
      </c>
      <c r="C1414" s="9">
        <v>45625</v>
      </c>
      <c r="D1414" s="8" t="s">
        <v>315</v>
      </c>
      <c r="E1414" s="10">
        <v>20000</v>
      </c>
      <c r="F1414" s="8">
        <v>0.058</v>
      </c>
      <c r="G1414" s="11">
        <v>45648</v>
      </c>
      <c r="H1414" s="12">
        <f t="shared" si="22"/>
        <v>1160</v>
      </c>
      <c r="I1414" s="10" t="s">
        <v>10</v>
      </c>
      <c r="J1414" s="13">
        <v>45628</v>
      </c>
    </row>
    <row r="1415" customFormat="1" spans="1:11">
      <c r="A1415" t="s">
        <v>319</v>
      </c>
      <c r="B1415" s="8">
        <v>242502048</v>
      </c>
      <c r="C1415" s="9">
        <v>45630</v>
      </c>
      <c r="D1415" s="8" t="s">
        <v>330</v>
      </c>
      <c r="E1415" s="10">
        <v>300000</v>
      </c>
      <c r="F1415" s="8">
        <v>0.04</v>
      </c>
      <c r="G1415" s="11">
        <v>45710</v>
      </c>
      <c r="H1415" s="12">
        <f t="shared" si="22"/>
        <v>12000</v>
      </c>
      <c r="I1415" s="10" t="s">
        <v>10</v>
      </c>
      <c r="J1415" s="13">
        <v>45631</v>
      </c>
      <c r="K1415" t="s">
        <v>431</v>
      </c>
    </row>
    <row r="1416" customFormat="1" spans="1:11">
      <c r="A1416" t="s">
        <v>319</v>
      </c>
      <c r="B1416" s="8">
        <v>242502048</v>
      </c>
      <c r="C1416" s="9">
        <v>45630</v>
      </c>
      <c r="D1416" s="8" t="s">
        <v>330</v>
      </c>
      <c r="E1416" s="10">
        <v>500000</v>
      </c>
      <c r="F1416" s="8">
        <v>0.04</v>
      </c>
      <c r="G1416" s="11">
        <v>45738</v>
      </c>
      <c r="H1416" s="12">
        <f t="shared" si="22"/>
        <v>20000</v>
      </c>
      <c r="I1416" s="10" t="s">
        <v>10</v>
      </c>
      <c r="J1416" s="13">
        <v>45631</v>
      </c>
      <c r="K1416" t="s">
        <v>431</v>
      </c>
    </row>
    <row r="1417" customFormat="1" spans="1:11">
      <c r="A1417" t="s">
        <v>319</v>
      </c>
      <c r="B1417" s="8">
        <v>242502048</v>
      </c>
      <c r="C1417" s="9">
        <v>45630</v>
      </c>
      <c r="D1417" s="8" t="s">
        <v>330</v>
      </c>
      <c r="E1417" s="10">
        <v>200000</v>
      </c>
      <c r="F1417" s="8">
        <v>0.04</v>
      </c>
      <c r="G1417" s="11">
        <v>45769</v>
      </c>
      <c r="H1417" s="12">
        <f t="shared" si="22"/>
        <v>8000</v>
      </c>
      <c r="I1417" s="10" t="s">
        <v>10</v>
      </c>
      <c r="J1417" s="13">
        <v>45631</v>
      </c>
      <c r="K1417" t="s">
        <v>431</v>
      </c>
    </row>
    <row r="1418" customFormat="1" spans="1:11">
      <c r="A1418" t="s">
        <v>319</v>
      </c>
      <c r="B1418" s="8">
        <v>242502049</v>
      </c>
      <c r="C1418" s="9">
        <v>45630</v>
      </c>
      <c r="D1418" s="8" t="s">
        <v>58</v>
      </c>
      <c r="E1418" s="10">
        <v>250000</v>
      </c>
      <c r="F1418" s="8">
        <v>0.019</v>
      </c>
      <c r="G1418" s="11">
        <v>45679</v>
      </c>
      <c r="H1418" s="12">
        <f t="shared" si="22"/>
        <v>4750</v>
      </c>
      <c r="I1418" s="10" t="s">
        <v>10</v>
      </c>
      <c r="J1418" s="13">
        <v>45631</v>
      </c>
      <c r="K1418" t="s">
        <v>327</v>
      </c>
    </row>
    <row r="1419" customFormat="1" spans="1:11">
      <c r="A1419" t="s">
        <v>319</v>
      </c>
      <c r="B1419" s="8">
        <v>242502049</v>
      </c>
      <c r="C1419" s="9">
        <v>45630</v>
      </c>
      <c r="D1419" s="8" t="s">
        <v>58</v>
      </c>
      <c r="E1419" s="10">
        <v>250000</v>
      </c>
      <c r="F1419" s="8">
        <v>0.019</v>
      </c>
      <c r="G1419" s="11">
        <v>45710</v>
      </c>
      <c r="H1419" s="12">
        <f t="shared" si="22"/>
        <v>4750</v>
      </c>
      <c r="I1419" s="10" t="s">
        <v>10</v>
      </c>
      <c r="J1419" s="13">
        <v>45631</v>
      </c>
      <c r="K1419" t="s">
        <v>327</v>
      </c>
    </row>
    <row r="1420" customFormat="1" spans="1:11">
      <c r="A1420" t="s">
        <v>319</v>
      </c>
      <c r="B1420" s="8">
        <v>242502049</v>
      </c>
      <c r="C1420" s="9">
        <v>45630</v>
      </c>
      <c r="D1420" s="8" t="s">
        <v>58</v>
      </c>
      <c r="E1420" s="10">
        <v>250000</v>
      </c>
      <c r="F1420" s="8">
        <v>0.019</v>
      </c>
      <c r="G1420" s="11">
        <v>45738</v>
      </c>
      <c r="H1420" s="12">
        <f t="shared" si="22"/>
        <v>4750</v>
      </c>
      <c r="I1420" s="10" t="s">
        <v>10</v>
      </c>
      <c r="J1420" s="13">
        <v>45631</v>
      </c>
      <c r="K1420" t="s">
        <v>327</v>
      </c>
    </row>
    <row r="1421" customFormat="1" spans="1:11">
      <c r="A1421" t="s">
        <v>319</v>
      </c>
      <c r="B1421" s="8">
        <v>242502050</v>
      </c>
      <c r="C1421" s="9">
        <v>45630</v>
      </c>
      <c r="D1421" s="8" t="s">
        <v>108</v>
      </c>
      <c r="E1421" s="10">
        <v>20000</v>
      </c>
      <c r="F1421" s="8">
        <v>0.04</v>
      </c>
      <c r="G1421" s="11">
        <v>45738</v>
      </c>
      <c r="H1421" s="12">
        <f t="shared" si="22"/>
        <v>800</v>
      </c>
      <c r="I1421" s="10" t="s">
        <v>10</v>
      </c>
      <c r="J1421" s="13">
        <v>45631</v>
      </c>
      <c r="K1421" t="s">
        <v>385</v>
      </c>
    </row>
    <row r="1422" customFormat="1" spans="1:11">
      <c r="A1422" t="s">
        <v>319</v>
      </c>
      <c r="B1422" s="8">
        <v>242502051</v>
      </c>
      <c r="C1422" s="9">
        <v>45630</v>
      </c>
      <c r="D1422" s="8" t="s">
        <v>215</v>
      </c>
      <c r="E1422" s="10">
        <v>400000</v>
      </c>
      <c r="F1422" s="8">
        <v>0.027</v>
      </c>
      <c r="G1422" s="11">
        <v>45648</v>
      </c>
      <c r="H1422" s="12">
        <f t="shared" si="22"/>
        <v>10800</v>
      </c>
      <c r="I1422" s="10" t="s">
        <v>10</v>
      </c>
      <c r="J1422" s="13">
        <v>45631</v>
      </c>
      <c r="K1422" t="s">
        <v>445</v>
      </c>
    </row>
    <row r="1423" customFormat="1" spans="1:11">
      <c r="A1423" t="s">
        <v>319</v>
      </c>
      <c r="B1423" s="8">
        <v>242502051</v>
      </c>
      <c r="C1423" s="9">
        <v>45630</v>
      </c>
      <c r="D1423" s="8" t="s">
        <v>215</v>
      </c>
      <c r="E1423" s="10">
        <v>500000</v>
      </c>
      <c r="F1423" s="8">
        <v>0.027</v>
      </c>
      <c r="G1423" s="11">
        <v>45679</v>
      </c>
      <c r="H1423" s="12">
        <f t="shared" si="22"/>
        <v>13500</v>
      </c>
      <c r="I1423" s="10" t="s">
        <v>10</v>
      </c>
      <c r="J1423" s="13">
        <v>45631</v>
      </c>
      <c r="K1423" t="s">
        <v>445</v>
      </c>
    </row>
    <row r="1424" customFormat="1" spans="1:11">
      <c r="A1424" t="s">
        <v>319</v>
      </c>
      <c r="B1424" s="8">
        <v>242502051</v>
      </c>
      <c r="C1424" s="9">
        <v>45630</v>
      </c>
      <c r="D1424" s="8" t="s">
        <v>215</v>
      </c>
      <c r="E1424" s="10">
        <v>600000</v>
      </c>
      <c r="F1424" s="8">
        <v>0.027</v>
      </c>
      <c r="G1424" s="11">
        <v>45710</v>
      </c>
      <c r="H1424" s="12">
        <f t="shared" si="22"/>
        <v>16200</v>
      </c>
      <c r="I1424" s="10" t="s">
        <v>10</v>
      </c>
      <c r="J1424" s="13">
        <v>45631</v>
      </c>
      <c r="K1424" t="s">
        <v>445</v>
      </c>
    </row>
    <row r="1425" customFormat="1" spans="1:12">
      <c r="A1425" t="s">
        <v>319</v>
      </c>
      <c r="B1425" s="8">
        <v>242502051</v>
      </c>
      <c r="C1425" s="9">
        <v>45630</v>
      </c>
      <c r="D1425" s="8" t="s">
        <v>215</v>
      </c>
      <c r="E1425" s="10">
        <v>300000</v>
      </c>
      <c r="F1425" s="8">
        <v>0.027</v>
      </c>
      <c r="G1425" s="11">
        <v>45738</v>
      </c>
      <c r="H1425" s="12">
        <f t="shared" si="22"/>
        <v>8100</v>
      </c>
      <c r="I1425" s="10" t="s">
        <v>10</v>
      </c>
      <c r="J1425" s="13">
        <v>45631</v>
      </c>
      <c r="K1425" t="s">
        <v>445</v>
      </c>
    </row>
    <row r="1426" customFormat="1" spans="1:12">
      <c r="A1426" t="s">
        <v>319</v>
      </c>
      <c r="B1426" s="8">
        <v>242502052</v>
      </c>
      <c r="C1426" s="9">
        <v>45630</v>
      </c>
      <c r="D1426" s="8" t="s">
        <v>202</v>
      </c>
      <c r="E1426" s="10">
        <v>120000</v>
      </c>
      <c r="F1426" s="8">
        <v>0.04</v>
      </c>
      <c r="G1426" s="11">
        <v>45679</v>
      </c>
      <c r="H1426" s="12">
        <f t="shared" si="22"/>
        <v>4800</v>
      </c>
      <c r="I1426" s="10" t="s">
        <v>10</v>
      </c>
      <c r="J1426" s="13">
        <v>45639</v>
      </c>
      <c r="K1426" t="s">
        <v>327</v>
      </c>
    </row>
    <row r="1427" customFormat="1" spans="1:12">
      <c r="A1427" t="s">
        <v>319</v>
      </c>
      <c r="B1427" s="8">
        <v>242502052</v>
      </c>
      <c r="C1427" s="9">
        <v>45630</v>
      </c>
      <c r="D1427" s="8" t="s">
        <v>202</v>
      </c>
      <c r="E1427" s="10">
        <v>100000</v>
      </c>
      <c r="F1427" s="8">
        <v>0.04</v>
      </c>
      <c r="G1427" s="11">
        <v>45710</v>
      </c>
      <c r="H1427" s="12">
        <f t="shared" si="22"/>
        <v>4000</v>
      </c>
      <c r="I1427" s="10" t="s">
        <v>10</v>
      </c>
      <c r="J1427" s="13">
        <v>45639</v>
      </c>
      <c r="K1427" t="s">
        <v>327</v>
      </c>
    </row>
    <row r="1428" customFormat="1" spans="1:12">
      <c r="A1428" t="s">
        <v>319</v>
      </c>
      <c r="B1428" s="8">
        <v>242502052</v>
      </c>
      <c r="C1428" s="9">
        <v>45630</v>
      </c>
      <c r="D1428" s="8" t="s">
        <v>202</v>
      </c>
      <c r="E1428" s="10">
        <v>100000</v>
      </c>
      <c r="F1428" s="8">
        <v>0.04</v>
      </c>
      <c r="G1428" s="11">
        <v>45738</v>
      </c>
      <c r="H1428" s="12">
        <f t="shared" si="22"/>
        <v>4000</v>
      </c>
      <c r="I1428" s="10" t="s">
        <v>10</v>
      </c>
      <c r="J1428" s="13">
        <v>45639</v>
      </c>
      <c r="K1428" t="s">
        <v>327</v>
      </c>
    </row>
    <row r="1429" customFormat="1" spans="1:12">
      <c r="A1429" t="s">
        <v>319</v>
      </c>
      <c r="B1429" s="8">
        <v>242502052</v>
      </c>
      <c r="C1429" s="9">
        <v>45630</v>
      </c>
      <c r="D1429" s="8" t="s">
        <v>29</v>
      </c>
      <c r="E1429" s="10">
        <v>500000</v>
      </c>
      <c r="F1429" s="8">
        <v>0.027</v>
      </c>
      <c r="G1429" s="11">
        <v>45769</v>
      </c>
      <c r="H1429" s="12">
        <f t="shared" si="22"/>
        <v>13500</v>
      </c>
      <c r="I1429" s="10" t="s">
        <v>10</v>
      </c>
      <c r="J1429" s="13">
        <v>45639</v>
      </c>
      <c r="K1429" t="s">
        <v>327</v>
      </c>
    </row>
    <row r="1430" customFormat="1" spans="1:12">
      <c r="A1430" t="s">
        <v>319</v>
      </c>
      <c r="B1430" s="8">
        <v>242502052</v>
      </c>
      <c r="C1430" s="9">
        <v>45630</v>
      </c>
      <c r="D1430" s="8" t="s">
        <v>29</v>
      </c>
      <c r="E1430" s="10">
        <v>500000</v>
      </c>
      <c r="F1430" s="8">
        <v>0.027</v>
      </c>
      <c r="G1430" s="11">
        <v>45769</v>
      </c>
      <c r="H1430" s="12">
        <f t="shared" si="22"/>
        <v>13500</v>
      </c>
      <c r="I1430" s="10" t="s">
        <v>10</v>
      </c>
      <c r="J1430" s="13">
        <v>45639</v>
      </c>
      <c r="K1430" t="s">
        <v>327</v>
      </c>
    </row>
    <row r="1431" customFormat="1" spans="1:12">
      <c r="A1431" t="s">
        <v>319</v>
      </c>
      <c r="B1431" s="8">
        <v>242502052</v>
      </c>
      <c r="C1431" s="9">
        <v>45630</v>
      </c>
      <c r="D1431" s="8" t="s">
        <v>58</v>
      </c>
      <c r="E1431" s="10">
        <v>400000</v>
      </c>
      <c r="F1431" s="8">
        <v>0.019</v>
      </c>
      <c r="G1431" s="11">
        <v>45679</v>
      </c>
      <c r="H1431" s="12">
        <f t="shared" si="22"/>
        <v>7600</v>
      </c>
      <c r="I1431" s="10" t="s">
        <v>10</v>
      </c>
      <c r="J1431" s="13">
        <v>45639</v>
      </c>
      <c r="K1431" t="s">
        <v>327</v>
      </c>
    </row>
    <row r="1432" customFormat="1" spans="1:12">
      <c r="A1432" t="s">
        <v>319</v>
      </c>
      <c r="B1432" s="8">
        <v>242502052</v>
      </c>
      <c r="C1432" s="9">
        <v>45630</v>
      </c>
      <c r="D1432" s="8" t="s">
        <v>58</v>
      </c>
      <c r="E1432" s="10">
        <v>500000</v>
      </c>
      <c r="F1432" s="8">
        <v>0.019</v>
      </c>
      <c r="G1432" s="11">
        <v>45710</v>
      </c>
      <c r="H1432" s="12">
        <f t="shared" si="22"/>
        <v>9500</v>
      </c>
      <c r="I1432" s="10" t="s">
        <v>10</v>
      </c>
      <c r="J1432" s="13">
        <v>45639</v>
      </c>
      <c r="K1432" t="s">
        <v>327</v>
      </c>
    </row>
    <row r="1433" customFormat="1" spans="1:12">
      <c r="A1433" t="s">
        <v>319</v>
      </c>
      <c r="B1433" s="8">
        <v>242502052</v>
      </c>
      <c r="C1433" s="9">
        <v>45630</v>
      </c>
      <c r="D1433" s="8" t="s">
        <v>58</v>
      </c>
      <c r="E1433" s="10">
        <v>500000</v>
      </c>
      <c r="F1433" s="8">
        <v>0.019</v>
      </c>
      <c r="G1433" s="11">
        <v>45738</v>
      </c>
      <c r="H1433" s="12">
        <f t="shared" si="22"/>
        <v>9500</v>
      </c>
      <c r="I1433" s="10" t="s">
        <v>10</v>
      </c>
      <c r="J1433" s="13">
        <v>45639</v>
      </c>
      <c r="K1433" t="s">
        <v>327</v>
      </c>
    </row>
    <row r="1434" customFormat="1" spans="1:12">
      <c r="A1434" t="s">
        <v>319</v>
      </c>
      <c r="B1434" s="8">
        <v>242502053</v>
      </c>
      <c r="C1434" s="9">
        <v>45630</v>
      </c>
      <c r="D1434" s="8" t="s">
        <v>202</v>
      </c>
      <c r="E1434" s="10">
        <v>70000</v>
      </c>
      <c r="F1434" s="8">
        <v>0.04</v>
      </c>
      <c r="G1434" s="11">
        <v>45679</v>
      </c>
      <c r="H1434" s="12">
        <f t="shared" si="22"/>
        <v>2800</v>
      </c>
      <c r="I1434" s="10" t="s">
        <v>10</v>
      </c>
      <c r="J1434" s="13">
        <v>45639</v>
      </c>
      <c r="K1434" t="s">
        <v>392</v>
      </c>
    </row>
    <row r="1435" customFormat="1" spans="1:12">
      <c r="A1435" t="s">
        <v>319</v>
      </c>
      <c r="B1435" s="8">
        <v>242502053</v>
      </c>
      <c r="C1435" s="9">
        <v>45630</v>
      </c>
      <c r="D1435" s="8" t="s">
        <v>202</v>
      </c>
      <c r="E1435" s="10">
        <v>70000</v>
      </c>
      <c r="F1435" s="8">
        <v>0.04</v>
      </c>
      <c r="G1435" s="11">
        <v>45710</v>
      </c>
      <c r="H1435" s="12">
        <f t="shared" si="22"/>
        <v>2800</v>
      </c>
      <c r="I1435" s="10" t="s">
        <v>10</v>
      </c>
      <c r="J1435" s="13">
        <v>45639</v>
      </c>
      <c r="K1435" t="s">
        <v>392</v>
      </c>
      <c r="L1435">
        <f>510+120+60+580+120+110+20+150</f>
        <v>1670</v>
      </c>
    </row>
    <row r="1436" customFormat="1" spans="1:12">
      <c r="A1436" t="s">
        <v>319</v>
      </c>
      <c r="B1436" s="8">
        <v>242502053</v>
      </c>
      <c r="C1436" s="9">
        <v>45630</v>
      </c>
      <c r="D1436" s="8" t="s">
        <v>202</v>
      </c>
      <c r="E1436" s="10">
        <v>70000</v>
      </c>
      <c r="F1436" s="8">
        <v>0.04</v>
      </c>
      <c r="G1436" s="11">
        <v>45738</v>
      </c>
      <c r="H1436" s="12">
        <f t="shared" si="22"/>
        <v>2800</v>
      </c>
      <c r="I1436" s="10" t="s">
        <v>10</v>
      </c>
      <c r="J1436" s="13">
        <v>45639</v>
      </c>
      <c r="K1436" t="s">
        <v>392</v>
      </c>
    </row>
    <row r="1437" customFormat="1" spans="1:12">
      <c r="A1437" t="s">
        <v>319</v>
      </c>
      <c r="B1437" s="8">
        <v>242502054</v>
      </c>
      <c r="C1437" s="9">
        <v>45630</v>
      </c>
      <c r="D1437" s="8" t="s">
        <v>330</v>
      </c>
      <c r="E1437" s="10">
        <v>500000</v>
      </c>
      <c r="F1437" s="8">
        <v>0.04</v>
      </c>
      <c r="G1437" s="11">
        <v>45738</v>
      </c>
      <c r="H1437" s="12">
        <f t="shared" si="22"/>
        <v>20000</v>
      </c>
      <c r="I1437" s="10" t="s">
        <v>10</v>
      </c>
      <c r="J1437" s="13">
        <v>45639</v>
      </c>
      <c r="K1437" t="s">
        <v>331</v>
      </c>
    </row>
    <row r="1438" customFormat="1" spans="1:12">
      <c r="A1438" t="s">
        <v>319</v>
      </c>
      <c r="B1438" s="8">
        <v>242502057</v>
      </c>
      <c r="C1438" s="9">
        <v>45630</v>
      </c>
      <c r="D1438" s="8" t="s">
        <v>70</v>
      </c>
      <c r="E1438" s="10">
        <v>20000</v>
      </c>
      <c r="F1438" s="8">
        <v>0.028</v>
      </c>
      <c r="G1438" s="11">
        <v>45648</v>
      </c>
      <c r="H1438" s="12">
        <f t="shared" si="22"/>
        <v>560</v>
      </c>
      <c r="I1438" s="10" t="s">
        <v>10</v>
      </c>
      <c r="J1438" s="13">
        <v>45667</v>
      </c>
    </row>
    <row r="1439" customFormat="1" spans="1:12">
      <c r="A1439" t="s">
        <v>319</v>
      </c>
      <c r="B1439" s="8">
        <v>242502058</v>
      </c>
      <c r="C1439" s="9">
        <v>45630</v>
      </c>
      <c r="D1439" s="8" t="s">
        <v>451</v>
      </c>
      <c r="E1439" s="10">
        <v>80000</v>
      </c>
      <c r="F1439" s="8">
        <v>0.06</v>
      </c>
      <c r="G1439" s="11">
        <v>45667</v>
      </c>
      <c r="H1439" s="12">
        <f t="shared" si="22"/>
        <v>4800</v>
      </c>
      <c r="I1439" s="10" t="s">
        <v>10</v>
      </c>
      <c r="J1439" s="13">
        <v>45667</v>
      </c>
    </row>
    <row r="1440" customFormat="1" spans="1:12">
      <c r="A1440" t="s">
        <v>319</v>
      </c>
      <c r="B1440" s="8">
        <v>242502058</v>
      </c>
      <c r="C1440" s="9">
        <v>45630</v>
      </c>
      <c r="D1440" s="8" t="s">
        <v>451</v>
      </c>
      <c r="E1440" s="10">
        <v>80000</v>
      </c>
      <c r="F1440" s="8">
        <v>0.06</v>
      </c>
      <c r="G1440" s="11">
        <v>45677</v>
      </c>
      <c r="H1440" s="12">
        <f t="shared" si="22"/>
        <v>4800</v>
      </c>
      <c r="I1440" s="10" t="s">
        <v>10</v>
      </c>
      <c r="J1440" s="13">
        <v>45667</v>
      </c>
    </row>
    <row r="1441" customFormat="1" spans="1:10">
      <c r="A1441" t="s">
        <v>319</v>
      </c>
      <c r="B1441" s="8">
        <v>242502065</v>
      </c>
      <c r="C1441" s="9">
        <v>45630</v>
      </c>
      <c r="D1441" s="8" t="s">
        <v>257</v>
      </c>
      <c r="E1441" s="10">
        <v>32000</v>
      </c>
      <c r="F1441" s="8">
        <v>0.01</v>
      </c>
      <c r="G1441" s="11">
        <v>45631</v>
      </c>
      <c r="H1441" s="12">
        <f t="shared" si="22"/>
        <v>320</v>
      </c>
      <c r="I1441" s="10" t="s">
        <v>10</v>
      </c>
      <c r="J1441" s="13">
        <v>45642</v>
      </c>
    </row>
    <row r="1442" customFormat="1" spans="1:10">
      <c r="A1442" t="s">
        <v>319</v>
      </c>
      <c r="B1442" s="8">
        <v>242502065</v>
      </c>
      <c r="C1442" s="9">
        <v>45630</v>
      </c>
      <c r="D1442" s="8" t="s">
        <v>210</v>
      </c>
      <c r="E1442" s="10">
        <v>64000</v>
      </c>
      <c r="F1442" s="8">
        <v>0.024</v>
      </c>
      <c r="G1442" s="11">
        <v>45631</v>
      </c>
      <c r="H1442" s="12">
        <f t="shared" si="22"/>
        <v>1536</v>
      </c>
      <c r="I1442" s="10" t="s">
        <v>10</v>
      </c>
      <c r="J1442" s="13">
        <v>45642</v>
      </c>
    </row>
    <row r="1443" customFormat="1" spans="1:10">
      <c r="A1443" t="s">
        <v>319</v>
      </c>
      <c r="B1443" s="8">
        <v>242502065</v>
      </c>
      <c r="C1443" s="9">
        <v>45630</v>
      </c>
      <c r="D1443" s="8" t="s">
        <v>257</v>
      </c>
      <c r="E1443" s="10">
        <v>64000</v>
      </c>
      <c r="F1443" s="8">
        <v>0.01</v>
      </c>
      <c r="G1443" s="11">
        <v>45648</v>
      </c>
      <c r="H1443" s="12">
        <f t="shared" si="22"/>
        <v>640</v>
      </c>
      <c r="I1443" s="10" t="s">
        <v>10</v>
      </c>
      <c r="J1443" s="13">
        <v>45642</v>
      </c>
    </row>
    <row r="1444" customFormat="1" spans="1:10">
      <c r="A1444" t="s">
        <v>319</v>
      </c>
      <c r="B1444" s="8">
        <v>242502065</v>
      </c>
      <c r="C1444" s="9">
        <v>45630</v>
      </c>
      <c r="D1444" s="8" t="s">
        <v>271</v>
      </c>
      <c r="E1444" s="10">
        <v>128000</v>
      </c>
      <c r="F1444" s="8">
        <v>0.024</v>
      </c>
      <c r="G1444" s="11">
        <v>45631</v>
      </c>
      <c r="H1444" s="12">
        <f t="shared" si="22"/>
        <v>3072</v>
      </c>
      <c r="I1444" s="10" t="s">
        <v>10</v>
      </c>
      <c r="J1444" s="13">
        <v>45642</v>
      </c>
    </row>
    <row r="1445" customFormat="1" spans="1:10">
      <c r="A1445" t="s">
        <v>319</v>
      </c>
      <c r="B1445" s="8">
        <v>242502127</v>
      </c>
      <c r="C1445" s="9">
        <v>45638</v>
      </c>
      <c r="D1445" s="8" t="s">
        <v>400</v>
      </c>
      <c r="E1445" s="10">
        <v>50000</v>
      </c>
      <c r="F1445" s="8">
        <v>0.0525</v>
      </c>
      <c r="G1445" s="11">
        <v>45662</v>
      </c>
      <c r="H1445" s="12">
        <f t="shared" si="22"/>
        <v>2625</v>
      </c>
      <c r="I1445" s="10" t="s">
        <v>10</v>
      </c>
      <c r="J1445" s="13">
        <v>45644</v>
      </c>
    </row>
    <row r="1446" customFormat="1" spans="1:10">
      <c r="A1446" t="s">
        <v>319</v>
      </c>
      <c r="B1446" s="8">
        <v>242502128</v>
      </c>
      <c r="C1446" s="9">
        <v>45638</v>
      </c>
      <c r="D1446" s="8" t="s">
        <v>222</v>
      </c>
      <c r="E1446" s="10">
        <v>40000</v>
      </c>
      <c r="F1446" s="8">
        <v>0.285</v>
      </c>
      <c r="G1446" s="11">
        <v>45738</v>
      </c>
      <c r="H1446" s="12">
        <f t="shared" si="22"/>
        <v>11400</v>
      </c>
      <c r="I1446" s="10" t="s">
        <v>10</v>
      </c>
      <c r="J1446" s="13">
        <v>45653</v>
      </c>
    </row>
    <row r="1447" customFormat="1" spans="1:10">
      <c r="A1447" t="s">
        <v>319</v>
      </c>
      <c r="B1447" s="8">
        <v>242502131</v>
      </c>
      <c r="C1447" s="9">
        <v>45638</v>
      </c>
      <c r="D1447" s="8" t="s">
        <v>26</v>
      </c>
      <c r="E1447" s="10">
        <v>60000</v>
      </c>
      <c r="F1447" s="8">
        <v>0.014</v>
      </c>
      <c r="G1447" s="11">
        <v>45648</v>
      </c>
      <c r="H1447" s="12">
        <f t="shared" si="22"/>
        <v>840</v>
      </c>
      <c r="I1447" s="10" t="s">
        <v>10</v>
      </c>
      <c r="J1447" s="13">
        <v>45639</v>
      </c>
    </row>
    <row r="1448" customFormat="1" spans="1:10">
      <c r="A1448" t="s">
        <v>319</v>
      </c>
      <c r="B1448" s="8">
        <v>242502131</v>
      </c>
      <c r="C1448" s="9">
        <v>45638</v>
      </c>
      <c r="D1448" s="8" t="s">
        <v>124</v>
      </c>
      <c r="E1448" s="10">
        <v>20000</v>
      </c>
      <c r="F1448" s="8">
        <v>0.018</v>
      </c>
      <c r="G1448" s="11">
        <v>45648</v>
      </c>
      <c r="H1448" s="12">
        <f t="shared" si="22"/>
        <v>360</v>
      </c>
      <c r="I1448" s="10" t="s">
        <v>10</v>
      </c>
      <c r="J1448" s="13">
        <v>45639</v>
      </c>
    </row>
    <row r="1449" customFormat="1" spans="1:10">
      <c r="A1449" t="s">
        <v>319</v>
      </c>
      <c r="B1449" s="98">
        <v>242502140</v>
      </c>
      <c r="C1449" s="99">
        <v>45642</v>
      </c>
      <c r="D1449" s="98" t="s">
        <v>452</v>
      </c>
      <c r="E1449" s="100">
        <v>138000</v>
      </c>
      <c r="F1449" s="98">
        <v>0.07</v>
      </c>
      <c r="G1449" s="101">
        <v>45833</v>
      </c>
      <c r="H1449" s="102">
        <f t="shared" si="22"/>
        <v>9660</v>
      </c>
      <c r="I1449" s="15"/>
      <c r="J1449" s="15"/>
    </row>
    <row r="1450" customFormat="1" spans="1:10">
      <c r="A1450" t="s">
        <v>319</v>
      </c>
      <c r="B1450" s="50">
        <v>242502175</v>
      </c>
      <c r="C1450" s="103">
        <v>45644</v>
      </c>
      <c r="D1450" s="8" t="s">
        <v>227</v>
      </c>
      <c r="E1450" s="10">
        <v>12000</v>
      </c>
      <c r="F1450" s="8">
        <v>0.5</v>
      </c>
      <c r="G1450" s="11">
        <v>45710</v>
      </c>
      <c r="H1450" s="12">
        <f t="shared" si="22"/>
        <v>6000</v>
      </c>
      <c r="I1450" s="10" t="s">
        <v>10</v>
      </c>
      <c r="J1450" s="13">
        <v>45645</v>
      </c>
    </row>
    <row r="1451" customFormat="1" spans="1:10">
      <c r="A1451" t="s">
        <v>319</v>
      </c>
      <c r="B1451" s="50">
        <v>242502175</v>
      </c>
      <c r="C1451" s="103">
        <v>45644</v>
      </c>
      <c r="D1451" s="8" t="s">
        <v>216</v>
      </c>
      <c r="E1451" s="10">
        <v>20000</v>
      </c>
      <c r="F1451" s="8">
        <v>0.045</v>
      </c>
      <c r="G1451" s="11">
        <v>45738</v>
      </c>
      <c r="H1451" s="12">
        <f t="shared" si="22"/>
        <v>900</v>
      </c>
      <c r="I1451" s="10" t="s">
        <v>10</v>
      </c>
      <c r="J1451" s="13">
        <v>45645</v>
      </c>
    </row>
    <row r="1452" customFormat="1" spans="1:10">
      <c r="A1452" t="s">
        <v>319</v>
      </c>
      <c r="B1452" s="50">
        <v>242502175</v>
      </c>
      <c r="C1452" s="103">
        <v>45644</v>
      </c>
      <c r="D1452" s="8" t="s">
        <v>394</v>
      </c>
      <c r="E1452" s="10">
        <v>92000</v>
      </c>
      <c r="F1452" s="8">
        <v>0.022</v>
      </c>
      <c r="G1452" s="11">
        <v>45710</v>
      </c>
      <c r="H1452" s="12">
        <f t="shared" si="22"/>
        <v>2024</v>
      </c>
      <c r="I1452" s="10" t="s">
        <v>10</v>
      </c>
      <c r="J1452" s="13">
        <v>45645</v>
      </c>
    </row>
    <row r="1453" customFormat="1" spans="1:10">
      <c r="A1453" t="s">
        <v>319</v>
      </c>
      <c r="B1453" s="8">
        <v>242502177</v>
      </c>
      <c r="C1453" s="9">
        <v>45644</v>
      </c>
      <c r="D1453" s="8" t="s">
        <v>394</v>
      </c>
      <c r="E1453" s="10">
        <v>48000</v>
      </c>
      <c r="F1453" s="8">
        <v>0.022</v>
      </c>
      <c r="G1453" s="11">
        <v>45710</v>
      </c>
      <c r="H1453" s="12">
        <f t="shared" si="22"/>
        <v>1056</v>
      </c>
      <c r="I1453" s="10" t="s">
        <v>10</v>
      </c>
      <c r="J1453" s="13">
        <v>45645</v>
      </c>
    </row>
    <row r="1454" customFormat="1" spans="1:10">
      <c r="A1454" t="s">
        <v>319</v>
      </c>
      <c r="B1454" s="8">
        <v>242502177</v>
      </c>
      <c r="C1454" s="9">
        <v>45644</v>
      </c>
      <c r="D1454" s="8" t="s">
        <v>394</v>
      </c>
      <c r="E1454" s="10">
        <v>52000</v>
      </c>
      <c r="F1454" s="8">
        <v>0.022</v>
      </c>
      <c r="G1454" s="11">
        <v>45721</v>
      </c>
      <c r="H1454" s="12">
        <f t="shared" si="22"/>
        <v>1144</v>
      </c>
      <c r="I1454" s="10" t="s">
        <v>10</v>
      </c>
      <c r="J1454" s="13">
        <v>45645</v>
      </c>
    </row>
    <row r="1455" customFormat="1" spans="1:10">
      <c r="A1455" t="s">
        <v>319</v>
      </c>
      <c r="B1455" s="8">
        <v>242502177</v>
      </c>
      <c r="C1455" s="9">
        <v>45644</v>
      </c>
      <c r="D1455" s="8" t="s">
        <v>394</v>
      </c>
      <c r="E1455" s="10">
        <v>48000</v>
      </c>
      <c r="F1455" s="8">
        <v>0.022</v>
      </c>
      <c r="G1455" s="11">
        <v>45738</v>
      </c>
      <c r="H1455" s="12">
        <f t="shared" si="22"/>
        <v>1056</v>
      </c>
      <c r="I1455" s="10" t="s">
        <v>10</v>
      </c>
      <c r="J1455" s="13">
        <v>45645</v>
      </c>
    </row>
    <row r="1456" customFormat="1" spans="1:10">
      <c r="A1456" t="s">
        <v>319</v>
      </c>
      <c r="B1456" s="8">
        <v>242502177</v>
      </c>
      <c r="C1456" s="9">
        <v>45644</v>
      </c>
      <c r="D1456" s="8" t="s">
        <v>200</v>
      </c>
      <c r="E1456" s="10">
        <v>200000</v>
      </c>
      <c r="F1456" s="8">
        <v>0.05</v>
      </c>
      <c r="G1456" s="11">
        <v>45710</v>
      </c>
      <c r="H1456" s="12">
        <f t="shared" si="22"/>
        <v>10000</v>
      </c>
      <c r="I1456" s="10" t="s">
        <v>10</v>
      </c>
      <c r="J1456" s="13">
        <v>45645</v>
      </c>
    </row>
    <row r="1457" customFormat="1" spans="1:20">
      <c r="A1457" t="s">
        <v>319</v>
      </c>
      <c r="B1457" s="8">
        <v>242502177</v>
      </c>
      <c r="C1457" s="9">
        <v>45644</v>
      </c>
      <c r="D1457" s="8" t="s">
        <v>200</v>
      </c>
      <c r="E1457" s="10">
        <v>200000</v>
      </c>
      <c r="F1457" s="8">
        <v>0.05</v>
      </c>
      <c r="G1457" s="11">
        <v>45721</v>
      </c>
      <c r="H1457" s="12">
        <f t="shared" si="22"/>
        <v>10000</v>
      </c>
      <c r="I1457" s="10" t="s">
        <v>10</v>
      </c>
      <c r="J1457" s="13">
        <v>45645</v>
      </c>
      <c r="N1457" s="104" t="s">
        <v>453</v>
      </c>
      <c r="O1457" s="105" t="s">
        <v>454</v>
      </c>
    </row>
    <row r="1458" customFormat="1" spans="1:20">
      <c r="A1458" t="s">
        <v>319</v>
      </c>
      <c r="B1458" s="8">
        <v>242502177</v>
      </c>
      <c r="C1458" s="9">
        <v>45644</v>
      </c>
      <c r="D1458" s="8" t="s">
        <v>200</v>
      </c>
      <c r="E1458" s="10">
        <v>300000</v>
      </c>
      <c r="F1458" s="8">
        <v>0.05</v>
      </c>
      <c r="G1458" s="11">
        <v>45738</v>
      </c>
      <c r="H1458" s="12">
        <f t="shared" si="22"/>
        <v>15000</v>
      </c>
      <c r="I1458" s="10" t="s">
        <v>10</v>
      </c>
      <c r="J1458" s="13">
        <v>45645</v>
      </c>
      <c r="N1458" s="104" t="s">
        <v>455</v>
      </c>
      <c r="O1458" s="105" t="s">
        <v>456</v>
      </c>
    </row>
    <row r="1459" customFormat="1" spans="1:20">
      <c r="A1459" t="s">
        <v>319</v>
      </c>
      <c r="B1459" s="50">
        <v>242502218</v>
      </c>
      <c r="C1459" s="103">
        <v>45645</v>
      </c>
      <c r="D1459" s="8" t="s">
        <v>457</v>
      </c>
      <c r="E1459" s="10">
        <v>20000</v>
      </c>
      <c r="F1459" s="8">
        <v>0.05</v>
      </c>
      <c r="G1459" s="11">
        <v>45657</v>
      </c>
      <c r="H1459" s="12">
        <f t="shared" si="22"/>
        <v>1000</v>
      </c>
      <c r="I1459" s="10" t="s">
        <v>10</v>
      </c>
      <c r="J1459" s="13">
        <v>45691</v>
      </c>
      <c r="K1459" t="s">
        <v>405</v>
      </c>
      <c r="N1459" s="104" t="s">
        <v>453</v>
      </c>
      <c r="O1459" s="105" t="s">
        <v>458</v>
      </c>
    </row>
    <row r="1460" customFormat="1" spans="1:20">
      <c r="A1460" t="s">
        <v>319</v>
      </c>
      <c r="B1460" s="8">
        <v>242502220</v>
      </c>
      <c r="C1460" s="9">
        <v>45645</v>
      </c>
      <c r="D1460" s="8" t="s">
        <v>163</v>
      </c>
      <c r="E1460" s="10">
        <v>288000</v>
      </c>
      <c r="F1460" s="8">
        <v>0.0025</v>
      </c>
      <c r="G1460" s="11">
        <v>45679</v>
      </c>
      <c r="H1460" s="12">
        <f t="shared" si="22"/>
        <v>720</v>
      </c>
      <c r="I1460" s="10" t="s">
        <v>10</v>
      </c>
      <c r="J1460" s="13">
        <v>45660</v>
      </c>
      <c r="K1460" t="s">
        <v>459</v>
      </c>
      <c r="N1460" s="104" t="s">
        <v>455</v>
      </c>
      <c r="O1460" s="105" t="s">
        <v>456</v>
      </c>
    </row>
    <row r="1461" customFormat="1" spans="1:20">
      <c r="A1461" t="s">
        <v>319</v>
      </c>
      <c r="B1461" s="8">
        <v>242502220</v>
      </c>
      <c r="C1461" s="9">
        <v>45645</v>
      </c>
      <c r="D1461" s="8" t="s">
        <v>163</v>
      </c>
      <c r="E1461" s="10">
        <v>288000</v>
      </c>
      <c r="F1461" s="8">
        <v>0.0025</v>
      </c>
      <c r="G1461" s="11">
        <v>45710</v>
      </c>
      <c r="H1461" s="12">
        <f t="shared" si="22"/>
        <v>720</v>
      </c>
      <c r="I1461" s="10" t="s">
        <v>10</v>
      </c>
      <c r="J1461" s="13">
        <v>45660</v>
      </c>
      <c r="K1461" t="s">
        <v>459</v>
      </c>
    </row>
    <row r="1462" customFormat="1" spans="1:20">
      <c r="A1462" t="s">
        <v>319</v>
      </c>
      <c r="B1462" s="8">
        <v>242502220</v>
      </c>
      <c r="C1462" s="9">
        <v>45645</v>
      </c>
      <c r="D1462" s="8" t="s">
        <v>163</v>
      </c>
      <c r="E1462" s="10">
        <v>304000</v>
      </c>
      <c r="F1462" s="8">
        <v>0.0025</v>
      </c>
      <c r="G1462" s="11">
        <v>45769</v>
      </c>
      <c r="H1462" s="12">
        <f t="shared" si="22"/>
        <v>760</v>
      </c>
      <c r="I1462" s="10" t="s">
        <v>10</v>
      </c>
      <c r="J1462" s="13">
        <v>45660</v>
      </c>
      <c r="K1462" t="s">
        <v>459</v>
      </c>
    </row>
    <row r="1463" customFormat="1" spans="1:20">
      <c r="A1463" t="s">
        <v>319</v>
      </c>
      <c r="B1463" s="8">
        <v>242502220</v>
      </c>
      <c r="C1463" s="9">
        <v>45645</v>
      </c>
      <c r="D1463" s="8" t="s">
        <v>163</v>
      </c>
      <c r="E1463" s="10">
        <v>304000</v>
      </c>
      <c r="F1463" s="8">
        <v>0.0025</v>
      </c>
      <c r="G1463" s="11">
        <v>45799</v>
      </c>
      <c r="H1463" s="12">
        <f t="shared" si="22"/>
        <v>760</v>
      </c>
      <c r="I1463" s="10" t="s">
        <v>10</v>
      </c>
      <c r="J1463" s="13">
        <v>45660</v>
      </c>
      <c r="K1463" t="s">
        <v>459</v>
      </c>
    </row>
    <row r="1464" customFormat="1" spans="1:20">
      <c r="A1464" t="s">
        <v>319</v>
      </c>
      <c r="B1464" s="8">
        <v>242502222</v>
      </c>
      <c r="C1464" s="9">
        <v>45645</v>
      </c>
      <c r="D1464" s="8" t="s">
        <v>371</v>
      </c>
      <c r="E1464" s="10">
        <v>20000</v>
      </c>
      <c r="F1464" s="8">
        <v>0.11</v>
      </c>
      <c r="G1464" s="11">
        <v>45648</v>
      </c>
      <c r="H1464" s="12">
        <f t="shared" si="22"/>
        <v>2200</v>
      </c>
      <c r="I1464" s="10" t="s">
        <v>10</v>
      </c>
      <c r="J1464" s="13">
        <v>45667</v>
      </c>
      <c r="K1464" t="s">
        <v>460</v>
      </c>
    </row>
    <row r="1465" customFormat="1" spans="1:20">
      <c r="A1465" t="s">
        <v>319</v>
      </c>
      <c r="B1465" s="8">
        <v>242502223</v>
      </c>
      <c r="C1465" s="9">
        <v>45645</v>
      </c>
      <c r="D1465" s="8" t="s">
        <v>215</v>
      </c>
      <c r="E1465" s="10">
        <v>150000</v>
      </c>
      <c r="F1465" s="8">
        <v>0.027</v>
      </c>
      <c r="G1465" s="11">
        <v>45738</v>
      </c>
      <c r="H1465" s="12">
        <f t="shared" si="22"/>
        <v>4050</v>
      </c>
      <c r="I1465" s="10" t="s">
        <v>10</v>
      </c>
      <c r="J1465" s="13">
        <v>45674</v>
      </c>
      <c r="K1465" t="s">
        <v>382</v>
      </c>
      <c r="T1465">
        <f>0.00206*86.25</f>
        <v>0.177675</v>
      </c>
    </row>
    <row r="1466" customFormat="1" spans="1:20">
      <c r="A1466" t="s">
        <v>319</v>
      </c>
      <c r="B1466" s="8">
        <v>242502223</v>
      </c>
      <c r="C1466" s="9">
        <v>45645</v>
      </c>
      <c r="D1466" s="8" t="s">
        <v>215</v>
      </c>
      <c r="E1466" s="10">
        <v>180000</v>
      </c>
      <c r="F1466" s="8">
        <v>0.027</v>
      </c>
      <c r="G1466" s="11">
        <v>45769</v>
      </c>
      <c r="H1466" s="12">
        <f t="shared" si="22"/>
        <v>4860</v>
      </c>
      <c r="I1466" s="10" t="s">
        <v>10</v>
      </c>
      <c r="J1466" s="13">
        <v>45674</v>
      </c>
      <c r="K1466" t="s">
        <v>382</v>
      </c>
      <c r="T1466">
        <f>T1465*1.08</f>
        <v>0.191889</v>
      </c>
    </row>
    <row r="1467" customFormat="1" spans="1:20">
      <c r="A1467" t="s">
        <v>319</v>
      </c>
      <c r="B1467" s="8">
        <v>242502224</v>
      </c>
      <c r="C1467" s="9">
        <v>45645</v>
      </c>
      <c r="D1467" s="8" t="s">
        <v>243</v>
      </c>
      <c r="E1467" s="10">
        <v>24000</v>
      </c>
      <c r="F1467" s="8">
        <v>0.022</v>
      </c>
      <c r="G1467" s="11">
        <v>45738</v>
      </c>
      <c r="H1467" s="12">
        <f t="shared" si="22"/>
        <v>528</v>
      </c>
      <c r="I1467" s="10" t="s">
        <v>10</v>
      </c>
      <c r="J1467" s="13">
        <v>45667</v>
      </c>
      <c r="K1467" t="s">
        <v>377</v>
      </c>
      <c r="T1467">
        <f>0.27-T1466</f>
        <v>0.078111</v>
      </c>
    </row>
    <row r="1468" customFormat="1" ht="29" spans="1:20">
      <c r="A1468" t="s">
        <v>319</v>
      </c>
      <c r="B1468" s="8">
        <v>242502225</v>
      </c>
      <c r="C1468" s="9">
        <v>45645</v>
      </c>
      <c r="D1468" s="50" t="s">
        <v>314</v>
      </c>
      <c r="E1468" s="10">
        <v>300000</v>
      </c>
      <c r="F1468" s="8">
        <v>0.02049</v>
      </c>
      <c r="G1468" s="11">
        <v>45738</v>
      </c>
      <c r="H1468" s="12">
        <f t="shared" si="22"/>
        <v>6147</v>
      </c>
      <c r="I1468" s="10" t="s">
        <v>10</v>
      </c>
      <c r="J1468" s="13">
        <v>45660</v>
      </c>
      <c r="T1468">
        <f>T1467*1000000</f>
        <v>78111</v>
      </c>
    </row>
    <row r="1469" customFormat="1" spans="1:20">
      <c r="A1469" t="s">
        <v>319</v>
      </c>
      <c r="B1469" s="8">
        <v>242502232</v>
      </c>
      <c r="C1469" s="9">
        <v>45646</v>
      </c>
      <c r="D1469" s="8" t="s">
        <v>321</v>
      </c>
      <c r="E1469" s="10">
        <v>28000</v>
      </c>
      <c r="F1469" s="8">
        <v>0.03</v>
      </c>
      <c r="G1469" s="11">
        <v>45738</v>
      </c>
      <c r="H1469" s="12">
        <f t="shared" si="22"/>
        <v>840</v>
      </c>
      <c r="I1469" s="10" t="s">
        <v>10</v>
      </c>
      <c r="J1469" s="13">
        <v>45667</v>
      </c>
    </row>
    <row r="1470" customFormat="1" spans="1:20">
      <c r="A1470" t="s">
        <v>319</v>
      </c>
      <c r="B1470" s="8">
        <v>242502232</v>
      </c>
      <c r="C1470" s="9">
        <v>45646</v>
      </c>
      <c r="D1470" s="8" t="s">
        <v>321</v>
      </c>
      <c r="E1470" s="10">
        <v>28000</v>
      </c>
      <c r="F1470" s="8">
        <v>0.03</v>
      </c>
      <c r="G1470" s="11">
        <v>45769</v>
      </c>
      <c r="H1470" s="12">
        <f t="shared" si="22"/>
        <v>840</v>
      </c>
      <c r="I1470" s="10" t="s">
        <v>10</v>
      </c>
      <c r="J1470" s="13">
        <v>45667</v>
      </c>
    </row>
    <row r="1471" customFormat="1" spans="1:20">
      <c r="A1471" t="s">
        <v>319</v>
      </c>
      <c r="B1471" s="8">
        <v>242502232</v>
      </c>
      <c r="C1471" s="9">
        <v>45646</v>
      </c>
      <c r="D1471" s="8" t="s">
        <v>461</v>
      </c>
      <c r="E1471" s="10">
        <v>42000</v>
      </c>
      <c r="F1471" s="8">
        <v>0.08</v>
      </c>
      <c r="G1471" s="11">
        <v>45710</v>
      </c>
      <c r="H1471" s="12">
        <f t="shared" si="22"/>
        <v>3360</v>
      </c>
      <c r="I1471" s="10" t="s">
        <v>10</v>
      </c>
      <c r="J1471" s="13">
        <v>45667</v>
      </c>
    </row>
    <row r="1472" customFormat="1" spans="1:20">
      <c r="A1472" t="s">
        <v>319</v>
      </c>
      <c r="B1472" s="8">
        <v>242502232</v>
      </c>
      <c r="C1472" s="9">
        <v>45646</v>
      </c>
      <c r="D1472" s="8" t="s">
        <v>253</v>
      </c>
      <c r="E1472" s="10">
        <v>44000</v>
      </c>
      <c r="F1472" s="8">
        <v>0.08</v>
      </c>
      <c r="G1472" s="11">
        <v>45738</v>
      </c>
      <c r="H1472" s="12">
        <f t="shared" si="22"/>
        <v>3520</v>
      </c>
      <c r="I1472" s="10" t="s">
        <v>10</v>
      </c>
      <c r="J1472" s="13">
        <v>45667</v>
      </c>
    </row>
    <row r="1473" customFormat="1" spans="1:11">
      <c r="A1473" t="s">
        <v>319</v>
      </c>
      <c r="B1473" s="14">
        <v>242502235</v>
      </c>
      <c r="C1473" s="13">
        <v>45646</v>
      </c>
      <c r="D1473" s="14" t="s">
        <v>462</v>
      </c>
      <c r="E1473" s="15">
        <v>2000</v>
      </c>
      <c r="F1473" s="14">
        <v>0.08</v>
      </c>
      <c r="G1473" s="16">
        <v>45647</v>
      </c>
      <c r="H1473" s="17">
        <f t="shared" si="22"/>
        <v>160</v>
      </c>
      <c r="I1473" s="15" t="s">
        <v>51</v>
      </c>
      <c r="J1473" s="15"/>
    </row>
    <row r="1474" customFormat="1" spans="1:11">
      <c r="A1474" t="s">
        <v>319</v>
      </c>
      <c r="B1474" s="14">
        <v>242502235</v>
      </c>
      <c r="C1474" s="13">
        <v>45646</v>
      </c>
      <c r="D1474" s="14" t="s">
        <v>463</v>
      </c>
      <c r="E1474" s="15">
        <v>4000</v>
      </c>
      <c r="F1474" s="14">
        <v>0.08</v>
      </c>
      <c r="G1474" s="16">
        <v>45647</v>
      </c>
      <c r="H1474" s="17">
        <f t="shared" ref="H1474:H1537" si="23">E1474*F1474</f>
        <v>320</v>
      </c>
      <c r="I1474" s="15" t="s">
        <v>51</v>
      </c>
      <c r="J1474" s="15"/>
    </row>
    <row r="1475" customFormat="1" spans="1:11">
      <c r="A1475" t="s">
        <v>319</v>
      </c>
      <c r="B1475" s="8">
        <v>242502242</v>
      </c>
      <c r="C1475" s="9">
        <v>45649</v>
      </c>
      <c r="D1475" s="8" t="s">
        <v>271</v>
      </c>
      <c r="E1475" s="10">
        <v>120000</v>
      </c>
      <c r="F1475" s="8">
        <v>0.024</v>
      </c>
      <c r="G1475" s="11">
        <v>45662</v>
      </c>
      <c r="H1475" s="12">
        <f t="shared" si="23"/>
        <v>2880</v>
      </c>
      <c r="I1475" s="10" t="s">
        <v>10</v>
      </c>
      <c r="J1475" s="13">
        <v>45650</v>
      </c>
      <c r="K1475" t="s">
        <v>430</v>
      </c>
    </row>
    <row r="1476" customFormat="1" spans="1:11">
      <c r="A1476" t="s">
        <v>319</v>
      </c>
      <c r="B1476" s="8">
        <v>242502242</v>
      </c>
      <c r="C1476" s="9">
        <v>45649</v>
      </c>
      <c r="D1476" s="8" t="s">
        <v>271</v>
      </c>
      <c r="E1476" s="10">
        <v>120000</v>
      </c>
      <c r="F1476" s="8">
        <v>0.024</v>
      </c>
      <c r="G1476" s="11">
        <v>45679</v>
      </c>
      <c r="H1476" s="12">
        <f t="shared" si="23"/>
        <v>2880</v>
      </c>
      <c r="I1476" s="10" t="s">
        <v>10</v>
      </c>
      <c r="J1476" s="13">
        <v>45650</v>
      </c>
      <c r="K1476" t="s">
        <v>430</v>
      </c>
    </row>
    <row r="1477" customFormat="1" spans="1:11">
      <c r="A1477" t="s">
        <v>319</v>
      </c>
      <c r="B1477" s="8">
        <v>242502242</v>
      </c>
      <c r="C1477" s="9">
        <v>45649</v>
      </c>
      <c r="D1477" s="8" t="s">
        <v>210</v>
      </c>
      <c r="E1477" s="10">
        <v>60000</v>
      </c>
      <c r="F1477" s="8">
        <v>0.024</v>
      </c>
      <c r="G1477" s="11">
        <v>45662</v>
      </c>
      <c r="H1477" s="12">
        <f t="shared" si="23"/>
        <v>1440</v>
      </c>
      <c r="I1477" s="10" t="s">
        <v>10</v>
      </c>
      <c r="J1477" s="13">
        <v>45650</v>
      </c>
      <c r="K1477" t="s">
        <v>430</v>
      </c>
    </row>
    <row r="1478" customFormat="1" spans="1:11">
      <c r="A1478" t="s">
        <v>319</v>
      </c>
      <c r="B1478" s="8">
        <v>242502242</v>
      </c>
      <c r="C1478" s="9">
        <v>45649</v>
      </c>
      <c r="D1478" s="8" t="s">
        <v>394</v>
      </c>
      <c r="E1478" s="10">
        <v>96000</v>
      </c>
      <c r="F1478" s="8">
        <v>0.022</v>
      </c>
      <c r="G1478" s="11">
        <v>45662</v>
      </c>
      <c r="H1478" s="12">
        <f t="shared" si="23"/>
        <v>2112</v>
      </c>
      <c r="I1478" s="10" t="s">
        <v>10</v>
      </c>
      <c r="J1478" s="13">
        <v>45650</v>
      </c>
      <c r="K1478" t="s">
        <v>430</v>
      </c>
    </row>
    <row r="1479" customFormat="1" spans="1:11">
      <c r="A1479" t="s">
        <v>319</v>
      </c>
      <c r="B1479" s="8">
        <v>242502242</v>
      </c>
      <c r="C1479" s="9">
        <v>45649</v>
      </c>
      <c r="D1479" s="8" t="s">
        <v>257</v>
      </c>
      <c r="E1479" s="10">
        <v>80000</v>
      </c>
      <c r="F1479" s="8">
        <v>0.01</v>
      </c>
      <c r="G1479" s="11">
        <v>45662</v>
      </c>
      <c r="H1479" s="12">
        <f t="shared" si="23"/>
        <v>800</v>
      </c>
      <c r="I1479" s="10" t="s">
        <v>10</v>
      </c>
      <c r="J1479" s="13">
        <v>45650</v>
      </c>
      <c r="K1479" t="s">
        <v>430</v>
      </c>
    </row>
    <row r="1480" customFormat="1" spans="1:11">
      <c r="A1480" t="s">
        <v>319</v>
      </c>
      <c r="B1480" s="8">
        <v>242502242</v>
      </c>
      <c r="C1480" s="9">
        <v>45649</v>
      </c>
      <c r="D1480" s="8" t="s">
        <v>163</v>
      </c>
      <c r="E1480" s="10">
        <v>208000</v>
      </c>
      <c r="F1480" s="8">
        <v>0.0025</v>
      </c>
      <c r="G1480" s="11">
        <v>45662</v>
      </c>
      <c r="H1480" s="12">
        <f t="shared" si="23"/>
        <v>520</v>
      </c>
      <c r="I1480" s="10" t="s">
        <v>10</v>
      </c>
      <c r="J1480" s="13">
        <v>45650</v>
      </c>
      <c r="K1480" t="s">
        <v>430</v>
      </c>
    </row>
    <row r="1481" customFormat="1" spans="1:11">
      <c r="A1481" t="s">
        <v>319</v>
      </c>
      <c r="B1481" s="8">
        <v>242502242</v>
      </c>
      <c r="C1481" s="9">
        <v>45649</v>
      </c>
      <c r="D1481" s="8" t="s">
        <v>163</v>
      </c>
      <c r="E1481" s="10">
        <v>192000</v>
      </c>
      <c r="F1481" s="8">
        <v>0.0025</v>
      </c>
      <c r="G1481" s="11">
        <v>45679</v>
      </c>
      <c r="H1481" s="12">
        <f t="shared" si="23"/>
        <v>480</v>
      </c>
      <c r="I1481" s="10" t="s">
        <v>10</v>
      </c>
      <c r="J1481" s="13">
        <v>45650</v>
      </c>
      <c r="K1481" t="s">
        <v>430</v>
      </c>
    </row>
    <row r="1482" customFormat="1" spans="1:11">
      <c r="A1482" t="s">
        <v>319</v>
      </c>
      <c r="B1482" s="8">
        <v>242502243</v>
      </c>
      <c r="C1482" s="9">
        <v>45649</v>
      </c>
      <c r="D1482" s="8" t="s">
        <v>210</v>
      </c>
      <c r="E1482" s="10">
        <v>120000</v>
      </c>
      <c r="F1482" s="8">
        <v>0.024</v>
      </c>
      <c r="G1482" s="11">
        <v>45693</v>
      </c>
      <c r="H1482" s="12">
        <f t="shared" si="23"/>
        <v>2880</v>
      </c>
      <c r="I1482" s="10" t="s">
        <v>10</v>
      </c>
      <c r="J1482" s="13">
        <v>45650</v>
      </c>
      <c r="K1482" t="s">
        <v>379</v>
      </c>
    </row>
    <row r="1483" customFormat="1" spans="1:11">
      <c r="A1483" t="s">
        <v>319</v>
      </c>
      <c r="B1483" s="8">
        <v>242502243</v>
      </c>
      <c r="C1483" s="9">
        <v>45649</v>
      </c>
      <c r="D1483" s="8" t="s">
        <v>210</v>
      </c>
      <c r="E1483" s="10">
        <v>60000</v>
      </c>
      <c r="F1483" s="8">
        <v>0.024</v>
      </c>
      <c r="G1483" s="11">
        <v>45662</v>
      </c>
      <c r="H1483" s="12">
        <f t="shared" si="23"/>
        <v>1440</v>
      </c>
      <c r="I1483" s="10" t="s">
        <v>10</v>
      </c>
      <c r="J1483" s="13">
        <v>45650</v>
      </c>
      <c r="K1483" t="s">
        <v>379</v>
      </c>
    </row>
    <row r="1484" customFormat="1" spans="1:11">
      <c r="A1484" t="s">
        <v>319</v>
      </c>
      <c r="B1484" s="8">
        <v>242502243</v>
      </c>
      <c r="C1484" s="9">
        <v>45649</v>
      </c>
      <c r="D1484" s="8" t="s">
        <v>210</v>
      </c>
      <c r="E1484" s="10">
        <v>120000</v>
      </c>
      <c r="F1484" s="8">
        <v>0.024</v>
      </c>
      <c r="G1484" s="11">
        <v>45679</v>
      </c>
      <c r="H1484" s="12">
        <f t="shared" si="23"/>
        <v>2880</v>
      </c>
      <c r="I1484" s="10" t="s">
        <v>10</v>
      </c>
      <c r="J1484" s="13">
        <v>45650</v>
      </c>
      <c r="K1484" t="s">
        <v>379</v>
      </c>
    </row>
    <row r="1485" customFormat="1" spans="1:11">
      <c r="A1485" t="s">
        <v>319</v>
      </c>
      <c r="B1485" s="8">
        <v>242502243</v>
      </c>
      <c r="C1485" s="9">
        <v>45649</v>
      </c>
      <c r="D1485" s="8" t="s">
        <v>257</v>
      </c>
      <c r="E1485" s="10">
        <v>160000</v>
      </c>
      <c r="F1485" s="8">
        <v>0.01</v>
      </c>
      <c r="G1485" s="11">
        <v>45679</v>
      </c>
      <c r="H1485" s="12">
        <f t="shared" si="23"/>
        <v>1600</v>
      </c>
      <c r="I1485" s="10" t="s">
        <v>10</v>
      </c>
      <c r="J1485" s="13">
        <v>45650</v>
      </c>
      <c r="K1485" t="s">
        <v>379</v>
      </c>
    </row>
    <row r="1486" customFormat="1" spans="1:11">
      <c r="A1486" t="s">
        <v>319</v>
      </c>
      <c r="B1486" s="8">
        <v>242502243</v>
      </c>
      <c r="C1486" s="9">
        <v>45649</v>
      </c>
      <c r="D1486" s="8" t="s">
        <v>257</v>
      </c>
      <c r="E1486" s="10">
        <v>80000</v>
      </c>
      <c r="F1486" s="8">
        <v>0.01</v>
      </c>
      <c r="G1486" s="11">
        <v>45679</v>
      </c>
      <c r="H1486" s="12">
        <f t="shared" si="23"/>
        <v>800</v>
      </c>
      <c r="I1486" s="10" t="s">
        <v>10</v>
      </c>
      <c r="J1486" s="13">
        <v>45650</v>
      </c>
      <c r="K1486" t="s">
        <v>379</v>
      </c>
    </row>
    <row r="1487" customFormat="1" spans="1:11">
      <c r="A1487" t="s">
        <v>319</v>
      </c>
      <c r="B1487" s="8">
        <v>242502243</v>
      </c>
      <c r="C1487" s="9">
        <v>45649</v>
      </c>
      <c r="D1487" s="8" t="s">
        <v>211</v>
      </c>
      <c r="E1487" s="10">
        <v>208000</v>
      </c>
      <c r="F1487" s="8">
        <v>0.022</v>
      </c>
      <c r="G1487" s="11">
        <v>45679</v>
      </c>
      <c r="H1487" s="12">
        <f t="shared" si="23"/>
        <v>4576</v>
      </c>
      <c r="I1487" s="10" t="s">
        <v>10</v>
      </c>
      <c r="J1487" s="13">
        <v>45650</v>
      </c>
      <c r="K1487" t="s">
        <v>379</v>
      </c>
    </row>
    <row r="1488" customFormat="1" spans="1:11">
      <c r="A1488" t="s">
        <v>319</v>
      </c>
      <c r="B1488" s="8">
        <v>242502245</v>
      </c>
      <c r="C1488" s="9">
        <v>45649</v>
      </c>
      <c r="D1488" s="8" t="s">
        <v>254</v>
      </c>
      <c r="E1488" s="10">
        <v>300000</v>
      </c>
      <c r="F1488" s="8">
        <v>0.022</v>
      </c>
      <c r="G1488" s="11">
        <v>45679</v>
      </c>
      <c r="H1488" s="12">
        <f t="shared" si="23"/>
        <v>6600</v>
      </c>
      <c r="I1488" s="10" t="s">
        <v>10</v>
      </c>
      <c r="J1488" s="13">
        <v>45652</v>
      </c>
    </row>
    <row r="1489" customFormat="1" spans="1:11">
      <c r="A1489" t="s">
        <v>319</v>
      </c>
      <c r="B1489" s="8">
        <v>242502245</v>
      </c>
      <c r="C1489" s="9">
        <v>45649</v>
      </c>
      <c r="D1489" s="8" t="s">
        <v>254</v>
      </c>
      <c r="E1489" s="10">
        <v>300000</v>
      </c>
      <c r="F1489" s="8">
        <v>0.022</v>
      </c>
      <c r="G1489" s="11">
        <v>45679</v>
      </c>
      <c r="H1489" s="12">
        <f t="shared" si="23"/>
        <v>6600</v>
      </c>
      <c r="I1489" s="10" t="s">
        <v>10</v>
      </c>
      <c r="J1489" s="13">
        <v>45652</v>
      </c>
    </row>
    <row r="1490" customFormat="1" spans="1:11">
      <c r="A1490" t="s">
        <v>319</v>
      </c>
      <c r="B1490" s="8">
        <v>242502245</v>
      </c>
      <c r="C1490" s="9">
        <v>45649</v>
      </c>
      <c r="D1490" s="8" t="s">
        <v>254</v>
      </c>
      <c r="E1490" s="10">
        <v>300000</v>
      </c>
      <c r="F1490" s="8">
        <v>0.022</v>
      </c>
      <c r="G1490" s="11">
        <v>45679</v>
      </c>
      <c r="H1490" s="12">
        <f t="shared" si="23"/>
        <v>6600</v>
      </c>
      <c r="I1490" s="10" t="s">
        <v>10</v>
      </c>
      <c r="J1490" s="13">
        <v>45652</v>
      </c>
    </row>
    <row r="1491" customFormat="1" spans="1:11">
      <c r="A1491" t="s">
        <v>319</v>
      </c>
      <c r="B1491" s="8">
        <v>242502245</v>
      </c>
      <c r="C1491" s="9">
        <v>45649</v>
      </c>
      <c r="D1491" s="8" t="s">
        <v>254</v>
      </c>
      <c r="E1491" s="10">
        <v>300000</v>
      </c>
      <c r="F1491" s="8">
        <v>0.022</v>
      </c>
      <c r="G1491" s="11">
        <v>45679</v>
      </c>
      <c r="H1491" s="12">
        <f t="shared" si="23"/>
        <v>6600</v>
      </c>
      <c r="I1491" s="10" t="s">
        <v>10</v>
      </c>
      <c r="J1491" s="13">
        <v>45652</v>
      </c>
    </row>
    <row r="1492" customFormat="1" spans="1:11">
      <c r="A1492" t="s">
        <v>319</v>
      </c>
      <c r="B1492" s="8">
        <v>242502245</v>
      </c>
      <c r="C1492" s="9">
        <v>45649</v>
      </c>
      <c r="D1492" s="8" t="s">
        <v>254</v>
      </c>
      <c r="E1492" s="10">
        <v>250000</v>
      </c>
      <c r="F1492" s="8">
        <v>0.022</v>
      </c>
      <c r="G1492" s="11">
        <v>45710</v>
      </c>
      <c r="H1492" s="12">
        <f t="shared" si="23"/>
        <v>5500</v>
      </c>
      <c r="I1492" s="10" t="s">
        <v>10</v>
      </c>
      <c r="J1492" s="13">
        <v>45652</v>
      </c>
    </row>
    <row r="1493" customFormat="1" spans="1:11">
      <c r="A1493" t="s">
        <v>319</v>
      </c>
      <c r="B1493" s="8">
        <v>242502245</v>
      </c>
      <c r="C1493" s="9">
        <v>45649</v>
      </c>
      <c r="D1493" s="8" t="s">
        <v>254</v>
      </c>
      <c r="E1493" s="10">
        <v>250000</v>
      </c>
      <c r="F1493" s="8">
        <v>0.022</v>
      </c>
      <c r="G1493" s="11">
        <v>45710</v>
      </c>
      <c r="H1493" s="12">
        <f t="shared" si="23"/>
        <v>5500</v>
      </c>
      <c r="I1493" s="10" t="s">
        <v>10</v>
      </c>
      <c r="J1493" s="13">
        <v>45652</v>
      </c>
    </row>
    <row r="1494" customFormat="1" spans="1:11">
      <c r="A1494" t="s">
        <v>319</v>
      </c>
      <c r="B1494" s="8">
        <v>242502245</v>
      </c>
      <c r="C1494" s="9">
        <v>45649</v>
      </c>
      <c r="D1494" s="8" t="s">
        <v>254</v>
      </c>
      <c r="E1494" s="10">
        <v>250000</v>
      </c>
      <c r="F1494" s="8">
        <v>0.022</v>
      </c>
      <c r="G1494" s="11">
        <v>45710</v>
      </c>
      <c r="H1494" s="12">
        <f t="shared" si="23"/>
        <v>5500</v>
      </c>
      <c r="I1494" s="10" t="s">
        <v>10</v>
      </c>
      <c r="J1494" s="13">
        <v>45652</v>
      </c>
    </row>
    <row r="1495" customFormat="1" spans="1:11">
      <c r="A1495" t="s">
        <v>319</v>
      </c>
      <c r="B1495" s="8">
        <v>242502245</v>
      </c>
      <c r="C1495" s="9">
        <v>45649</v>
      </c>
      <c r="D1495" s="8" t="s">
        <v>254</v>
      </c>
      <c r="E1495" s="10">
        <v>250000</v>
      </c>
      <c r="F1495" s="8">
        <v>0.022</v>
      </c>
      <c r="G1495" s="11">
        <v>45710</v>
      </c>
      <c r="H1495" s="12">
        <f t="shared" si="23"/>
        <v>5500</v>
      </c>
      <c r="I1495" s="10" t="s">
        <v>10</v>
      </c>
      <c r="J1495" s="13">
        <v>45652</v>
      </c>
    </row>
    <row r="1496" customFormat="1" spans="1:11">
      <c r="A1496" t="s">
        <v>319</v>
      </c>
      <c r="B1496" s="8">
        <v>242502252</v>
      </c>
      <c r="C1496" s="9">
        <v>45649</v>
      </c>
      <c r="D1496" s="8" t="s">
        <v>254</v>
      </c>
      <c r="E1496" s="10">
        <v>200000</v>
      </c>
      <c r="F1496" s="8">
        <v>0.022</v>
      </c>
      <c r="G1496" s="11">
        <v>45738</v>
      </c>
      <c r="H1496" s="12">
        <f t="shared" si="23"/>
        <v>4400</v>
      </c>
      <c r="I1496" s="10" t="s">
        <v>10</v>
      </c>
      <c r="J1496" s="13">
        <v>45678</v>
      </c>
    </row>
    <row r="1497" customFormat="1" spans="1:11">
      <c r="A1497" t="s">
        <v>319</v>
      </c>
      <c r="B1497" s="8">
        <v>242502252</v>
      </c>
      <c r="C1497" s="9">
        <v>45649</v>
      </c>
      <c r="D1497" s="8" t="s">
        <v>254</v>
      </c>
      <c r="E1497" s="10">
        <v>200000</v>
      </c>
      <c r="F1497" s="8">
        <v>0.022</v>
      </c>
      <c r="G1497" s="11">
        <v>45738</v>
      </c>
      <c r="H1497" s="12">
        <f t="shared" si="23"/>
        <v>4400</v>
      </c>
      <c r="I1497" s="10" t="s">
        <v>10</v>
      </c>
      <c r="J1497" s="13">
        <v>45678</v>
      </c>
    </row>
    <row r="1498" customFormat="1" spans="1:11">
      <c r="A1498" t="s">
        <v>319</v>
      </c>
      <c r="B1498" s="8">
        <v>242502252</v>
      </c>
      <c r="C1498" s="9">
        <v>45649</v>
      </c>
      <c r="D1498" s="8" t="s">
        <v>254</v>
      </c>
      <c r="E1498" s="10">
        <v>200000</v>
      </c>
      <c r="F1498" s="8">
        <v>0.022</v>
      </c>
      <c r="G1498" s="11">
        <v>45738</v>
      </c>
      <c r="H1498" s="12">
        <f t="shared" si="23"/>
        <v>4400</v>
      </c>
      <c r="I1498" s="10" t="s">
        <v>10</v>
      </c>
      <c r="J1498" s="13">
        <v>45678</v>
      </c>
    </row>
    <row r="1499" customFormat="1" spans="1:11">
      <c r="A1499" t="s">
        <v>319</v>
      </c>
      <c r="B1499" s="8">
        <v>242502252</v>
      </c>
      <c r="C1499" s="9">
        <v>45649</v>
      </c>
      <c r="D1499" s="8" t="s">
        <v>254</v>
      </c>
      <c r="E1499" s="10">
        <v>200000</v>
      </c>
      <c r="F1499" s="8">
        <v>0.022</v>
      </c>
      <c r="G1499" s="11">
        <v>45738</v>
      </c>
      <c r="H1499" s="12">
        <f t="shared" si="23"/>
        <v>4400</v>
      </c>
      <c r="I1499" s="10" t="s">
        <v>10</v>
      </c>
      <c r="J1499" s="13">
        <v>45678</v>
      </c>
    </row>
    <row r="1500" customFormat="1" spans="1:11">
      <c r="A1500" t="s">
        <v>319</v>
      </c>
      <c r="B1500" s="8">
        <v>242502259</v>
      </c>
      <c r="C1500" s="9">
        <v>45649</v>
      </c>
      <c r="D1500" s="8" t="s">
        <v>442</v>
      </c>
      <c r="E1500" s="10">
        <v>38000</v>
      </c>
      <c r="F1500" s="8">
        <v>0.032</v>
      </c>
      <c r="G1500" s="11">
        <v>45690</v>
      </c>
      <c r="H1500" s="12">
        <f t="shared" si="23"/>
        <v>1216</v>
      </c>
      <c r="I1500" s="10" t="s">
        <v>10</v>
      </c>
      <c r="J1500" s="13">
        <v>45667</v>
      </c>
    </row>
    <row r="1501" customFormat="1" spans="1:11">
      <c r="A1501" t="s">
        <v>319</v>
      </c>
      <c r="B1501" s="8">
        <v>242502264</v>
      </c>
      <c r="C1501" s="9">
        <v>45650</v>
      </c>
      <c r="D1501" s="8" t="s">
        <v>242</v>
      </c>
      <c r="E1501" s="10">
        <v>20000</v>
      </c>
      <c r="F1501" s="8">
        <v>0.043</v>
      </c>
      <c r="G1501" s="11">
        <v>45679</v>
      </c>
      <c r="H1501" s="12">
        <f t="shared" si="23"/>
        <v>860</v>
      </c>
      <c r="I1501" s="10" t="s">
        <v>10</v>
      </c>
      <c r="J1501" s="13">
        <v>45652</v>
      </c>
    </row>
    <row r="1502" customFormat="1" spans="1:11">
      <c r="A1502" t="s">
        <v>319</v>
      </c>
      <c r="B1502" s="8">
        <v>242502264</v>
      </c>
      <c r="C1502" s="9">
        <v>45650</v>
      </c>
      <c r="D1502" s="8" t="s">
        <v>242</v>
      </c>
      <c r="E1502" s="10">
        <v>20000</v>
      </c>
      <c r="F1502" s="8">
        <v>0.043</v>
      </c>
      <c r="G1502" s="11">
        <v>45769</v>
      </c>
      <c r="H1502" s="12">
        <f t="shared" si="23"/>
        <v>860</v>
      </c>
      <c r="I1502" s="10" t="s">
        <v>10</v>
      </c>
      <c r="J1502" s="13">
        <v>45652</v>
      </c>
    </row>
    <row r="1503" customFormat="1" spans="1:11">
      <c r="A1503" t="s">
        <v>319</v>
      </c>
      <c r="B1503" s="8">
        <v>242502274</v>
      </c>
      <c r="C1503" s="9">
        <v>45653</v>
      </c>
      <c r="D1503" s="8" t="s">
        <v>202</v>
      </c>
      <c r="E1503" s="10">
        <v>30000</v>
      </c>
      <c r="F1503" s="8">
        <v>0.04</v>
      </c>
      <c r="G1503" s="11">
        <v>45679</v>
      </c>
      <c r="H1503" s="12">
        <f t="shared" si="23"/>
        <v>1200</v>
      </c>
      <c r="I1503" s="10" t="s">
        <v>10</v>
      </c>
      <c r="J1503" s="13">
        <v>45674</v>
      </c>
      <c r="K1503" t="s">
        <v>378</v>
      </c>
    </row>
    <row r="1504" customFormat="1" spans="1:11">
      <c r="A1504" t="s">
        <v>319</v>
      </c>
      <c r="B1504" s="8">
        <v>242502274</v>
      </c>
      <c r="C1504" s="9">
        <v>45653</v>
      </c>
      <c r="D1504" s="8" t="s">
        <v>202</v>
      </c>
      <c r="E1504" s="10">
        <v>30000</v>
      </c>
      <c r="F1504" s="8">
        <v>0.04</v>
      </c>
      <c r="G1504" s="11">
        <v>45710</v>
      </c>
      <c r="H1504" s="12">
        <f t="shared" si="23"/>
        <v>1200</v>
      </c>
      <c r="I1504" s="10" t="s">
        <v>10</v>
      </c>
      <c r="J1504" s="13">
        <v>45674</v>
      </c>
      <c r="K1504" t="s">
        <v>378</v>
      </c>
    </row>
    <row r="1505" customFormat="1" spans="1:11">
      <c r="A1505" t="s">
        <v>319</v>
      </c>
      <c r="B1505" s="8">
        <v>242502274</v>
      </c>
      <c r="C1505" s="9">
        <v>45653</v>
      </c>
      <c r="D1505" s="8" t="s">
        <v>202</v>
      </c>
      <c r="E1505" s="10">
        <v>30000</v>
      </c>
      <c r="F1505" s="8">
        <v>0.04</v>
      </c>
      <c r="G1505" s="11">
        <v>45738</v>
      </c>
      <c r="H1505" s="12">
        <f t="shared" si="23"/>
        <v>1200</v>
      </c>
      <c r="I1505" s="10" t="s">
        <v>10</v>
      </c>
      <c r="J1505" s="13">
        <v>45674</v>
      </c>
      <c r="K1505" t="s">
        <v>378</v>
      </c>
    </row>
    <row r="1506" customFormat="1" spans="1:11">
      <c r="A1506" t="s">
        <v>319</v>
      </c>
      <c r="B1506" s="8">
        <v>242502276</v>
      </c>
      <c r="C1506" s="9">
        <v>45653</v>
      </c>
      <c r="D1506" s="8" t="s">
        <v>394</v>
      </c>
      <c r="E1506" s="10">
        <v>172000</v>
      </c>
      <c r="F1506" s="8">
        <v>0.022</v>
      </c>
      <c r="G1506" s="11">
        <v>45662</v>
      </c>
      <c r="H1506" s="12">
        <f t="shared" si="23"/>
        <v>3784</v>
      </c>
      <c r="I1506" s="10" t="s">
        <v>10</v>
      </c>
      <c r="J1506" s="13">
        <v>45657</v>
      </c>
      <c r="K1506" t="s">
        <v>464</v>
      </c>
    </row>
    <row r="1507" customFormat="1" spans="1:11">
      <c r="A1507" t="s">
        <v>319</v>
      </c>
      <c r="B1507" s="8">
        <v>242502278</v>
      </c>
      <c r="C1507" s="9">
        <v>45652</v>
      </c>
      <c r="D1507" s="8" t="s">
        <v>231</v>
      </c>
      <c r="E1507" s="10">
        <v>150000</v>
      </c>
      <c r="F1507" s="8">
        <v>0.0082</v>
      </c>
      <c r="G1507" s="11">
        <v>45679</v>
      </c>
      <c r="H1507" s="12">
        <f t="shared" si="23"/>
        <v>1230</v>
      </c>
      <c r="I1507" s="10" t="s">
        <v>10</v>
      </c>
      <c r="J1507" s="13">
        <v>45653</v>
      </c>
      <c r="K1507" t="s">
        <v>327</v>
      </c>
    </row>
    <row r="1508" customFormat="1" spans="1:11">
      <c r="A1508" t="s">
        <v>319</v>
      </c>
      <c r="B1508" s="8">
        <v>242502278</v>
      </c>
      <c r="C1508" s="9">
        <v>45652</v>
      </c>
      <c r="D1508" s="8" t="s">
        <v>231</v>
      </c>
      <c r="E1508" s="10">
        <v>150000</v>
      </c>
      <c r="F1508" s="8">
        <v>0.0082</v>
      </c>
      <c r="G1508" s="11">
        <v>45710</v>
      </c>
      <c r="H1508" s="12">
        <f t="shared" si="23"/>
        <v>1230</v>
      </c>
      <c r="I1508" s="10" t="s">
        <v>10</v>
      </c>
      <c r="J1508" s="13">
        <v>45653</v>
      </c>
      <c r="K1508" t="s">
        <v>327</v>
      </c>
    </row>
    <row r="1509" customFormat="1" spans="1:11">
      <c r="A1509" t="s">
        <v>319</v>
      </c>
      <c r="B1509" s="8">
        <v>242502278</v>
      </c>
      <c r="C1509" s="9">
        <v>45652</v>
      </c>
      <c r="D1509" s="8" t="s">
        <v>231</v>
      </c>
      <c r="E1509" s="10">
        <v>150000</v>
      </c>
      <c r="F1509" s="8">
        <v>0.0082</v>
      </c>
      <c r="G1509" s="11">
        <v>45738</v>
      </c>
      <c r="H1509" s="12">
        <f t="shared" si="23"/>
        <v>1230</v>
      </c>
      <c r="I1509" s="10" t="s">
        <v>10</v>
      </c>
      <c r="J1509" s="13">
        <v>45653</v>
      </c>
      <c r="K1509" t="s">
        <v>327</v>
      </c>
    </row>
    <row r="1510" customFormat="1" spans="1:11">
      <c r="A1510" t="s">
        <v>319</v>
      </c>
      <c r="B1510" s="8">
        <v>242502279</v>
      </c>
      <c r="C1510" s="9">
        <v>45652</v>
      </c>
      <c r="D1510" s="8" t="s">
        <v>231</v>
      </c>
      <c r="E1510" s="10">
        <v>300000</v>
      </c>
      <c r="F1510" s="8">
        <v>0.0082</v>
      </c>
      <c r="G1510" s="11">
        <v>45679</v>
      </c>
      <c r="H1510" s="12">
        <f t="shared" si="23"/>
        <v>2460</v>
      </c>
      <c r="I1510" s="10" t="s">
        <v>10</v>
      </c>
      <c r="J1510" s="13">
        <v>45653</v>
      </c>
      <c r="K1510" t="s">
        <v>405</v>
      </c>
    </row>
    <row r="1511" customFormat="1" spans="1:11">
      <c r="A1511" t="s">
        <v>319</v>
      </c>
      <c r="B1511" s="8">
        <v>242502279</v>
      </c>
      <c r="C1511" s="9">
        <v>45652</v>
      </c>
      <c r="D1511" s="8" t="s">
        <v>231</v>
      </c>
      <c r="E1511" s="10">
        <v>198000</v>
      </c>
      <c r="F1511" s="8">
        <v>0.0082</v>
      </c>
      <c r="G1511" s="11">
        <v>45710</v>
      </c>
      <c r="H1511" s="12">
        <f t="shared" si="23"/>
        <v>1623.6</v>
      </c>
      <c r="I1511" s="10" t="s">
        <v>10</v>
      </c>
      <c r="J1511" s="13">
        <v>45653</v>
      </c>
      <c r="K1511" t="s">
        <v>405</v>
      </c>
    </row>
    <row r="1512" customFormat="1" spans="1:11">
      <c r="A1512" t="s">
        <v>319</v>
      </c>
      <c r="B1512" s="8">
        <v>242502279</v>
      </c>
      <c r="C1512" s="9">
        <v>45652</v>
      </c>
      <c r="D1512" s="8" t="s">
        <v>231</v>
      </c>
      <c r="E1512" s="10">
        <v>201000</v>
      </c>
      <c r="F1512" s="8">
        <v>0.0082</v>
      </c>
      <c r="G1512" s="11">
        <v>45769</v>
      </c>
      <c r="H1512" s="12">
        <f t="shared" si="23"/>
        <v>1648.2</v>
      </c>
      <c r="I1512" s="10" t="s">
        <v>10</v>
      </c>
      <c r="J1512" s="13">
        <v>45653</v>
      </c>
      <c r="K1512" t="s">
        <v>405</v>
      </c>
    </row>
    <row r="1513" customFormat="1" spans="1:11">
      <c r="A1513" t="s">
        <v>319</v>
      </c>
      <c r="B1513" s="14">
        <v>242502280</v>
      </c>
      <c r="C1513" s="13">
        <v>45652</v>
      </c>
      <c r="D1513" s="14" t="s">
        <v>230</v>
      </c>
      <c r="E1513" s="15">
        <v>20000</v>
      </c>
      <c r="F1513" s="14">
        <v>0.0285</v>
      </c>
      <c r="G1513" s="16">
        <v>45662</v>
      </c>
      <c r="H1513" s="17">
        <f t="shared" si="23"/>
        <v>570</v>
      </c>
      <c r="I1513" s="15" t="s">
        <v>317</v>
      </c>
      <c r="J1513" s="15"/>
      <c r="K1513" t="s">
        <v>430</v>
      </c>
    </row>
    <row r="1514" customFormat="1" spans="1:11">
      <c r="A1514" t="s">
        <v>319</v>
      </c>
      <c r="B1514" s="8">
        <v>242502284</v>
      </c>
      <c r="C1514" s="9">
        <v>45653</v>
      </c>
      <c r="D1514" s="8" t="s">
        <v>29</v>
      </c>
      <c r="E1514" s="10">
        <v>300000</v>
      </c>
      <c r="F1514" s="8">
        <v>0.027</v>
      </c>
      <c r="G1514" s="11">
        <v>45679</v>
      </c>
      <c r="H1514" s="12">
        <f t="shared" si="23"/>
        <v>8100</v>
      </c>
      <c r="I1514" s="10" t="s">
        <v>10</v>
      </c>
      <c r="J1514" s="13">
        <v>45677</v>
      </c>
      <c r="K1514" t="s">
        <v>327</v>
      </c>
    </row>
    <row r="1515" customFormat="1" spans="1:11">
      <c r="A1515" t="s">
        <v>319</v>
      </c>
      <c r="B1515" s="8">
        <v>242502284</v>
      </c>
      <c r="C1515" s="9">
        <v>45653</v>
      </c>
      <c r="D1515" s="8" t="s">
        <v>29</v>
      </c>
      <c r="E1515" s="10">
        <v>300000</v>
      </c>
      <c r="F1515" s="8">
        <v>0.027</v>
      </c>
      <c r="G1515" s="11">
        <v>45679</v>
      </c>
      <c r="H1515" s="12">
        <f t="shared" si="23"/>
        <v>8100</v>
      </c>
      <c r="I1515" s="10" t="s">
        <v>10</v>
      </c>
      <c r="J1515" s="13">
        <v>45677</v>
      </c>
      <c r="K1515" t="s">
        <v>327</v>
      </c>
    </row>
    <row r="1516" customFormat="1" spans="1:11">
      <c r="A1516" t="s">
        <v>319</v>
      </c>
      <c r="B1516" s="8">
        <v>242502284</v>
      </c>
      <c r="C1516" s="9">
        <v>45653</v>
      </c>
      <c r="D1516" s="8" t="s">
        <v>29</v>
      </c>
      <c r="E1516" s="10">
        <v>300000</v>
      </c>
      <c r="F1516" s="8">
        <v>0.027</v>
      </c>
      <c r="G1516" s="11">
        <v>45679</v>
      </c>
      <c r="H1516" s="12">
        <f t="shared" si="23"/>
        <v>8100</v>
      </c>
      <c r="I1516" s="10" t="s">
        <v>10</v>
      </c>
      <c r="J1516" s="13">
        <v>45677</v>
      </c>
      <c r="K1516" t="s">
        <v>327</v>
      </c>
    </row>
    <row r="1517" customFormat="1" spans="1:11">
      <c r="A1517" t="s">
        <v>319</v>
      </c>
      <c r="B1517" s="8">
        <v>242502284</v>
      </c>
      <c r="C1517" s="9">
        <v>45653</v>
      </c>
      <c r="D1517" s="8" t="s">
        <v>29</v>
      </c>
      <c r="E1517" s="10">
        <v>300000</v>
      </c>
      <c r="F1517" s="8">
        <v>0.027</v>
      </c>
      <c r="G1517" s="11">
        <v>45679</v>
      </c>
      <c r="H1517" s="12">
        <f t="shared" si="23"/>
        <v>8100</v>
      </c>
      <c r="I1517" s="10" t="s">
        <v>10</v>
      </c>
      <c r="J1517" s="13">
        <v>45677</v>
      </c>
      <c r="K1517" t="s">
        <v>327</v>
      </c>
    </row>
    <row r="1518" customFormat="1" spans="1:11">
      <c r="A1518" t="s">
        <v>319</v>
      </c>
      <c r="B1518" s="8">
        <v>242502284</v>
      </c>
      <c r="C1518" s="9">
        <v>45653</v>
      </c>
      <c r="D1518" s="8" t="s">
        <v>29</v>
      </c>
      <c r="E1518" s="10">
        <v>300000</v>
      </c>
      <c r="F1518" s="8">
        <v>0.027</v>
      </c>
      <c r="G1518" s="11">
        <v>45710</v>
      </c>
      <c r="H1518" s="12">
        <f t="shared" si="23"/>
        <v>8100</v>
      </c>
      <c r="I1518" s="10" t="s">
        <v>10</v>
      </c>
      <c r="J1518" s="13">
        <v>45677</v>
      </c>
      <c r="K1518" t="s">
        <v>327</v>
      </c>
    </row>
    <row r="1519" customFormat="1" spans="1:11">
      <c r="A1519" t="s">
        <v>319</v>
      </c>
      <c r="B1519" s="8">
        <v>242502284</v>
      </c>
      <c r="C1519" s="9">
        <v>45653</v>
      </c>
      <c r="D1519" s="8" t="s">
        <v>29</v>
      </c>
      <c r="E1519" s="10">
        <v>300000</v>
      </c>
      <c r="F1519" s="8">
        <v>0.027</v>
      </c>
      <c r="G1519" s="11">
        <v>45710</v>
      </c>
      <c r="H1519" s="12">
        <f t="shared" si="23"/>
        <v>8100</v>
      </c>
      <c r="I1519" s="10" t="s">
        <v>10</v>
      </c>
      <c r="J1519" s="13">
        <v>45677</v>
      </c>
      <c r="K1519" t="s">
        <v>327</v>
      </c>
    </row>
    <row r="1520" customFormat="1" spans="1:11">
      <c r="A1520" t="s">
        <v>319</v>
      </c>
      <c r="B1520" s="8">
        <v>242502284</v>
      </c>
      <c r="C1520" s="9">
        <v>45653</v>
      </c>
      <c r="D1520" s="8" t="s">
        <v>29</v>
      </c>
      <c r="E1520" s="10">
        <v>300000</v>
      </c>
      <c r="F1520" s="8">
        <v>0.027</v>
      </c>
      <c r="G1520" s="11">
        <v>45710</v>
      </c>
      <c r="H1520" s="12">
        <f t="shared" si="23"/>
        <v>8100</v>
      </c>
      <c r="I1520" s="10" t="s">
        <v>10</v>
      </c>
      <c r="J1520" s="13">
        <v>45677</v>
      </c>
      <c r="K1520" t="s">
        <v>327</v>
      </c>
    </row>
    <row r="1521" customFormat="1" spans="1:11">
      <c r="A1521" t="s">
        <v>319</v>
      </c>
      <c r="B1521" s="8">
        <v>242502285</v>
      </c>
      <c r="C1521" s="9">
        <v>45653</v>
      </c>
      <c r="D1521" s="8" t="s">
        <v>29</v>
      </c>
      <c r="E1521" s="10">
        <v>300000</v>
      </c>
      <c r="F1521" s="8">
        <v>0.027</v>
      </c>
      <c r="G1521" s="11">
        <v>45710</v>
      </c>
      <c r="H1521" s="12">
        <f t="shared" si="23"/>
        <v>8100</v>
      </c>
      <c r="I1521" s="10" t="s">
        <v>10</v>
      </c>
      <c r="J1521" s="13">
        <v>45708</v>
      </c>
      <c r="K1521" t="s">
        <v>327</v>
      </c>
    </row>
    <row r="1522" customFormat="1" spans="1:11">
      <c r="A1522" t="s">
        <v>319</v>
      </c>
      <c r="B1522" s="8">
        <v>242502285</v>
      </c>
      <c r="C1522" s="9">
        <v>45653</v>
      </c>
      <c r="D1522" s="8" t="s">
        <v>29</v>
      </c>
      <c r="E1522" s="10">
        <v>500000</v>
      </c>
      <c r="F1522" s="8">
        <v>0.027</v>
      </c>
      <c r="G1522" s="11">
        <v>45738</v>
      </c>
      <c r="H1522" s="12">
        <f t="shared" si="23"/>
        <v>13500</v>
      </c>
      <c r="I1522" s="10" t="s">
        <v>10</v>
      </c>
      <c r="J1522" s="13">
        <v>45708</v>
      </c>
      <c r="K1522" t="s">
        <v>327</v>
      </c>
    </row>
    <row r="1523" customFormat="1" spans="1:11">
      <c r="A1523" t="s">
        <v>319</v>
      </c>
      <c r="B1523" s="8">
        <v>242502285</v>
      </c>
      <c r="C1523" s="9">
        <v>45653</v>
      </c>
      <c r="D1523" s="8" t="s">
        <v>29</v>
      </c>
      <c r="E1523" s="10">
        <v>500000</v>
      </c>
      <c r="F1523" s="8">
        <v>0.027</v>
      </c>
      <c r="G1523" s="11">
        <v>45738</v>
      </c>
      <c r="H1523" s="12">
        <f t="shared" si="23"/>
        <v>13500</v>
      </c>
      <c r="I1523" s="10" t="s">
        <v>10</v>
      </c>
      <c r="J1523" s="13">
        <v>45708</v>
      </c>
      <c r="K1523" t="s">
        <v>327</v>
      </c>
    </row>
    <row r="1524" customFormat="1" spans="1:11">
      <c r="A1524" t="s">
        <v>319</v>
      </c>
      <c r="B1524" s="8">
        <v>242502285</v>
      </c>
      <c r="C1524" s="9">
        <v>45653</v>
      </c>
      <c r="D1524" s="8" t="s">
        <v>29</v>
      </c>
      <c r="E1524" s="10">
        <v>500000</v>
      </c>
      <c r="F1524" s="8">
        <v>0.027</v>
      </c>
      <c r="G1524" s="11">
        <v>45738</v>
      </c>
      <c r="H1524" s="12">
        <f t="shared" si="23"/>
        <v>13500</v>
      </c>
      <c r="I1524" s="10" t="s">
        <v>10</v>
      </c>
      <c r="J1524" s="13">
        <v>45708</v>
      </c>
      <c r="K1524" t="s">
        <v>327</v>
      </c>
    </row>
    <row r="1525" customFormat="1" spans="1:11">
      <c r="A1525" t="s">
        <v>319</v>
      </c>
      <c r="B1525" s="8">
        <v>242502285</v>
      </c>
      <c r="C1525" s="9">
        <v>45653</v>
      </c>
      <c r="D1525" s="8" t="s">
        <v>29</v>
      </c>
      <c r="E1525" s="10">
        <v>500000</v>
      </c>
      <c r="F1525" s="8">
        <v>0.027</v>
      </c>
      <c r="G1525" s="11">
        <v>45738</v>
      </c>
      <c r="H1525" s="12">
        <f t="shared" si="23"/>
        <v>13500</v>
      </c>
      <c r="I1525" s="10" t="s">
        <v>10</v>
      </c>
      <c r="J1525" s="13">
        <v>45708</v>
      </c>
      <c r="K1525" t="s">
        <v>327</v>
      </c>
    </row>
    <row r="1526" customFormat="1" spans="1:11">
      <c r="A1526" t="s">
        <v>319</v>
      </c>
      <c r="B1526" s="8">
        <v>242502286</v>
      </c>
      <c r="C1526" s="9">
        <v>45653</v>
      </c>
      <c r="D1526" s="8" t="s">
        <v>34</v>
      </c>
      <c r="E1526" s="10">
        <v>60000</v>
      </c>
      <c r="F1526" s="8">
        <v>0.051</v>
      </c>
      <c r="G1526" s="11">
        <v>45662</v>
      </c>
      <c r="H1526" s="12">
        <f t="shared" si="23"/>
        <v>3060</v>
      </c>
      <c r="I1526" s="10" t="s">
        <v>10</v>
      </c>
      <c r="J1526" s="13">
        <v>45657</v>
      </c>
    </row>
    <row r="1527" customFormat="1" spans="1:11">
      <c r="A1527" t="s">
        <v>319</v>
      </c>
      <c r="B1527" s="8">
        <v>242502286</v>
      </c>
      <c r="C1527" s="9">
        <v>45653</v>
      </c>
      <c r="D1527" s="8" t="s">
        <v>34</v>
      </c>
      <c r="E1527" s="10">
        <v>60000</v>
      </c>
      <c r="F1527" s="8">
        <v>0.051</v>
      </c>
      <c r="G1527" s="11">
        <v>45693</v>
      </c>
      <c r="H1527" s="12">
        <f t="shared" si="23"/>
        <v>3060</v>
      </c>
      <c r="I1527" s="10" t="s">
        <v>10</v>
      </c>
      <c r="J1527" s="13">
        <v>45657</v>
      </c>
    </row>
    <row r="1528" customFormat="1" spans="1:11">
      <c r="A1528" t="s">
        <v>319</v>
      </c>
      <c r="B1528" s="8">
        <v>242502286</v>
      </c>
      <c r="C1528" s="9">
        <v>45653</v>
      </c>
      <c r="D1528" s="8" t="s">
        <v>34</v>
      </c>
      <c r="E1528" s="10">
        <v>60000</v>
      </c>
      <c r="F1528" s="8">
        <v>0.051</v>
      </c>
      <c r="G1528" s="11">
        <v>45721</v>
      </c>
      <c r="H1528" s="12">
        <f t="shared" si="23"/>
        <v>3060</v>
      </c>
      <c r="I1528" s="10" t="s">
        <v>10</v>
      </c>
      <c r="J1528" s="13">
        <v>45657</v>
      </c>
    </row>
    <row r="1529" customFormat="1" spans="1:11">
      <c r="A1529" t="s">
        <v>319</v>
      </c>
      <c r="B1529" s="8">
        <v>242502305</v>
      </c>
      <c r="C1529" s="9">
        <v>45653</v>
      </c>
      <c r="D1529" s="8" t="s">
        <v>29</v>
      </c>
      <c r="E1529" s="10">
        <v>500000</v>
      </c>
      <c r="F1529" s="8">
        <v>0.027</v>
      </c>
      <c r="G1529" s="11">
        <v>45769</v>
      </c>
      <c r="H1529" s="12">
        <f t="shared" si="23"/>
        <v>13500</v>
      </c>
      <c r="I1529" s="10" t="s">
        <v>10</v>
      </c>
      <c r="J1529" s="13">
        <v>45657</v>
      </c>
      <c r="K1529" t="s">
        <v>327</v>
      </c>
    </row>
    <row r="1530" customFormat="1" spans="1:11">
      <c r="A1530" t="s">
        <v>319</v>
      </c>
      <c r="B1530" s="8">
        <v>242502305</v>
      </c>
      <c r="C1530" s="9">
        <v>45653</v>
      </c>
      <c r="D1530" s="8" t="s">
        <v>29</v>
      </c>
      <c r="E1530" s="10">
        <v>500000</v>
      </c>
      <c r="F1530" s="8">
        <v>0.027</v>
      </c>
      <c r="G1530" s="11">
        <v>45769</v>
      </c>
      <c r="H1530" s="12">
        <f t="shared" si="23"/>
        <v>13500</v>
      </c>
      <c r="I1530" s="10" t="s">
        <v>10</v>
      </c>
      <c r="J1530" s="13">
        <v>45657</v>
      </c>
      <c r="K1530" t="s">
        <v>327</v>
      </c>
    </row>
    <row r="1531" customFormat="1" spans="1:11">
      <c r="A1531" t="s">
        <v>319</v>
      </c>
      <c r="B1531" s="8">
        <v>242502305</v>
      </c>
      <c r="C1531" s="9">
        <v>45653</v>
      </c>
      <c r="D1531" s="8" t="s">
        <v>33</v>
      </c>
      <c r="E1531" s="10">
        <v>200000</v>
      </c>
      <c r="F1531" s="8">
        <v>0.02</v>
      </c>
      <c r="G1531" s="11">
        <v>45679</v>
      </c>
      <c r="H1531" s="12">
        <f t="shared" si="23"/>
        <v>4000</v>
      </c>
      <c r="I1531" s="10" t="s">
        <v>10</v>
      </c>
      <c r="J1531" s="13">
        <v>45657</v>
      </c>
      <c r="K1531" t="s">
        <v>327</v>
      </c>
    </row>
    <row r="1532" customFormat="1" spans="1:11">
      <c r="A1532" t="s">
        <v>319</v>
      </c>
      <c r="B1532" s="8">
        <v>242502305</v>
      </c>
      <c r="C1532" s="9">
        <v>45653</v>
      </c>
      <c r="D1532" s="8" t="s">
        <v>33</v>
      </c>
      <c r="E1532" s="10">
        <v>500000</v>
      </c>
      <c r="F1532" s="8">
        <v>0.02</v>
      </c>
      <c r="G1532" s="11">
        <v>45710</v>
      </c>
      <c r="H1532" s="12">
        <f t="shared" si="23"/>
        <v>10000</v>
      </c>
      <c r="I1532" s="10" t="s">
        <v>10</v>
      </c>
      <c r="J1532" s="13">
        <v>45657</v>
      </c>
      <c r="K1532" t="s">
        <v>327</v>
      </c>
    </row>
    <row r="1533" customFormat="1" spans="1:11">
      <c r="A1533" t="s">
        <v>319</v>
      </c>
      <c r="B1533" s="8">
        <v>242502305</v>
      </c>
      <c r="C1533" s="9">
        <v>45653</v>
      </c>
      <c r="D1533" s="8" t="s">
        <v>33</v>
      </c>
      <c r="E1533" s="10">
        <v>600000</v>
      </c>
      <c r="F1533" s="8">
        <v>0.02</v>
      </c>
      <c r="G1533" s="11">
        <v>45738</v>
      </c>
      <c r="H1533" s="12">
        <f t="shared" si="23"/>
        <v>12000</v>
      </c>
      <c r="I1533" s="10" t="s">
        <v>10</v>
      </c>
      <c r="J1533" s="13">
        <v>45657</v>
      </c>
      <c r="K1533" t="s">
        <v>327</v>
      </c>
    </row>
    <row r="1534" customFormat="1" spans="1:11">
      <c r="A1534" t="s">
        <v>319</v>
      </c>
      <c r="B1534" s="8">
        <v>242502305</v>
      </c>
      <c r="C1534" s="9">
        <v>45653</v>
      </c>
      <c r="D1534" s="8" t="s">
        <v>33</v>
      </c>
      <c r="E1534" s="10">
        <v>500000</v>
      </c>
      <c r="F1534" s="8">
        <v>0.02</v>
      </c>
      <c r="G1534" s="11">
        <v>45769</v>
      </c>
      <c r="H1534" s="12">
        <f t="shared" si="23"/>
        <v>10000</v>
      </c>
      <c r="I1534" s="10" t="s">
        <v>10</v>
      </c>
      <c r="J1534" s="13">
        <v>45657</v>
      </c>
      <c r="K1534" t="s">
        <v>327</v>
      </c>
    </row>
    <row r="1535" customFormat="1" spans="1:11">
      <c r="A1535" t="s">
        <v>319</v>
      </c>
      <c r="B1535" s="8">
        <v>242502306</v>
      </c>
      <c r="C1535" s="9">
        <v>45653</v>
      </c>
      <c r="D1535" s="8" t="s">
        <v>204</v>
      </c>
      <c r="E1535" s="10">
        <v>300000</v>
      </c>
      <c r="F1535" s="8">
        <v>0.036</v>
      </c>
      <c r="G1535" s="11">
        <v>45710</v>
      </c>
      <c r="H1535" s="12">
        <f t="shared" si="23"/>
        <v>10800</v>
      </c>
      <c r="I1535" s="10" t="s">
        <v>10</v>
      </c>
      <c r="J1535" s="13">
        <v>45667</v>
      </c>
    </row>
    <row r="1536" customFormat="1" spans="1:11">
      <c r="A1536" t="s">
        <v>319</v>
      </c>
      <c r="B1536" s="8">
        <v>242502306</v>
      </c>
      <c r="C1536" s="9">
        <v>45653</v>
      </c>
      <c r="D1536" s="8" t="s">
        <v>204</v>
      </c>
      <c r="E1536" s="10">
        <v>500000</v>
      </c>
      <c r="F1536" s="8">
        <v>0.036</v>
      </c>
      <c r="G1536" s="11">
        <v>45738</v>
      </c>
      <c r="H1536" s="12">
        <f t="shared" si="23"/>
        <v>18000</v>
      </c>
      <c r="I1536" s="10" t="s">
        <v>10</v>
      </c>
      <c r="J1536" s="13">
        <v>45667</v>
      </c>
    </row>
    <row r="1537" customFormat="1" spans="1:10">
      <c r="A1537" t="s">
        <v>319</v>
      </c>
      <c r="B1537" s="8">
        <v>242502306</v>
      </c>
      <c r="C1537" s="9">
        <v>45653</v>
      </c>
      <c r="D1537" s="8" t="s">
        <v>204</v>
      </c>
      <c r="E1537" s="10">
        <v>400000</v>
      </c>
      <c r="F1537" s="8">
        <v>0.036</v>
      </c>
      <c r="G1537" s="11">
        <v>45769</v>
      </c>
      <c r="H1537" s="12">
        <f t="shared" si="23"/>
        <v>14400</v>
      </c>
      <c r="I1537" s="10" t="s">
        <v>10</v>
      </c>
      <c r="J1537" s="13">
        <v>45667</v>
      </c>
    </row>
    <row r="1538" customFormat="1" spans="1:10">
      <c r="A1538" t="s">
        <v>319</v>
      </c>
      <c r="B1538" s="8">
        <v>242502307</v>
      </c>
      <c r="C1538" s="9">
        <v>45653</v>
      </c>
      <c r="D1538" s="8" t="s">
        <v>32</v>
      </c>
      <c r="E1538" s="10">
        <v>700000</v>
      </c>
      <c r="F1538" s="8">
        <v>0.02</v>
      </c>
      <c r="G1538" s="11">
        <v>45710</v>
      </c>
      <c r="H1538" s="12">
        <f t="shared" ref="H1538:H1563" si="24">E1538*F1538</f>
        <v>14000</v>
      </c>
      <c r="I1538" s="10" t="s">
        <v>10</v>
      </c>
      <c r="J1538" s="13">
        <v>45660</v>
      </c>
    </row>
    <row r="1539" customFormat="1" spans="1:10">
      <c r="A1539" t="s">
        <v>319</v>
      </c>
      <c r="B1539" s="8">
        <v>242502307</v>
      </c>
      <c r="C1539" s="9">
        <v>45653</v>
      </c>
      <c r="D1539" s="8" t="s">
        <v>32</v>
      </c>
      <c r="E1539" s="10">
        <v>600000</v>
      </c>
      <c r="F1539" s="8">
        <v>0.02</v>
      </c>
      <c r="G1539" s="11">
        <v>45738</v>
      </c>
      <c r="H1539" s="12">
        <f t="shared" si="24"/>
        <v>12000</v>
      </c>
      <c r="I1539" s="10" t="s">
        <v>10</v>
      </c>
      <c r="J1539" s="13">
        <v>45660</v>
      </c>
    </row>
    <row r="1540" customFormat="1" spans="1:10">
      <c r="A1540" t="s">
        <v>319</v>
      </c>
      <c r="B1540" s="8">
        <v>242502307</v>
      </c>
      <c r="C1540" s="9">
        <v>45653</v>
      </c>
      <c r="D1540" s="8" t="s">
        <v>32</v>
      </c>
      <c r="E1540" s="10">
        <v>600000</v>
      </c>
      <c r="F1540" s="8">
        <v>0.02</v>
      </c>
      <c r="G1540" s="11">
        <v>45769</v>
      </c>
      <c r="H1540" s="12">
        <f t="shared" si="24"/>
        <v>12000</v>
      </c>
      <c r="I1540" s="10" t="s">
        <v>10</v>
      </c>
      <c r="J1540" s="13">
        <v>45660</v>
      </c>
    </row>
    <row r="1541" customFormat="1" spans="1:10">
      <c r="A1541" t="s">
        <v>319</v>
      </c>
      <c r="B1541" s="8">
        <v>242502307</v>
      </c>
      <c r="C1541" s="9">
        <v>45653</v>
      </c>
      <c r="D1541" s="8" t="s">
        <v>58</v>
      </c>
      <c r="E1541" s="10">
        <v>400000</v>
      </c>
      <c r="F1541" s="8">
        <v>0.019</v>
      </c>
      <c r="G1541" s="11">
        <v>45769</v>
      </c>
      <c r="H1541" s="12">
        <f t="shared" si="24"/>
        <v>7600</v>
      </c>
      <c r="I1541" s="10" t="s">
        <v>10</v>
      </c>
      <c r="J1541" s="13">
        <v>45660</v>
      </c>
    </row>
    <row r="1542" customFormat="1" spans="1:10">
      <c r="A1542" t="s">
        <v>319</v>
      </c>
      <c r="B1542" s="8">
        <v>242502307</v>
      </c>
      <c r="C1542" s="9">
        <v>45653</v>
      </c>
      <c r="D1542" s="8" t="s">
        <v>204</v>
      </c>
      <c r="E1542" s="10">
        <v>300000</v>
      </c>
      <c r="F1542" s="8">
        <v>0.036</v>
      </c>
      <c r="G1542" s="11">
        <v>45679</v>
      </c>
      <c r="H1542" s="12">
        <f t="shared" si="24"/>
        <v>10800</v>
      </c>
      <c r="I1542" s="10" t="s">
        <v>10</v>
      </c>
      <c r="J1542" s="13">
        <v>45660</v>
      </c>
    </row>
    <row r="1543" customFormat="1" spans="1:10">
      <c r="A1543" t="s">
        <v>319</v>
      </c>
      <c r="B1543" s="8">
        <v>242502310</v>
      </c>
      <c r="C1543" s="9">
        <v>45656</v>
      </c>
      <c r="D1543" s="8" t="s">
        <v>33</v>
      </c>
      <c r="E1543" s="10">
        <v>134000</v>
      </c>
      <c r="F1543" s="8">
        <v>0.02</v>
      </c>
      <c r="G1543" s="11">
        <v>45710</v>
      </c>
      <c r="H1543" s="12">
        <f t="shared" si="24"/>
        <v>2680</v>
      </c>
      <c r="I1543" s="10" t="s">
        <v>10</v>
      </c>
      <c r="J1543" s="13">
        <v>45679</v>
      </c>
    </row>
    <row r="1544" customFormat="1" spans="1:10">
      <c r="A1544" t="s">
        <v>319</v>
      </c>
      <c r="B1544" s="8">
        <v>242502311</v>
      </c>
      <c r="C1544" s="9">
        <v>45656</v>
      </c>
      <c r="D1544" s="8" t="s">
        <v>26</v>
      </c>
      <c r="E1544" s="10">
        <v>50000</v>
      </c>
      <c r="F1544" s="8">
        <v>0.014</v>
      </c>
      <c r="G1544" s="11">
        <v>45738</v>
      </c>
      <c r="H1544" s="12">
        <f t="shared" si="24"/>
        <v>700</v>
      </c>
      <c r="I1544" s="10" t="s">
        <v>10</v>
      </c>
      <c r="J1544" s="13">
        <v>45677</v>
      </c>
    </row>
    <row r="1545" customFormat="1" spans="1:10">
      <c r="B1545" s="14"/>
      <c r="C1545" s="13"/>
      <c r="D1545" s="14"/>
      <c r="E1545" s="15"/>
      <c r="F1545" s="14"/>
      <c r="G1545" s="16"/>
      <c r="H1545" s="17">
        <f t="shared" si="24"/>
        <v>0</v>
      </c>
      <c r="I1545" s="15"/>
      <c r="J1545" s="15"/>
    </row>
    <row r="1546" customFormat="1" spans="1:10">
      <c r="B1546" s="14"/>
      <c r="C1546" s="13"/>
      <c r="D1546" s="14"/>
      <c r="E1546" s="15"/>
      <c r="F1546" s="14"/>
      <c r="G1546" s="16"/>
      <c r="H1546" s="17">
        <f t="shared" si="24"/>
        <v>0</v>
      </c>
      <c r="I1546" s="15"/>
      <c r="J1546" s="15"/>
    </row>
    <row r="1547" customFormat="1" spans="1:10">
      <c r="B1547" s="14"/>
      <c r="C1547" s="13"/>
      <c r="D1547" s="14"/>
      <c r="E1547" s="15"/>
      <c r="F1547" s="14"/>
      <c r="G1547" s="16"/>
      <c r="H1547" s="17">
        <f t="shared" si="24"/>
        <v>0</v>
      </c>
      <c r="I1547" s="15"/>
      <c r="J1547" s="15"/>
    </row>
    <row r="1548" customFormat="1" spans="1:10">
      <c r="B1548" s="14"/>
      <c r="C1548" s="13"/>
      <c r="D1548" s="14"/>
      <c r="E1548" s="15"/>
      <c r="F1548" s="14"/>
      <c r="G1548" s="16"/>
      <c r="H1548" s="17">
        <f t="shared" si="24"/>
        <v>0</v>
      </c>
      <c r="I1548" s="15"/>
      <c r="J1548" s="15"/>
    </row>
    <row r="1549" customFormat="1" spans="1:10">
      <c r="B1549" s="14"/>
      <c r="C1549" s="13"/>
      <c r="D1549" s="14"/>
      <c r="E1549" s="15"/>
      <c r="F1549" s="14"/>
      <c r="G1549" s="16"/>
      <c r="H1549" s="17">
        <f t="shared" si="24"/>
        <v>0</v>
      </c>
      <c r="I1549" s="15"/>
      <c r="J1549" s="15"/>
    </row>
    <row r="1550" customFormat="1" spans="1:10">
      <c r="B1550" s="14"/>
      <c r="C1550" s="13"/>
      <c r="D1550" s="14"/>
      <c r="E1550" s="15"/>
      <c r="F1550" s="14"/>
      <c r="G1550" s="16"/>
      <c r="H1550" s="17">
        <f t="shared" si="24"/>
        <v>0</v>
      </c>
      <c r="I1550" s="15"/>
      <c r="J1550" s="15"/>
    </row>
    <row r="1551" customFormat="1" spans="1:10">
      <c r="B1551" s="14"/>
      <c r="C1551" s="13"/>
      <c r="D1551" s="14"/>
      <c r="E1551" s="15"/>
      <c r="F1551" s="14"/>
      <c r="G1551" s="16"/>
      <c r="H1551" s="17">
        <f t="shared" si="24"/>
        <v>0</v>
      </c>
      <c r="I1551" s="15"/>
      <c r="J1551" s="15"/>
    </row>
    <row r="1552" customFormat="1" spans="1:10">
      <c r="B1552" s="14"/>
      <c r="C1552" s="13"/>
      <c r="D1552" s="14"/>
      <c r="E1552" s="15"/>
      <c r="F1552" s="14"/>
      <c r="G1552" s="16"/>
      <c r="H1552" s="17">
        <f t="shared" si="24"/>
        <v>0</v>
      </c>
      <c r="I1552" s="15"/>
      <c r="J1552" s="15"/>
    </row>
    <row r="1553" customFormat="1" spans="2:10">
      <c r="B1553" s="14"/>
      <c r="C1553" s="13"/>
      <c r="D1553" s="14"/>
      <c r="E1553" s="15"/>
      <c r="F1553" s="14"/>
      <c r="G1553" s="16"/>
      <c r="H1553" s="17">
        <f t="shared" si="24"/>
        <v>0</v>
      </c>
      <c r="I1553" s="15"/>
      <c r="J1553" s="15"/>
    </row>
    <row r="1554" customFormat="1" spans="2:10">
      <c r="B1554" s="14"/>
      <c r="C1554" s="13"/>
      <c r="D1554" s="14"/>
      <c r="E1554" s="15"/>
      <c r="F1554" s="14"/>
      <c r="G1554" s="16"/>
      <c r="H1554" s="17">
        <f t="shared" si="24"/>
        <v>0</v>
      </c>
      <c r="I1554" s="15"/>
      <c r="J1554" s="15"/>
    </row>
    <row r="1555" customFormat="1" spans="2:10">
      <c r="B1555" s="14"/>
      <c r="C1555" s="13"/>
      <c r="D1555" s="14"/>
      <c r="E1555" s="15"/>
      <c r="F1555" s="14"/>
      <c r="G1555" s="16"/>
      <c r="H1555" s="17">
        <f t="shared" si="24"/>
        <v>0</v>
      </c>
      <c r="I1555" s="15"/>
      <c r="J1555" s="15"/>
    </row>
    <row r="1556" customFormat="1" spans="2:10">
      <c r="B1556" s="14"/>
      <c r="C1556" s="13"/>
      <c r="D1556" s="14"/>
      <c r="E1556" s="15"/>
      <c r="F1556" s="14"/>
      <c r="G1556" s="16"/>
      <c r="H1556" s="17">
        <f t="shared" si="24"/>
        <v>0</v>
      </c>
      <c r="I1556" s="15"/>
      <c r="J1556" s="15"/>
    </row>
    <row r="1557" customFormat="1" spans="2:10">
      <c r="B1557" s="14"/>
      <c r="C1557" s="13"/>
      <c r="D1557" s="14"/>
      <c r="E1557" s="15"/>
      <c r="F1557" s="14"/>
      <c r="G1557" s="16"/>
      <c r="H1557" s="17">
        <f t="shared" si="24"/>
        <v>0</v>
      </c>
      <c r="I1557" s="15"/>
      <c r="J1557" s="15"/>
    </row>
    <row r="1558" customFormat="1" spans="2:10">
      <c r="B1558" s="14"/>
      <c r="C1558" s="13"/>
      <c r="D1558" s="14"/>
      <c r="E1558" s="15"/>
      <c r="F1558" s="14"/>
      <c r="G1558" s="16"/>
      <c r="H1558" s="17">
        <f t="shared" si="24"/>
        <v>0</v>
      </c>
      <c r="I1558" s="15"/>
      <c r="J1558" s="15"/>
    </row>
    <row r="1559" customFormat="1" spans="2:10">
      <c r="B1559" s="14"/>
      <c r="C1559" s="13"/>
      <c r="D1559" s="14"/>
      <c r="E1559" s="15"/>
      <c r="F1559" s="14"/>
      <c r="G1559" s="16"/>
      <c r="H1559" s="17">
        <f t="shared" si="24"/>
        <v>0</v>
      </c>
      <c r="I1559" s="15"/>
      <c r="J1559" s="15"/>
    </row>
    <row r="1560" customFormat="1" spans="2:10">
      <c r="B1560" s="14"/>
      <c r="C1560" s="13"/>
      <c r="D1560" s="14"/>
      <c r="E1560" s="15"/>
      <c r="F1560" s="14"/>
      <c r="G1560" s="16"/>
      <c r="H1560" s="17">
        <f t="shared" si="24"/>
        <v>0</v>
      </c>
      <c r="I1560" s="15"/>
      <c r="J1560" s="15"/>
    </row>
    <row r="1561" customFormat="1" spans="2:10">
      <c r="B1561" s="14"/>
      <c r="C1561" s="13"/>
      <c r="D1561" s="14"/>
      <c r="E1561" s="15"/>
      <c r="F1561" s="14"/>
      <c r="G1561" s="16"/>
      <c r="H1561" s="17">
        <f t="shared" si="24"/>
        <v>0</v>
      </c>
      <c r="I1561" s="15"/>
      <c r="J1561" s="15"/>
    </row>
    <row r="1562" customFormat="1" spans="2:10">
      <c r="B1562" s="14"/>
      <c r="C1562" s="13"/>
      <c r="D1562" s="14"/>
      <c r="E1562" s="15"/>
      <c r="F1562" s="14"/>
      <c r="G1562" s="16"/>
      <c r="H1562" s="17">
        <f t="shared" si="24"/>
        <v>0</v>
      </c>
      <c r="I1562" s="15"/>
      <c r="J1562" s="15"/>
    </row>
    <row r="1563" customFormat="1" spans="2:10">
      <c r="B1563" s="14"/>
      <c r="C1563" s="13"/>
      <c r="D1563" s="14"/>
      <c r="E1563" s="15"/>
      <c r="F1563" s="14"/>
      <c r="G1563" s="16"/>
      <c r="H1563" s="17">
        <f t="shared" si="24"/>
        <v>0</v>
      </c>
      <c r="I1563" s="15"/>
      <c r="J1563" s="15"/>
    </row>
  </sheetData>
  <autoFilter xmlns:etc="http://www.wps.cn/officeDocument/2017/etCustomData" ref="A1:XFD1563" etc:filterBottomFollowUsedRange="0">
    <extLst/>
  </autoFilter>
  <hyperlinks>
    <hyperlink ref="O1457" r:id="rId1" display="pratik@rlelectrosolutions.com"/>
    <hyperlink ref="O1458" r:id="rId2" display="Abhi@2822"/>
    <hyperlink ref="O1459" r:id="rId3" display="siddhesh@rlelectrosolutions.com&#10;"/>
    <hyperlink ref="O1460" r:id="rId2" display="Abhi@2822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6"/>
  <dimension ref="A1:XFD3835"/>
  <sheetViews>
    <sheetView workbookViewId="0">
      <selection activeCell="F2663" sqref="F2663:F2664"/>
    </sheetView>
  </sheetViews>
  <sheetFormatPr defaultColWidth="8.90909090909091" defaultRowHeight="14.5"/>
  <cols>
    <col min="2" max="2" width="15" customWidth="1"/>
    <col min="3" max="3" width="12.9090909090909" customWidth="1"/>
    <col min="4" max="4" width="49.4545454545455" customWidth="1"/>
    <col min="5" max="5" width="12.9090909090909"/>
    <col min="6" max="6" width="11.0909090909091"/>
    <col min="7" max="7" width="16.6363636363636" customWidth="1"/>
    <col min="8" max="8" width="13" customWidth="1"/>
    <col min="9" max="9" width="15.3636363636364" customWidth="1"/>
    <col min="10" max="10" width="30.9090909090909" customWidth="1"/>
    <col min="11" max="11" width="14.8181818181818" customWidth="1"/>
    <col min="12" max="12" width="12.9090909090909"/>
    <col min="13" max="13" width="9.63636363636364"/>
    <col min="19" max="19" width="14.6363636363636" customWidth="1"/>
    <col min="16384" max="16384" width="9.63636363636364"/>
  </cols>
  <sheetData>
    <row r="1" s="1" customFormat="1" ht="43.5" spans="1:19 16384:16384">
      <c r="A1" s="4">
        <v>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221</v>
      </c>
      <c r="M1" s="1">
        <v>741479.8</v>
      </c>
      <c r="S1" s="1">
        <v>217878</v>
      </c>
      <c r="XFD1" s="1">
        <f>SUBTOTAL(9,A1:XFC1)</f>
        <v>959363.8</v>
      </c>
    </row>
    <row r="2" hidden="1" spans="1:19 16384:16384">
      <c r="A2" t="s">
        <v>319</v>
      </c>
      <c r="B2" s="8">
        <v>242502359</v>
      </c>
      <c r="C2" s="9">
        <v>45660</v>
      </c>
      <c r="D2" s="8" t="s">
        <v>465</v>
      </c>
      <c r="E2" s="10">
        <v>24000</v>
      </c>
      <c r="F2" s="8">
        <v>0.018</v>
      </c>
      <c r="G2" s="11">
        <v>45679</v>
      </c>
      <c r="H2" s="12">
        <f t="shared" ref="H2:H65" si="0">E2*F2</f>
        <v>432</v>
      </c>
      <c r="I2" s="10" t="s">
        <v>10</v>
      </c>
      <c r="J2" s="13">
        <v>45667</v>
      </c>
    </row>
    <row r="3" hidden="1" spans="1:19 16384:16384">
      <c r="A3" t="s">
        <v>319</v>
      </c>
      <c r="B3" s="8">
        <v>242502359</v>
      </c>
      <c r="C3" s="9">
        <v>45660</v>
      </c>
      <c r="D3" s="8" t="s">
        <v>465</v>
      </c>
      <c r="E3" s="10">
        <v>36000</v>
      </c>
      <c r="F3" s="8">
        <v>0.018</v>
      </c>
      <c r="G3" s="11">
        <v>45769</v>
      </c>
      <c r="H3" s="12">
        <f t="shared" si="0"/>
        <v>648</v>
      </c>
      <c r="I3" s="10" t="s">
        <v>10</v>
      </c>
      <c r="J3" s="13">
        <v>45667</v>
      </c>
    </row>
    <row r="4" hidden="1" spans="1:19 16384:16384">
      <c r="A4" t="s">
        <v>319</v>
      </c>
      <c r="B4" s="8">
        <v>242502363</v>
      </c>
      <c r="C4" s="9">
        <v>45660</v>
      </c>
      <c r="D4" s="8" t="s">
        <v>466</v>
      </c>
      <c r="E4" s="10">
        <v>3192</v>
      </c>
      <c r="F4" s="8">
        <v>0.12</v>
      </c>
      <c r="G4" s="11">
        <v>45663</v>
      </c>
      <c r="H4" s="12">
        <f t="shared" si="0"/>
        <v>383.04</v>
      </c>
      <c r="I4" s="10" t="s">
        <v>10</v>
      </c>
      <c r="J4" s="13">
        <v>45667</v>
      </c>
    </row>
    <row r="5" hidden="1" spans="1:19 16384:16384">
      <c r="A5" t="s">
        <v>319</v>
      </c>
      <c r="B5" s="8">
        <v>242502370</v>
      </c>
      <c r="C5" s="9">
        <v>45663</v>
      </c>
      <c r="D5" s="8" t="s">
        <v>181</v>
      </c>
      <c r="E5" s="10">
        <v>100000</v>
      </c>
      <c r="F5" s="8">
        <v>0.027</v>
      </c>
      <c r="G5" s="11">
        <v>45693</v>
      </c>
      <c r="H5" s="12">
        <f t="shared" si="0"/>
        <v>2700</v>
      </c>
      <c r="I5" s="10" t="s">
        <v>10</v>
      </c>
      <c r="J5" s="13">
        <v>45667</v>
      </c>
      <c r="K5" t="s">
        <v>435</v>
      </c>
    </row>
    <row r="6" hidden="1" spans="1:19 16384:16384">
      <c r="A6" t="s">
        <v>319</v>
      </c>
      <c r="B6" s="8">
        <v>242502370</v>
      </c>
      <c r="C6" s="9">
        <v>45663</v>
      </c>
      <c r="D6" s="8" t="s">
        <v>181</v>
      </c>
      <c r="E6" s="10">
        <v>100000</v>
      </c>
      <c r="F6" s="8">
        <v>0.027</v>
      </c>
      <c r="G6" s="11">
        <v>45721</v>
      </c>
      <c r="H6" s="12">
        <f t="shared" si="0"/>
        <v>2700</v>
      </c>
      <c r="I6" s="10" t="s">
        <v>10</v>
      </c>
      <c r="J6" s="13">
        <v>45667</v>
      </c>
      <c r="K6" t="s">
        <v>435</v>
      </c>
    </row>
    <row r="7" hidden="1" spans="1:19 16384:16384">
      <c r="A7" t="s">
        <v>319</v>
      </c>
      <c r="B7" s="8">
        <v>242502370</v>
      </c>
      <c r="C7" s="9">
        <v>45663</v>
      </c>
      <c r="D7" s="8" t="s">
        <v>181</v>
      </c>
      <c r="E7" s="10">
        <v>100000</v>
      </c>
      <c r="F7" s="8">
        <v>0.027</v>
      </c>
      <c r="G7" s="11">
        <v>45752</v>
      </c>
      <c r="H7" s="12">
        <f t="shared" si="0"/>
        <v>2700</v>
      </c>
      <c r="I7" s="10" t="s">
        <v>10</v>
      </c>
      <c r="J7" s="13">
        <v>45667</v>
      </c>
      <c r="K7" t="s">
        <v>435</v>
      </c>
    </row>
    <row r="8" hidden="1" spans="1:19 16384:16384">
      <c r="A8" t="s">
        <v>319</v>
      </c>
      <c r="B8" s="8">
        <v>242502371</v>
      </c>
      <c r="C8" s="9">
        <v>45663</v>
      </c>
      <c r="D8" s="8" t="s">
        <v>33</v>
      </c>
      <c r="E8" s="10">
        <v>80000</v>
      </c>
      <c r="F8" s="8">
        <v>0.02</v>
      </c>
      <c r="G8" s="11">
        <v>45679</v>
      </c>
      <c r="H8" s="12">
        <f t="shared" si="0"/>
        <v>1600</v>
      </c>
      <c r="I8" s="10" t="s">
        <v>10</v>
      </c>
      <c r="J8" s="13">
        <v>45667</v>
      </c>
      <c r="K8" t="s">
        <v>467</v>
      </c>
    </row>
    <row r="9" hidden="1" spans="1:19 16384:16384">
      <c r="A9" t="s">
        <v>319</v>
      </c>
      <c r="B9" s="8">
        <v>242502371</v>
      </c>
      <c r="C9" s="9">
        <v>45663</v>
      </c>
      <c r="D9" s="8" t="s">
        <v>33</v>
      </c>
      <c r="E9" s="10">
        <v>80000</v>
      </c>
      <c r="F9" s="8">
        <v>0.02</v>
      </c>
      <c r="G9" s="11">
        <v>45693</v>
      </c>
      <c r="H9" s="12">
        <f t="shared" si="0"/>
        <v>1600</v>
      </c>
      <c r="I9" s="10" t="s">
        <v>10</v>
      </c>
      <c r="J9" s="13">
        <v>45667</v>
      </c>
      <c r="K9" t="s">
        <v>467</v>
      </c>
    </row>
    <row r="10" hidden="1" spans="1:19 16384:16384">
      <c r="A10" t="s">
        <v>319</v>
      </c>
      <c r="B10" s="8">
        <v>242502371</v>
      </c>
      <c r="C10" s="9">
        <v>45663</v>
      </c>
      <c r="D10" s="8" t="s">
        <v>33</v>
      </c>
      <c r="E10" s="10">
        <v>80000</v>
      </c>
      <c r="F10" s="8">
        <v>0.02</v>
      </c>
      <c r="G10" s="11">
        <v>45721</v>
      </c>
      <c r="H10" s="12">
        <f t="shared" si="0"/>
        <v>1600</v>
      </c>
      <c r="I10" s="10" t="s">
        <v>10</v>
      </c>
      <c r="J10" s="13">
        <v>45667</v>
      </c>
      <c r="K10" t="s">
        <v>467</v>
      </c>
    </row>
    <row r="11" hidden="1" spans="1:19 16384:16384">
      <c r="A11" t="s">
        <v>319</v>
      </c>
      <c r="B11" s="8">
        <v>242502372</v>
      </c>
      <c r="C11" s="9">
        <v>45663</v>
      </c>
      <c r="D11" s="8" t="s">
        <v>100</v>
      </c>
      <c r="E11" s="10">
        <v>60000</v>
      </c>
      <c r="F11" s="8">
        <v>0.028</v>
      </c>
      <c r="G11" s="11">
        <v>45693</v>
      </c>
      <c r="H11" s="12">
        <f t="shared" si="0"/>
        <v>1680</v>
      </c>
      <c r="I11" s="10" t="s">
        <v>10</v>
      </c>
      <c r="J11" s="13">
        <v>45667</v>
      </c>
      <c r="K11" t="s">
        <v>467</v>
      </c>
    </row>
    <row r="12" hidden="1" spans="1:19 16384:16384">
      <c r="A12" t="s">
        <v>319</v>
      </c>
      <c r="B12" s="8">
        <v>242502372</v>
      </c>
      <c r="C12" s="9">
        <v>45663</v>
      </c>
      <c r="D12" s="8" t="s">
        <v>100</v>
      </c>
      <c r="E12" s="10">
        <v>30000</v>
      </c>
      <c r="F12" s="8">
        <v>0.028</v>
      </c>
      <c r="G12" s="11">
        <v>45721</v>
      </c>
      <c r="H12" s="12">
        <f t="shared" si="0"/>
        <v>840</v>
      </c>
      <c r="I12" s="10" t="s">
        <v>10</v>
      </c>
      <c r="J12" s="13">
        <v>45667</v>
      </c>
      <c r="K12" t="s">
        <v>467</v>
      </c>
    </row>
    <row r="13" hidden="1" spans="1:19 16384:16384">
      <c r="A13" t="s">
        <v>319</v>
      </c>
      <c r="B13" s="8">
        <v>242502372</v>
      </c>
      <c r="C13" s="9">
        <v>45663</v>
      </c>
      <c r="D13" s="8" t="s">
        <v>31</v>
      </c>
      <c r="E13" s="10">
        <v>100000</v>
      </c>
      <c r="F13" s="8">
        <v>0.036</v>
      </c>
      <c r="G13" s="11">
        <v>45721</v>
      </c>
      <c r="H13" s="12">
        <f t="shared" si="0"/>
        <v>3600</v>
      </c>
      <c r="I13" s="10" t="s">
        <v>10</v>
      </c>
      <c r="J13" s="13">
        <v>45667</v>
      </c>
      <c r="K13" t="s">
        <v>467</v>
      </c>
    </row>
    <row r="14" hidden="1" spans="1:19 16384:16384">
      <c r="A14" t="s">
        <v>319</v>
      </c>
      <c r="B14" s="8">
        <v>242502372</v>
      </c>
      <c r="C14" s="9">
        <v>45663</v>
      </c>
      <c r="D14" s="8" t="s">
        <v>181</v>
      </c>
      <c r="E14" s="10">
        <v>50000</v>
      </c>
      <c r="F14" s="8">
        <v>0.027</v>
      </c>
      <c r="G14" s="11">
        <v>45693</v>
      </c>
      <c r="H14" s="12">
        <f t="shared" si="0"/>
        <v>1350</v>
      </c>
      <c r="I14" s="10" t="s">
        <v>10</v>
      </c>
      <c r="J14" s="13">
        <v>45667</v>
      </c>
      <c r="K14" t="s">
        <v>467</v>
      </c>
      <c r="M14">
        <f>36000+36000</f>
        <v>72000</v>
      </c>
    </row>
    <row r="15" hidden="1" spans="1:19 16384:16384">
      <c r="A15" t="s">
        <v>319</v>
      </c>
      <c r="B15" s="8">
        <v>242502372</v>
      </c>
      <c r="C15" s="9">
        <v>45663</v>
      </c>
      <c r="D15" s="8" t="s">
        <v>181</v>
      </c>
      <c r="E15" s="10">
        <v>50000</v>
      </c>
      <c r="F15" s="8">
        <v>0.027</v>
      </c>
      <c r="G15" s="11">
        <v>45721</v>
      </c>
      <c r="H15" s="12">
        <f t="shared" si="0"/>
        <v>1350</v>
      </c>
      <c r="I15" s="10" t="s">
        <v>51</v>
      </c>
      <c r="J15" s="13">
        <v>45667</v>
      </c>
      <c r="K15" t="s">
        <v>467</v>
      </c>
    </row>
    <row r="16" hidden="1" spans="1:19 16384:16384">
      <c r="A16" t="s">
        <v>319</v>
      </c>
      <c r="B16" s="8">
        <v>242502372</v>
      </c>
      <c r="C16" s="9">
        <v>45663</v>
      </c>
      <c r="D16" s="8" t="s">
        <v>181</v>
      </c>
      <c r="E16" s="10">
        <v>50000</v>
      </c>
      <c r="F16" s="8">
        <v>0.027</v>
      </c>
      <c r="G16" s="11">
        <v>45752</v>
      </c>
      <c r="H16" s="12">
        <f t="shared" si="0"/>
        <v>1350</v>
      </c>
      <c r="I16" s="10" t="s">
        <v>10</v>
      </c>
      <c r="J16" s="13">
        <v>45667</v>
      </c>
      <c r="K16" t="s">
        <v>467</v>
      </c>
    </row>
    <row r="17" hidden="1" spans="1:11">
      <c r="A17" t="s">
        <v>319</v>
      </c>
      <c r="B17" s="8">
        <v>242502372</v>
      </c>
      <c r="C17" s="9">
        <v>45663</v>
      </c>
      <c r="D17" s="8" t="s">
        <v>33</v>
      </c>
      <c r="E17" s="10">
        <v>80000</v>
      </c>
      <c r="F17" s="8">
        <v>0.02</v>
      </c>
      <c r="G17" s="11">
        <v>45721</v>
      </c>
      <c r="H17" s="12">
        <f t="shared" si="0"/>
        <v>1600</v>
      </c>
      <c r="I17" s="10" t="s">
        <v>10</v>
      </c>
      <c r="J17" s="13">
        <v>45667</v>
      </c>
      <c r="K17" t="s">
        <v>467</v>
      </c>
    </row>
    <row r="18" hidden="1" spans="1:11">
      <c r="A18" t="s">
        <v>319</v>
      </c>
      <c r="B18" s="8">
        <v>242502372</v>
      </c>
      <c r="C18" s="9">
        <v>45663</v>
      </c>
      <c r="D18" s="8" t="s">
        <v>315</v>
      </c>
      <c r="E18" s="10">
        <v>20000</v>
      </c>
      <c r="F18" s="8">
        <v>0.058</v>
      </c>
      <c r="G18" s="11">
        <v>45693</v>
      </c>
      <c r="H18" s="12">
        <f t="shared" si="0"/>
        <v>1160</v>
      </c>
      <c r="I18" s="10" t="s">
        <v>10</v>
      </c>
      <c r="J18" s="13">
        <v>45667</v>
      </c>
      <c r="K18" t="s">
        <v>467</v>
      </c>
    </row>
    <row r="19" hidden="1" spans="1:11">
      <c r="A19" t="s">
        <v>319</v>
      </c>
      <c r="B19" s="8">
        <v>242502372</v>
      </c>
      <c r="C19" s="9">
        <v>45663</v>
      </c>
      <c r="D19" s="8" t="s">
        <v>468</v>
      </c>
      <c r="E19" s="10">
        <v>20000</v>
      </c>
      <c r="F19" s="8">
        <v>0.035</v>
      </c>
      <c r="G19" s="11">
        <v>45693</v>
      </c>
      <c r="H19" s="12">
        <f t="shared" si="0"/>
        <v>700</v>
      </c>
      <c r="I19" s="10" t="s">
        <v>10</v>
      </c>
      <c r="J19" s="13">
        <v>45667</v>
      </c>
      <c r="K19" t="s">
        <v>467</v>
      </c>
    </row>
    <row r="20" hidden="1" spans="1:11">
      <c r="A20" t="s">
        <v>319</v>
      </c>
      <c r="B20" s="8">
        <v>242502373</v>
      </c>
      <c r="C20" s="9">
        <v>45663</v>
      </c>
      <c r="D20" s="8" t="s">
        <v>16</v>
      </c>
      <c r="E20" s="10">
        <v>200000</v>
      </c>
      <c r="F20" s="8">
        <v>0.0292</v>
      </c>
      <c r="G20" s="11">
        <v>45752</v>
      </c>
      <c r="H20" s="12">
        <f t="shared" si="0"/>
        <v>5840</v>
      </c>
      <c r="I20" s="10" t="s">
        <v>10</v>
      </c>
      <c r="J20" s="13">
        <v>45667</v>
      </c>
      <c r="K20" t="s">
        <v>405</v>
      </c>
    </row>
    <row r="21" hidden="1" spans="1:11">
      <c r="A21" t="s">
        <v>319</v>
      </c>
      <c r="B21" s="8">
        <v>242502373</v>
      </c>
      <c r="C21" s="9">
        <v>45663</v>
      </c>
      <c r="D21" s="8" t="s">
        <v>103</v>
      </c>
      <c r="E21" s="10">
        <v>80000</v>
      </c>
      <c r="F21" s="8">
        <v>0.028</v>
      </c>
      <c r="G21" s="11">
        <v>45693</v>
      </c>
      <c r="H21" s="12">
        <f t="shared" si="0"/>
        <v>2240</v>
      </c>
      <c r="I21" s="10" t="s">
        <v>10</v>
      </c>
      <c r="J21" s="13">
        <v>45667</v>
      </c>
      <c r="K21" t="s">
        <v>405</v>
      </c>
    </row>
    <row r="22" hidden="1" spans="1:11">
      <c r="A22" t="s">
        <v>319</v>
      </c>
      <c r="B22" s="8">
        <v>242502373</v>
      </c>
      <c r="C22" s="9">
        <v>45663</v>
      </c>
      <c r="D22" s="50" t="s">
        <v>103</v>
      </c>
      <c r="E22" s="10">
        <v>80000</v>
      </c>
      <c r="F22" s="8">
        <v>0.028</v>
      </c>
      <c r="G22" s="11">
        <v>45721</v>
      </c>
      <c r="H22" s="12">
        <f t="shared" si="0"/>
        <v>2240</v>
      </c>
      <c r="I22" s="10" t="s">
        <v>10</v>
      </c>
      <c r="J22" s="13">
        <v>45667</v>
      </c>
      <c r="K22" t="s">
        <v>405</v>
      </c>
    </row>
    <row r="23" hidden="1" spans="1:11">
      <c r="A23" t="s">
        <v>319</v>
      </c>
      <c r="B23" s="8">
        <v>242502374</v>
      </c>
      <c r="C23" s="9">
        <v>45663</v>
      </c>
      <c r="D23" s="8" t="s">
        <v>285</v>
      </c>
      <c r="E23" s="10">
        <v>36000</v>
      </c>
      <c r="F23" s="8">
        <v>0.02</v>
      </c>
      <c r="G23" s="11">
        <v>45721</v>
      </c>
      <c r="H23" s="12">
        <f t="shared" si="0"/>
        <v>720</v>
      </c>
      <c r="I23" s="10" t="s">
        <v>10</v>
      </c>
      <c r="J23" s="13">
        <v>45667</v>
      </c>
      <c r="K23" t="s">
        <v>469</v>
      </c>
    </row>
    <row r="24" hidden="1" spans="1:11">
      <c r="A24" t="s">
        <v>319</v>
      </c>
      <c r="B24" s="8">
        <v>242502374</v>
      </c>
      <c r="C24" s="9">
        <v>45663</v>
      </c>
      <c r="D24" s="8" t="s">
        <v>285</v>
      </c>
      <c r="E24" s="10">
        <v>24000</v>
      </c>
      <c r="F24" s="8">
        <v>0.02</v>
      </c>
      <c r="G24" s="11">
        <v>45752</v>
      </c>
      <c r="H24" s="12">
        <f t="shared" si="0"/>
        <v>480</v>
      </c>
      <c r="I24" s="10" t="s">
        <v>10</v>
      </c>
      <c r="J24" s="13">
        <v>45667</v>
      </c>
      <c r="K24" t="s">
        <v>469</v>
      </c>
    </row>
    <row r="25" hidden="1" spans="1:11">
      <c r="A25" t="s">
        <v>319</v>
      </c>
      <c r="B25" s="8">
        <v>242502374</v>
      </c>
      <c r="C25" s="9">
        <v>45663</v>
      </c>
      <c r="D25" s="8" t="s">
        <v>286</v>
      </c>
      <c r="E25" s="10">
        <v>36000</v>
      </c>
      <c r="F25" s="8">
        <v>0.0235</v>
      </c>
      <c r="G25" s="11">
        <v>45693</v>
      </c>
      <c r="H25" s="12">
        <f t="shared" si="0"/>
        <v>846</v>
      </c>
      <c r="I25" s="10" t="s">
        <v>10</v>
      </c>
      <c r="J25" s="13">
        <v>45667</v>
      </c>
      <c r="K25" t="s">
        <v>469</v>
      </c>
    </row>
    <row r="26" hidden="1" spans="1:11">
      <c r="A26" t="s">
        <v>319</v>
      </c>
      <c r="B26" s="8">
        <v>242502374</v>
      </c>
      <c r="C26" s="9">
        <v>45663</v>
      </c>
      <c r="D26" s="8" t="s">
        <v>286</v>
      </c>
      <c r="E26" s="10">
        <v>24000</v>
      </c>
      <c r="F26" s="8">
        <v>0.0235</v>
      </c>
      <c r="G26" s="11">
        <v>45721</v>
      </c>
      <c r="H26" s="12">
        <f t="shared" si="0"/>
        <v>564</v>
      </c>
      <c r="I26" s="10" t="s">
        <v>10</v>
      </c>
      <c r="J26" s="13">
        <v>45667</v>
      </c>
      <c r="K26" t="s">
        <v>469</v>
      </c>
    </row>
    <row r="27" hidden="1" spans="1:11">
      <c r="A27" t="s">
        <v>319</v>
      </c>
      <c r="B27" s="8">
        <v>242502374</v>
      </c>
      <c r="C27" s="9">
        <v>45663</v>
      </c>
      <c r="D27" s="8" t="s">
        <v>287</v>
      </c>
      <c r="E27" s="10">
        <v>20000</v>
      </c>
      <c r="F27" s="8">
        <v>0.018</v>
      </c>
      <c r="G27" s="11">
        <v>45679</v>
      </c>
      <c r="H27" s="12">
        <f t="shared" si="0"/>
        <v>360</v>
      </c>
      <c r="I27" s="10" t="s">
        <v>10</v>
      </c>
      <c r="J27" s="13">
        <v>45667</v>
      </c>
      <c r="K27" t="s">
        <v>469</v>
      </c>
    </row>
    <row r="28" hidden="1" spans="1:11">
      <c r="A28" t="s">
        <v>319</v>
      </c>
      <c r="B28" s="8">
        <v>242502374</v>
      </c>
      <c r="C28" s="9">
        <v>45663</v>
      </c>
      <c r="D28" s="8" t="s">
        <v>287</v>
      </c>
      <c r="E28" s="10">
        <v>20000</v>
      </c>
      <c r="F28" s="8">
        <v>0.018</v>
      </c>
      <c r="G28" s="11">
        <v>45693</v>
      </c>
      <c r="H28" s="12">
        <f t="shared" si="0"/>
        <v>360</v>
      </c>
      <c r="I28" s="10" t="s">
        <v>10</v>
      </c>
      <c r="J28" s="13">
        <v>45667</v>
      </c>
      <c r="K28" t="s">
        <v>469</v>
      </c>
    </row>
    <row r="29" hidden="1" spans="1:11">
      <c r="A29" t="s">
        <v>319</v>
      </c>
      <c r="B29" s="8">
        <v>242502374</v>
      </c>
      <c r="C29" s="9">
        <v>45663</v>
      </c>
      <c r="D29" s="8" t="s">
        <v>287</v>
      </c>
      <c r="E29" s="10">
        <v>20000</v>
      </c>
      <c r="F29" s="8">
        <v>0.018</v>
      </c>
      <c r="G29" s="11">
        <v>45721</v>
      </c>
      <c r="H29" s="12">
        <f t="shared" si="0"/>
        <v>360</v>
      </c>
      <c r="I29" s="10" t="s">
        <v>10</v>
      </c>
      <c r="J29" s="13">
        <v>45667</v>
      </c>
      <c r="K29" t="s">
        <v>469</v>
      </c>
    </row>
    <row r="30" hidden="1" spans="1:11">
      <c r="A30" t="s">
        <v>319</v>
      </c>
      <c r="B30" s="8">
        <v>242502374</v>
      </c>
      <c r="C30" s="9">
        <v>45663</v>
      </c>
      <c r="D30" s="8" t="s">
        <v>288</v>
      </c>
      <c r="E30" s="10">
        <v>36000</v>
      </c>
      <c r="F30" s="8">
        <v>0.022</v>
      </c>
      <c r="G30" s="11">
        <v>45721</v>
      </c>
      <c r="H30" s="12">
        <f t="shared" si="0"/>
        <v>792</v>
      </c>
      <c r="I30" s="10" t="s">
        <v>10</v>
      </c>
      <c r="J30" s="13">
        <v>45667</v>
      </c>
      <c r="K30" t="s">
        <v>469</v>
      </c>
    </row>
    <row r="31" hidden="1" spans="1:11">
      <c r="A31" t="s">
        <v>319</v>
      </c>
      <c r="B31" s="8">
        <v>242502374</v>
      </c>
      <c r="C31" s="9">
        <v>45663</v>
      </c>
      <c r="D31" s="8" t="s">
        <v>288</v>
      </c>
      <c r="E31" s="10">
        <v>24000</v>
      </c>
      <c r="F31" s="8">
        <v>0.022</v>
      </c>
      <c r="G31" s="11">
        <v>45752</v>
      </c>
      <c r="H31" s="12">
        <f t="shared" si="0"/>
        <v>528</v>
      </c>
      <c r="I31" s="10" t="s">
        <v>10</v>
      </c>
      <c r="J31" s="13">
        <v>45667</v>
      </c>
      <c r="K31" t="s">
        <v>469</v>
      </c>
    </row>
    <row r="32" hidden="1" spans="1:11">
      <c r="A32" t="s">
        <v>319</v>
      </c>
      <c r="B32" s="8">
        <v>242502375</v>
      </c>
      <c r="C32" s="9">
        <v>45663</v>
      </c>
      <c r="D32" s="8" t="s">
        <v>100</v>
      </c>
      <c r="E32" s="10">
        <v>60000</v>
      </c>
      <c r="F32" s="8">
        <v>0.028</v>
      </c>
      <c r="G32" s="11">
        <v>45693</v>
      </c>
      <c r="H32" s="12">
        <f t="shared" si="0"/>
        <v>1680</v>
      </c>
      <c r="I32" s="10" t="s">
        <v>10</v>
      </c>
      <c r="J32" s="13">
        <v>45677</v>
      </c>
      <c r="K32" t="s">
        <v>467</v>
      </c>
    </row>
    <row r="33" hidden="1" spans="1:25">
      <c r="A33" t="s">
        <v>319</v>
      </c>
      <c r="B33" s="8">
        <v>242502375</v>
      </c>
      <c r="C33" s="9">
        <v>45663</v>
      </c>
      <c r="D33" s="8" t="s">
        <v>100</v>
      </c>
      <c r="E33" s="10">
        <v>60000</v>
      </c>
      <c r="F33" s="8">
        <v>0.028</v>
      </c>
      <c r="G33" s="11">
        <v>45721</v>
      </c>
      <c r="H33" s="12">
        <f t="shared" si="0"/>
        <v>1680</v>
      </c>
      <c r="I33" s="10" t="s">
        <v>10</v>
      </c>
      <c r="J33" s="13">
        <v>45677</v>
      </c>
      <c r="K33" t="s">
        <v>467</v>
      </c>
    </row>
    <row r="34" hidden="1" spans="1:25">
      <c r="A34" t="s">
        <v>319</v>
      </c>
      <c r="B34" s="8">
        <v>242502375</v>
      </c>
      <c r="C34" s="9">
        <v>45663</v>
      </c>
      <c r="D34" s="8" t="s">
        <v>100</v>
      </c>
      <c r="E34" s="10">
        <v>60000</v>
      </c>
      <c r="F34" s="8">
        <v>0.028</v>
      </c>
      <c r="G34" s="11">
        <v>45752</v>
      </c>
      <c r="H34" s="12">
        <f t="shared" si="0"/>
        <v>1680</v>
      </c>
      <c r="I34" s="10" t="s">
        <v>10</v>
      </c>
      <c r="J34" s="13">
        <v>45677</v>
      </c>
      <c r="K34" t="s">
        <v>467</v>
      </c>
    </row>
    <row r="35" hidden="1" spans="1:25">
      <c r="A35" t="s">
        <v>319</v>
      </c>
      <c r="B35" s="8">
        <v>242502375</v>
      </c>
      <c r="C35" s="9">
        <v>45663</v>
      </c>
      <c r="D35" s="8" t="s">
        <v>29</v>
      </c>
      <c r="E35" s="10">
        <v>100000</v>
      </c>
      <c r="F35" s="8">
        <v>0.027</v>
      </c>
      <c r="G35" s="11">
        <v>45693</v>
      </c>
      <c r="H35" s="12">
        <f t="shared" si="0"/>
        <v>2700</v>
      </c>
      <c r="I35" s="10" t="s">
        <v>10</v>
      </c>
      <c r="J35" s="13">
        <v>45677</v>
      </c>
      <c r="K35" t="s">
        <v>467</v>
      </c>
      <c r="N35">
        <v>88450</v>
      </c>
    </row>
    <row r="36" hidden="1" spans="1:25">
      <c r="A36" t="s">
        <v>319</v>
      </c>
      <c r="B36" s="8">
        <v>242502375</v>
      </c>
      <c r="C36" s="9">
        <v>45663</v>
      </c>
      <c r="D36" s="8" t="s">
        <v>29</v>
      </c>
      <c r="E36" s="10">
        <v>100000</v>
      </c>
      <c r="F36" s="8">
        <v>0.027</v>
      </c>
      <c r="G36" s="11">
        <v>45721</v>
      </c>
      <c r="H36" s="12">
        <f t="shared" si="0"/>
        <v>2700</v>
      </c>
      <c r="I36" s="10" t="s">
        <v>10</v>
      </c>
      <c r="J36" s="13">
        <v>45677</v>
      </c>
      <c r="K36" t="s">
        <v>467</v>
      </c>
      <c r="N36">
        <v>81400</v>
      </c>
    </row>
    <row r="37" hidden="1" spans="1:25">
      <c r="A37" t="s">
        <v>319</v>
      </c>
      <c r="B37" s="8">
        <v>242502375</v>
      </c>
      <c r="C37" s="9">
        <v>45663</v>
      </c>
      <c r="D37" s="8" t="s">
        <v>29</v>
      </c>
      <c r="E37" s="10">
        <v>100000</v>
      </c>
      <c r="F37" s="8">
        <v>0.027</v>
      </c>
      <c r="G37" s="11">
        <v>45752</v>
      </c>
      <c r="H37" s="12">
        <f t="shared" si="0"/>
        <v>2700</v>
      </c>
      <c r="I37" s="10" t="s">
        <v>10</v>
      </c>
      <c r="J37" s="13">
        <v>45677</v>
      </c>
      <c r="K37" t="s">
        <v>467</v>
      </c>
    </row>
    <row r="38" hidden="1" spans="1:25">
      <c r="A38" t="s">
        <v>319</v>
      </c>
      <c r="B38" s="8">
        <v>242502375</v>
      </c>
      <c r="C38" s="9">
        <v>45663</v>
      </c>
      <c r="D38" s="8" t="s">
        <v>31</v>
      </c>
      <c r="E38" s="10">
        <v>300000</v>
      </c>
      <c r="F38" s="8">
        <v>0.036</v>
      </c>
      <c r="G38" s="11">
        <v>45693</v>
      </c>
      <c r="H38" s="12">
        <f t="shared" si="0"/>
        <v>10800</v>
      </c>
      <c r="I38" s="10" t="s">
        <v>10</v>
      </c>
      <c r="J38" s="13">
        <v>45677</v>
      </c>
      <c r="K38" t="s">
        <v>467</v>
      </c>
    </row>
    <row r="39" hidden="1" spans="1:25">
      <c r="A39" t="s">
        <v>319</v>
      </c>
      <c r="B39" s="8">
        <v>242502375</v>
      </c>
      <c r="C39" s="9">
        <v>45663</v>
      </c>
      <c r="D39" s="8" t="s">
        <v>31</v>
      </c>
      <c r="E39" s="10">
        <v>300000</v>
      </c>
      <c r="F39" s="8">
        <v>0.036</v>
      </c>
      <c r="G39" s="11">
        <v>45721</v>
      </c>
      <c r="H39" s="12">
        <f t="shared" si="0"/>
        <v>10800</v>
      </c>
      <c r="I39" s="10" t="s">
        <v>10</v>
      </c>
      <c r="J39" s="13">
        <v>45677</v>
      </c>
      <c r="K39" t="s">
        <v>467</v>
      </c>
      <c r="M39">
        <v>79550</v>
      </c>
    </row>
    <row r="40" hidden="1" spans="1:25">
      <c r="A40" t="s">
        <v>319</v>
      </c>
      <c r="B40" s="8">
        <v>242502375</v>
      </c>
      <c r="C40" s="9">
        <v>45663</v>
      </c>
      <c r="D40" s="8" t="s">
        <v>31</v>
      </c>
      <c r="E40" s="10">
        <v>300000</v>
      </c>
      <c r="F40" s="8">
        <v>0.036</v>
      </c>
      <c r="G40" s="11">
        <v>45752</v>
      </c>
      <c r="H40" s="12">
        <f t="shared" si="0"/>
        <v>10800</v>
      </c>
      <c r="I40" s="10" t="s">
        <v>10</v>
      </c>
      <c r="J40" s="13">
        <v>45677</v>
      </c>
      <c r="K40" t="s">
        <v>467</v>
      </c>
      <c r="M40">
        <v>18300</v>
      </c>
    </row>
    <row r="41" hidden="1" spans="1:25">
      <c r="A41" t="s">
        <v>319</v>
      </c>
      <c r="B41" s="8">
        <v>242502376</v>
      </c>
      <c r="C41" s="9">
        <v>45663</v>
      </c>
      <c r="D41" s="8" t="s">
        <v>32</v>
      </c>
      <c r="E41" s="10">
        <v>100000</v>
      </c>
      <c r="F41" s="8">
        <v>0.02</v>
      </c>
      <c r="G41" s="11">
        <v>45693</v>
      </c>
      <c r="H41" s="12">
        <f t="shared" si="0"/>
        <v>2000</v>
      </c>
      <c r="I41" s="10" t="s">
        <v>10</v>
      </c>
      <c r="J41" s="13">
        <v>45677</v>
      </c>
      <c r="K41" t="s">
        <v>467</v>
      </c>
      <c r="M41">
        <v>30180</v>
      </c>
    </row>
    <row r="42" hidden="1" spans="1:25">
      <c r="A42" t="s">
        <v>319</v>
      </c>
      <c r="B42" s="8">
        <v>242502376</v>
      </c>
      <c r="C42" s="9">
        <v>45663</v>
      </c>
      <c r="D42" s="8" t="s">
        <v>32</v>
      </c>
      <c r="E42" s="10">
        <v>100000</v>
      </c>
      <c r="F42" s="8">
        <v>0.02</v>
      </c>
      <c r="G42" s="11">
        <v>45721</v>
      </c>
      <c r="H42" s="12">
        <f t="shared" si="0"/>
        <v>2000</v>
      </c>
      <c r="I42" s="10" t="s">
        <v>10</v>
      </c>
      <c r="J42" s="13">
        <v>45677</v>
      </c>
      <c r="K42" t="s">
        <v>467</v>
      </c>
      <c r="M42">
        <v>12510</v>
      </c>
    </row>
    <row r="43" hidden="1" spans="1:25">
      <c r="A43" t="s">
        <v>319</v>
      </c>
      <c r="B43" s="8">
        <v>242502376</v>
      </c>
      <c r="C43" s="9">
        <v>45663</v>
      </c>
      <c r="D43" s="8" t="s">
        <v>32</v>
      </c>
      <c r="E43" s="10">
        <v>100000</v>
      </c>
      <c r="F43" s="8">
        <v>0.02</v>
      </c>
      <c r="G43" s="11">
        <v>45752</v>
      </c>
      <c r="H43" s="12">
        <f t="shared" si="0"/>
        <v>2000</v>
      </c>
      <c r="I43" s="10" t="s">
        <v>10</v>
      </c>
      <c r="J43" s="13">
        <v>45677</v>
      </c>
      <c r="K43" t="s">
        <v>467</v>
      </c>
    </row>
    <row r="44" hidden="1" spans="1:25">
      <c r="A44" t="s">
        <v>319</v>
      </c>
      <c r="B44" s="8">
        <v>242502376</v>
      </c>
      <c r="C44" s="9">
        <v>45663</v>
      </c>
      <c r="D44" s="8" t="s">
        <v>181</v>
      </c>
      <c r="E44" s="10">
        <v>100000</v>
      </c>
      <c r="F44" s="8">
        <v>0.027</v>
      </c>
      <c r="G44" s="11">
        <v>45679</v>
      </c>
      <c r="H44" s="12">
        <f t="shared" si="0"/>
        <v>2700</v>
      </c>
      <c r="I44" s="10" t="s">
        <v>10</v>
      </c>
      <c r="J44" s="13">
        <v>45677</v>
      </c>
      <c r="K44" t="s">
        <v>467</v>
      </c>
    </row>
    <row r="45" hidden="1" spans="1:25">
      <c r="A45" t="s">
        <v>319</v>
      </c>
      <c r="B45" s="8">
        <v>242502376</v>
      </c>
      <c r="C45" s="9">
        <v>45663</v>
      </c>
      <c r="D45" s="8" t="s">
        <v>181</v>
      </c>
      <c r="E45" s="10">
        <v>80000</v>
      </c>
      <c r="F45" s="8">
        <v>0.027</v>
      </c>
      <c r="G45" s="11">
        <v>45693</v>
      </c>
      <c r="H45" s="12">
        <f t="shared" si="0"/>
        <v>2160</v>
      </c>
      <c r="I45" s="10" t="s">
        <v>10</v>
      </c>
      <c r="J45" s="13">
        <v>45677</v>
      </c>
      <c r="K45" t="s">
        <v>467</v>
      </c>
      <c r="S45" s="51" t="s">
        <v>470</v>
      </c>
      <c r="T45" s="51" t="s">
        <v>471</v>
      </c>
      <c r="U45" s="51" t="s">
        <v>472</v>
      </c>
    </row>
    <row r="46" hidden="1" spans="1:25">
      <c r="A46" t="s">
        <v>319</v>
      </c>
      <c r="B46" s="8">
        <v>242502376</v>
      </c>
      <c r="C46" s="9">
        <v>45663</v>
      </c>
      <c r="D46" s="8" t="s">
        <v>181</v>
      </c>
      <c r="E46" s="10">
        <v>80000</v>
      </c>
      <c r="F46" s="8">
        <v>0.027</v>
      </c>
      <c r="G46" s="11">
        <v>45721</v>
      </c>
      <c r="H46" s="12">
        <f t="shared" si="0"/>
        <v>2160</v>
      </c>
      <c r="I46" s="10" t="s">
        <v>10</v>
      </c>
      <c r="J46" s="13">
        <v>45677</v>
      </c>
      <c r="K46" t="s">
        <v>467</v>
      </c>
      <c r="S46" s="52" t="s">
        <v>473</v>
      </c>
      <c r="T46" s="52" t="s">
        <v>474</v>
      </c>
      <c r="U46" s="52">
        <v>41</v>
      </c>
    </row>
    <row r="47" hidden="1" spans="1:25">
      <c r="A47" t="s">
        <v>319</v>
      </c>
      <c r="B47" s="8">
        <v>242502376</v>
      </c>
      <c r="C47" s="9">
        <v>45663</v>
      </c>
      <c r="D47" s="8" t="s">
        <v>181</v>
      </c>
      <c r="E47" s="10">
        <v>80000</v>
      </c>
      <c r="F47" s="8">
        <v>0.027</v>
      </c>
      <c r="G47" s="11">
        <v>45752</v>
      </c>
      <c r="H47" s="12">
        <f t="shared" si="0"/>
        <v>2160</v>
      </c>
      <c r="I47" s="10" t="s">
        <v>10</v>
      </c>
      <c r="J47" s="13">
        <v>45677</v>
      </c>
      <c r="K47" t="s">
        <v>467</v>
      </c>
      <c r="S47" s="52" t="s">
        <v>475</v>
      </c>
      <c r="T47" s="52" t="s">
        <v>476</v>
      </c>
      <c r="U47" s="52">
        <v>40</v>
      </c>
      <c r="Y47">
        <f>17+24</f>
        <v>41</v>
      </c>
    </row>
    <row r="48" hidden="1" spans="1:25">
      <c r="A48" t="s">
        <v>319</v>
      </c>
      <c r="B48" s="8">
        <v>242502376</v>
      </c>
      <c r="C48" s="9">
        <v>45663</v>
      </c>
      <c r="D48" s="8" t="s">
        <v>34</v>
      </c>
      <c r="E48" s="10">
        <v>60000</v>
      </c>
      <c r="F48" s="8">
        <v>0.051</v>
      </c>
      <c r="G48" s="11">
        <v>45679</v>
      </c>
      <c r="H48" s="12">
        <f t="shared" si="0"/>
        <v>3060</v>
      </c>
      <c r="I48" s="10" t="s">
        <v>10</v>
      </c>
      <c r="J48" s="13">
        <v>45677</v>
      </c>
      <c r="K48" t="s">
        <v>467</v>
      </c>
      <c r="S48" s="52" t="s">
        <v>477</v>
      </c>
      <c r="T48" s="52" t="s">
        <v>474</v>
      </c>
      <c r="U48" s="52">
        <v>11</v>
      </c>
    </row>
    <row r="49" hidden="1" spans="1:14">
      <c r="A49" t="s">
        <v>319</v>
      </c>
      <c r="B49" s="8">
        <v>242502376</v>
      </c>
      <c r="C49" s="9">
        <v>45663</v>
      </c>
      <c r="D49" s="8" t="s">
        <v>34</v>
      </c>
      <c r="E49" s="10">
        <v>60000</v>
      </c>
      <c r="F49" s="8">
        <v>0.051</v>
      </c>
      <c r="G49" s="11">
        <v>45693</v>
      </c>
      <c r="H49" s="12">
        <f t="shared" si="0"/>
        <v>3060</v>
      </c>
      <c r="I49" s="10" t="s">
        <v>10</v>
      </c>
      <c r="J49" s="13">
        <v>45677</v>
      </c>
      <c r="K49" t="s">
        <v>467</v>
      </c>
    </row>
    <row r="50" hidden="1" spans="1:14">
      <c r="A50" t="s">
        <v>319</v>
      </c>
      <c r="B50" s="8">
        <v>242502376</v>
      </c>
      <c r="C50" s="9">
        <v>45663</v>
      </c>
      <c r="D50" s="8" t="s">
        <v>34</v>
      </c>
      <c r="E50" s="10">
        <v>60000</v>
      </c>
      <c r="F50" s="8">
        <v>0.051</v>
      </c>
      <c r="G50" s="11">
        <v>45721</v>
      </c>
      <c r="H50" s="12">
        <f t="shared" si="0"/>
        <v>3060</v>
      </c>
      <c r="I50" s="10" t="s">
        <v>10</v>
      </c>
      <c r="J50" s="13">
        <v>45677</v>
      </c>
      <c r="K50" t="s">
        <v>467</v>
      </c>
    </row>
    <row r="51" hidden="1" spans="1:14">
      <c r="A51" t="s">
        <v>319</v>
      </c>
      <c r="B51" s="8">
        <v>242502377</v>
      </c>
      <c r="C51" s="9">
        <v>45663</v>
      </c>
      <c r="D51" s="8" t="s">
        <v>181</v>
      </c>
      <c r="E51" s="10">
        <v>70000</v>
      </c>
      <c r="F51" s="8">
        <v>0.027</v>
      </c>
      <c r="G51" s="11">
        <v>45679</v>
      </c>
      <c r="H51" s="12">
        <f t="shared" si="0"/>
        <v>1890</v>
      </c>
      <c r="I51" s="10" t="s">
        <v>10</v>
      </c>
      <c r="J51" s="13">
        <v>45680</v>
      </c>
      <c r="K51" t="s">
        <v>478</v>
      </c>
    </row>
    <row r="52" hidden="1" spans="1:14">
      <c r="A52" t="s">
        <v>319</v>
      </c>
      <c r="B52" s="8">
        <v>242502377</v>
      </c>
      <c r="C52" s="9">
        <v>45663</v>
      </c>
      <c r="D52" s="8" t="s">
        <v>181</v>
      </c>
      <c r="E52" s="10">
        <v>70000</v>
      </c>
      <c r="F52" s="8">
        <v>0.027</v>
      </c>
      <c r="G52" s="11">
        <v>45693</v>
      </c>
      <c r="H52" s="12">
        <f t="shared" si="0"/>
        <v>1890</v>
      </c>
      <c r="I52" s="10" t="s">
        <v>10</v>
      </c>
      <c r="J52" s="13">
        <v>45680</v>
      </c>
      <c r="K52" t="s">
        <v>478</v>
      </c>
    </row>
    <row r="53" hidden="1" spans="1:14">
      <c r="A53" t="s">
        <v>319</v>
      </c>
      <c r="B53" s="8">
        <v>242502377</v>
      </c>
      <c r="C53" s="9">
        <v>45663</v>
      </c>
      <c r="D53" s="8" t="s">
        <v>181</v>
      </c>
      <c r="E53" s="10">
        <v>70000</v>
      </c>
      <c r="F53" s="8">
        <v>0.027</v>
      </c>
      <c r="G53" s="11">
        <v>45721</v>
      </c>
      <c r="H53" s="12">
        <f t="shared" si="0"/>
        <v>1890</v>
      </c>
      <c r="I53" s="10" t="s">
        <v>10</v>
      </c>
      <c r="J53" s="13">
        <v>45680</v>
      </c>
      <c r="K53" t="s">
        <v>478</v>
      </c>
      <c r="N53">
        <v>29658</v>
      </c>
    </row>
    <row r="54" hidden="1" spans="1:14">
      <c r="A54" t="s">
        <v>319</v>
      </c>
      <c r="B54" s="8">
        <v>242502377</v>
      </c>
      <c r="C54" s="9">
        <v>45663</v>
      </c>
      <c r="D54" s="50" t="s">
        <v>106</v>
      </c>
      <c r="E54" s="10">
        <v>100000</v>
      </c>
      <c r="F54" s="8">
        <v>0.04</v>
      </c>
      <c r="G54" s="11">
        <v>45721</v>
      </c>
      <c r="H54" s="12">
        <f t="shared" si="0"/>
        <v>4000</v>
      </c>
      <c r="I54" s="10" t="s">
        <v>10</v>
      </c>
      <c r="J54" s="13">
        <v>45680</v>
      </c>
      <c r="K54" t="s">
        <v>478</v>
      </c>
      <c r="N54">
        <v>63100</v>
      </c>
    </row>
    <row r="55" hidden="1" spans="1:14">
      <c r="A55" t="s">
        <v>319</v>
      </c>
      <c r="B55" s="8">
        <v>242502378</v>
      </c>
      <c r="C55" s="9">
        <v>45663</v>
      </c>
      <c r="D55" s="8" t="s">
        <v>70</v>
      </c>
      <c r="E55" s="10">
        <v>20000</v>
      </c>
      <c r="F55" s="8">
        <v>0.028</v>
      </c>
      <c r="G55" s="11">
        <v>45693</v>
      </c>
      <c r="H55" s="12">
        <f t="shared" si="0"/>
        <v>560</v>
      </c>
      <c r="I55" s="10" t="s">
        <v>10</v>
      </c>
      <c r="J55" s="13">
        <v>45667</v>
      </c>
      <c r="K55" t="s">
        <v>391</v>
      </c>
    </row>
    <row r="56" hidden="1" spans="1:14">
      <c r="A56" t="s">
        <v>319</v>
      </c>
      <c r="B56" s="8">
        <v>242502378</v>
      </c>
      <c r="C56" s="9">
        <v>45663</v>
      </c>
      <c r="D56" s="8" t="s">
        <v>182</v>
      </c>
      <c r="E56" s="10">
        <v>100000</v>
      </c>
      <c r="F56" s="8">
        <v>0.025</v>
      </c>
      <c r="G56" s="11">
        <v>45693</v>
      </c>
      <c r="H56" s="12">
        <f t="shared" si="0"/>
        <v>2500</v>
      </c>
      <c r="I56" s="10" t="s">
        <v>10</v>
      </c>
      <c r="J56" s="13">
        <v>45667</v>
      </c>
      <c r="K56" t="s">
        <v>391</v>
      </c>
    </row>
    <row r="57" hidden="1" spans="1:14">
      <c r="A57" t="s">
        <v>319</v>
      </c>
      <c r="B57" s="8">
        <v>242502378</v>
      </c>
      <c r="C57" s="9">
        <v>45663</v>
      </c>
      <c r="D57" s="8" t="s">
        <v>182</v>
      </c>
      <c r="E57" s="10">
        <v>100000</v>
      </c>
      <c r="F57" s="8">
        <v>0.025</v>
      </c>
      <c r="G57" s="11">
        <v>45721</v>
      </c>
      <c r="H57" s="12">
        <f t="shared" si="0"/>
        <v>2500</v>
      </c>
      <c r="I57" s="10" t="s">
        <v>10</v>
      </c>
      <c r="J57" s="13">
        <v>45667</v>
      </c>
      <c r="K57" t="s">
        <v>391</v>
      </c>
    </row>
    <row r="58" hidden="1" spans="1:14">
      <c r="A58" t="s">
        <v>319</v>
      </c>
      <c r="B58" s="8">
        <v>242502379</v>
      </c>
      <c r="C58" s="9">
        <v>45663</v>
      </c>
      <c r="D58" s="8" t="s">
        <v>40</v>
      </c>
      <c r="E58" s="10">
        <v>120000</v>
      </c>
      <c r="F58" s="8">
        <v>0.05</v>
      </c>
      <c r="G58" s="11">
        <v>45752</v>
      </c>
      <c r="H58" s="12">
        <f t="shared" si="0"/>
        <v>6000</v>
      </c>
      <c r="I58" s="10" t="s">
        <v>10</v>
      </c>
      <c r="J58" s="13">
        <v>45677</v>
      </c>
      <c r="K58" t="s">
        <v>337</v>
      </c>
    </row>
    <row r="59" hidden="1" spans="1:14">
      <c r="A59" t="s">
        <v>319</v>
      </c>
      <c r="B59" s="8">
        <v>242502379</v>
      </c>
      <c r="C59" s="9">
        <v>45663</v>
      </c>
      <c r="D59" s="8" t="s">
        <v>42</v>
      </c>
      <c r="E59" s="10">
        <v>100000</v>
      </c>
      <c r="F59" s="8">
        <v>0.065</v>
      </c>
      <c r="G59" s="11">
        <v>45752</v>
      </c>
      <c r="H59" s="12">
        <f t="shared" si="0"/>
        <v>6500</v>
      </c>
      <c r="I59" s="10" t="s">
        <v>10</v>
      </c>
      <c r="J59" s="13">
        <v>45677</v>
      </c>
      <c r="K59" t="s">
        <v>337</v>
      </c>
    </row>
    <row r="60" hidden="1" spans="1:14">
      <c r="A60" t="s">
        <v>319</v>
      </c>
      <c r="B60" s="8">
        <v>242502402</v>
      </c>
      <c r="C60" s="9">
        <v>45664</v>
      </c>
      <c r="D60" s="8" t="s">
        <v>30</v>
      </c>
      <c r="E60" s="10">
        <v>70000</v>
      </c>
      <c r="F60" s="8">
        <v>0.027</v>
      </c>
      <c r="G60" s="11">
        <v>45693</v>
      </c>
      <c r="H60" s="12">
        <f t="shared" si="0"/>
        <v>1890</v>
      </c>
      <c r="I60" s="10" t="s">
        <v>10</v>
      </c>
      <c r="J60" s="13">
        <v>45680</v>
      </c>
    </row>
    <row r="61" hidden="1" spans="1:14">
      <c r="A61" t="s">
        <v>319</v>
      </c>
      <c r="B61" s="8">
        <v>242502402</v>
      </c>
      <c r="C61" s="9">
        <v>45664</v>
      </c>
      <c r="D61" s="8" t="s">
        <v>30</v>
      </c>
      <c r="E61" s="10">
        <v>70000</v>
      </c>
      <c r="F61" s="8">
        <v>0.027</v>
      </c>
      <c r="G61" s="11">
        <v>45721</v>
      </c>
      <c r="H61" s="12">
        <f t="shared" si="0"/>
        <v>1890</v>
      </c>
      <c r="I61" s="10" t="s">
        <v>10</v>
      </c>
      <c r="J61" s="13">
        <v>45680</v>
      </c>
    </row>
    <row r="62" hidden="1" spans="1:14">
      <c r="A62" t="s">
        <v>319</v>
      </c>
      <c r="B62" s="8">
        <v>242502402</v>
      </c>
      <c r="C62" s="9">
        <v>45664</v>
      </c>
      <c r="D62" s="8" t="s">
        <v>30</v>
      </c>
      <c r="E62" s="10">
        <v>70000</v>
      </c>
      <c r="F62" s="8">
        <v>0.027</v>
      </c>
      <c r="G62" s="11">
        <v>45752</v>
      </c>
      <c r="H62" s="12">
        <f t="shared" si="0"/>
        <v>1890</v>
      </c>
      <c r="I62" s="10" t="s">
        <v>10</v>
      </c>
      <c r="J62" s="13">
        <v>45680</v>
      </c>
    </row>
    <row r="63" hidden="1" spans="1:14">
      <c r="A63" t="s">
        <v>319</v>
      </c>
      <c r="B63" s="8">
        <v>242502403</v>
      </c>
      <c r="C63" s="9">
        <v>45664</v>
      </c>
      <c r="D63" s="50" t="s">
        <v>11</v>
      </c>
      <c r="E63" s="10">
        <v>30000</v>
      </c>
      <c r="F63" s="8">
        <v>0.04</v>
      </c>
      <c r="G63" s="11">
        <v>45679</v>
      </c>
      <c r="H63" s="12">
        <f t="shared" si="0"/>
        <v>1200</v>
      </c>
      <c r="I63" s="10" t="s">
        <v>10</v>
      </c>
      <c r="J63" s="13">
        <v>45694</v>
      </c>
    </row>
    <row r="64" hidden="1" spans="1:14">
      <c r="A64" t="s">
        <v>319</v>
      </c>
      <c r="B64" s="8">
        <v>242502403</v>
      </c>
      <c r="C64" s="9">
        <v>45664</v>
      </c>
      <c r="D64" s="50" t="s">
        <v>11</v>
      </c>
      <c r="E64" s="10">
        <v>40000</v>
      </c>
      <c r="F64" s="8">
        <v>0.04</v>
      </c>
      <c r="G64" s="11">
        <v>45693</v>
      </c>
      <c r="H64" s="12">
        <f t="shared" si="0"/>
        <v>1600</v>
      </c>
      <c r="I64" s="10" t="s">
        <v>10</v>
      </c>
      <c r="J64" s="13">
        <v>45694</v>
      </c>
    </row>
    <row r="65" hidden="1" spans="1:14">
      <c r="A65" t="s">
        <v>319</v>
      </c>
      <c r="B65" s="8">
        <v>242502403</v>
      </c>
      <c r="C65" s="9">
        <v>45664</v>
      </c>
      <c r="D65" s="50" t="s">
        <v>11</v>
      </c>
      <c r="E65" s="10">
        <v>30000</v>
      </c>
      <c r="F65" s="8">
        <v>0.04</v>
      </c>
      <c r="G65" s="11">
        <v>45721</v>
      </c>
      <c r="H65" s="12">
        <f t="shared" si="0"/>
        <v>1200</v>
      </c>
      <c r="I65" s="10" t="s">
        <v>10</v>
      </c>
      <c r="J65" s="13">
        <v>45694</v>
      </c>
    </row>
    <row r="66" hidden="1" spans="1:14">
      <c r="A66" t="s">
        <v>319</v>
      </c>
      <c r="B66" s="8">
        <v>242502473</v>
      </c>
      <c r="C66" s="9">
        <v>45670</v>
      </c>
      <c r="D66" s="8" t="s">
        <v>50</v>
      </c>
      <c r="E66" s="10">
        <v>50000</v>
      </c>
      <c r="F66" s="8">
        <v>0.08</v>
      </c>
      <c r="G66" s="11">
        <v>45752</v>
      </c>
      <c r="H66" s="12">
        <f t="shared" ref="H66:H129" si="1">E66*F66</f>
        <v>4000</v>
      </c>
      <c r="I66" s="10" t="s">
        <v>10</v>
      </c>
      <c r="J66" s="13">
        <v>45677</v>
      </c>
    </row>
    <row r="67" hidden="1" spans="1:14">
      <c r="A67" t="s">
        <v>319</v>
      </c>
      <c r="B67" s="8">
        <v>242502473</v>
      </c>
      <c r="C67" s="9">
        <v>45670</v>
      </c>
      <c r="D67" s="8" t="s">
        <v>111</v>
      </c>
      <c r="E67" s="10">
        <v>20000</v>
      </c>
      <c r="F67" s="8">
        <v>0.045</v>
      </c>
      <c r="G67" s="11">
        <v>45721</v>
      </c>
      <c r="H67" s="12">
        <f t="shared" si="1"/>
        <v>900</v>
      </c>
      <c r="I67" s="10" t="s">
        <v>10</v>
      </c>
      <c r="J67" s="13">
        <v>45677</v>
      </c>
    </row>
    <row r="68" hidden="1" spans="1:14">
      <c r="A68" t="s">
        <v>319</v>
      </c>
      <c r="B68" s="8">
        <v>242502474</v>
      </c>
      <c r="C68" s="9">
        <v>45670</v>
      </c>
      <c r="D68" s="8" t="s">
        <v>41</v>
      </c>
      <c r="E68" s="10">
        <v>40000</v>
      </c>
      <c r="F68" s="8">
        <v>0.285</v>
      </c>
      <c r="G68" s="11">
        <v>45738</v>
      </c>
      <c r="H68" s="12">
        <f t="shared" si="1"/>
        <v>11400</v>
      </c>
      <c r="I68" s="10" t="s">
        <v>10</v>
      </c>
      <c r="J68" s="13">
        <v>45677</v>
      </c>
    </row>
    <row r="69" hidden="1" spans="1:14">
      <c r="A69" t="s">
        <v>319</v>
      </c>
      <c r="B69" s="8">
        <v>242502477</v>
      </c>
      <c r="C69" s="9">
        <v>45671</v>
      </c>
      <c r="D69" s="8" t="s">
        <v>479</v>
      </c>
      <c r="E69" s="10">
        <v>20000</v>
      </c>
      <c r="F69" s="8">
        <v>0.0315</v>
      </c>
      <c r="G69" s="11">
        <v>45679</v>
      </c>
      <c r="H69" s="12">
        <f t="shared" si="1"/>
        <v>630</v>
      </c>
      <c r="I69" s="10" t="s">
        <v>10</v>
      </c>
      <c r="J69" s="13">
        <v>45672</v>
      </c>
    </row>
    <row r="70" hidden="1" spans="1:14">
      <c r="A70" t="s">
        <v>319</v>
      </c>
      <c r="B70" s="8">
        <v>242502477</v>
      </c>
      <c r="C70" s="9">
        <v>45671</v>
      </c>
      <c r="D70" s="8" t="s">
        <v>479</v>
      </c>
      <c r="E70" s="10">
        <v>20000</v>
      </c>
      <c r="F70" s="8">
        <v>0.0315</v>
      </c>
      <c r="G70" s="11">
        <v>45738</v>
      </c>
      <c r="H70" s="12">
        <f t="shared" si="1"/>
        <v>630</v>
      </c>
      <c r="I70" s="10" t="s">
        <v>10</v>
      </c>
      <c r="J70" s="13">
        <v>45672</v>
      </c>
    </row>
    <row r="71" hidden="1" spans="1:14">
      <c r="A71" t="s">
        <v>319</v>
      </c>
      <c r="B71" s="8">
        <v>242502514</v>
      </c>
      <c r="C71" s="9">
        <v>45673</v>
      </c>
      <c r="D71" s="8" t="s">
        <v>47</v>
      </c>
      <c r="E71" s="10">
        <v>80000</v>
      </c>
      <c r="F71" s="8">
        <v>0.024</v>
      </c>
      <c r="G71" s="11">
        <v>45679</v>
      </c>
      <c r="H71" s="12">
        <f t="shared" si="1"/>
        <v>1920</v>
      </c>
      <c r="I71" s="10" t="s">
        <v>10</v>
      </c>
      <c r="J71" s="13">
        <v>45677</v>
      </c>
    </row>
    <row r="72" hidden="1" spans="1:14">
      <c r="A72" t="s">
        <v>319</v>
      </c>
      <c r="B72" s="8">
        <v>242502515</v>
      </c>
      <c r="C72" s="9">
        <v>45673</v>
      </c>
      <c r="D72" s="8" t="s">
        <v>30</v>
      </c>
      <c r="E72" s="10">
        <v>70000</v>
      </c>
      <c r="F72" s="8">
        <v>0.027</v>
      </c>
      <c r="G72" s="11">
        <v>45679</v>
      </c>
      <c r="H72" s="12">
        <f t="shared" si="1"/>
        <v>1890</v>
      </c>
      <c r="I72" s="10" t="s">
        <v>10</v>
      </c>
      <c r="J72" s="13">
        <v>45677</v>
      </c>
    </row>
    <row r="73" hidden="1" spans="1:14">
      <c r="A73" t="s">
        <v>319</v>
      </c>
      <c r="B73" s="8">
        <v>242502516</v>
      </c>
      <c r="C73" s="9">
        <v>45674</v>
      </c>
      <c r="D73" s="8" t="s">
        <v>26</v>
      </c>
      <c r="E73" s="10">
        <v>100000</v>
      </c>
      <c r="F73" s="8">
        <v>0.014</v>
      </c>
      <c r="G73" s="11">
        <v>45769</v>
      </c>
      <c r="H73" s="12">
        <f t="shared" si="1"/>
        <v>1400</v>
      </c>
      <c r="I73" s="10" t="s">
        <v>10</v>
      </c>
      <c r="J73" s="13">
        <v>45677</v>
      </c>
    </row>
    <row r="74" hidden="1" spans="1:14">
      <c r="A74" t="s">
        <v>319</v>
      </c>
      <c r="B74" s="8">
        <v>242502528</v>
      </c>
      <c r="C74" s="9">
        <v>45674</v>
      </c>
      <c r="D74" s="8" t="s">
        <v>105</v>
      </c>
      <c r="E74" s="10">
        <v>20000</v>
      </c>
      <c r="F74" s="8">
        <v>0.18</v>
      </c>
      <c r="G74" s="11">
        <v>45738</v>
      </c>
      <c r="H74" s="12">
        <f t="shared" si="1"/>
        <v>3600</v>
      </c>
      <c r="I74" s="10" t="s">
        <v>10</v>
      </c>
      <c r="J74" s="13">
        <v>45698</v>
      </c>
      <c r="N74">
        <v>56950</v>
      </c>
    </row>
    <row r="75" hidden="1" spans="1:14">
      <c r="A75" t="s">
        <v>319</v>
      </c>
      <c r="B75" s="8">
        <v>242502553</v>
      </c>
      <c r="C75" s="9">
        <v>45675</v>
      </c>
      <c r="D75" s="8" t="s">
        <v>480</v>
      </c>
      <c r="E75" s="10">
        <v>150000</v>
      </c>
      <c r="F75" s="8">
        <v>0.017</v>
      </c>
      <c r="G75" s="11">
        <v>45901</v>
      </c>
      <c r="H75" s="12">
        <f t="shared" si="1"/>
        <v>2550</v>
      </c>
      <c r="I75" s="10" t="s">
        <v>10</v>
      </c>
      <c r="J75" s="13">
        <v>45721</v>
      </c>
    </row>
    <row r="76" hidden="1" spans="1:14">
      <c r="A76" t="s">
        <v>319</v>
      </c>
      <c r="B76" s="8">
        <v>242502554</v>
      </c>
      <c r="C76" s="9">
        <v>45675</v>
      </c>
      <c r="D76" s="8" t="s">
        <v>481</v>
      </c>
      <c r="E76" s="10">
        <v>150000</v>
      </c>
      <c r="F76" s="8">
        <v>0.017</v>
      </c>
      <c r="G76" s="11">
        <v>45901</v>
      </c>
      <c r="H76" s="12">
        <f t="shared" si="1"/>
        <v>2550</v>
      </c>
      <c r="I76" s="10" t="s">
        <v>10</v>
      </c>
      <c r="J76" s="13">
        <v>45721</v>
      </c>
    </row>
    <row r="77" hidden="1" spans="1:14">
      <c r="A77" t="s">
        <v>319</v>
      </c>
      <c r="B77" s="8">
        <v>242502555</v>
      </c>
      <c r="C77" s="9">
        <v>45679</v>
      </c>
      <c r="D77" s="8" t="s">
        <v>482</v>
      </c>
      <c r="E77" s="10">
        <v>200000</v>
      </c>
      <c r="F77" s="8">
        <v>0.02049</v>
      </c>
      <c r="G77" s="11">
        <v>45710</v>
      </c>
      <c r="H77" s="12">
        <f t="shared" si="1"/>
        <v>4098</v>
      </c>
      <c r="I77" s="10" t="s">
        <v>10</v>
      </c>
      <c r="J77" s="13">
        <v>45680</v>
      </c>
    </row>
    <row r="78" hidden="1" spans="1:14">
      <c r="A78" t="s">
        <v>319</v>
      </c>
      <c r="B78" s="53">
        <v>242502556</v>
      </c>
      <c r="C78" s="54">
        <v>45679</v>
      </c>
      <c r="D78" s="55" t="s">
        <v>483</v>
      </c>
      <c r="E78" s="56">
        <v>2000</v>
      </c>
      <c r="F78" s="53">
        <v>0.06</v>
      </c>
      <c r="G78" s="57">
        <v>45679</v>
      </c>
      <c r="H78" s="58">
        <f t="shared" si="1"/>
        <v>120</v>
      </c>
      <c r="I78" s="56" t="s">
        <v>51</v>
      </c>
      <c r="J78" s="15"/>
      <c r="N78">
        <v>23688</v>
      </c>
    </row>
    <row r="79" hidden="1" spans="1:14">
      <c r="A79" t="s">
        <v>319</v>
      </c>
      <c r="B79" s="8">
        <v>242502557</v>
      </c>
      <c r="C79" s="9">
        <v>45679</v>
      </c>
      <c r="D79" s="8" t="s">
        <v>163</v>
      </c>
      <c r="E79" s="10">
        <v>320000</v>
      </c>
      <c r="F79" s="8">
        <v>0.0025</v>
      </c>
      <c r="G79" s="11">
        <v>45752</v>
      </c>
      <c r="H79" s="12">
        <f t="shared" si="1"/>
        <v>800</v>
      </c>
      <c r="I79" s="10" t="s">
        <v>10</v>
      </c>
      <c r="J79" s="13">
        <v>45694</v>
      </c>
      <c r="N79">
        <v>62000</v>
      </c>
    </row>
    <row r="80" hidden="1" spans="1:14">
      <c r="A80" t="s">
        <v>319</v>
      </c>
      <c r="B80" s="8">
        <v>242502557</v>
      </c>
      <c r="C80" s="9">
        <v>45679</v>
      </c>
      <c r="D80" s="8" t="s">
        <v>163</v>
      </c>
      <c r="E80" s="10">
        <v>320000</v>
      </c>
      <c r="F80" s="8">
        <v>0.0025</v>
      </c>
      <c r="G80" s="11">
        <v>45782</v>
      </c>
      <c r="H80" s="12">
        <f t="shared" si="1"/>
        <v>800</v>
      </c>
      <c r="I80" s="10" t="s">
        <v>10</v>
      </c>
      <c r="J80" s="13">
        <v>45694</v>
      </c>
    </row>
    <row r="81" hidden="1" spans="1:11">
      <c r="A81" t="s">
        <v>319</v>
      </c>
      <c r="B81" s="8">
        <v>242502557</v>
      </c>
      <c r="C81" s="9">
        <v>45679</v>
      </c>
      <c r="D81" s="8" t="s">
        <v>163</v>
      </c>
      <c r="E81" s="10">
        <v>352000</v>
      </c>
      <c r="F81" s="8">
        <v>0.0025</v>
      </c>
      <c r="G81" s="11">
        <v>45813</v>
      </c>
      <c r="H81" s="12">
        <f t="shared" si="1"/>
        <v>880</v>
      </c>
      <c r="I81" s="10" t="s">
        <v>10</v>
      </c>
      <c r="J81" s="13">
        <v>45694</v>
      </c>
    </row>
    <row r="82" hidden="1" spans="1:11">
      <c r="A82" t="s">
        <v>319</v>
      </c>
      <c r="B82" s="8">
        <v>242502594</v>
      </c>
      <c r="C82" s="9">
        <v>45680</v>
      </c>
      <c r="D82" s="8" t="s">
        <v>25</v>
      </c>
      <c r="E82" s="10">
        <v>20000</v>
      </c>
      <c r="F82" s="8">
        <v>0.016</v>
      </c>
      <c r="G82" s="11">
        <v>45681</v>
      </c>
      <c r="H82" s="12">
        <f t="shared" si="1"/>
        <v>320</v>
      </c>
      <c r="I82" s="10" t="s">
        <v>10</v>
      </c>
      <c r="J82" s="13">
        <v>45681</v>
      </c>
    </row>
    <row r="83" hidden="1" spans="1:11">
      <c r="A83" t="s">
        <v>319</v>
      </c>
      <c r="B83" s="8">
        <v>242502604</v>
      </c>
      <c r="C83" s="9">
        <v>45681</v>
      </c>
      <c r="D83" s="8" t="s">
        <v>95</v>
      </c>
      <c r="E83" s="10">
        <v>20040</v>
      </c>
      <c r="F83" s="8">
        <v>0.063</v>
      </c>
      <c r="G83" s="11">
        <v>45682</v>
      </c>
      <c r="H83" s="12">
        <f t="shared" si="1"/>
        <v>1262.52</v>
      </c>
      <c r="I83" s="10" t="s">
        <v>10</v>
      </c>
      <c r="J83" s="13">
        <v>45695</v>
      </c>
    </row>
    <row r="84" hidden="1" spans="1:11">
      <c r="A84" t="s">
        <v>319</v>
      </c>
      <c r="B84" s="53">
        <v>242502609</v>
      </c>
      <c r="C84" s="54">
        <v>45684</v>
      </c>
      <c r="D84" s="53" t="s">
        <v>484</v>
      </c>
      <c r="E84" s="56">
        <v>2000</v>
      </c>
      <c r="F84" s="53">
        <v>0.032</v>
      </c>
      <c r="G84" s="57">
        <v>45698</v>
      </c>
      <c r="H84" s="58">
        <f t="shared" si="1"/>
        <v>64</v>
      </c>
      <c r="I84" s="56" t="s">
        <v>51</v>
      </c>
      <c r="J84" s="15"/>
    </row>
    <row r="85" hidden="1" spans="1:11">
      <c r="A85" t="s">
        <v>319</v>
      </c>
      <c r="B85" s="53">
        <v>242502609</v>
      </c>
      <c r="C85" s="54">
        <v>45684</v>
      </c>
      <c r="D85" s="53" t="s">
        <v>100</v>
      </c>
      <c r="E85" s="56">
        <v>2000</v>
      </c>
      <c r="F85" s="53">
        <v>0.028</v>
      </c>
      <c r="G85" s="57">
        <v>45698</v>
      </c>
      <c r="H85" s="58">
        <f t="shared" si="1"/>
        <v>56</v>
      </c>
      <c r="I85" s="56" t="s">
        <v>51</v>
      </c>
      <c r="J85" s="15"/>
    </row>
    <row r="86" hidden="1" spans="1:11">
      <c r="A86" t="s">
        <v>319</v>
      </c>
      <c r="B86" s="53">
        <v>242502609</v>
      </c>
      <c r="C86" s="54">
        <v>45684</v>
      </c>
      <c r="D86" s="53" t="s">
        <v>485</v>
      </c>
      <c r="E86" s="56">
        <v>2000</v>
      </c>
      <c r="F86" s="53">
        <v>0.0215</v>
      </c>
      <c r="G86" s="57">
        <v>45698</v>
      </c>
      <c r="H86" s="58">
        <f t="shared" si="1"/>
        <v>43</v>
      </c>
      <c r="I86" s="56" t="s">
        <v>51</v>
      </c>
      <c r="J86" s="15"/>
    </row>
    <row r="87" hidden="1" spans="1:11">
      <c r="A87" t="s">
        <v>319</v>
      </c>
      <c r="B87" s="8">
        <v>242502610</v>
      </c>
      <c r="C87" s="9">
        <v>45684</v>
      </c>
      <c r="D87" s="8" t="s">
        <v>16</v>
      </c>
      <c r="E87" s="10">
        <v>250000</v>
      </c>
      <c r="F87" s="8">
        <v>0.0292</v>
      </c>
      <c r="G87" s="11">
        <v>45738</v>
      </c>
      <c r="H87" s="12">
        <f t="shared" si="1"/>
        <v>7300</v>
      </c>
      <c r="I87" s="10" t="s">
        <v>10</v>
      </c>
      <c r="J87" s="13">
        <v>45691</v>
      </c>
      <c r="K87" t="s">
        <v>405</v>
      </c>
    </row>
    <row r="88" hidden="1" spans="1:11">
      <c r="A88" t="s">
        <v>319</v>
      </c>
      <c r="B88" s="8">
        <v>242502610</v>
      </c>
      <c r="C88" s="9">
        <v>45684</v>
      </c>
      <c r="D88" s="8" t="s">
        <v>16</v>
      </c>
      <c r="E88" s="10">
        <v>300000</v>
      </c>
      <c r="F88" s="8">
        <v>0.0292</v>
      </c>
      <c r="G88" s="11">
        <v>45769</v>
      </c>
      <c r="H88" s="12">
        <f t="shared" si="1"/>
        <v>8760</v>
      </c>
      <c r="I88" s="10" t="s">
        <v>10</v>
      </c>
      <c r="J88" s="13">
        <v>45691</v>
      </c>
      <c r="K88" t="s">
        <v>405</v>
      </c>
    </row>
    <row r="89" hidden="1" spans="1:11">
      <c r="A89" t="s">
        <v>319</v>
      </c>
      <c r="B89" s="8">
        <v>242502610</v>
      </c>
      <c r="C89" s="9">
        <v>45684</v>
      </c>
      <c r="D89" s="8" t="s">
        <v>16</v>
      </c>
      <c r="E89" s="10">
        <v>150000</v>
      </c>
      <c r="F89" s="8">
        <v>0.0292</v>
      </c>
      <c r="G89" s="11">
        <v>45830</v>
      </c>
      <c r="H89" s="12">
        <f t="shared" si="1"/>
        <v>4380</v>
      </c>
      <c r="I89" s="10" t="s">
        <v>10</v>
      </c>
      <c r="J89" s="13">
        <v>45691</v>
      </c>
      <c r="K89" t="s">
        <v>405</v>
      </c>
    </row>
    <row r="90" hidden="1" spans="1:11">
      <c r="A90" t="s">
        <v>319</v>
      </c>
      <c r="B90" s="8">
        <v>242502610</v>
      </c>
      <c r="C90" s="9">
        <v>45684</v>
      </c>
      <c r="D90" s="8" t="s">
        <v>103</v>
      </c>
      <c r="E90" s="10">
        <v>150000</v>
      </c>
      <c r="F90" s="8">
        <v>0.028</v>
      </c>
      <c r="G90" s="11">
        <v>45721</v>
      </c>
      <c r="H90" s="12">
        <f t="shared" si="1"/>
        <v>4200</v>
      </c>
      <c r="I90" s="10" t="s">
        <v>10</v>
      </c>
      <c r="J90" s="13">
        <v>45691</v>
      </c>
      <c r="K90" t="s">
        <v>405</v>
      </c>
    </row>
    <row r="91" hidden="1" spans="1:11">
      <c r="A91" t="s">
        <v>319</v>
      </c>
      <c r="B91" s="8">
        <v>242502610</v>
      </c>
      <c r="C91" s="9">
        <v>45684</v>
      </c>
      <c r="D91" s="8" t="s">
        <v>103</v>
      </c>
      <c r="E91" s="10">
        <v>50000</v>
      </c>
      <c r="F91" s="8">
        <v>0.028</v>
      </c>
      <c r="G91" s="11">
        <v>45752</v>
      </c>
      <c r="H91" s="12">
        <f t="shared" si="1"/>
        <v>1400</v>
      </c>
      <c r="I91" s="10" t="s">
        <v>10</v>
      </c>
      <c r="J91" s="13">
        <v>45691</v>
      </c>
      <c r="K91" t="s">
        <v>405</v>
      </c>
    </row>
    <row r="92" hidden="1" spans="1:11">
      <c r="A92" t="s">
        <v>319</v>
      </c>
      <c r="B92" s="8">
        <v>242502610</v>
      </c>
      <c r="C92" s="9">
        <v>45684</v>
      </c>
      <c r="D92" s="8" t="s">
        <v>103</v>
      </c>
      <c r="E92" s="10">
        <v>50000</v>
      </c>
      <c r="F92" s="8">
        <v>0.028</v>
      </c>
      <c r="G92" s="11">
        <v>45782</v>
      </c>
      <c r="H92" s="12">
        <f t="shared" si="1"/>
        <v>1400</v>
      </c>
      <c r="I92" s="10" t="s">
        <v>10</v>
      </c>
      <c r="J92" s="13">
        <v>45691</v>
      </c>
      <c r="K92" t="s">
        <v>405</v>
      </c>
    </row>
    <row r="93" hidden="1" spans="1:11">
      <c r="A93" t="s">
        <v>319</v>
      </c>
      <c r="B93" s="8">
        <v>242502610</v>
      </c>
      <c r="C93" s="9">
        <v>45684</v>
      </c>
      <c r="D93" s="50" t="s">
        <v>104</v>
      </c>
      <c r="E93" s="10">
        <v>120000</v>
      </c>
      <c r="F93" s="8">
        <v>0.028</v>
      </c>
      <c r="G93" s="11">
        <v>45721</v>
      </c>
      <c r="H93" s="12">
        <f t="shared" si="1"/>
        <v>3360</v>
      </c>
      <c r="I93" s="10" t="s">
        <v>10</v>
      </c>
      <c r="J93" s="13">
        <v>45691</v>
      </c>
      <c r="K93" t="s">
        <v>405</v>
      </c>
    </row>
    <row r="94" hidden="1" spans="1:11">
      <c r="A94" t="s">
        <v>319</v>
      </c>
      <c r="B94" s="8">
        <v>242502610</v>
      </c>
      <c r="C94" s="9">
        <v>45684</v>
      </c>
      <c r="D94" s="50" t="s">
        <v>104</v>
      </c>
      <c r="E94" s="10">
        <v>100000</v>
      </c>
      <c r="F94" s="8">
        <v>0.028</v>
      </c>
      <c r="G94" s="11">
        <v>45752</v>
      </c>
      <c r="H94" s="12">
        <f t="shared" si="1"/>
        <v>2800</v>
      </c>
      <c r="I94" s="10" t="s">
        <v>10</v>
      </c>
      <c r="J94" s="13">
        <v>45691</v>
      </c>
      <c r="K94" t="s">
        <v>405</v>
      </c>
    </row>
    <row r="95" hidden="1" spans="1:11">
      <c r="A95" t="s">
        <v>319</v>
      </c>
      <c r="B95" s="8">
        <v>242502610</v>
      </c>
      <c r="C95" s="9">
        <v>45684</v>
      </c>
      <c r="D95" s="50" t="s">
        <v>104</v>
      </c>
      <c r="E95" s="10">
        <v>80000</v>
      </c>
      <c r="F95" s="8">
        <v>0.028</v>
      </c>
      <c r="G95" s="11">
        <v>45813</v>
      </c>
      <c r="H95" s="12">
        <f t="shared" si="1"/>
        <v>2240</v>
      </c>
      <c r="I95" s="10" t="s">
        <v>10</v>
      </c>
      <c r="J95" s="13">
        <v>45691</v>
      </c>
      <c r="K95" t="s">
        <v>405</v>
      </c>
    </row>
    <row r="96" hidden="1" spans="1:11">
      <c r="A96" t="s">
        <v>319</v>
      </c>
      <c r="B96" s="8">
        <v>242502610</v>
      </c>
      <c r="C96" s="9">
        <v>45684</v>
      </c>
      <c r="D96" s="8" t="s">
        <v>67</v>
      </c>
      <c r="E96" s="10">
        <v>120000</v>
      </c>
      <c r="F96" s="8">
        <v>0.028</v>
      </c>
      <c r="G96" s="11">
        <v>45721</v>
      </c>
      <c r="H96" s="12">
        <f t="shared" si="1"/>
        <v>3360</v>
      </c>
      <c r="I96" s="10" t="s">
        <v>10</v>
      </c>
      <c r="J96" s="13">
        <v>45691</v>
      </c>
      <c r="K96" t="s">
        <v>405</v>
      </c>
    </row>
    <row r="97" hidden="1" spans="1:11">
      <c r="A97" t="s">
        <v>319</v>
      </c>
      <c r="B97" s="8">
        <v>242502610</v>
      </c>
      <c r="C97" s="9">
        <v>45684</v>
      </c>
      <c r="D97" s="8" t="s">
        <v>67</v>
      </c>
      <c r="E97" s="10">
        <v>100000</v>
      </c>
      <c r="F97" s="8">
        <v>0.028</v>
      </c>
      <c r="G97" s="11">
        <v>45752</v>
      </c>
      <c r="H97" s="12">
        <f t="shared" si="1"/>
        <v>2800</v>
      </c>
      <c r="I97" s="10" t="s">
        <v>10</v>
      </c>
      <c r="J97" s="13">
        <v>45691</v>
      </c>
      <c r="K97" t="s">
        <v>405</v>
      </c>
    </row>
    <row r="98" hidden="1" spans="1:11">
      <c r="A98" t="s">
        <v>319</v>
      </c>
      <c r="B98" s="8">
        <v>242502610</v>
      </c>
      <c r="C98" s="9">
        <v>45684</v>
      </c>
      <c r="D98" s="50" t="s">
        <v>18</v>
      </c>
      <c r="E98" s="10">
        <v>300000</v>
      </c>
      <c r="F98" s="8">
        <v>0.0238</v>
      </c>
      <c r="G98" s="11">
        <v>45738</v>
      </c>
      <c r="H98" s="12">
        <f t="shared" si="1"/>
        <v>7140</v>
      </c>
      <c r="I98" s="10" t="s">
        <v>10</v>
      </c>
      <c r="J98" s="13">
        <v>45691</v>
      </c>
      <c r="K98" t="s">
        <v>405</v>
      </c>
    </row>
    <row r="99" hidden="1" spans="1:11">
      <c r="A99" t="s">
        <v>319</v>
      </c>
      <c r="B99" s="8">
        <v>242502610</v>
      </c>
      <c r="C99" s="9">
        <v>45684</v>
      </c>
      <c r="D99" s="50" t="s">
        <v>18</v>
      </c>
      <c r="E99" s="10">
        <v>100000</v>
      </c>
      <c r="F99" s="8">
        <v>0.0238</v>
      </c>
      <c r="G99" s="11">
        <v>45769</v>
      </c>
      <c r="H99" s="12">
        <f t="shared" si="1"/>
        <v>2380</v>
      </c>
      <c r="I99" s="10" t="s">
        <v>10</v>
      </c>
      <c r="J99" s="13">
        <v>45691</v>
      </c>
      <c r="K99" t="s">
        <v>405</v>
      </c>
    </row>
    <row r="100" hidden="1" spans="1:11">
      <c r="A100" t="s">
        <v>319</v>
      </c>
      <c r="B100" s="8">
        <v>242502612</v>
      </c>
      <c r="C100" s="9">
        <v>45684</v>
      </c>
      <c r="D100" s="8" t="s">
        <v>282</v>
      </c>
      <c r="E100" s="10">
        <v>200000</v>
      </c>
      <c r="F100" s="8">
        <v>0.032</v>
      </c>
      <c r="G100" s="11">
        <v>45708</v>
      </c>
      <c r="H100" s="12">
        <f t="shared" si="1"/>
        <v>6400</v>
      </c>
      <c r="I100" s="10" t="s">
        <v>10</v>
      </c>
      <c r="J100" s="13">
        <v>45691</v>
      </c>
      <c r="K100" t="s">
        <v>392</v>
      </c>
    </row>
    <row r="101" hidden="1" spans="1:11">
      <c r="A101" t="s">
        <v>319</v>
      </c>
      <c r="B101" s="8">
        <v>242502612</v>
      </c>
      <c r="C101" s="9">
        <v>45684</v>
      </c>
      <c r="D101" s="8" t="s">
        <v>33</v>
      </c>
      <c r="E101" s="10">
        <v>150000</v>
      </c>
      <c r="F101" s="8">
        <v>0.02</v>
      </c>
      <c r="G101" s="11">
        <v>45708</v>
      </c>
      <c r="H101" s="12">
        <f t="shared" si="1"/>
        <v>3000</v>
      </c>
      <c r="I101" s="10" t="s">
        <v>10</v>
      </c>
      <c r="J101" s="13">
        <v>45694</v>
      </c>
      <c r="K101" t="s">
        <v>392</v>
      </c>
    </row>
    <row r="102" hidden="1" spans="1:11">
      <c r="A102" t="s">
        <v>319</v>
      </c>
      <c r="B102" s="8">
        <v>242502618</v>
      </c>
      <c r="C102" s="9">
        <v>45684</v>
      </c>
      <c r="D102" s="8" t="s">
        <v>226</v>
      </c>
      <c r="E102" s="10">
        <v>200000</v>
      </c>
      <c r="F102" s="8">
        <v>0.08</v>
      </c>
      <c r="G102" s="11">
        <v>45769</v>
      </c>
      <c r="H102" s="12">
        <f t="shared" si="1"/>
        <v>16000</v>
      </c>
      <c r="I102" s="10" t="s">
        <v>10</v>
      </c>
      <c r="J102" s="13">
        <v>45698</v>
      </c>
      <c r="K102" t="s">
        <v>486</v>
      </c>
    </row>
    <row r="103" hidden="1" spans="1:11">
      <c r="A103" t="s">
        <v>319</v>
      </c>
      <c r="B103" s="8">
        <v>242502629</v>
      </c>
      <c r="C103" s="9">
        <v>45685</v>
      </c>
      <c r="D103" s="8" t="s">
        <v>461</v>
      </c>
      <c r="E103" s="10">
        <v>20000</v>
      </c>
      <c r="F103" s="8">
        <v>0.08</v>
      </c>
      <c r="G103" s="11">
        <v>45782</v>
      </c>
      <c r="H103" s="12">
        <f t="shared" si="1"/>
        <v>1600</v>
      </c>
      <c r="I103" s="10" t="s">
        <v>10</v>
      </c>
      <c r="J103" s="13">
        <v>45691</v>
      </c>
      <c r="K103" t="s">
        <v>437</v>
      </c>
    </row>
    <row r="104" hidden="1" spans="1:11">
      <c r="A104" t="s">
        <v>319</v>
      </c>
      <c r="B104" s="8">
        <v>242502630</v>
      </c>
      <c r="C104" s="9">
        <v>45685</v>
      </c>
      <c r="D104" s="8" t="s">
        <v>42</v>
      </c>
      <c r="E104" s="10">
        <v>150000</v>
      </c>
      <c r="F104" s="8">
        <v>0.065</v>
      </c>
      <c r="G104" s="11">
        <v>45721</v>
      </c>
      <c r="H104" s="12">
        <f t="shared" si="1"/>
        <v>9750</v>
      </c>
      <c r="I104" s="10" t="s">
        <v>10</v>
      </c>
      <c r="J104" s="13">
        <v>45691</v>
      </c>
      <c r="K104" t="s">
        <v>337</v>
      </c>
    </row>
    <row r="105" hidden="1" spans="1:11">
      <c r="A105" t="s">
        <v>319</v>
      </c>
      <c r="B105" s="8">
        <v>242502630</v>
      </c>
      <c r="C105" s="9">
        <v>45685</v>
      </c>
      <c r="D105" s="8" t="s">
        <v>42</v>
      </c>
      <c r="E105" s="10">
        <v>150000</v>
      </c>
      <c r="F105" s="8">
        <v>0.065</v>
      </c>
      <c r="G105" s="11">
        <v>45782</v>
      </c>
      <c r="H105" s="12">
        <f t="shared" si="1"/>
        <v>9750</v>
      </c>
      <c r="I105" s="10" t="s">
        <v>10</v>
      </c>
      <c r="J105" s="13">
        <v>45691</v>
      </c>
      <c r="K105" t="s">
        <v>337</v>
      </c>
    </row>
    <row r="106" hidden="1" spans="1:11">
      <c r="A106" t="s">
        <v>319</v>
      </c>
      <c r="B106" s="8">
        <v>242502631</v>
      </c>
      <c r="C106" s="9">
        <v>45685</v>
      </c>
      <c r="D106" s="8" t="s">
        <v>30</v>
      </c>
      <c r="E106" s="10">
        <v>100000</v>
      </c>
      <c r="F106" s="8">
        <v>0.027</v>
      </c>
      <c r="G106" s="11">
        <v>45752</v>
      </c>
      <c r="H106" s="12">
        <f t="shared" si="1"/>
        <v>2700</v>
      </c>
      <c r="I106" s="10" t="s">
        <v>10</v>
      </c>
      <c r="J106" s="13">
        <v>45699</v>
      </c>
      <c r="K106" t="s">
        <v>365</v>
      </c>
    </row>
    <row r="107" hidden="1" spans="1:11">
      <c r="A107" t="s">
        <v>319</v>
      </c>
      <c r="B107" s="8">
        <v>242502632</v>
      </c>
      <c r="C107" s="9">
        <v>45685</v>
      </c>
      <c r="D107" s="50" t="s">
        <v>408</v>
      </c>
      <c r="E107" s="10">
        <v>40000</v>
      </c>
      <c r="F107" s="8">
        <v>0.0525</v>
      </c>
      <c r="G107" s="11">
        <v>45782</v>
      </c>
      <c r="H107" s="12">
        <f t="shared" si="1"/>
        <v>2100</v>
      </c>
      <c r="I107" s="10" t="s">
        <v>10</v>
      </c>
      <c r="J107" s="13">
        <v>45691</v>
      </c>
      <c r="K107" t="s">
        <v>365</v>
      </c>
    </row>
    <row r="108" hidden="1" spans="1:11">
      <c r="A108" t="s">
        <v>319</v>
      </c>
      <c r="B108" s="8">
        <v>242502633</v>
      </c>
      <c r="C108" s="9">
        <v>45685</v>
      </c>
      <c r="D108" s="8" t="s">
        <v>162</v>
      </c>
      <c r="E108" s="10">
        <v>100000</v>
      </c>
      <c r="F108" s="8">
        <v>0.065</v>
      </c>
      <c r="G108" s="11">
        <v>45721</v>
      </c>
      <c r="H108" s="12">
        <f t="shared" si="1"/>
        <v>6500</v>
      </c>
      <c r="I108" s="10" t="s">
        <v>10</v>
      </c>
      <c r="J108" s="13">
        <v>45708</v>
      </c>
      <c r="K108" t="s">
        <v>377</v>
      </c>
    </row>
    <row r="109" hidden="1" spans="1:11">
      <c r="A109" t="s">
        <v>319</v>
      </c>
      <c r="B109" s="8">
        <v>242502633</v>
      </c>
      <c r="C109" s="9">
        <v>45685</v>
      </c>
      <c r="D109" s="8" t="s">
        <v>162</v>
      </c>
      <c r="E109" s="10">
        <v>100000</v>
      </c>
      <c r="F109" s="8">
        <v>0.065</v>
      </c>
      <c r="G109" s="11">
        <v>45782</v>
      </c>
      <c r="H109" s="12">
        <f t="shared" si="1"/>
        <v>6500</v>
      </c>
      <c r="I109" s="10" t="s">
        <v>10</v>
      </c>
      <c r="J109" s="13">
        <v>45708</v>
      </c>
      <c r="K109" t="s">
        <v>377</v>
      </c>
    </row>
    <row r="110" hidden="1" spans="1:11">
      <c r="A110" t="s">
        <v>319</v>
      </c>
      <c r="B110" s="8">
        <v>242502633</v>
      </c>
      <c r="C110" s="9">
        <v>45685</v>
      </c>
      <c r="D110" s="8" t="s">
        <v>50</v>
      </c>
      <c r="E110" s="10">
        <v>60000</v>
      </c>
      <c r="F110" s="8">
        <v>0.08</v>
      </c>
      <c r="G110" s="11">
        <v>45752</v>
      </c>
      <c r="H110" s="12">
        <f t="shared" si="1"/>
        <v>4800</v>
      </c>
      <c r="I110" s="10" t="s">
        <v>10</v>
      </c>
      <c r="J110" s="13">
        <v>45708</v>
      </c>
      <c r="K110" t="s">
        <v>377</v>
      </c>
    </row>
    <row r="111" hidden="1" spans="1:11">
      <c r="A111" t="s">
        <v>319</v>
      </c>
      <c r="B111" s="8">
        <v>242502633</v>
      </c>
      <c r="C111" s="9">
        <v>45685</v>
      </c>
      <c r="D111" s="8" t="s">
        <v>487</v>
      </c>
      <c r="E111" s="10">
        <v>32000</v>
      </c>
      <c r="F111" s="8">
        <v>0.015</v>
      </c>
      <c r="G111" s="11">
        <v>45782</v>
      </c>
      <c r="H111" s="12">
        <f t="shared" si="1"/>
        <v>480</v>
      </c>
      <c r="I111" s="10" t="s">
        <v>10</v>
      </c>
      <c r="J111" s="13">
        <v>45708</v>
      </c>
      <c r="K111" t="s">
        <v>377</v>
      </c>
    </row>
    <row r="112" hidden="1" spans="1:11">
      <c r="A112" t="s">
        <v>319</v>
      </c>
      <c r="B112" s="59">
        <v>242502633</v>
      </c>
      <c r="C112" s="60">
        <v>45685</v>
      </c>
      <c r="D112" s="59" t="s">
        <v>105</v>
      </c>
      <c r="E112" s="61">
        <v>20000</v>
      </c>
      <c r="F112" s="59">
        <v>0.18</v>
      </c>
      <c r="G112" s="62">
        <v>45721</v>
      </c>
      <c r="H112" s="63">
        <f t="shared" si="1"/>
        <v>3600</v>
      </c>
      <c r="I112" s="61" t="s">
        <v>10</v>
      </c>
      <c r="J112" s="13">
        <v>45708</v>
      </c>
      <c r="K112" t="s">
        <v>377</v>
      </c>
    </row>
    <row r="113" hidden="1" spans="1:14">
      <c r="A113" t="s">
        <v>319</v>
      </c>
      <c r="B113" s="59">
        <v>242502633</v>
      </c>
      <c r="C113" s="60">
        <v>45685</v>
      </c>
      <c r="D113" s="59" t="s">
        <v>105</v>
      </c>
      <c r="E113" s="61">
        <v>20000</v>
      </c>
      <c r="F113" s="59">
        <v>0.18</v>
      </c>
      <c r="G113" s="62">
        <v>45782</v>
      </c>
      <c r="H113" s="63">
        <f t="shared" si="1"/>
        <v>3600</v>
      </c>
      <c r="I113" s="61" t="s">
        <v>10</v>
      </c>
      <c r="J113" s="13">
        <v>45708</v>
      </c>
      <c r="K113" t="s">
        <v>377</v>
      </c>
    </row>
    <row r="114" hidden="1" spans="1:14">
      <c r="A114" t="s">
        <v>319</v>
      </c>
      <c r="B114" s="8">
        <v>242502634</v>
      </c>
      <c r="C114" s="9">
        <v>45685</v>
      </c>
      <c r="D114" s="8" t="s">
        <v>482</v>
      </c>
      <c r="E114" s="10">
        <v>300000</v>
      </c>
      <c r="F114" s="8">
        <v>0.02049</v>
      </c>
      <c r="G114" s="11">
        <v>45721</v>
      </c>
      <c r="H114" s="12">
        <f t="shared" si="1"/>
        <v>6147</v>
      </c>
      <c r="I114" s="10" t="s">
        <v>10</v>
      </c>
      <c r="J114" s="13">
        <v>45694</v>
      </c>
      <c r="K114" t="s">
        <v>488</v>
      </c>
    </row>
    <row r="115" hidden="1" spans="1:14">
      <c r="A115" t="s">
        <v>319</v>
      </c>
      <c r="B115" s="8">
        <v>242502635</v>
      </c>
      <c r="C115" s="9">
        <v>45685</v>
      </c>
      <c r="D115" s="8" t="s">
        <v>30</v>
      </c>
      <c r="E115" s="10">
        <v>100000</v>
      </c>
      <c r="F115" s="8">
        <v>0.027</v>
      </c>
      <c r="G115" s="11">
        <v>45752</v>
      </c>
      <c r="H115" s="12">
        <f t="shared" si="1"/>
        <v>2700</v>
      </c>
      <c r="I115" s="10" t="s">
        <v>10</v>
      </c>
      <c r="J115" s="13">
        <v>45699</v>
      </c>
      <c r="K115" t="s">
        <v>382</v>
      </c>
    </row>
    <row r="116" hidden="1" spans="1:14">
      <c r="A116" t="s">
        <v>319</v>
      </c>
      <c r="B116" s="8">
        <v>242502649</v>
      </c>
      <c r="C116" s="9">
        <v>45686</v>
      </c>
      <c r="D116" s="8" t="s">
        <v>100</v>
      </c>
      <c r="E116" s="10">
        <v>200000</v>
      </c>
      <c r="F116" s="8">
        <v>0.028</v>
      </c>
      <c r="G116" s="11">
        <v>45769</v>
      </c>
      <c r="H116" s="12">
        <f t="shared" si="1"/>
        <v>5600</v>
      </c>
      <c r="I116" s="10" t="s">
        <v>10</v>
      </c>
      <c r="J116" s="13">
        <v>45691</v>
      </c>
      <c r="K116" t="s">
        <v>467</v>
      </c>
    </row>
    <row r="117" hidden="1" spans="1:14">
      <c r="A117" t="s">
        <v>319</v>
      </c>
      <c r="B117" s="8">
        <v>242502650</v>
      </c>
      <c r="C117" s="9">
        <v>45686</v>
      </c>
      <c r="D117" s="8" t="s">
        <v>425</v>
      </c>
      <c r="E117" s="10">
        <v>100000</v>
      </c>
      <c r="F117" s="8">
        <v>0.07</v>
      </c>
      <c r="G117" s="11">
        <v>45721</v>
      </c>
      <c r="H117" s="12">
        <f t="shared" si="1"/>
        <v>7000</v>
      </c>
      <c r="I117" s="10" t="s">
        <v>10</v>
      </c>
      <c r="J117" s="13">
        <v>45692</v>
      </c>
      <c r="K117" t="s">
        <v>489</v>
      </c>
    </row>
    <row r="118" hidden="1" spans="1:14">
      <c r="A118" t="s">
        <v>319</v>
      </c>
      <c r="B118" s="8">
        <v>242502650</v>
      </c>
      <c r="C118" s="9">
        <v>45686</v>
      </c>
      <c r="D118" s="8" t="s">
        <v>425</v>
      </c>
      <c r="E118" s="10">
        <v>100000</v>
      </c>
      <c r="F118" s="8">
        <v>0.07</v>
      </c>
      <c r="G118" s="11">
        <v>45752</v>
      </c>
      <c r="H118" s="12">
        <f t="shared" si="1"/>
        <v>7000</v>
      </c>
      <c r="I118" s="10" t="s">
        <v>10</v>
      </c>
      <c r="J118" s="13">
        <v>45692</v>
      </c>
      <c r="K118" t="s">
        <v>489</v>
      </c>
    </row>
    <row r="119" hidden="1" spans="1:14">
      <c r="A119" t="s">
        <v>319</v>
      </c>
      <c r="B119" s="8">
        <v>242502650</v>
      </c>
      <c r="C119" s="9">
        <v>45686</v>
      </c>
      <c r="D119" s="8" t="s">
        <v>425</v>
      </c>
      <c r="E119" s="10">
        <v>100000</v>
      </c>
      <c r="F119" s="8">
        <v>0.07</v>
      </c>
      <c r="G119" s="11">
        <v>45782</v>
      </c>
      <c r="H119" s="12">
        <f t="shared" si="1"/>
        <v>7000</v>
      </c>
      <c r="I119" s="10" t="s">
        <v>10</v>
      </c>
      <c r="J119" s="13">
        <v>45692</v>
      </c>
      <c r="K119" t="s">
        <v>489</v>
      </c>
    </row>
    <row r="120" hidden="1" spans="1:14">
      <c r="A120" t="s">
        <v>319</v>
      </c>
      <c r="B120" s="14">
        <v>242502683</v>
      </c>
      <c r="C120" s="13">
        <v>45691</v>
      </c>
      <c r="D120" s="14" t="s">
        <v>490</v>
      </c>
      <c r="E120" s="15">
        <v>2000</v>
      </c>
      <c r="F120" s="14">
        <v>0.032</v>
      </c>
      <c r="G120" s="16">
        <v>45710</v>
      </c>
      <c r="H120" s="17">
        <f t="shared" si="1"/>
        <v>64</v>
      </c>
      <c r="I120" s="15" t="s">
        <v>51</v>
      </c>
      <c r="J120" s="15"/>
      <c r="K120" t="s">
        <v>491</v>
      </c>
    </row>
    <row r="121" hidden="1" spans="1:14">
      <c r="A121" t="s">
        <v>319</v>
      </c>
      <c r="B121" s="14">
        <v>242502683</v>
      </c>
      <c r="C121" s="13">
        <v>45691</v>
      </c>
      <c r="D121" s="14" t="s">
        <v>492</v>
      </c>
      <c r="E121" s="15">
        <v>2000</v>
      </c>
      <c r="F121" s="14">
        <v>0.032</v>
      </c>
      <c r="G121" s="16">
        <v>45710</v>
      </c>
      <c r="H121" s="17">
        <f t="shared" si="1"/>
        <v>64</v>
      </c>
      <c r="I121" s="15" t="s">
        <v>51</v>
      </c>
      <c r="J121" s="15"/>
      <c r="K121" t="s">
        <v>491</v>
      </c>
    </row>
    <row r="122" hidden="1" spans="1:14">
      <c r="A122" t="s">
        <v>319</v>
      </c>
      <c r="B122" s="8">
        <v>242502684</v>
      </c>
      <c r="C122" s="9">
        <v>45691</v>
      </c>
      <c r="D122" s="8" t="s">
        <v>181</v>
      </c>
      <c r="E122" s="10">
        <v>20000</v>
      </c>
      <c r="F122" s="8">
        <v>0.027</v>
      </c>
      <c r="G122" s="11">
        <v>45769</v>
      </c>
      <c r="H122" s="12">
        <f t="shared" si="1"/>
        <v>540</v>
      </c>
      <c r="I122" s="10" t="s">
        <v>10</v>
      </c>
      <c r="J122" s="13">
        <v>45699</v>
      </c>
      <c r="K122" t="s">
        <v>493</v>
      </c>
      <c r="N122">
        <f>438000+62000</f>
        <v>500000</v>
      </c>
    </row>
    <row r="123" hidden="1" spans="1:14">
      <c r="A123" t="s">
        <v>319</v>
      </c>
      <c r="B123" s="8">
        <v>242502684</v>
      </c>
      <c r="C123" s="9">
        <v>45691</v>
      </c>
      <c r="D123" s="8" t="s">
        <v>58</v>
      </c>
      <c r="E123" s="10">
        <v>20000</v>
      </c>
      <c r="F123" s="8">
        <v>0.019</v>
      </c>
      <c r="G123" s="11">
        <v>45769</v>
      </c>
      <c r="H123" s="12">
        <f t="shared" si="1"/>
        <v>380</v>
      </c>
      <c r="I123" s="10" t="s">
        <v>10</v>
      </c>
      <c r="J123" s="13">
        <v>45699</v>
      </c>
      <c r="K123" t="s">
        <v>493</v>
      </c>
    </row>
    <row r="124" hidden="1" spans="1:14">
      <c r="A124" t="s">
        <v>319</v>
      </c>
      <c r="B124" s="8">
        <v>242502684</v>
      </c>
      <c r="C124" s="9">
        <v>45691</v>
      </c>
      <c r="D124" s="8" t="s">
        <v>181</v>
      </c>
      <c r="E124" s="10">
        <v>20000</v>
      </c>
      <c r="F124" s="8">
        <v>0.027</v>
      </c>
      <c r="G124" s="11">
        <v>45738</v>
      </c>
      <c r="H124" s="12">
        <f t="shared" si="1"/>
        <v>540</v>
      </c>
      <c r="I124" s="10" t="s">
        <v>10</v>
      </c>
      <c r="J124" s="13">
        <v>45699</v>
      </c>
      <c r="K124" t="s">
        <v>493</v>
      </c>
      <c r="N124">
        <f>103000+62000</f>
        <v>165000</v>
      </c>
    </row>
    <row r="125" hidden="1" spans="1:14">
      <c r="A125" t="s">
        <v>319</v>
      </c>
      <c r="B125" s="8">
        <v>242502684</v>
      </c>
      <c r="C125" s="9">
        <v>45691</v>
      </c>
      <c r="D125" s="8" t="s">
        <v>181</v>
      </c>
      <c r="E125" s="10">
        <v>24000</v>
      </c>
      <c r="F125" s="8">
        <v>0.027</v>
      </c>
      <c r="G125" s="11">
        <v>45738</v>
      </c>
      <c r="H125" s="12">
        <f t="shared" si="1"/>
        <v>648</v>
      </c>
      <c r="I125" s="10" t="s">
        <v>10</v>
      </c>
      <c r="J125" s="13">
        <v>45699</v>
      </c>
      <c r="K125" t="s">
        <v>493</v>
      </c>
    </row>
    <row r="126" hidden="1" spans="1:14">
      <c r="A126" t="s">
        <v>319</v>
      </c>
      <c r="B126" s="8">
        <v>242502684</v>
      </c>
      <c r="C126" s="9">
        <v>45691</v>
      </c>
      <c r="D126" s="8" t="s">
        <v>181</v>
      </c>
      <c r="E126" s="10">
        <v>20000</v>
      </c>
      <c r="F126" s="8">
        <v>0.027</v>
      </c>
      <c r="G126" s="11">
        <v>45721</v>
      </c>
      <c r="H126" s="12">
        <f t="shared" si="1"/>
        <v>540</v>
      </c>
      <c r="I126" s="10" t="s">
        <v>10</v>
      </c>
      <c r="J126" s="13">
        <v>45699</v>
      </c>
      <c r="K126" t="s">
        <v>493</v>
      </c>
    </row>
    <row r="127" hidden="1" spans="1:14">
      <c r="A127" t="s">
        <v>319</v>
      </c>
      <c r="B127" s="8">
        <v>242502685</v>
      </c>
      <c r="C127" s="9">
        <v>45691</v>
      </c>
      <c r="D127" s="8" t="s">
        <v>64</v>
      </c>
      <c r="E127" s="10">
        <v>20000</v>
      </c>
      <c r="F127" s="8">
        <v>0.052</v>
      </c>
      <c r="G127" s="11">
        <v>45710</v>
      </c>
      <c r="H127" s="12">
        <f t="shared" si="1"/>
        <v>1040</v>
      </c>
      <c r="I127" s="10" t="s">
        <v>10</v>
      </c>
      <c r="J127" s="13">
        <v>45699</v>
      </c>
      <c r="K127" t="s">
        <v>494</v>
      </c>
    </row>
    <row r="128" hidden="1" spans="1:14">
      <c r="A128" t="s">
        <v>319</v>
      </c>
      <c r="B128" s="8">
        <v>242502686</v>
      </c>
      <c r="C128" s="9">
        <v>45691</v>
      </c>
      <c r="D128" s="8" t="s">
        <v>426</v>
      </c>
      <c r="E128" s="10">
        <v>250000</v>
      </c>
      <c r="F128" s="8">
        <v>0.04</v>
      </c>
      <c r="G128" s="11">
        <v>45721</v>
      </c>
      <c r="H128" s="12">
        <f t="shared" si="1"/>
        <v>10000</v>
      </c>
      <c r="I128" s="10" t="s">
        <v>10</v>
      </c>
      <c r="J128" s="13">
        <v>45749</v>
      </c>
      <c r="K128" t="s">
        <v>495</v>
      </c>
    </row>
    <row r="129" hidden="1" spans="1:11">
      <c r="A129" t="s">
        <v>319</v>
      </c>
      <c r="B129" s="8">
        <v>242502686</v>
      </c>
      <c r="C129" s="9">
        <v>45691</v>
      </c>
      <c r="D129" s="8" t="s">
        <v>426</v>
      </c>
      <c r="E129" s="10">
        <v>250000</v>
      </c>
      <c r="F129" s="8">
        <v>0.04</v>
      </c>
      <c r="G129" s="11">
        <v>45752</v>
      </c>
      <c r="H129" s="12">
        <f t="shared" si="1"/>
        <v>10000</v>
      </c>
      <c r="I129" s="10" t="s">
        <v>10</v>
      </c>
      <c r="J129" s="13">
        <v>45749</v>
      </c>
      <c r="K129" t="s">
        <v>495</v>
      </c>
    </row>
    <row r="130" hidden="1" spans="1:11">
      <c r="A130" t="s">
        <v>319</v>
      </c>
      <c r="B130" s="8">
        <v>242502717</v>
      </c>
      <c r="C130" s="9">
        <v>45693</v>
      </c>
      <c r="D130" s="8" t="s">
        <v>426</v>
      </c>
      <c r="E130" s="10">
        <v>450000</v>
      </c>
      <c r="F130" s="8">
        <v>0.04</v>
      </c>
      <c r="G130" s="11">
        <v>45721</v>
      </c>
      <c r="H130" s="12">
        <f t="shared" ref="H130:H193" si="2">E130*F130</f>
        <v>18000</v>
      </c>
      <c r="I130" s="10" t="s">
        <v>10</v>
      </c>
      <c r="J130" s="13">
        <v>45695</v>
      </c>
      <c r="K130" t="s">
        <v>486</v>
      </c>
    </row>
    <row r="131" hidden="1" spans="1:11">
      <c r="A131" t="s">
        <v>319</v>
      </c>
      <c r="B131" s="8">
        <v>242502717</v>
      </c>
      <c r="C131" s="9">
        <v>45693</v>
      </c>
      <c r="D131" s="8" t="s">
        <v>426</v>
      </c>
      <c r="E131" s="10">
        <v>300000</v>
      </c>
      <c r="F131" s="8">
        <v>0.04</v>
      </c>
      <c r="G131" s="11">
        <v>45721</v>
      </c>
      <c r="H131" s="12">
        <f t="shared" si="2"/>
        <v>12000</v>
      </c>
      <c r="I131" s="10" t="s">
        <v>10</v>
      </c>
      <c r="J131" s="13">
        <v>45695</v>
      </c>
      <c r="K131" t="s">
        <v>486</v>
      </c>
    </row>
    <row r="132" hidden="1" spans="1:11">
      <c r="A132" t="s">
        <v>319</v>
      </c>
      <c r="B132" s="8">
        <v>242502717</v>
      </c>
      <c r="C132" s="9">
        <v>45693</v>
      </c>
      <c r="D132" s="8" t="s">
        <v>426</v>
      </c>
      <c r="E132" s="10">
        <v>450000</v>
      </c>
      <c r="F132" s="8">
        <v>0.04</v>
      </c>
      <c r="G132" s="11">
        <v>45752</v>
      </c>
      <c r="H132" s="12">
        <f t="shared" si="2"/>
        <v>18000</v>
      </c>
      <c r="I132" s="10" t="s">
        <v>10</v>
      </c>
      <c r="J132" s="13">
        <v>45695</v>
      </c>
      <c r="K132" t="s">
        <v>486</v>
      </c>
    </row>
    <row r="133" hidden="1" spans="1:11">
      <c r="A133" t="s">
        <v>319</v>
      </c>
      <c r="B133" s="8">
        <v>242502717</v>
      </c>
      <c r="C133" s="9">
        <v>45693</v>
      </c>
      <c r="D133" s="8" t="s">
        <v>426</v>
      </c>
      <c r="E133" s="10">
        <v>300000</v>
      </c>
      <c r="F133" s="8">
        <v>0.04</v>
      </c>
      <c r="G133" s="11">
        <v>45752</v>
      </c>
      <c r="H133" s="12">
        <f t="shared" si="2"/>
        <v>12000</v>
      </c>
      <c r="I133" s="10" t="s">
        <v>10</v>
      </c>
      <c r="J133" s="13">
        <v>45695</v>
      </c>
      <c r="K133" t="s">
        <v>486</v>
      </c>
    </row>
    <row r="134" hidden="1" spans="1:11">
      <c r="A134" t="s">
        <v>319</v>
      </c>
      <c r="B134" s="64">
        <v>242502718</v>
      </c>
      <c r="C134" s="65">
        <v>45693</v>
      </c>
      <c r="D134" s="8" t="s">
        <v>426</v>
      </c>
      <c r="E134" s="10">
        <v>350000</v>
      </c>
      <c r="F134" s="8">
        <v>0.04</v>
      </c>
      <c r="G134" s="11">
        <v>45721</v>
      </c>
      <c r="H134" s="12">
        <f t="shared" si="2"/>
        <v>14000</v>
      </c>
      <c r="I134" s="10" t="s">
        <v>10</v>
      </c>
      <c r="J134" s="13">
        <v>45700</v>
      </c>
      <c r="K134" t="s">
        <v>495</v>
      </c>
    </row>
    <row r="135" hidden="1" spans="1:11">
      <c r="A135" t="s">
        <v>319</v>
      </c>
      <c r="B135" s="64">
        <v>242502718</v>
      </c>
      <c r="C135" s="65">
        <v>45693</v>
      </c>
      <c r="D135" s="8" t="s">
        <v>426</v>
      </c>
      <c r="E135" s="10">
        <v>350000</v>
      </c>
      <c r="F135" s="8">
        <v>0.04</v>
      </c>
      <c r="G135" s="11">
        <v>45721</v>
      </c>
      <c r="H135" s="12">
        <f t="shared" si="2"/>
        <v>14000</v>
      </c>
      <c r="I135" s="10" t="s">
        <v>10</v>
      </c>
      <c r="J135" s="13">
        <v>45700</v>
      </c>
      <c r="K135" t="s">
        <v>495</v>
      </c>
    </row>
    <row r="136" hidden="1" spans="1:11">
      <c r="A136" t="s">
        <v>319</v>
      </c>
      <c r="B136" s="64">
        <v>242502718</v>
      </c>
      <c r="C136" s="65">
        <v>45693</v>
      </c>
      <c r="D136" s="8" t="s">
        <v>426</v>
      </c>
      <c r="E136" s="10">
        <v>350000</v>
      </c>
      <c r="F136" s="8">
        <v>0.04</v>
      </c>
      <c r="G136" s="11">
        <v>45752</v>
      </c>
      <c r="H136" s="12">
        <f t="shared" si="2"/>
        <v>14000</v>
      </c>
      <c r="I136" s="10" t="s">
        <v>10</v>
      </c>
      <c r="J136" s="13">
        <v>45700</v>
      </c>
      <c r="K136" t="s">
        <v>495</v>
      </c>
    </row>
    <row r="137" hidden="1" spans="1:11">
      <c r="A137" t="s">
        <v>319</v>
      </c>
      <c r="B137" s="64">
        <v>242502718</v>
      </c>
      <c r="C137" s="65">
        <v>45693</v>
      </c>
      <c r="D137" s="8" t="s">
        <v>426</v>
      </c>
      <c r="E137" s="10">
        <v>150000</v>
      </c>
      <c r="F137" s="8">
        <v>0.04</v>
      </c>
      <c r="G137" s="11">
        <v>45813</v>
      </c>
      <c r="H137" s="12">
        <f t="shared" si="2"/>
        <v>6000</v>
      </c>
      <c r="I137" s="10" t="s">
        <v>10</v>
      </c>
      <c r="J137" s="13">
        <v>45699</v>
      </c>
      <c r="K137" t="s">
        <v>495</v>
      </c>
    </row>
    <row r="138" hidden="1" spans="1:11">
      <c r="A138" t="s">
        <v>319</v>
      </c>
      <c r="B138" s="8">
        <v>242502719</v>
      </c>
      <c r="C138" s="9">
        <v>45693</v>
      </c>
      <c r="D138" s="8" t="s">
        <v>426</v>
      </c>
      <c r="E138" s="10">
        <v>450000</v>
      </c>
      <c r="F138" s="8">
        <v>0.04</v>
      </c>
      <c r="G138" s="11">
        <v>45721</v>
      </c>
      <c r="H138" s="12">
        <f t="shared" si="2"/>
        <v>18000</v>
      </c>
      <c r="I138" s="10" t="s">
        <v>10</v>
      </c>
      <c r="J138" s="13">
        <v>45700</v>
      </c>
      <c r="K138" t="s">
        <v>496</v>
      </c>
    </row>
    <row r="139" hidden="1" spans="1:11">
      <c r="A139" t="s">
        <v>319</v>
      </c>
      <c r="B139" s="8">
        <v>242502719</v>
      </c>
      <c r="C139" s="9">
        <v>45693</v>
      </c>
      <c r="D139" s="8" t="s">
        <v>426</v>
      </c>
      <c r="E139" s="10">
        <v>450000</v>
      </c>
      <c r="F139" s="8">
        <v>0.04</v>
      </c>
      <c r="G139" s="11">
        <v>45721</v>
      </c>
      <c r="H139" s="12">
        <f t="shared" si="2"/>
        <v>18000</v>
      </c>
      <c r="I139" s="10" t="s">
        <v>10</v>
      </c>
      <c r="J139" s="13">
        <v>45700</v>
      </c>
      <c r="K139" t="s">
        <v>496</v>
      </c>
    </row>
    <row r="140" hidden="1" spans="1:11">
      <c r="A140" t="s">
        <v>319</v>
      </c>
      <c r="B140" s="8">
        <v>242502719</v>
      </c>
      <c r="C140" s="9">
        <v>45693</v>
      </c>
      <c r="D140" s="8" t="s">
        <v>426</v>
      </c>
      <c r="E140" s="10">
        <v>450000</v>
      </c>
      <c r="F140" s="8">
        <v>0.04</v>
      </c>
      <c r="G140" s="11">
        <v>45752</v>
      </c>
      <c r="H140" s="12">
        <f t="shared" si="2"/>
        <v>18000</v>
      </c>
      <c r="I140" s="10" t="s">
        <v>10</v>
      </c>
      <c r="J140" s="13">
        <v>45700</v>
      </c>
      <c r="K140" t="s">
        <v>496</v>
      </c>
    </row>
    <row r="141" hidden="1" spans="1:11">
      <c r="A141" t="s">
        <v>319</v>
      </c>
      <c r="B141" s="8">
        <v>242502720</v>
      </c>
      <c r="C141" s="9">
        <v>45693</v>
      </c>
      <c r="D141" s="50" t="s">
        <v>11</v>
      </c>
      <c r="E141" s="10">
        <v>200000</v>
      </c>
      <c r="F141" s="8">
        <v>0.04</v>
      </c>
      <c r="G141" s="11">
        <v>45752</v>
      </c>
      <c r="H141" s="12">
        <f t="shared" si="2"/>
        <v>8000</v>
      </c>
      <c r="I141" s="10" t="s">
        <v>10</v>
      </c>
      <c r="J141" s="13">
        <v>45749</v>
      </c>
      <c r="K141" t="s">
        <v>467</v>
      </c>
    </row>
    <row r="142" hidden="1" spans="1:11">
      <c r="A142" t="s">
        <v>319</v>
      </c>
      <c r="B142" s="8">
        <v>242502737</v>
      </c>
      <c r="C142" s="9">
        <v>45693</v>
      </c>
      <c r="D142" s="8" t="s">
        <v>426</v>
      </c>
      <c r="E142" s="10">
        <v>450000</v>
      </c>
      <c r="F142" s="8">
        <v>0.032</v>
      </c>
      <c r="G142" s="11">
        <v>45752</v>
      </c>
      <c r="H142" s="12">
        <f t="shared" si="2"/>
        <v>14400</v>
      </c>
      <c r="I142" s="10" t="s">
        <v>10</v>
      </c>
      <c r="J142" s="13">
        <v>45789</v>
      </c>
      <c r="K142" t="s">
        <v>486</v>
      </c>
    </row>
    <row r="143" hidden="1" spans="1:11">
      <c r="A143" t="s">
        <v>319</v>
      </c>
      <c r="B143" s="8">
        <v>242502737</v>
      </c>
      <c r="C143" s="9">
        <v>45693</v>
      </c>
      <c r="D143" s="8" t="s">
        <v>426</v>
      </c>
      <c r="E143" s="10">
        <v>300000</v>
      </c>
      <c r="F143" s="8">
        <v>0.032</v>
      </c>
      <c r="G143" s="11">
        <v>45752</v>
      </c>
      <c r="H143" s="12">
        <f t="shared" si="2"/>
        <v>9600</v>
      </c>
      <c r="I143" s="10" t="s">
        <v>10</v>
      </c>
      <c r="J143" s="13">
        <v>45789</v>
      </c>
      <c r="K143" t="s">
        <v>486</v>
      </c>
    </row>
    <row r="144" hidden="1" spans="1:11">
      <c r="A144" t="s">
        <v>319</v>
      </c>
      <c r="B144" s="8">
        <v>242502738</v>
      </c>
      <c r="C144" s="9">
        <v>45693</v>
      </c>
      <c r="D144" s="8" t="s">
        <v>426</v>
      </c>
      <c r="E144" s="10">
        <v>450000</v>
      </c>
      <c r="F144" s="8">
        <v>0.032</v>
      </c>
      <c r="G144" s="11">
        <v>45752</v>
      </c>
      <c r="H144" s="12">
        <f t="shared" si="2"/>
        <v>14400</v>
      </c>
      <c r="I144" s="10" t="s">
        <v>10</v>
      </c>
      <c r="J144" s="13">
        <v>45789</v>
      </c>
      <c r="K144" t="s">
        <v>489</v>
      </c>
    </row>
    <row r="145" hidden="1" spans="1:11">
      <c r="A145" t="s">
        <v>319</v>
      </c>
      <c r="B145" s="8">
        <v>242502739</v>
      </c>
      <c r="C145" s="9">
        <v>45693</v>
      </c>
      <c r="D145" s="8" t="s">
        <v>425</v>
      </c>
      <c r="E145" s="10">
        <v>130000</v>
      </c>
      <c r="F145" s="8">
        <v>0.07</v>
      </c>
      <c r="G145" s="11">
        <v>45752</v>
      </c>
      <c r="H145" s="12">
        <f t="shared" si="2"/>
        <v>9100</v>
      </c>
      <c r="I145" s="10" t="s">
        <v>10</v>
      </c>
      <c r="J145" s="13">
        <v>45717</v>
      </c>
      <c r="K145" t="s">
        <v>489</v>
      </c>
    </row>
    <row r="146" hidden="1" spans="1:11">
      <c r="A146" t="s">
        <v>319</v>
      </c>
      <c r="B146" s="8">
        <v>242502748</v>
      </c>
      <c r="C146" s="9">
        <v>45693</v>
      </c>
      <c r="D146" s="8" t="s">
        <v>426</v>
      </c>
      <c r="E146" s="10">
        <v>400000</v>
      </c>
      <c r="F146" s="8">
        <v>0.032</v>
      </c>
      <c r="G146" s="11">
        <v>45721</v>
      </c>
      <c r="H146" s="12">
        <f t="shared" si="2"/>
        <v>12800</v>
      </c>
      <c r="I146" s="10" t="s">
        <v>10</v>
      </c>
      <c r="J146" s="13">
        <v>45789</v>
      </c>
      <c r="K146" t="s">
        <v>431</v>
      </c>
    </row>
    <row r="147" hidden="1" spans="1:11">
      <c r="A147" t="s">
        <v>319</v>
      </c>
      <c r="B147" s="8">
        <v>242502748</v>
      </c>
      <c r="C147" s="9">
        <v>45693</v>
      </c>
      <c r="D147" s="8" t="s">
        <v>426</v>
      </c>
      <c r="E147" s="10">
        <v>400000</v>
      </c>
      <c r="F147" s="8">
        <v>0.032</v>
      </c>
      <c r="G147" s="11">
        <v>45752</v>
      </c>
      <c r="H147" s="12">
        <f t="shared" si="2"/>
        <v>12800</v>
      </c>
      <c r="I147" s="10" t="s">
        <v>10</v>
      </c>
      <c r="J147" s="13">
        <v>45789</v>
      </c>
      <c r="K147" t="s">
        <v>431</v>
      </c>
    </row>
    <row r="148" hidden="1" spans="1:11">
      <c r="A148" t="s">
        <v>319</v>
      </c>
      <c r="B148" s="8">
        <v>242502749</v>
      </c>
      <c r="C148" s="9">
        <v>45693</v>
      </c>
      <c r="D148" s="8" t="s">
        <v>39</v>
      </c>
      <c r="E148" s="10">
        <v>400000</v>
      </c>
      <c r="F148" s="8">
        <v>0.022</v>
      </c>
      <c r="G148" s="11">
        <v>45721</v>
      </c>
      <c r="H148" s="12">
        <f t="shared" si="2"/>
        <v>8800</v>
      </c>
      <c r="I148" s="10" t="s">
        <v>10</v>
      </c>
      <c r="J148" s="13">
        <v>45721</v>
      </c>
      <c r="K148" t="s">
        <v>431</v>
      </c>
    </row>
    <row r="149" hidden="1" spans="1:11">
      <c r="A149" t="s">
        <v>319</v>
      </c>
      <c r="B149" s="8">
        <v>242502749</v>
      </c>
      <c r="C149" s="9">
        <v>45693</v>
      </c>
      <c r="D149" s="8" t="s">
        <v>39</v>
      </c>
      <c r="E149" s="10">
        <v>400000</v>
      </c>
      <c r="F149" s="8">
        <v>0.022</v>
      </c>
      <c r="G149" s="11">
        <v>45721</v>
      </c>
      <c r="H149" s="12">
        <f t="shared" si="2"/>
        <v>8800</v>
      </c>
      <c r="I149" s="10" t="s">
        <v>10</v>
      </c>
      <c r="J149" s="13">
        <v>45721</v>
      </c>
      <c r="K149" t="s">
        <v>431</v>
      </c>
    </row>
    <row r="150" hidden="1" spans="1:11">
      <c r="A150" t="s">
        <v>319</v>
      </c>
      <c r="B150" s="8">
        <v>242502749</v>
      </c>
      <c r="C150" s="9">
        <v>45693</v>
      </c>
      <c r="D150" s="8" t="s">
        <v>39</v>
      </c>
      <c r="E150" s="10">
        <v>400000</v>
      </c>
      <c r="F150" s="8">
        <v>0.022</v>
      </c>
      <c r="G150" s="11">
        <v>45752</v>
      </c>
      <c r="H150" s="12">
        <f t="shared" si="2"/>
        <v>8800</v>
      </c>
      <c r="I150" s="10" t="s">
        <v>10</v>
      </c>
      <c r="J150" s="13">
        <v>45721</v>
      </c>
      <c r="K150" t="s">
        <v>431</v>
      </c>
    </row>
    <row r="151" hidden="1" spans="1:11">
      <c r="A151" t="s">
        <v>319</v>
      </c>
      <c r="B151" s="8">
        <v>242502749</v>
      </c>
      <c r="C151" s="9">
        <v>45693</v>
      </c>
      <c r="D151" s="8" t="s">
        <v>39</v>
      </c>
      <c r="E151" s="10">
        <v>400000</v>
      </c>
      <c r="F151" s="8">
        <v>0.022</v>
      </c>
      <c r="G151" s="11">
        <v>45752</v>
      </c>
      <c r="H151" s="12">
        <f t="shared" si="2"/>
        <v>8800</v>
      </c>
      <c r="I151" s="10" t="s">
        <v>10</v>
      </c>
      <c r="J151" s="13">
        <v>45721</v>
      </c>
      <c r="K151" t="s">
        <v>431</v>
      </c>
    </row>
    <row r="152" hidden="1" spans="1:11">
      <c r="A152" t="s">
        <v>319</v>
      </c>
      <c r="B152" s="8">
        <v>242502749</v>
      </c>
      <c r="C152" s="9">
        <v>45693</v>
      </c>
      <c r="D152" s="8" t="s">
        <v>39</v>
      </c>
      <c r="E152" s="10">
        <v>400000</v>
      </c>
      <c r="F152" s="8">
        <v>0.022</v>
      </c>
      <c r="G152" s="11">
        <v>45752</v>
      </c>
      <c r="H152" s="12">
        <f t="shared" si="2"/>
        <v>8800</v>
      </c>
      <c r="I152" s="10" t="s">
        <v>10</v>
      </c>
      <c r="J152" s="13">
        <v>45721</v>
      </c>
      <c r="K152" t="s">
        <v>431</v>
      </c>
    </row>
    <row r="153" hidden="1" spans="1:11">
      <c r="A153" t="s">
        <v>319</v>
      </c>
      <c r="B153" s="8">
        <v>242502749</v>
      </c>
      <c r="C153" s="9">
        <v>45693</v>
      </c>
      <c r="D153" s="8" t="s">
        <v>39</v>
      </c>
      <c r="E153" s="10">
        <v>400000</v>
      </c>
      <c r="F153" s="8">
        <v>0.022</v>
      </c>
      <c r="G153" s="11">
        <v>45752</v>
      </c>
      <c r="H153" s="12">
        <f t="shared" si="2"/>
        <v>8800</v>
      </c>
      <c r="I153" s="10" t="s">
        <v>10</v>
      </c>
      <c r="J153" s="13">
        <v>45721</v>
      </c>
      <c r="K153" t="s">
        <v>431</v>
      </c>
    </row>
    <row r="154" hidden="1" spans="1:11">
      <c r="A154" t="s">
        <v>319</v>
      </c>
      <c r="B154" s="8">
        <v>242502750</v>
      </c>
      <c r="C154" s="9">
        <v>45693</v>
      </c>
      <c r="D154" s="8" t="s">
        <v>39</v>
      </c>
      <c r="E154" s="10">
        <v>400000</v>
      </c>
      <c r="F154" s="8">
        <v>0.022</v>
      </c>
      <c r="G154" s="11">
        <v>45782</v>
      </c>
      <c r="H154" s="12">
        <f t="shared" si="2"/>
        <v>8800</v>
      </c>
      <c r="I154" s="10" t="s">
        <v>10</v>
      </c>
      <c r="J154" s="13">
        <v>45707</v>
      </c>
      <c r="K154" t="s">
        <v>431</v>
      </c>
    </row>
    <row r="155" hidden="1" spans="1:11">
      <c r="A155" t="s">
        <v>319</v>
      </c>
      <c r="B155" s="8">
        <v>242502750</v>
      </c>
      <c r="C155" s="9">
        <v>45693</v>
      </c>
      <c r="D155" s="8" t="s">
        <v>39</v>
      </c>
      <c r="E155" s="10">
        <v>400000</v>
      </c>
      <c r="F155" s="8">
        <v>0.022</v>
      </c>
      <c r="G155" s="11">
        <v>45782</v>
      </c>
      <c r="H155" s="12">
        <f t="shared" si="2"/>
        <v>8800</v>
      </c>
      <c r="I155" s="10" t="s">
        <v>10</v>
      </c>
      <c r="J155" s="13">
        <v>45707</v>
      </c>
      <c r="K155" t="s">
        <v>431</v>
      </c>
    </row>
    <row r="156" hidden="1" spans="1:11">
      <c r="A156" t="s">
        <v>319</v>
      </c>
      <c r="B156" s="8">
        <v>242502750</v>
      </c>
      <c r="C156" s="9">
        <v>45693</v>
      </c>
      <c r="D156" s="8" t="s">
        <v>425</v>
      </c>
      <c r="E156" s="10">
        <v>20000</v>
      </c>
      <c r="F156" s="8">
        <v>0.07</v>
      </c>
      <c r="G156" s="11">
        <v>45782</v>
      </c>
      <c r="H156" s="12">
        <f t="shared" si="2"/>
        <v>1400</v>
      </c>
      <c r="I156" s="10" t="s">
        <v>10</v>
      </c>
      <c r="J156" s="13">
        <v>45707</v>
      </c>
      <c r="K156" t="s">
        <v>431</v>
      </c>
    </row>
    <row r="157" hidden="1" spans="1:11">
      <c r="A157" t="s">
        <v>319</v>
      </c>
      <c r="B157" s="8">
        <v>242502750</v>
      </c>
      <c r="C157" s="9">
        <v>45693</v>
      </c>
      <c r="D157" s="8" t="s">
        <v>425</v>
      </c>
      <c r="E157" s="10">
        <v>20000</v>
      </c>
      <c r="F157" s="8">
        <v>0.07</v>
      </c>
      <c r="G157" s="11">
        <v>45782</v>
      </c>
      <c r="H157" s="12">
        <f t="shared" si="2"/>
        <v>1400</v>
      </c>
      <c r="I157" s="10" t="s">
        <v>10</v>
      </c>
      <c r="J157" s="13">
        <v>45707</v>
      </c>
      <c r="K157" t="s">
        <v>431</v>
      </c>
    </row>
    <row r="158" hidden="1" spans="1:11">
      <c r="A158" t="s">
        <v>319</v>
      </c>
      <c r="B158" s="8">
        <v>242502754</v>
      </c>
      <c r="C158" s="9">
        <v>45694</v>
      </c>
      <c r="D158" s="8" t="s">
        <v>497</v>
      </c>
      <c r="E158" s="10">
        <v>10000</v>
      </c>
      <c r="F158" s="8">
        <v>0.17</v>
      </c>
      <c r="G158" s="11">
        <v>45710</v>
      </c>
      <c r="H158" s="12">
        <f t="shared" si="2"/>
        <v>1700</v>
      </c>
      <c r="I158" s="10" t="s">
        <v>10</v>
      </c>
      <c r="J158" s="13">
        <v>45702</v>
      </c>
      <c r="K158" t="s">
        <v>377</v>
      </c>
    </row>
    <row r="159" hidden="1" spans="1:11">
      <c r="A159" t="s">
        <v>319</v>
      </c>
      <c r="B159" s="8">
        <v>242502754</v>
      </c>
      <c r="C159" s="9">
        <v>45694</v>
      </c>
      <c r="D159" s="8" t="s">
        <v>497</v>
      </c>
      <c r="E159" s="10">
        <v>10000</v>
      </c>
      <c r="F159" s="8">
        <v>0.17</v>
      </c>
      <c r="G159" s="11">
        <v>45710</v>
      </c>
      <c r="H159" s="12">
        <f t="shared" si="2"/>
        <v>1700</v>
      </c>
      <c r="I159" s="10" t="s">
        <v>10</v>
      </c>
      <c r="J159" s="13">
        <v>45702</v>
      </c>
      <c r="K159" t="s">
        <v>377</v>
      </c>
    </row>
    <row r="160" hidden="1" spans="1:11">
      <c r="A160" t="s">
        <v>319</v>
      </c>
      <c r="B160" s="8">
        <v>242502757</v>
      </c>
      <c r="C160" s="9">
        <v>45694</v>
      </c>
      <c r="D160" s="8" t="s">
        <v>36</v>
      </c>
      <c r="E160" s="10">
        <v>129000</v>
      </c>
      <c r="F160" s="8">
        <v>0.0082</v>
      </c>
      <c r="G160" s="11">
        <v>45752</v>
      </c>
      <c r="H160" s="12">
        <f t="shared" si="2"/>
        <v>1057.8</v>
      </c>
      <c r="I160" s="10" t="s">
        <v>10</v>
      </c>
      <c r="J160" s="13">
        <v>45699</v>
      </c>
    </row>
    <row r="161" hidden="1" spans="1:14">
      <c r="A161" t="s">
        <v>319</v>
      </c>
      <c r="B161" s="8">
        <v>242502757</v>
      </c>
      <c r="C161" s="9">
        <v>45694</v>
      </c>
      <c r="D161" s="8" t="s">
        <v>36</v>
      </c>
      <c r="E161" s="10">
        <v>129000</v>
      </c>
      <c r="F161" s="8">
        <v>0.0082</v>
      </c>
      <c r="G161" s="11">
        <v>45782</v>
      </c>
      <c r="H161" s="12">
        <f t="shared" si="2"/>
        <v>1057.8</v>
      </c>
      <c r="I161" s="10" t="s">
        <v>10</v>
      </c>
      <c r="J161" s="13">
        <v>45699</v>
      </c>
    </row>
    <row r="162" hidden="1" spans="1:14">
      <c r="A162" t="s">
        <v>319</v>
      </c>
      <c r="B162" s="8">
        <v>242502814</v>
      </c>
      <c r="C162" s="9">
        <v>45699</v>
      </c>
      <c r="D162" s="8" t="s">
        <v>498</v>
      </c>
      <c r="E162" s="10">
        <v>20000</v>
      </c>
      <c r="F162" s="8">
        <v>0.06</v>
      </c>
      <c r="G162" s="11">
        <v>45721</v>
      </c>
      <c r="H162" s="12">
        <f t="shared" si="2"/>
        <v>1200</v>
      </c>
      <c r="I162" s="10" t="s">
        <v>10</v>
      </c>
      <c r="J162" s="13">
        <v>45700</v>
      </c>
    </row>
    <row r="163" hidden="1" spans="1:14">
      <c r="A163" t="s">
        <v>319</v>
      </c>
      <c r="B163" s="8">
        <v>242502818</v>
      </c>
      <c r="C163" s="9">
        <v>45699</v>
      </c>
      <c r="D163" s="8" t="s">
        <v>9</v>
      </c>
      <c r="E163" s="10">
        <v>40000</v>
      </c>
      <c r="F163" s="8">
        <v>0.0254</v>
      </c>
      <c r="G163" s="11">
        <v>45720</v>
      </c>
      <c r="H163" s="12">
        <f t="shared" si="2"/>
        <v>1016</v>
      </c>
      <c r="I163" s="10" t="s">
        <v>10</v>
      </c>
      <c r="J163" s="13">
        <v>45700</v>
      </c>
    </row>
    <row r="164" hidden="1" spans="1:14">
      <c r="A164" t="s">
        <v>319</v>
      </c>
      <c r="B164" s="8">
        <v>242502818</v>
      </c>
      <c r="C164" s="9">
        <v>45699</v>
      </c>
      <c r="D164" s="8" t="s">
        <v>9</v>
      </c>
      <c r="E164" s="10">
        <v>20000</v>
      </c>
      <c r="F164" s="8">
        <v>0.0254</v>
      </c>
      <c r="G164" s="11">
        <v>45752</v>
      </c>
      <c r="H164" s="12">
        <f t="shared" si="2"/>
        <v>508</v>
      </c>
      <c r="I164" s="10" t="s">
        <v>10</v>
      </c>
      <c r="J164" s="13">
        <v>45700</v>
      </c>
    </row>
    <row r="165" hidden="1" spans="1:14">
      <c r="A165" t="s">
        <v>319</v>
      </c>
      <c r="B165" s="8">
        <v>242502818</v>
      </c>
      <c r="C165" s="9">
        <v>45699</v>
      </c>
      <c r="D165" s="8" t="s">
        <v>9</v>
      </c>
      <c r="E165" s="10">
        <v>20000</v>
      </c>
      <c r="F165" s="8">
        <v>0.0254</v>
      </c>
      <c r="G165" s="11">
        <v>45813</v>
      </c>
      <c r="H165" s="12">
        <f t="shared" si="2"/>
        <v>508</v>
      </c>
      <c r="I165" s="10" t="s">
        <v>10</v>
      </c>
      <c r="J165" s="13">
        <v>45700</v>
      </c>
    </row>
    <row r="166" hidden="1" spans="1:14">
      <c r="A166" t="s">
        <v>319</v>
      </c>
      <c r="B166" s="8">
        <v>242502823</v>
      </c>
      <c r="C166" s="9">
        <v>45699</v>
      </c>
      <c r="D166" s="8" t="s">
        <v>45</v>
      </c>
      <c r="E166" s="10">
        <v>200000</v>
      </c>
      <c r="F166" s="8">
        <v>0.024</v>
      </c>
      <c r="G166" s="11">
        <v>45752</v>
      </c>
      <c r="H166" s="12">
        <f t="shared" si="2"/>
        <v>4800</v>
      </c>
      <c r="I166" s="10" t="s">
        <v>10</v>
      </c>
      <c r="J166" s="13">
        <v>45792</v>
      </c>
      <c r="K166" t="s">
        <v>499</v>
      </c>
      <c r="M166">
        <f>895050+52000</f>
        <v>947050</v>
      </c>
    </row>
    <row r="167" hidden="1" spans="1:14">
      <c r="A167" t="s">
        <v>319</v>
      </c>
      <c r="B167" s="8">
        <v>242502823</v>
      </c>
      <c r="C167" s="9">
        <v>45699</v>
      </c>
      <c r="D167" s="8" t="s">
        <v>45</v>
      </c>
      <c r="E167" s="10">
        <v>200000</v>
      </c>
      <c r="F167" s="8">
        <v>0.024</v>
      </c>
      <c r="G167" s="11">
        <v>45782</v>
      </c>
      <c r="H167" s="12">
        <f t="shared" si="2"/>
        <v>4800</v>
      </c>
      <c r="I167" s="10" t="s">
        <v>10</v>
      </c>
      <c r="J167" s="13">
        <v>45792</v>
      </c>
      <c r="K167" t="s">
        <v>499</v>
      </c>
    </row>
    <row r="168" hidden="1" spans="1:14">
      <c r="A168" t="s">
        <v>319</v>
      </c>
      <c r="B168" s="8">
        <v>242502824</v>
      </c>
      <c r="C168" s="9">
        <v>45699</v>
      </c>
      <c r="D168" s="8" t="s">
        <v>39</v>
      </c>
      <c r="E168" s="10">
        <v>400000</v>
      </c>
      <c r="F168" s="8">
        <v>0.022</v>
      </c>
      <c r="G168" s="11">
        <v>45782</v>
      </c>
      <c r="H168" s="12">
        <f t="shared" si="2"/>
        <v>8800</v>
      </c>
      <c r="I168" s="10" t="s">
        <v>10</v>
      </c>
      <c r="J168" s="13">
        <v>45793</v>
      </c>
      <c r="K168" t="s">
        <v>337</v>
      </c>
    </row>
    <row r="169" hidden="1" spans="1:14">
      <c r="A169" t="s">
        <v>319</v>
      </c>
      <c r="B169" s="8">
        <v>242502824</v>
      </c>
      <c r="C169" s="9">
        <v>45699</v>
      </c>
      <c r="D169" s="8" t="s">
        <v>39</v>
      </c>
      <c r="E169" s="10">
        <v>500000</v>
      </c>
      <c r="F169" s="8">
        <v>0.022</v>
      </c>
      <c r="G169" s="11">
        <v>45813</v>
      </c>
      <c r="H169" s="12">
        <f t="shared" si="2"/>
        <v>11000</v>
      </c>
      <c r="I169" s="10" t="s">
        <v>10</v>
      </c>
      <c r="J169" s="13">
        <v>45793</v>
      </c>
      <c r="K169" t="s">
        <v>337</v>
      </c>
    </row>
    <row r="170" hidden="1" spans="1:14">
      <c r="A170" t="s">
        <v>319</v>
      </c>
      <c r="B170" s="8">
        <v>242502824</v>
      </c>
      <c r="C170" s="9">
        <v>45699</v>
      </c>
      <c r="D170" s="8" t="s">
        <v>39</v>
      </c>
      <c r="E170" s="10">
        <v>500000</v>
      </c>
      <c r="F170" s="8">
        <v>0.022</v>
      </c>
      <c r="G170" s="11">
        <v>45843</v>
      </c>
      <c r="H170" s="12">
        <f t="shared" si="2"/>
        <v>11000</v>
      </c>
      <c r="I170" s="10" t="s">
        <v>10</v>
      </c>
      <c r="J170" s="13">
        <v>45793</v>
      </c>
      <c r="K170" t="s">
        <v>337</v>
      </c>
    </row>
    <row r="171" hidden="1" spans="1:14">
      <c r="A171" t="s">
        <v>319</v>
      </c>
      <c r="B171" s="8">
        <v>242502824</v>
      </c>
      <c r="C171" s="9">
        <v>45699</v>
      </c>
      <c r="D171" s="8" t="s">
        <v>45</v>
      </c>
      <c r="E171" s="10">
        <v>200000</v>
      </c>
      <c r="F171" s="8">
        <v>0.024</v>
      </c>
      <c r="G171" s="11">
        <v>45782</v>
      </c>
      <c r="H171" s="12">
        <f t="shared" si="2"/>
        <v>4800</v>
      </c>
      <c r="I171" s="10" t="s">
        <v>10</v>
      </c>
      <c r="J171" s="13">
        <v>45778</v>
      </c>
      <c r="K171" t="s">
        <v>337</v>
      </c>
    </row>
    <row r="172" hidden="1" spans="1:14">
      <c r="A172" t="s">
        <v>319</v>
      </c>
      <c r="B172" s="8">
        <v>242502825</v>
      </c>
      <c r="C172" s="9">
        <v>45699</v>
      </c>
      <c r="D172" s="8" t="s">
        <v>226</v>
      </c>
      <c r="E172" s="10">
        <v>100000</v>
      </c>
      <c r="F172" s="8">
        <v>0.08</v>
      </c>
      <c r="G172" s="11">
        <v>45721</v>
      </c>
      <c r="H172" s="12">
        <f t="shared" si="2"/>
        <v>8000</v>
      </c>
      <c r="I172" s="10" t="s">
        <v>10</v>
      </c>
      <c r="J172" s="13">
        <v>45708</v>
      </c>
      <c r="K172" t="s">
        <v>337</v>
      </c>
      <c r="N172">
        <f>62100+67700</f>
        <v>129800</v>
      </c>
    </row>
    <row r="173" hidden="1" spans="1:14">
      <c r="A173" t="s">
        <v>319</v>
      </c>
      <c r="B173" s="8">
        <v>242502825</v>
      </c>
      <c r="C173" s="9">
        <v>45699</v>
      </c>
      <c r="D173" s="8" t="s">
        <v>226</v>
      </c>
      <c r="E173" s="10">
        <v>300000</v>
      </c>
      <c r="F173" s="8">
        <v>0.08</v>
      </c>
      <c r="G173" s="11">
        <v>45752</v>
      </c>
      <c r="H173" s="12">
        <f t="shared" si="2"/>
        <v>24000</v>
      </c>
      <c r="I173" s="10" t="s">
        <v>10</v>
      </c>
      <c r="J173" s="13">
        <v>45708</v>
      </c>
      <c r="K173" t="s">
        <v>337</v>
      </c>
    </row>
    <row r="174" hidden="1" spans="1:14">
      <c r="A174" t="s">
        <v>319</v>
      </c>
      <c r="B174" s="8">
        <v>242502825</v>
      </c>
      <c r="C174" s="9">
        <v>45699</v>
      </c>
      <c r="D174" s="8" t="s">
        <v>226</v>
      </c>
      <c r="E174" s="10">
        <v>150000</v>
      </c>
      <c r="F174" s="8">
        <v>0.08</v>
      </c>
      <c r="G174" s="11">
        <v>45782</v>
      </c>
      <c r="H174" s="12">
        <f t="shared" si="2"/>
        <v>12000</v>
      </c>
      <c r="I174" s="10" t="s">
        <v>10</v>
      </c>
      <c r="J174" s="13">
        <v>45708</v>
      </c>
      <c r="K174" t="s">
        <v>337</v>
      </c>
    </row>
    <row r="175" hidden="1" spans="1:14">
      <c r="A175" t="s">
        <v>319</v>
      </c>
      <c r="B175" s="8">
        <v>242502826</v>
      </c>
      <c r="C175" s="9">
        <v>45699</v>
      </c>
      <c r="D175" s="8" t="s">
        <v>408</v>
      </c>
      <c r="E175" s="10">
        <v>60000</v>
      </c>
      <c r="F175" s="8">
        <v>0.0525</v>
      </c>
      <c r="G175" s="11">
        <v>45752</v>
      </c>
      <c r="H175" s="12">
        <f t="shared" si="2"/>
        <v>3150</v>
      </c>
      <c r="I175" s="10" t="s">
        <v>10</v>
      </c>
      <c r="J175" s="13">
        <v>45737</v>
      </c>
      <c r="K175" t="s">
        <v>365</v>
      </c>
    </row>
    <row r="176" hidden="1" spans="1:14">
      <c r="A176" t="s">
        <v>319</v>
      </c>
      <c r="B176" s="8">
        <v>242502827</v>
      </c>
      <c r="C176" s="9">
        <v>45699</v>
      </c>
      <c r="D176" s="8" t="s">
        <v>181</v>
      </c>
      <c r="E176" s="10">
        <v>150000</v>
      </c>
      <c r="F176" s="8">
        <v>0.0243</v>
      </c>
      <c r="G176" s="11">
        <v>45782</v>
      </c>
      <c r="H176" s="12">
        <f t="shared" si="2"/>
        <v>3645</v>
      </c>
      <c r="I176" s="10" t="s">
        <v>10</v>
      </c>
      <c r="J176" s="13">
        <v>45797</v>
      </c>
      <c r="K176" t="s">
        <v>435</v>
      </c>
    </row>
    <row r="177" hidden="1" spans="1:11">
      <c r="A177" t="s">
        <v>319</v>
      </c>
      <c r="B177" s="8">
        <v>242502827</v>
      </c>
      <c r="C177" s="9">
        <v>45699</v>
      </c>
      <c r="D177" s="8" t="s">
        <v>181</v>
      </c>
      <c r="E177" s="10">
        <v>150000</v>
      </c>
      <c r="F177" s="8">
        <v>0.0243</v>
      </c>
      <c r="G177" s="11">
        <v>45813</v>
      </c>
      <c r="H177" s="12">
        <f t="shared" si="2"/>
        <v>3645</v>
      </c>
      <c r="I177" s="10" t="s">
        <v>10</v>
      </c>
      <c r="J177" s="13">
        <v>45797</v>
      </c>
      <c r="K177" t="s">
        <v>435</v>
      </c>
    </row>
    <row r="178" hidden="1" spans="1:11">
      <c r="A178" t="s">
        <v>319</v>
      </c>
      <c r="B178" s="8">
        <v>242502828</v>
      </c>
      <c r="C178" s="9">
        <v>45699</v>
      </c>
      <c r="D178" s="8" t="s">
        <v>162</v>
      </c>
      <c r="E178" s="10">
        <v>200000</v>
      </c>
      <c r="F178" s="8">
        <v>0.065</v>
      </c>
      <c r="G178" s="11">
        <v>45752</v>
      </c>
      <c r="H178" s="12">
        <f t="shared" si="2"/>
        <v>13000</v>
      </c>
      <c r="I178" s="10" t="s">
        <v>10</v>
      </c>
      <c r="J178" s="13">
        <v>45707</v>
      </c>
      <c r="K178" t="s">
        <v>377</v>
      </c>
    </row>
    <row r="179" hidden="1" spans="1:11">
      <c r="A179" t="s">
        <v>319</v>
      </c>
      <c r="B179" s="8">
        <v>242502829</v>
      </c>
      <c r="C179" s="9">
        <v>45699</v>
      </c>
      <c r="D179" s="8" t="s">
        <v>31</v>
      </c>
      <c r="E179" s="10">
        <v>100000</v>
      </c>
      <c r="F179" s="8">
        <v>0.036</v>
      </c>
      <c r="G179" s="11">
        <v>45721</v>
      </c>
      <c r="H179" s="12">
        <f t="shared" si="2"/>
        <v>3600</v>
      </c>
      <c r="I179" s="10" t="s">
        <v>10</v>
      </c>
      <c r="J179" s="13">
        <v>45707</v>
      </c>
      <c r="K179" t="s">
        <v>392</v>
      </c>
    </row>
    <row r="180" hidden="1" spans="1:11">
      <c r="A180" t="s">
        <v>319</v>
      </c>
      <c r="B180" s="8">
        <v>242502829</v>
      </c>
      <c r="C180" s="9">
        <v>45699</v>
      </c>
      <c r="D180" s="8" t="s">
        <v>31</v>
      </c>
      <c r="E180" s="10">
        <v>80000</v>
      </c>
      <c r="F180" s="8">
        <v>0.036</v>
      </c>
      <c r="G180" s="11">
        <v>45752</v>
      </c>
      <c r="H180" s="12">
        <f t="shared" si="2"/>
        <v>2880</v>
      </c>
      <c r="I180" s="10" t="s">
        <v>10</v>
      </c>
      <c r="J180" s="13">
        <v>45707</v>
      </c>
      <c r="K180" t="s">
        <v>392</v>
      </c>
    </row>
    <row r="181" hidden="1" spans="1:11">
      <c r="A181" t="s">
        <v>319</v>
      </c>
      <c r="B181" s="8">
        <v>242502829</v>
      </c>
      <c r="C181" s="9">
        <v>45699</v>
      </c>
      <c r="D181" s="8" t="s">
        <v>31</v>
      </c>
      <c r="E181" s="10">
        <v>100000</v>
      </c>
      <c r="F181" s="8">
        <v>0.036</v>
      </c>
      <c r="G181" s="11">
        <v>45782</v>
      </c>
      <c r="H181" s="12">
        <f t="shared" si="2"/>
        <v>3600</v>
      </c>
      <c r="I181" s="10" t="s">
        <v>10</v>
      </c>
      <c r="J181" s="13">
        <v>45707</v>
      </c>
      <c r="K181" t="s">
        <v>392</v>
      </c>
    </row>
    <row r="182" hidden="1" spans="1:11">
      <c r="A182" t="s">
        <v>319</v>
      </c>
      <c r="B182" s="8">
        <v>242502829</v>
      </c>
      <c r="C182" s="9">
        <v>45699</v>
      </c>
      <c r="D182" s="8" t="s">
        <v>31</v>
      </c>
      <c r="E182" s="10">
        <v>80000</v>
      </c>
      <c r="F182" s="8">
        <v>0.036</v>
      </c>
      <c r="G182" s="11">
        <v>45813</v>
      </c>
      <c r="H182" s="12">
        <f t="shared" si="2"/>
        <v>2880</v>
      </c>
      <c r="I182" s="10" t="s">
        <v>10</v>
      </c>
      <c r="J182" s="13">
        <v>45707</v>
      </c>
      <c r="K182" t="s">
        <v>392</v>
      </c>
    </row>
    <row r="183" hidden="1" spans="1:11">
      <c r="A183" t="s">
        <v>319</v>
      </c>
      <c r="B183" s="8">
        <v>242502829</v>
      </c>
      <c r="C183" s="9">
        <v>45699</v>
      </c>
      <c r="D183" s="8" t="s">
        <v>78</v>
      </c>
      <c r="E183" s="10">
        <v>120000</v>
      </c>
      <c r="F183" s="8">
        <v>0.02</v>
      </c>
      <c r="G183" s="11">
        <v>45721</v>
      </c>
      <c r="H183" s="12">
        <f t="shared" si="2"/>
        <v>2400</v>
      </c>
      <c r="I183" s="10" t="s">
        <v>10</v>
      </c>
      <c r="J183" s="13">
        <v>45707</v>
      </c>
      <c r="K183" t="s">
        <v>392</v>
      </c>
    </row>
    <row r="184" hidden="1" spans="1:11">
      <c r="A184" t="s">
        <v>319</v>
      </c>
      <c r="B184" s="8">
        <v>242502829</v>
      </c>
      <c r="C184" s="9">
        <v>45699</v>
      </c>
      <c r="D184" s="8" t="s">
        <v>78</v>
      </c>
      <c r="E184" s="10">
        <v>120000</v>
      </c>
      <c r="F184" s="8">
        <v>0.02</v>
      </c>
      <c r="G184" s="11">
        <v>45752</v>
      </c>
      <c r="H184" s="12">
        <f t="shared" si="2"/>
        <v>2400</v>
      </c>
      <c r="I184" s="10" t="s">
        <v>10</v>
      </c>
      <c r="J184" s="13">
        <v>45707</v>
      </c>
      <c r="K184" t="s">
        <v>392</v>
      </c>
    </row>
    <row r="185" hidden="1" spans="1:11">
      <c r="A185" t="s">
        <v>319</v>
      </c>
      <c r="B185" s="8">
        <v>242502829</v>
      </c>
      <c r="C185" s="9">
        <v>45699</v>
      </c>
      <c r="D185" s="8" t="s">
        <v>78</v>
      </c>
      <c r="E185" s="10">
        <v>120000</v>
      </c>
      <c r="F185" s="8">
        <v>0.02</v>
      </c>
      <c r="G185" s="11">
        <v>45782</v>
      </c>
      <c r="H185" s="12">
        <f t="shared" si="2"/>
        <v>2400</v>
      </c>
      <c r="I185" s="10" t="s">
        <v>10</v>
      </c>
      <c r="J185" s="13">
        <v>45707</v>
      </c>
      <c r="K185" t="s">
        <v>392</v>
      </c>
    </row>
    <row r="186" hidden="1" spans="1:11">
      <c r="A186" t="s">
        <v>319</v>
      </c>
      <c r="B186" s="8">
        <v>242502829</v>
      </c>
      <c r="C186" s="9">
        <v>45699</v>
      </c>
      <c r="D186" s="8" t="s">
        <v>78</v>
      </c>
      <c r="E186" s="10">
        <v>120000</v>
      </c>
      <c r="F186" s="8">
        <v>0.02</v>
      </c>
      <c r="G186" s="11">
        <v>45813</v>
      </c>
      <c r="H186" s="12">
        <f t="shared" si="2"/>
        <v>2400</v>
      </c>
      <c r="I186" s="10" t="s">
        <v>10</v>
      </c>
      <c r="J186" s="13">
        <v>45707</v>
      </c>
      <c r="K186" t="s">
        <v>392</v>
      </c>
    </row>
    <row r="187" hidden="1" spans="1:11">
      <c r="A187" t="s">
        <v>319</v>
      </c>
      <c r="B187" s="8">
        <v>242502830</v>
      </c>
      <c r="C187" s="9">
        <v>45699</v>
      </c>
      <c r="D187" s="8" t="s">
        <v>33</v>
      </c>
      <c r="E187" s="10">
        <v>100000</v>
      </c>
      <c r="F187" s="8">
        <v>0.02</v>
      </c>
      <c r="G187" s="11">
        <v>45721</v>
      </c>
      <c r="H187" s="12">
        <f t="shared" si="2"/>
        <v>2000</v>
      </c>
      <c r="I187" s="10" t="s">
        <v>10</v>
      </c>
      <c r="J187" s="13">
        <v>45701</v>
      </c>
      <c r="K187" t="s">
        <v>392</v>
      </c>
    </row>
    <row r="188" hidden="1" spans="1:11">
      <c r="A188" t="s">
        <v>319</v>
      </c>
      <c r="B188" s="8">
        <v>242502830</v>
      </c>
      <c r="C188" s="9">
        <v>45699</v>
      </c>
      <c r="D188" s="8" t="s">
        <v>33</v>
      </c>
      <c r="E188" s="10">
        <v>100000</v>
      </c>
      <c r="F188" s="8">
        <v>0.02</v>
      </c>
      <c r="G188" s="11">
        <v>45752</v>
      </c>
      <c r="H188" s="12">
        <f t="shared" si="2"/>
        <v>2000</v>
      </c>
      <c r="I188" s="10" t="s">
        <v>10</v>
      </c>
      <c r="J188" s="13">
        <v>45701</v>
      </c>
      <c r="K188" t="s">
        <v>392</v>
      </c>
    </row>
    <row r="189" hidden="1" spans="1:11">
      <c r="A189" t="s">
        <v>319</v>
      </c>
      <c r="B189" s="8">
        <v>242502830</v>
      </c>
      <c r="C189" s="9">
        <v>45699</v>
      </c>
      <c r="D189" s="8" t="s">
        <v>33</v>
      </c>
      <c r="E189" s="10">
        <v>100000</v>
      </c>
      <c r="F189" s="8">
        <v>0.02</v>
      </c>
      <c r="G189" s="11">
        <v>45782</v>
      </c>
      <c r="H189" s="12">
        <f t="shared" si="2"/>
        <v>2000</v>
      </c>
      <c r="I189" s="10" t="s">
        <v>10</v>
      </c>
      <c r="J189" s="13">
        <v>45701</v>
      </c>
      <c r="K189" t="s">
        <v>392</v>
      </c>
    </row>
    <row r="190" hidden="1" spans="1:11">
      <c r="A190" t="s">
        <v>319</v>
      </c>
      <c r="B190" s="8">
        <v>242502830</v>
      </c>
      <c r="C190" s="9">
        <v>45699</v>
      </c>
      <c r="D190" s="8" t="s">
        <v>33</v>
      </c>
      <c r="E190" s="10">
        <v>100000</v>
      </c>
      <c r="F190" s="8">
        <v>0.02</v>
      </c>
      <c r="G190" s="11">
        <v>45813</v>
      </c>
      <c r="H190" s="12">
        <f t="shared" si="2"/>
        <v>2000</v>
      </c>
      <c r="I190" s="10" t="s">
        <v>10</v>
      </c>
      <c r="J190" s="13">
        <v>45701</v>
      </c>
      <c r="K190" t="s">
        <v>392</v>
      </c>
    </row>
    <row r="191" hidden="1" spans="1:11">
      <c r="A191" t="s">
        <v>319</v>
      </c>
      <c r="B191" s="8">
        <v>242502830</v>
      </c>
      <c r="C191" s="9">
        <v>45699</v>
      </c>
      <c r="D191" s="8" t="s">
        <v>282</v>
      </c>
      <c r="E191" s="10">
        <v>300000</v>
      </c>
      <c r="F191" s="8">
        <v>0.032</v>
      </c>
      <c r="G191" s="11">
        <v>45721</v>
      </c>
      <c r="H191" s="12">
        <f t="shared" si="2"/>
        <v>9600</v>
      </c>
      <c r="I191" s="10" t="s">
        <v>10</v>
      </c>
      <c r="J191" s="13">
        <v>45701</v>
      </c>
      <c r="K191" t="s">
        <v>392</v>
      </c>
    </row>
    <row r="192" hidden="1" spans="1:11">
      <c r="A192" t="s">
        <v>319</v>
      </c>
      <c r="B192" s="8">
        <v>242502830</v>
      </c>
      <c r="C192" s="9">
        <v>45699</v>
      </c>
      <c r="D192" s="8" t="s">
        <v>282</v>
      </c>
      <c r="E192" s="10">
        <v>326000</v>
      </c>
      <c r="F192" s="8">
        <v>0.032</v>
      </c>
      <c r="G192" s="11">
        <v>45752</v>
      </c>
      <c r="H192" s="12">
        <f t="shared" si="2"/>
        <v>10432</v>
      </c>
      <c r="I192" s="10" t="s">
        <v>10</v>
      </c>
      <c r="J192" s="13">
        <v>45701</v>
      </c>
      <c r="K192" t="s">
        <v>392</v>
      </c>
    </row>
    <row r="193" hidden="1" spans="1:10">
      <c r="A193" t="s">
        <v>319</v>
      </c>
      <c r="B193" s="8">
        <v>242502842</v>
      </c>
      <c r="C193" s="9">
        <v>45700</v>
      </c>
      <c r="D193" s="8" t="s">
        <v>11</v>
      </c>
      <c r="E193" s="10">
        <v>62000</v>
      </c>
      <c r="F193" s="8">
        <v>0.032</v>
      </c>
      <c r="G193" s="11">
        <v>45721</v>
      </c>
      <c r="H193" s="12">
        <f t="shared" si="2"/>
        <v>1984</v>
      </c>
      <c r="I193" s="10" t="s">
        <v>10</v>
      </c>
      <c r="J193" s="13">
        <v>45810</v>
      </c>
    </row>
    <row r="194" hidden="1" spans="1:10">
      <c r="A194" t="s">
        <v>319</v>
      </c>
      <c r="B194" s="8">
        <v>242502842</v>
      </c>
      <c r="C194" s="9">
        <v>45700</v>
      </c>
      <c r="D194" s="8" t="s">
        <v>11</v>
      </c>
      <c r="E194" s="10">
        <v>62000</v>
      </c>
      <c r="F194" s="8">
        <v>0.032</v>
      </c>
      <c r="G194" s="11">
        <v>45721</v>
      </c>
      <c r="H194" s="12">
        <f t="shared" ref="H194:H257" si="3">E194*F194</f>
        <v>1984</v>
      </c>
      <c r="I194" s="10" t="s">
        <v>10</v>
      </c>
      <c r="J194" s="13">
        <v>45810</v>
      </c>
    </row>
    <row r="195" hidden="1" spans="1:10">
      <c r="A195" t="s">
        <v>319</v>
      </c>
      <c r="B195" s="8">
        <v>242502842</v>
      </c>
      <c r="C195" s="9">
        <v>45700</v>
      </c>
      <c r="D195" s="8" t="s">
        <v>11</v>
      </c>
      <c r="E195" s="10">
        <v>62000</v>
      </c>
      <c r="F195" s="8">
        <v>0.032</v>
      </c>
      <c r="G195" s="11">
        <v>45721</v>
      </c>
      <c r="H195" s="12">
        <f t="shared" si="3"/>
        <v>1984</v>
      </c>
      <c r="I195" s="10" t="s">
        <v>10</v>
      </c>
      <c r="J195" s="13">
        <v>45810</v>
      </c>
    </row>
    <row r="196" hidden="1" spans="1:10">
      <c r="A196" t="s">
        <v>319</v>
      </c>
      <c r="B196" s="8">
        <v>242502842</v>
      </c>
      <c r="C196" s="9">
        <v>45700</v>
      </c>
      <c r="D196" s="8" t="s">
        <v>11</v>
      </c>
      <c r="E196" s="10">
        <v>62000</v>
      </c>
      <c r="F196" s="8">
        <v>0.032</v>
      </c>
      <c r="G196" s="11">
        <v>45721</v>
      </c>
      <c r="H196" s="12">
        <f t="shared" si="3"/>
        <v>1984</v>
      </c>
      <c r="I196" s="10" t="s">
        <v>10</v>
      </c>
      <c r="J196" s="13">
        <v>45810</v>
      </c>
    </row>
    <row r="197" hidden="1" spans="1:10">
      <c r="A197" t="s">
        <v>319</v>
      </c>
      <c r="B197" s="8">
        <v>242502842</v>
      </c>
      <c r="C197" s="9">
        <v>45700</v>
      </c>
      <c r="D197" s="8" t="s">
        <v>11</v>
      </c>
      <c r="E197" s="10">
        <v>62000</v>
      </c>
      <c r="F197" s="8">
        <v>0.032</v>
      </c>
      <c r="G197" s="11">
        <v>45752</v>
      </c>
      <c r="H197" s="12">
        <f t="shared" si="3"/>
        <v>1984</v>
      </c>
      <c r="I197" s="10" t="s">
        <v>10</v>
      </c>
      <c r="J197" s="13">
        <v>45810</v>
      </c>
    </row>
    <row r="198" hidden="1" spans="1:10">
      <c r="A198" t="s">
        <v>319</v>
      </c>
      <c r="B198" s="8">
        <v>242502842</v>
      </c>
      <c r="C198" s="9">
        <v>45700</v>
      </c>
      <c r="D198" s="8" t="s">
        <v>11</v>
      </c>
      <c r="E198" s="10">
        <v>62000</v>
      </c>
      <c r="F198" s="8">
        <v>0.032</v>
      </c>
      <c r="G198" s="11">
        <v>45752</v>
      </c>
      <c r="H198" s="12">
        <f t="shared" si="3"/>
        <v>1984</v>
      </c>
      <c r="I198" s="10" t="s">
        <v>10</v>
      </c>
      <c r="J198" s="13">
        <v>45810</v>
      </c>
    </row>
    <row r="199" hidden="1" spans="1:10">
      <c r="A199" t="s">
        <v>319</v>
      </c>
      <c r="B199" s="8">
        <v>242502842</v>
      </c>
      <c r="C199" s="9">
        <v>45700</v>
      </c>
      <c r="D199" s="8" t="s">
        <v>11</v>
      </c>
      <c r="E199" s="10">
        <v>62000</v>
      </c>
      <c r="F199" s="8">
        <v>0.032</v>
      </c>
      <c r="G199" s="11">
        <v>45752</v>
      </c>
      <c r="H199" s="12">
        <f t="shared" si="3"/>
        <v>1984</v>
      </c>
      <c r="I199" s="10" t="s">
        <v>10</v>
      </c>
      <c r="J199" s="13">
        <v>45810</v>
      </c>
    </row>
    <row r="200" hidden="1" spans="1:10">
      <c r="A200" t="s">
        <v>319</v>
      </c>
      <c r="B200" s="8">
        <v>242502842</v>
      </c>
      <c r="C200" s="9">
        <v>45700</v>
      </c>
      <c r="D200" s="8" t="s">
        <v>11</v>
      </c>
      <c r="E200" s="10">
        <v>62000</v>
      </c>
      <c r="F200" s="8">
        <v>0.032</v>
      </c>
      <c r="G200" s="11">
        <v>45752</v>
      </c>
      <c r="H200" s="12">
        <f t="shared" si="3"/>
        <v>1984</v>
      </c>
      <c r="I200" s="10" t="s">
        <v>10</v>
      </c>
      <c r="J200" s="13">
        <v>45810</v>
      </c>
    </row>
    <row r="201" hidden="1" spans="1:10">
      <c r="A201" t="s">
        <v>319</v>
      </c>
      <c r="B201" s="8">
        <v>242502843</v>
      </c>
      <c r="C201" s="9">
        <v>45700</v>
      </c>
      <c r="D201" s="8" t="s">
        <v>387</v>
      </c>
      <c r="E201" s="10">
        <v>60000</v>
      </c>
      <c r="F201" s="8">
        <v>0.03</v>
      </c>
      <c r="G201" s="11">
        <v>45752</v>
      </c>
      <c r="H201" s="12">
        <f t="shared" si="3"/>
        <v>1800</v>
      </c>
      <c r="I201" s="10" t="s">
        <v>10</v>
      </c>
      <c r="J201" s="13">
        <v>45717</v>
      </c>
    </row>
    <row r="202" hidden="1" spans="1:10">
      <c r="A202" t="s">
        <v>319</v>
      </c>
      <c r="B202" s="8">
        <v>242502843</v>
      </c>
      <c r="C202" s="9">
        <v>45700</v>
      </c>
      <c r="D202" s="8" t="s">
        <v>387</v>
      </c>
      <c r="E202" s="10">
        <v>60000</v>
      </c>
      <c r="F202" s="8">
        <v>0.03</v>
      </c>
      <c r="G202" s="11">
        <v>45782</v>
      </c>
      <c r="H202" s="12">
        <f t="shared" si="3"/>
        <v>1800</v>
      </c>
      <c r="I202" s="10" t="s">
        <v>10</v>
      </c>
      <c r="J202" s="13">
        <v>45717</v>
      </c>
    </row>
    <row r="203" hidden="1" spans="1:10">
      <c r="A203" t="s">
        <v>319</v>
      </c>
      <c r="B203" s="8">
        <v>242502843</v>
      </c>
      <c r="C203" s="9">
        <v>45700</v>
      </c>
      <c r="D203" s="8" t="s">
        <v>387</v>
      </c>
      <c r="E203" s="10">
        <v>60000</v>
      </c>
      <c r="F203" s="8">
        <v>0.03</v>
      </c>
      <c r="G203" s="11">
        <v>45813</v>
      </c>
      <c r="H203" s="12">
        <f t="shared" si="3"/>
        <v>1800</v>
      </c>
      <c r="I203" s="10" t="s">
        <v>10</v>
      </c>
      <c r="J203" s="13">
        <v>45717</v>
      </c>
    </row>
    <row r="204" hidden="1" spans="1:10">
      <c r="A204" t="s">
        <v>319</v>
      </c>
      <c r="B204" s="8">
        <v>242502843</v>
      </c>
      <c r="C204" s="9">
        <v>45700</v>
      </c>
      <c r="D204" s="8" t="s">
        <v>36</v>
      </c>
      <c r="E204" s="10">
        <v>99000</v>
      </c>
      <c r="F204" s="8">
        <v>0.0082</v>
      </c>
      <c r="G204" s="11">
        <v>45752</v>
      </c>
      <c r="H204" s="12">
        <f t="shared" si="3"/>
        <v>811.8</v>
      </c>
      <c r="I204" s="10" t="s">
        <v>10</v>
      </c>
      <c r="J204" s="13">
        <v>45721</v>
      </c>
    </row>
    <row r="205" hidden="1" spans="1:10">
      <c r="A205" t="s">
        <v>319</v>
      </c>
      <c r="B205" s="8">
        <v>242502843</v>
      </c>
      <c r="C205" s="9">
        <v>45700</v>
      </c>
      <c r="D205" s="8" t="s">
        <v>36</v>
      </c>
      <c r="E205" s="10">
        <v>99000</v>
      </c>
      <c r="F205" s="8">
        <v>0.0082</v>
      </c>
      <c r="G205" s="11">
        <v>45752</v>
      </c>
      <c r="H205" s="12">
        <f t="shared" si="3"/>
        <v>811.8</v>
      </c>
      <c r="I205" s="10" t="s">
        <v>10</v>
      </c>
      <c r="J205" s="13">
        <v>45721</v>
      </c>
    </row>
    <row r="206" hidden="1" spans="1:10">
      <c r="A206" t="s">
        <v>319</v>
      </c>
      <c r="B206" s="8">
        <v>242502843</v>
      </c>
      <c r="C206" s="9">
        <v>45700</v>
      </c>
      <c r="D206" s="8" t="s">
        <v>36</v>
      </c>
      <c r="E206" s="10">
        <v>99000</v>
      </c>
      <c r="F206" s="8">
        <v>0.0082</v>
      </c>
      <c r="G206" s="11">
        <v>45782</v>
      </c>
      <c r="H206" s="12">
        <f t="shared" si="3"/>
        <v>811.8</v>
      </c>
      <c r="I206" s="10" t="s">
        <v>10</v>
      </c>
      <c r="J206" s="13">
        <v>45721</v>
      </c>
    </row>
    <row r="207" hidden="1" spans="1:10">
      <c r="A207" t="s">
        <v>319</v>
      </c>
      <c r="B207" s="8">
        <v>242502843</v>
      </c>
      <c r="C207" s="9">
        <v>45700</v>
      </c>
      <c r="D207" s="8" t="s">
        <v>36</v>
      </c>
      <c r="E207" s="10">
        <v>99000</v>
      </c>
      <c r="F207" s="8">
        <v>0.0082</v>
      </c>
      <c r="G207" s="11">
        <v>45782</v>
      </c>
      <c r="H207" s="12">
        <f t="shared" si="3"/>
        <v>811.8</v>
      </c>
      <c r="I207" s="10" t="s">
        <v>10</v>
      </c>
      <c r="J207" s="13">
        <v>45721</v>
      </c>
    </row>
    <row r="208" hidden="1" spans="1:10">
      <c r="A208" t="s">
        <v>319</v>
      </c>
      <c r="B208" s="8">
        <v>242502843</v>
      </c>
      <c r="C208" s="9">
        <v>45700</v>
      </c>
      <c r="D208" s="8" t="s">
        <v>36</v>
      </c>
      <c r="E208" s="10">
        <v>99000</v>
      </c>
      <c r="F208" s="8">
        <v>0.0082</v>
      </c>
      <c r="G208" s="11">
        <v>45782</v>
      </c>
      <c r="H208" s="12">
        <f t="shared" si="3"/>
        <v>811.8</v>
      </c>
      <c r="I208" s="10" t="s">
        <v>10</v>
      </c>
      <c r="J208" s="13">
        <v>45721</v>
      </c>
    </row>
    <row r="209" hidden="1" spans="1:19">
      <c r="A209" t="s">
        <v>319</v>
      </c>
      <c r="B209" s="8">
        <v>242502843</v>
      </c>
      <c r="C209" s="9">
        <v>45700</v>
      </c>
      <c r="D209" s="8" t="s">
        <v>36</v>
      </c>
      <c r="E209" s="10">
        <v>99000</v>
      </c>
      <c r="F209" s="8">
        <v>0.0082</v>
      </c>
      <c r="G209" s="11">
        <v>45782</v>
      </c>
      <c r="H209" s="12">
        <f t="shared" si="3"/>
        <v>811.8</v>
      </c>
      <c r="I209" s="10" t="s">
        <v>10</v>
      </c>
      <c r="J209" s="13">
        <v>45721</v>
      </c>
    </row>
    <row r="210" hidden="1" spans="1:19">
      <c r="A210" t="s">
        <v>319</v>
      </c>
      <c r="B210" s="8">
        <v>242502843</v>
      </c>
      <c r="C210" s="9">
        <v>45700</v>
      </c>
      <c r="D210" s="8" t="s">
        <v>287</v>
      </c>
      <c r="E210" s="10">
        <v>40000</v>
      </c>
      <c r="F210" s="8">
        <v>0.018</v>
      </c>
      <c r="G210" s="11">
        <v>45782</v>
      </c>
      <c r="H210" s="12">
        <f t="shared" si="3"/>
        <v>720</v>
      </c>
      <c r="I210" s="10" t="s">
        <v>10</v>
      </c>
      <c r="J210" s="13">
        <v>45717</v>
      </c>
    </row>
    <row r="211" hidden="1" spans="1:19">
      <c r="A211" t="s">
        <v>319</v>
      </c>
      <c r="B211" s="8">
        <v>242502843</v>
      </c>
      <c r="C211" s="9">
        <v>45700</v>
      </c>
      <c r="D211" s="8" t="s">
        <v>285</v>
      </c>
      <c r="E211" s="10">
        <v>42000</v>
      </c>
      <c r="F211" s="8">
        <v>0.02</v>
      </c>
      <c r="G211" s="11">
        <v>45782</v>
      </c>
      <c r="H211" s="12">
        <f t="shared" si="3"/>
        <v>840</v>
      </c>
      <c r="I211" s="10" t="s">
        <v>10</v>
      </c>
      <c r="J211" s="13">
        <v>45717</v>
      </c>
    </row>
    <row r="212" hidden="1" spans="1:19">
      <c r="A212" t="s">
        <v>319</v>
      </c>
      <c r="B212" s="8">
        <v>242502843</v>
      </c>
      <c r="C212" s="9">
        <v>45700</v>
      </c>
      <c r="D212" s="8" t="s">
        <v>288</v>
      </c>
      <c r="E212" s="10">
        <v>42000</v>
      </c>
      <c r="F212" s="8">
        <v>0.022</v>
      </c>
      <c r="G212" s="11">
        <v>45782</v>
      </c>
      <c r="H212" s="12">
        <f t="shared" si="3"/>
        <v>924</v>
      </c>
      <c r="I212" s="10" t="s">
        <v>10</v>
      </c>
      <c r="J212" s="13">
        <v>45717</v>
      </c>
    </row>
    <row r="213" hidden="1" spans="1:19">
      <c r="A213" t="s">
        <v>319</v>
      </c>
      <c r="B213" s="8">
        <v>242502843</v>
      </c>
      <c r="C213" s="9">
        <v>45700</v>
      </c>
      <c r="D213" s="8" t="s">
        <v>286</v>
      </c>
      <c r="E213" s="10">
        <v>42000</v>
      </c>
      <c r="F213" s="8">
        <v>0.0235</v>
      </c>
      <c r="G213" s="11">
        <v>45782</v>
      </c>
      <c r="H213" s="12">
        <f t="shared" si="3"/>
        <v>987</v>
      </c>
      <c r="I213" s="10" t="s">
        <v>10</v>
      </c>
      <c r="J213" s="13">
        <v>45717</v>
      </c>
    </row>
    <row r="214" hidden="1" spans="1:19">
      <c r="A214" t="s">
        <v>319</v>
      </c>
      <c r="B214" s="8">
        <v>242502843</v>
      </c>
      <c r="C214" s="9">
        <v>45700</v>
      </c>
      <c r="D214" s="8" t="s">
        <v>100</v>
      </c>
      <c r="E214" s="10">
        <v>50000</v>
      </c>
      <c r="F214" s="8">
        <v>0.028</v>
      </c>
      <c r="G214" s="11">
        <v>45752</v>
      </c>
      <c r="H214" s="12">
        <f t="shared" si="3"/>
        <v>1400</v>
      </c>
      <c r="I214" s="10" t="s">
        <v>10</v>
      </c>
      <c r="J214" s="13">
        <v>45717</v>
      </c>
    </row>
    <row r="215" hidden="1" spans="1:19">
      <c r="A215" t="s">
        <v>319</v>
      </c>
      <c r="B215" s="8">
        <v>242502843</v>
      </c>
      <c r="C215" s="9">
        <v>45700</v>
      </c>
      <c r="D215" s="8" t="s">
        <v>100</v>
      </c>
      <c r="E215" s="10">
        <v>50000</v>
      </c>
      <c r="F215" s="8">
        <v>0.028</v>
      </c>
      <c r="G215" s="11">
        <v>45752</v>
      </c>
      <c r="H215" s="12">
        <f t="shared" si="3"/>
        <v>1400</v>
      </c>
      <c r="I215" s="10" t="s">
        <v>10</v>
      </c>
      <c r="J215" s="13">
        <v>45717</v>
      </c>
    </row>
    <row r="216" hidden="1" spans="1:19">
      <c r="A216" t="s">
        <v>319</v>
      </c>
      <c r="B216" s="8">
        <v>242502843</v>
      </c>
      <c r="C216" s="9">
        <v>45700</v>
      </c>
      <c r="D216" s="8" t="s">
        <v>100</v>
      </c>
      <c r="E216" s="10">
        <v>50000</v>
      </c>
      <c r="F216" s="8">
        <v>0.028</v>
      </c>
      <c r="G216" s="11">
        <v>45752</v>
      </c>
      <c r="H216" s="12">
        <f t="shared" si="3"/>
        <v>1400</v>
      </c>
      <c r="I216" s="10" t="s">
        <v>10</v>
      </c>
      <c r="J216" s="13">
        <v>45717</v>
      </c>
    </row>
    <row r="217" hidden="1" spans="1:19">
      <c r="A217" t="s">
        <v>319</v>
      </c>
      <c r="B217" s="8">
        <v>242502843</v>
      </c>
      <c r="C217" s="9">
        <v>45700</v>
      </c>
      <c r="D217" s="8" t="s">
        <v>100</v>
      </c>
      <c r="E217" s="10">
        <v>50000</v>
      </c>
      <c r="F217" s="8">
        <v>0.028</v>
      </c>
      <c r="G217" s="11">
        <v>45752</v>
      </c>
      <c r="H217" s="12">
        <f t="shared" si="3"/>
        <v>1400</v>
      </c>
      <c r="I217" s="10" t="s">
        <v>10</v>
      </c>
      <c r="J217" s="13">
        <v>45717</v>
      </c>
    </row>
    <row r="218" hidden="1" spans="1:19">
      <c r="A218" t="s">
        <v>319</v>
      </c>
      <c r="B218" s="8">
        <v>242502844</v>
      </c>
      <c r="C218" s="9">
        <v>45700</v>
      </c>
      <c r="D218" s="8" t="s">
        <v>29</v>
      </c>
      <c r="E218" s="10">
        <v>200000</v>
      </c>
      <c r="F218" s="8">
        <v>0.0216</v>
      </c>
      <c r="G218" s="11">
        <v>45782</v>
      </c>
      <c r="H218" s="12">
        <f t="shared" si="3"/>
        <v>4320</v>
      </c>
      <c r="I218" s="10" t="s">
        <v>10</v>
      </c>
      <c r="J218" s="13">
        <v>45783</v>
      </c>
    </row>
    <row r="219" hidden="1" spans="1:19">
      <c r="A219" t="s">
        <v>319</v>
      </c>
      <c r="B219" s="8">
        <v>242502844</v>
      </c>
      <c r="C219" s="9">
        <v>45700</v>
      </c>
      <c r="D219" s="8" t="s">
        <v>29</v>
      </c>
      <c r="E219" s="10">
        <v>300000</v>
      </c>
      <c r="F219" s="8">
        <v>0.0216</v>
      </c>
      <c r="G219" s="11">
        <v>45782</v>
      </c>
      <c r="H219" s="12">
        <f t="shared" si="3"/>
        <v>6480</v>
      </c>
      <c r="I219" s="10" t="s">
        <v>10</v>
      </c>
      <c r="J219" s="13">
        <v>45783</v>
      </c>
    </row>
    <row r="220" hidden="1" spans="1:19">
      <c r="A220" t="s">
        <v>319</v>
      </c>
      <c r="B220" s="8">
        <v>242502844</v>
      </c>
      <c r="C220" s="9">
        <v>45700</v>
      </c>
      <c r="D220" s="8" t="s">
        <v>29</v>
      </c>
      <c r="E220" s="10">
        <v>200000</v>
      </c>
      <c r="F220" s="8">
        <v>0.0216</v>
      </c>
      <c r="G220" s="11">
        <v>45782</v>
      </c>
      <c r="H220" s="12">
        <f t="shared" si="3"/>
        <v>4320</v>
      </c>
      <c r="I220" s="10" t="s">
        <v>10</v>
      </c>
      <c r="J220" s="13">
        <v>45783</v>
      </c>
      <c r="S220" t="s">
        <v>500</v>
      </c>
    </row>
    <row r="221" hidden="1" spans="1:19">
      <c r="A221" t="s">
        <v>319</v>
      </c>
      <c r="B221" s="8">
        <v>242502844</v>
      </c>
      <c r="C221" s="9">
        <v>45700</v>
      </c>
      <c r="D221" s="8" t="s">
        <v>29</v>
      </c>
      <c r="E221" s="10">
        <v>300000</v>
      </c>
      <c r="F221" s="8">
        <v>0.0216</v>
      </c>
      <c r="G221" s="11">
        <v>45782</v>
      </c>
      <c r="H221" s="12">
        <f t="shared" si="3"/>
        <v>6480</v>
      </c>
      <c r="I221" s="10" t="s">
        <v>10</v>
      </c>
      <c r="J221" s="13">
        <v>45783</v>
      </c>
    </row>
    <row r="222" hidden="1" spans="1:19">
      <c r="A222" t="s">
        <v>319</v>
      </c>
      <c r="B222" s="8">
        <v>242502844</v>
      </c>
      <c r="C222" s="9">
        <v>45700</v>
      </c>
      <c r="D222" s="8" t="s">
        <v>29</v>
      </c>
      <c r="E222" s="10">
        <v>200000</v>
      </c>
      <c r="F222" s="8">
        <v>0.0216</v>
      </c>
      <c r="G222" s="11">
        <v>45782</v>
      </c>
      <c r="H222" s="12">
        <f t="shared" si="3"/>
        <v>4320</v>
      </c>
      <c r="I222" s="10" t="s">
        <v>10</v>
      </c>
      <c r="J222" s="13">
        <v>45783</v>
      </c>
    </row>
    <row r="223" hidden="1" spans="1:19">
      <c r="A223" t="s">
        <v>319</v>
      </c>
      <c r="B223" s="8">
        <v>242502844</v>
      </c>
      <c r="C223" s="9">
        <v>45700</v>
      </c>
      <c r="D223" s="8" t="s">
        <v>29</v>
      </c>
      <c r="E223" s="10">
        <v>300000</v>
      </c>
      <c r="F223" s="8">
        <v>0.0216</v>
      </c>
      <c r="G223" s="11">
        <v>45782</v>
      </c>
      <c r="H223" s="12">
        <f t="shared" si="3"/>
        <v>6480</v>
      </c>
      <c r="I223" s="10" t="s">
        <v>10</v>
      </c>
      <c r="J223" s="13">
        <v>45783</v>
      </c>
    </row>
    <row r="224" hidden="1" spans="1:19">
      <c r="A224" t="s">
        <v>319</v>
      </c>
      <c r="B224" s="8">
        <v>242502844</v>
      </c>
      <c r="C224" s="9">
        <v>45700</v>
      </c>
      <c r="D224" s="8" t="s">
        <v>29</v>
      </c>
      <c r="E224" s="10">
        <v>200000</v>
      </c>
      <c r="F224" s="8">
        <v>0.0216</v>
      </c>
      <c r="G224" s="11">
        <v>45813</v>
      </c>
      <c r="H224" s="12">
        <f t="shared" si="3"/>
        <v>4320</v>
      </c>
      <c r="I224" s="10" t="s">
        <v>10</v>
      </c>
      <c r="J224" s="13">
        <v>45783</v>
      </c>
    </row>
    <row r="225" hidden="1" spans="1:10">
      <c r="A225" t="s">
        <v>319</v>
      </c>
      <c r="B225" s="8">
        <v>242502844</v>
      </c>
      <c r="C225" s="9">
        <v>45700</v>
      </c>
      <c r="D225" s="8" t="s">
        <v>29</v>
      </c>
      <c r="E225" s="10">
        <v>300000</v>
      </c>
      <c r="F225" s="8">
        <v>0.0216</v>
      </c>
      <c r="G225" s="11">
        <v>45813</v>
      </c>
      <c r="H225" s="12">
        <f t="shared" si="3"/>
        <v>6480</v>
      </c>
      <c r="I225" s="10" t="s">
        <v>10</v>
      </c>
      <c r="J225" s="13">
        <v>45783</v>
      </c>
    </row>
    <row r="226" hidden="1" spans="1:10">
      <c r="A226" t="s">
        <v>319</v>
      </c>
      <c r="B226" s="8">
        <v>242502846</v>
      </c>
      <c r="C226" s="66">
        <v>45700</v>
      </c>
      <c r="D226" s="8" t="s">
        <v>30</v>
      </c>
      <c r="E226" s="67">
        <v>200000</v>
      </c>
      <c r="F226" s="8">
        <v>0.027</v>
      </c>
      <c r="G226" s="11">
        <v>45752</v>
      </c>
      <c r="H226" s="68">
        <f t="shared" si="3"/>
        <v>5400</v>
      </c>
      <c r="I226" s="67" t="s">
        <v>10</v>
      </c>
      <c r="J226" s="13">
        <v>45729</v>
      </c>
    </row>
    <row r="227" hidden="1" spans="1:10">
      <c r="A227" t="s">
        <v>319</v>
      </c>
      <c r="B227" s="8">
        <v>242502846</v>
      </c>
      <c r="C227" s="66">
        <v>45700</v>
      </c>
      <c r="D227" s="8" t="s">
        <v>30</v>
      </c>
      <c r="E227" s="67">
        <v>200000</v>
      </c>
      <c r="F227" s="8">
        <v>0.027</v>
      </c>
      <c r="G227" s="11">
        <v>45752</v>
      </c>
      <c r="H227" s="68">
        <f t="shared" si="3"/>
        <v>5400</v>
      </c>
      <c r="I227" s="67" t="s">
        <v>10</v>
      </c>
      <c r="J227" s="13">
        <v>45729</v>
      </c>
    </row>
    <row r="228" hidden="1" spans="1:10">
      <c r="A228" t="s">
        <v>319</v>
      </c>
      <c r="B228" s="8">
        <v>242502846</v>
      </c>
      <c r="C228" s="66">
        <v>45700</v>
      </c>
      <c r="D228" s="8" t="s">
        <v>30</v>
      </c>
      <c r="E228" s="67">
        <v>200000</v>
      </c>
      <c r="F228" s="8">
        <v>0.027</v>
      </c>
      <c r="G228" s="11">
        <v>45752</v>
      </c>
      <c r="H228" s="68">
        <f t="shared" si="3"/>
        <v>5400</v>
      </c>
      <c r="I228" s="67" t="s">
        <v>10</v>
      </c>
      <c r="J228" s="13">
        <v>45729</v>
      </c>
    </row>
    <row r="229" hidden="1" spans="1:10">
      <c r="A229" t="s">
        <v>319</v>
      </c>
      <c r="B229" s="8">
        <v>242502846</v>
      </c>
      <c r="C229" s="66">
        <v>45700</v>
      </c>
      <c r="D229" s="8" t="s">
        <v>30</v>
      </c>
      <c r="E229" s="67">
        <v>200000</v>
      </c>
      <c r="F229" s="8">
        <v>0.027</v>
      </c>
      <c r="G229" s="11">
        <v>45752</v>
      </c>
      <c r="H229" s="68">
        <f t="shared" si="3"/>
        <v>5400</v>
      </c>
      <c r="I229" s="67" t="s">
        <v>10</v>
      </c>
      <c r="J229" s="13">
        <v>45729</v>
      </c>
    </row>
    <row r="230" hidden="1" spans="1:10">
      <c r="A230" t="s">
        <v>319</v>
      </c>
      <c r="B230" s="8">
        <v>242502846</v>
      </c>
      <c r="C230" s="66">
        <v>45700</v>
      </c>
      <c r="D230" s="8" t="s">
        <v>30</v>
      </c>
      <c r="E230" s="67">
        <v>200000</v>
      </c>
      <c r="F230" s="8">
        <v>0.027</v>
      </c>
      <c r="G230" s="11">
        <v>45752</v>
      </c>
      <c r="H230" s="68">
        <f t="shared" si="3"/>
        <v>5400</v>
      </c>
      <c r="I230" s="67" t="s">
        <v>10</v>
      </c>
      <c r="J230" s="13">
        <v>45729</v>
      </c>
    </row>
    <row r="231" hidden="1" spans="1:10">
      <c r="A231" t="s">
        <v>319</v>
      </c>
      <c r="B231" s="8">
        <v>242502847</v>
      </c>
      <c r="C231" s="9">
        <v>45700</v>
      </c>
      <c r="D231" s="8" t="s">
        <v>30</v>
      </c>
      <c r="E231" s="10">
        <v>200000</v>
      </c>
      <c r="F231" s="8">
        <v>0.026</v>
      </c>
      <c r="G231" s="11">
        <v>45782</v>
      </c>
      <c r="H231" s="12">
        <f t="shared" si="3"/>
        <v>5200</v>
      </c>
      <c r="I231" s="10" t="s">
        <v>10</v>
      </c>
      <c r="J231" s="13">
        <v>45783</v>
      </c>
    </row>
    <row r="232" hidden="1" spans="1:10">
      <c r="A232" t="s">
        <v>319</v>
      </c>
      <c r="B232" s="8">
        <v>242502847</v>
      </c>
      <c r="C232" s="9">
        <v>45700</v>
      </c>
      <c r="D232" s="8" t="s">
        <v>30</v>
      </c>
      <c r="E232" s="10">
        <v>200000</v>
      </c>
      <c r="F232" s="8">
        <v>0.026</v>
      </c>
      <c r="G232" s="11">
        <v>45782</v>
      </c>
      <c r="H232" s="12">
        <f t="shared" si="3"/>
        <v>5200</v>
      </c>
      <c r="I232" s="10" t="s">
        <v>10</v>
      </c>
      <c r="J232" s="13">
        <v>45783</v>
      </c>
    </row>
    <row r="233" hidden="1" spans="1:10">
      <c r="A233" t="s">
        <v>319</v>
      </c>
      <c r="B233" s="8">
        <v>242502847</v>
      </c>
      <c r="C233" s="9">
        <v>45700</v>
      </c>
      <c r="D233" s="8" t="s">
        <v>30</v>
      </c>
      <c r="E233" s="10">
        <v>200000</v>
      </c>
      <c r="F233" s="8">
        <v>0.026</v>
      </c>
      <c r="G233" s="11">
        <v>45782</v>
      </c>
      <c r="H233" s="12">
        <f t="shared" si="3"/>
        <v>5200</v>
      </c>
      <c r="I233" s="10" t="s">
        <v>10</v>
      </c>
      <c r="J233" s="13">
        <v>45783</v>
      </c>
    </row>
    <row r="234" hidden="1" spans="1:10">
      <c r="A234" t="s">
        <v>319</v>
      </c>
      <c r="B234" s="8">
        <v>242502847</v>
      </c>
      <c r="C234" s="9">
        <v>45700</v>
      </c>
      <c r="D234" s="8" t="s">
        <v>30</v>
      </c>
      <c r="E234" s="10">
        <v>200000</v>
      </c>
      <c r="F234" s="8">
        <v>0.026</v>
      </c>
      <c r="G234" s="11">
        <v>45782</v>
      </c>
      <c r="H234" s="12">
        <f t="shared" si="3"/>
        <v>5200</v>
      </c>
      <c r="I234" s="10" t="s">
        <v>10</v>
      </c>
      <c r="J234" s="13">
        <v>45783</v>
      </c>
    </row>
    <row r="235" hidden="1" spans="1:10">
      <c r="A235" t="s">
        <v>319</v>
      </c>
      <c r="B235" s="8">
        <v>242502849</v>
      </c>
      <c r="C235" s="9">
        <v>45700</v>
      </c>
      <c r="D235" s="8" t="s">
        <v>31</v>
      </c>
      <c r="E235" s="10">
        <v>140000</v>
      </c>
      <c r="F235" s="69">
        <v>0.03</v>
      </c>
      <c r="G235" s="11">
        <v>45721</v>
      </c>
      <c r="H235" s="12">
        <f t="shared" si="3"/>
        <v>4200</v>
      </c>
      <c r="I235" s="10" t="s">
        <v>10</v>
      </c>
      <c r="J235" s="13">
        <v>45734</v>
      </c>
    </row>
    <row r="236" hidden="1" spans="1:10">
      <c r="A236" t="s">
        <v>319</v>
      </c>
      <c r="B236" s="8">
        <v>242502849</v>
      </c>
      <c r="C236" s="9">
        <v>45700</v>
      </c>
      <c r="D236" s="8" t="s">
        <v>31</v>
      </c>
      <c r="E236" s="10">
        <v>140000</v>
      </c>
      <c r="F236" s="69">
        <v>0.03</v>
      </c>
      <c r="G236" s="11">
        <v>45752</v>
      </c>
      <c r="H236" s="12">
        <f t="shared" si="3"/>
        <v>4200</v>
      </c>
      <c r="I236" s="10" t="s">
        <v>10</v>
      </c>
      <c r="J236" s="13">
        <v>45734</v>
      </c>
    </row>
    <row r="237" hidden="1" spans="1:10">
      <c r="A237" t="s">
        <v>319</v>
      </c>
      <c r="B237" s="8">
        <v>242502849</v>
      </c>
      <c r="C237" s="9">
        <v>45700</v>
      </c>
      <c r="D237" s="8" t="s">
        <v>31</v>
      </c>
      <c r="E237" s="10">
        <v>140000</v>
      </c>
      <c r="F237" s="69">
        <v>0.03</v>
      </c>
      <c r="G237" s="11">
        <v>45752</v>
      </c>
      <c r="H237" s="12">
        <f t="shared" si="3"/>
        <v>4200</v>
      </c>
      <c r="I237" s="10" t="s">
        <v>10</v>
      </c>
      <c r="J237" s="13">
        <v>45734</v>
      </c>
    </row>
    <row r="238" hidden="1" spans="1:10">
      <c r="A238" t="s">
        <v>319</v>
      </c>
      <c r="B238" s="8">
        <v>242502849</v>
      </c>
      <c r="C238" s="9">
        <v>45700</v>
      </c>
      <c r="D238" s="8" t="s">
        <v>31</v>
      </c>
      <c r="E238" s="10">
        <v>174000</v>
      </c>
      <c r="F238" s="69">
        <v>0.03</v>
      </c>
      <c r="G238" s="11">
        <v>45752</v>
      </c>
      <c r="H238" s="12">
        <f t="shared" si="3"/>
        <v>5220</v>
      </c>
      <c r="I238" s="10" t="s">
        <v>10</v>
      </c>
      <c r="J238" s="13">
        <v>45734</v>
      </c>
    </row>
    <row r="239" hidden="1" spans="1:10">
      <c r="A239" t="s">
        <v>319</v>
      </c>
      <c r="B239" s="8">
        <v>242502850</v>
      </c>
      <c r="C239" s="9">
        <v>45700</v>
      </c>
      <c r="D239" s="8" t="s">
        <v>31</v>
      </c>
      <c r="E239" s="10">
        <v>180000</v>
      </c>
      <c r="F239" s="69">
        <v>0.03</v>
      </c>
      <c r="G239" s="11">
        <v>45813</v>
      </c>
      <c r="H239" s="12">
        <f t="shared" si="3"/>
        <v>5400</v>
      </c>
      <c r="I239" s="10" t="s">
        <v>10</v>
      </c>
      <c r="J239" s="13">
        <v>45734</v>
      </c>
    </row>
    <row r="240" hidden="1" spans="1:10">
      <c r="A240" t="s">
        <v>319</v>
      </c>
      <c r="B240" s="8">
        <v>242502850</v>
      </c>
      <c r="C240" s="9">
        <v>45700</v>
      </c>
      <c r="D240" s="8" t="s">
        <v>31</v>
      </c>
      <c r="E240" s="10">
        <v>180000</v>
      </c>
      <c r="F240" s="69">
        <v>0.03</v>
      </c>
      <c r="G240" s="11">
        <v>45813</v>
      </c>
      <c r="H240" s="12">
        <f t="shared" si="3"/>
        <v>5400</v>
      </c>
      <c r="I240" s="10" t="s">
        <v>10</v>
      </c>
      <c r="J240" s="13">
        <v>45734</v>
      </c>
    </row>
    <row r="241" hidden="1" spans="1:11">
      <c r="A241" t="s">
        <v>319</v>
      </c>
      <c r="B241" s="8">
        <v>242502850</v>
      </c>
      <c r="C241" s="9">
        <v>45700</v>
      </c>
      <c r="D241" s="8" t="s">
        <v>31</v>
      </c>
      <c r="E241" s="10">
        <v>180000</v>
      </c>
      <c r="F241" s="69">
        <v>0.03</v>
      </c>
      <c r="G241" s="11">
        <v>45813</v>
      </c>
      <c r="H241" s="12">
        <f t="shared" si="3"/>
        <v>5400</v>
      </c>
      <c r="I241" s="10" t="s">
        <v>10</v>
      </c>
      <c r="J241" s="13">
        <v>45734</v>
      </c>
    </row>
    <row r="242" hidden="1" spans="1:11">
      <c r="A242" t="s">
        <v>319</v>
      </c>
      <c r="B242" s="8">
        <v>242502850</v>
      </c>
      <c r="C242" s="9">
        <v>45700</v>
      </c>
      <c r="D242" s="8" t="s">
        <v>50</v>
      </c>
      <c r="E242" s="10">
        <v>50000</v>
      </c>
      <c r="F242" s="8">
        <v>0.08</v>
      </c>
      <c r="G242" s="11">
        <v>45752</v>
      </c>
      <c r="H242" s="12">
        <f t="shared" si="3"/>
        <v>4000</v>
      </c>
      <c r="I242" s="10" t="s">
        <v>10</v>
      </c>
      <c r="J242" s="13">
        <v>45734</v>
      </c>
    </row>
    <row r="243" hidden="1" spans="1:11">
      <c r="A243" t="s">
        <v>319</v>
      </c>
      <c r="B243" s="8">
        <v>242502850</v>
      </c>
      <c r="C243" s="9">
        <v>45700</v>
      </c>
      <c r="D243" s="8" t="s">
        <v>106</v>
      </c>
      <c r="E243" s="10">
        <v>100000</v>
      </c>
      <c r="F243" s="8">
        <v>0.04</v>
      </c>
      <c r="G243" s="11">
        <v>45782</v>
      </c>
      <c r="H243" s="12">
        <f t="shared" si="3"/>
        <v>4000</v>
      </c>
      <c r="I243" s="10" t="s">
        <v>10</v>
      </c>
      <c r="J243" s="13">
        <v>45734</v>
      </c>
    </row>
    <row r="244" hidden="1" spans="1:11">
      <c r="A244" t="s">
        <v>319</v>
      </c>
      <c r="B244" s="8">
        <v>242502850</v>
      </c>
      <c r="C244" s="9">
        <v>45700</v>
      </c>
      <c r="D244" s="8" t="s">
        <v>106</v>
      </c>
      <c r="E244" s="10">
        <v>100000</v>
      </c>
      <c r="F244" s="8">
        <v>0.04</v>
      </c>
      <c r="G244" s="11">
        <v>45782</v>
      </c>
      <c r="H244" s="12">
        <f t="shared" si="3"/>
        <v>4000</v>
      </c>
      <c r="I244" s="10" t="s">
        <v>10</v>
      </c>
      <c r="J244" s="13">
        <v>45734</v>
      </c>
    </row>
    <row r="245" hidden="1" spans="1:11">
      <c r="A245" t="s">
        <v>319</v>
      </c>
      <c r="B245" s="8">
        <v>242502850</v>
      </c>
      <c r="C245" s="9">
        <v>45700</v>
      </c>
      <c r="D245" s="8" t="s">
        <v>106</v>
      </c>
      <c r="E245" s="10">
        <v>100000</v>
      </c>
      <c r="F245" s="8">
        <v>0.04</v>
      </c>
      <c r="G245" s="11">
        <v>45813</v>
      </c>
      <c r="H245" s="12">
        <f t="shared" si="3"/>
        <v>4000</v>
      </c>
      <c r="I245" s="10" t="s">
        <v>10</v>
      </c>
      <c r="J245" s="13">
        <v>45734</v>
      </c>
    </row>
    <row r="246" hidden="1" spans="1:11">
      <c r="A246" t="s">
        <v>319</v>
      </c>
      <c r="B246" s="8">
        <v>242502851</v>
      </c>
      <c r="C246" s="9">
        <v>45700</v>
      </c>
      <c r="D246" s="8" t="s">
        <v>58</v>
      </c>
      <c r="E246" s="10">
        <v>100000</v>
      </c>
      <c r="F246" s="8">
        <v>0.0175</v>
      </c>
      <c r="G246" s="11">
        <v>45752</v>
      </c>
      <c r="H246" s="12">
        <f t="shared" si="3"/>
        <v>1750</v>
      </c>
      <c r="I246" s="10" t="s">
        <v>10</v>
      </c>
      <c r="J246" s="13">
        <v>45743</v>
      </c>
    </row>
    <row r="247" hidden="1" spans="1:11">
      <c r="A247" t="s">
        <v>319</v>
      </c>
      <c r="B247" s="8">
        <v>242502851</v>
      </c>
      <c r="C247" s="9">
        <v>45700</v>
      </c>
      <c r="D247" s="8" t="s">
        <v>58</v>
      </c>
      <c r="E247" s="10">
        <v>100000</v>
      </c>
      <c r="F247" s="8">
        <v>0.0175</v>
      </c>
      <c r="G247" s="11">
        <v>45752</v>
      </c>
      <c r="H247" s="12">
        <f t="shared" si="3"/>
        <v>1750</v>
      </c>
      <c r="I247" s="10" t="s">
        <v>10</v>
      </c>
      <c r="J247" s="13">
        <v>45743</v>
      </c>
    </row>
    <row r="248" hidden="1" spans="1:11">
      <c r="A248" t="s">
        <v>319</v>
      </c>
      <c r="B248" s="8">
        <v>242502851</v>
      </c>
      <c r="C248" s="9">
        <v>45700</v>
      </c>
      <c r="D248" s="8" t="s">
        <v>58</v>
      </c>
      <c r="E248" s="10">
        <v>200000</v>
      </c>
      <c r="F248" s="8">
        <v>0.0175</v>
      </c>
      <c r="G248" s="11">
        <v>45752</v>
      </c>
      <c r="H248" s="12">
        <f t="shared" si="3"/>
        <v>3500</v>
      </c>
      <c r="I248" s="10" t="s">
        <v>10</v>
      </c>
      <c r="J248" s="13">
        <v>45743</v>
      </c>
    </row>
    <row r="249" hidden="1" spans="1:11">
      <c r="A249" t="s">
        <v>319</v>
      </c>
      <c r="B249" s="8">
        <v>242502851</v>
      </c>
      <c r="C249" s="9">
        <v>45700</v>
      </c>
      <c r="D249" s="8" t="s">
        <v>58</v>
      </c>
      <c r="E249" s="10">
        <v>200000</v>
      </c>
      <c r="F249" s="8">
        <v>0.0175</v>
      </c>
      <c r="G249" s="11">
        <v>45752</v>
      </c>
      <c r="H249" s="12">
        <f t="shared" si="3"/>
        <v>3500</v>
      </c>
      <c r="I249" s="10" t="s">
        <v>10</v>
      </c>
      <c r="J249" s="13">
        <v>45743</v>
      </c>
    </row>
    <row r="250" hidden="1" spans="1:11">
      <c r="A250" t="s">
        <v>319</v>
      </c>
      <c r="B250" s="8">
        <v>242502851</v>
      </c>
      <c r="C250" s="9">
        <v>45700</v>
      </c>
      <c r="D250" s="8" t="s">
        <v>58</v>
      </c>
      <c r="E250" s="10">
        <v>200000</v>
      </c>
      <c r="F250" s="8">
        <v>0.0175</v>
      </c>
      <c r="G250" s="11">
        <v>45752</v>
      </c>
      <c r="H250" s="12">
        <f t="shared" si="3"/>
        <v>3500</v>
      </c>
      <c r="I250" s="10" t="s">
        <v>10</v>
      </c>
      <c r="J250" s="13">
        <v>45743</v>
      </c>
    </row>
    <row r="251" hidden="1" spans="1:11">
      <c r="A251" t="s">
        <v>319</v>
      </c>
      <c r="B251" s="8">
        <v>242502852</v>
      </c>
      <c r="C251" s="9">
        <v>45700</v>
      </c>
      <c r="D251" s="8" t="s">
        <v>33</v>
      </c>
      <c r="E251" s="10">
        <v>100000</v>
      </c>
      <c r="F251" s="8">
        <v>0.018</v>
      </c>
      <c r="G251" s="11">
        <v>45752</v>
      </c>
      <c r="H251" s="12">
        <f t="shared" si="3"/>
        <v>1800</v>
      </c>
      <c r="I251" s="10" t="s">
        <v>10</v>
      </c>
      <c r="J251" s="13">
        <v>45789</v>
      </c>
    </row>
    <row r="252" hidden="1" spans="1:11">
      <c r="A252" t="s">
        <v>319</v>
      </c>
      <c r="B252" s="8">
        <v>242502852</v>
      </c>
      <c r="C252" s="9">
        <v>45700</v>
      </c>
      <c r="D252" s="8" t="s">
        <v>33</v>
      </c>
      <c r="E252" s="10">
        <v>100000</v>
      </c>
      <c r="F252" s="8">
        <v>0.018</v>
      </c>
      <c r="G252" s="11">
        <v>45752</v>
      </c>
      <c r="H252" s="12">
        <f t="shared" si="3"/>
        <v>1800</v>
      </c>
      <c r="I252" s="10" t="s">
        <v>10</v>
      </c>
      <c r="J252" s="13">
        <v>45789</v>
      </c>
    </row>
    <row r="253" hidden="1" spans="1:11">
      <c r="B253" s="14">
        <v>242502868</v>
      </c>
      <c r="C253" s="13">
        <v>45701</v>
      </c>
      <c r="D253" s="14" t="s">
        <v>352</v>
      </c>
      <c r="E253" s="15">
        <v>500000</v>
      </c>
      <c r="F253" s="14">
        <v>0.0072</v>
      </c>
      <c r="G253" s="16">
        <v>45710</v>
      </c>
      <c r="H253" s="17">
        <f t="shared" si="3"/>
        <v>3600</v>
      </c>
      <c r="I253" s="15" t="s">
        <v>317</v>
      </c>
      <c r="J253" s="15" t="s">
        <v>501</v>
      </c>
    </row>
    <row r="254" hidden="1" spans="1:11">
      <c r="A254" t="s">
        <v>319</v>
      </c>
      <c r="B254" s="8">
        <v>242502871</v>
      </c>
      <c r="C254" s="9">
        <v>45701</v>
      </c>
      <c r="D254" s="8" t="s">
        <v>32</v>
      </c>
      <c r="E254" s="10">
        <v>20000</v>
      </c>
      <c r="F254" s="8">
        <v>0.02</v>
      </c>
      <c r="G254" s="11">
        <v>45738</v>
      </c>
      <c r="H254" s="12">
        <f t="shared" si="3"/>
        <v>400</v>
      </c>
      <c r="I254" s="10" t="s">
        <v>10</v>
      </c>
      <c r="J254" s="13">
        <v>45707</v>
      </c>
      <c r="K254" t="s">
        <v>493</v>
      </c>
    </row>
    <row r="255" hidden="1" spans="1:11">
      <c r="A255" t="s">
        <v>319</v>
      </c>
      <c r="B255" s="8">
        <v>242502883</v>
      </c>
      <c r="C255" s="9">
        <v>45702</v>
      </c>
      <c r="D255" s="8" t="s">
        <v>45</v>
      </c>
      <c r="E255" s="10">
        <v>100000</v>
      </c>
      <c r="F255" s="8">
        <v>0.024</v>
      </c>
      <c r="G255" s="11">
        <v>45830</v>
      </c>
      <c r="H255" s="12">
        <f t="shared" si="3"/>
        <v>2400</v>
      </c>
      <c r="I255" s="10" t="s">
        <v>10</v>
      </c>
      <c r="J255" s="13">
        <v>45749</v>
      </c>
      <c r="K255" t="s">
        <v>337</v>
      </c>
    </row>
    <row r="256" hidden="1" spans="1:11">
      <c r="A256" t="s">
        <v>319</v>
      </c>
      <c r="B256" s="8">
        <v>242502884</v>
      </c>
      <c r="C256" s="9">
        <v>45702</v>
      </c>
      <c r="D256" s="8" t="s">
        <v>40</v>
      </c>
      <c r="E256" s="10">
        <v>100000</v>
      </c>
      <c r="F256" s="8">
        <v>0.05</v>
      </c>
      <c r="G256" s="11">
        <v>45731</v>
      </c>
      <c r="H256" s="12">
        <f t="shared" si="3"/>
        <v>5000</v>
      </c>
      <c r="I256" s="10" t="s">
        <v>10</v>
      </c>
      <c r="J256" s="13">
        <v>45715</v>
      </c>
      <c r="K256" t="s">
        <v>337</v>
      </c>
    </row>
    <row r="257" hidden="1" spans="1:11">
      <c r="A257" t="s">
        <v>319</v>
      </c>
      <c r="B257" s="8">
        <v>242502884</v>
      </c>
      <c r="C257" s="9">
        <v>45702</v>
      </c>
      <c r="D257" s="8" t="s">
        <v>40</v>
      </c>
      <c r="E257" s="10">
        <v>100000</v>
      </c>
      <c r="F257" s="8">
        <v>0.05</v>
      </c>
      <c r="G257" s="11">
        <v>45731</v>
      </c>
      <c r="H257" s="12">
        <f t="shared" si="3"/>
        <v>5000</v>
      </c>
      <c r="I257" s="10" t="s">
        <v>10</v>
      </c>
      <c r="J257" s="13">
        <v>45715</v>
      </c>
      <c r="K257" t="s">
        <v>337</v>
      </c>
    </row>
    <row r="258" hidden="1" spans="1:11">
      <c r="A258" t="s">
        <v>319</v>
      </c>
      <c r="B258" s="8">
        <v>242502884</v>
      </c>
      <c r="C258" s="9">
        <v>45702</v>
      </c>
      <c r="D258" s="8" t="s">
        <v>40</v>
      </c>
      <c r="E258" s="10">
        <v>100000</v>
      </c>
      <c r="F258" s="8">
        <v>0.05</v>
      </c>
      <c r="G258" s="11">
        <v>45731</v>
      </c>
      <c r="H258" s="12">
        <f t="shared" ref="H258:H321" si="4">E258*F258</f>
        <v>5000</v>
      </c>
      <c r="I258" s="10" t="s">
        <v>10</v>
      </c>
      <c r="J258" s="13">
        <v>45715</v>
      </c>
      <c r="K258" t="s">
        <v>337</v>
      </c>
    </row>
    <row r="259" hidden="1" spans="1:11">
      <c r="A259" t="s">
        <v>319</v>
      </c>
      <c r="B259" s="8">
        <v>242502885</v>
      </c>
      <c r="C259" s="9">
        <v>45702</v>
      </c>
      <c r="D259" s="8" t="s">
        <v>111</v>
      </c>
      <c r="E259" s="10">
        <v>50000</v>
      </c>
      <c r="F259" s="8">
        <v>0.045</v>
      </c>
      <c r="G259" s="11">
        <v>45769</v>
      </c>
      <c r="H259" s="12">
        <f t="shared" si="4"/>
        <v>2250</v>
      </c>
      <c r="I259" s="10" t="s">
        <v>10</v>
      </c>
      <c r="J259" s="13">
        <v>45730</v>
      </c>
      <c r="K259" t="s">
        <v>377</v>
      </c>
    </row>
    <row r="260" hidden="1" spans="1:11">
      <c r="A260" t="s">
        <v>319</v>
      </c>
      <c r="B260" s="8">
        <v>242502885</v>
      </c>
      <c r="C260" s="9">
        <v>45702</v>
      </c>
      <c r="D260" s="8" t="s">
        <v>46</v>
      </c>
      <c r="E260" s="10">
        <v>68000</v>
      </c>
      <c r="F260" s="8">
        <v>0.022</v>
      </c>
      <c r="G260" s="11">
        <v>45731</v>
      </c>
      <c r="H260" s="12">
        <f t="shared" si="4"/>
        <v>1496</v>
      </c>
      <c r="I260" s="10" t="s">
        <v>10</v>
      </c>
      <c r="J260" s="13">
        <v>45730</v>
      </c>
      <c r="K260" t="s">
        <v>377</v>
      </c>
    </row>
    <row r="261" hidden="1" spans="1:11">
      <c r="A261" t="s">
        <v>319</v>
      </c>
      <c r="B261" s="8">
        <v>242502885</v>
      </c>
      <c r="C261" s="9">
        <v>45702</v>
      </c>
      <c r="D261" s="8" t="s">
        <v>40</v>
      </c>
      <c r="E261" s="10">
        <v>60000</v>
      </c>
      <c r="F261" s="8">
        <v>0.05</v>
      </c>
      <c r="G261" s="11">
        <v>45731</v>
      </c>
      <c r="H261" s="12">
        <f t="shared" si="4"/>
        <v>3000</v>
      </c>
      <c r="I261" s="10" t="s">
        <v>10</v>
      </c>
      <c r="J261" s="13">
        <v>45730</v>
      </c>
      <c r="K261" t="s">
        <v>377</v>
      </c>
    </row>
    <row r="262" hidden="1" spans="1:11">
      <c r="A262" t="s">
        <v>319</v>
      </c>
      <c r="B262" s="8">
        <v>242502885</v>
      </c>
      <c r="C262" s="9">
        <v>45702</v>
      </c>
      <c r="D262" s="8" t="s">
        <v>40</v>
      </c>
      <c r="E262" s="10">
        <v>60000</v>
      </c>
      <c r="F262" s="8">
        <v>0.05</v>
      </c>
      <c r="G262" s="11">
        <v>45731</v>
      </c>
      <c r="H262" s="12">
        <f t="shared" si="4"/>
        <v>3000</v>
      </c>
      <c r="I262" s="10" t="s">
        <v>10</v>
      </c>
      <c r="J262" s="13">
        <v>45730</v>
      </c>
      <c r="K262" t="s">
        <v>377</v>
      </c>
    </row>
    <row r="263" hidden="1" spans="1:11">
      <c r="A263" t="s">
        <v>319</v>
      </c>
      <c r="B263" s="8">
        <v>242502885</v>
      </c>
      <c r="C263" s="9">
        <v>45702</v>
      </c>
      <c r="D263" s="50" t="s">
        <v>38</v>
      </c>
      <c r="E263" s="10">
        <v>40000</v>
      </c>
      <c r="F263" s="8">
        <v>0.01</v>
      </c>
      <c r="G263" s="11">
        <v>45738</v>
      </c>
      <c r="H263" s="12">
        <f t="shared" si="4"/>
        <v>400</v>
      </c>
      <c r="I263" s="10" t="s">
        <v>10</v>
      </c>
      <c r="J263" s="13">
        <v>45730</v>
      </c>
      <c r="K263" t="s">
        <v>377</v>
      </c>
    </row>
    <row r="264" hidden="1" spans="1:11">
      <c r="A264" t="s">
        <v>319</v>
      </c>
      <c r="B264" s="8">
        <v>242502885</v>
      </c>
      <c r="C264" s="9">
        <v>45702</v>
      </c>
      <c r="D264" s="50" t="s">
        <v>38</v>
      </c>
      <c r="E264" s="10">
        <v>40000</v>
      </c>
      <c r="F264" s="8">
        <v>0.01</v>
      </c>
      <c r="G264" s="11">
        <v>45769</v>
      </c>
      <c r="H264" s="12">
        <f t="shared" si="4"/>
        <v>400</v>
      </c>
      <c r="I264" s="10" t="s">
        <v>10</v>
      </c>
      <c r="J264" s="13">
        <v>45730</v>
      </c>
      <c r="K264" t="s">
        <v>377</v>
      </c>
    </row>
    <row r="265" hidden="1" spans="1:11">
      <c r="A265" t="s">
        <v>319</v>
      </c>
      <c r="B265" s="8">
        <v>242502885</v>
      </c>
      <c r="C265" s="9">
        <v>45702</v>
      </c>
      <c r="D265" s="8" t="s">
        <v>50</v>
      </c>
      <c r="E265" s="10">
        <v>50000</v>
      </c>
      <c r="F265" s="8">
        <v>0.08</v>
      </c>
      <c r="G265" s="11">
        <v>45769</v>
      </c>
      <c r="H265" s="12">
        <f t="shared" si="4"/>
        <v>4000</v>
      </c>
      <c r="I265" s="10" t="s">
        <v>10</v>
      </c>
      <c r="J265" s="13">
        <v>45730</v>
      </c>
      <c r="K265" t="s">
        <v>377</v>
      </c>
    </row>
    <row r="266" hidden="1" spans="1:11">
      <c r="A266" t="s">
        <v>319</v>
      </c>
      <c r="B266" s="8">
        <v>242502886</v>
      </c>
      <c r="C266" s="9">
        <v>45702</v>
      </c>
      <c r="D266" s="8" t="s">
        <v>40</v>
      </c>
      <c r="E266" s="10">
        <v>200000</v>
      </c>
      <c r="F266" s="8">
        <v>0.05</v>
      </c>
      <c r="G266" s="11">
        <v>45731</v>
      </c>
      <c r="H266" s="12">
        <f t="shared" si="4"/>
        <v>10000</v>
      </c>
      <c r="I266" s="10" t="s">
        <v>10</v>
      </c>
      <c r="J266" s="13">
        <v>45715</v>
      </c>
      <c r="K266" t="s">
        <v>380</v>
      </c>
    </row>
    <row r="267" hidden="1" spans="1:11">
      <c r="A267" t="s">
        <v>319</v>
      </c>
      <c r="B267" s="8">
        <v>242502886</v>
      </c>
      <c r="C267" s="9">
        <v>45702</v>
      </c>
      <c r="D267" s="8" t="s">
        <v>163</v>
      </c>
      <c r="E267" s="10">
        <v>240000</v>
      </c>
      <c r="F267" s="8">
        <v>0.0025</v>
      </c>
      <c r="G267" s="11">
        <v>45769</v>
      </c>
      <c r="H267" s="12">
        <f t="shared" si="4"/>
        <v>600</v>
      </c>
      <c r="I267" s="10" t="s">
        <v>10</v>
      </c>
      <c r="J267" s="13">
        <v>45715</v>
      </c>
      <c r="K267" t="s">
        <v>380</v>
      </c>
    </row>
    <row r="268" hidden="1" spans="1:11">
      <c r="A268" t="s">
        <v>319</v>
      </c>
      <c r="B268" s="8">
        <v>242502886</v>
      </c>
      <c r="C268" s="9">
        <v>45702</v>
      </c>
      <c r="D268" s="8" t="s">
        <v>163</v>
      </c>
      <c r="E268" s="10">
        <v>256000</v>
      </c>
      <c r="F268" s="8">
        <v>0.0025</v>
      </c>
      <c r="G268" s="11">
        <v>45799</v>
      </c>
      <c r="H268" s="12">
        <f t="shared" si="4"/>
        <v>640</v>
      </c>
      <c r="I268" s="10" t="s">
        <v>10</v>
      </c>
      <c r="J268" s="13">
        <v>45715</v>
      </c>
      <c r="K268" t="s">
        <v>380</v>
      </c>
    </row>
    <row r="269" hidden="1" spans="1:11">
      <c r="A269" t="s">
        <v>319</v>
      </c>
      <c r="B269" s="8">
        <v>242502886</v>
      </c>
      <c r="C269" s="9">
        <v>45702</v>
      </c>
      <c r="D269" s="8" t="s">
        <v>46</v>
      </c>
      <c r="E269" s="10">
        <v>200000</v>
      </c>
      <c r="F269" s="8">
        <v>0.022</v>
      </c>
      <c r="G269" s="11">
        <v>45731</v>
      </c>
      <c r="H269" s="12">
        <f t="shared" si="4"/>
        <v>4400</v>
      </c>
      <c r="I269" s="10" t="s">
        <v>10</v>
      </c>
      <c r="J269" s="13">
        <v>45715</v>
      </c>
      <c r="K269" t="s">
        <v>380</v>
      </c>
    </row>
    <row r="270" hidden="1" spans="1:11">
      <c r="A270" t="s">
        <v>319</v>
      </c>
      <c r="B270" s="8">
        <v>242502886</v>
      </c>
      <c r="C270" s="9">
        <v>45702</v>
      </c>
      <c r="D270" s="8" t="s">
        <v>46</v>
      </c>
      <c r="E270" s="10">
        <v>200000</v>
      </c>
      <c r="F270" s="8">
        <v>0.022</v>
      </c>
      <c r="G270" s="11">
        <v>45731</v>
      </c>
      <c r="H270" s="12">
        <f t="shared" si="4"/>
        <v>4400</v>
      </c>
      <c r="I270" s="10" t="s">
        <v>10</v>
      </c>
      <c r="J270" s="13">
        <v>45715</v>
      </c>
      <c r="K270" t="s">
        <v>380</v>
      </c>
    </row>
    <row r="271" hidden="1" spans="1:11">
      <c r="A271" t="s">
        <v>319</v>
      </c>
      <c r="B271" s="8">
        <v>242502889</v>
      </c>
      <c r="C271" s="9">
        <v>45702</v>
      </c>
      <c r="D271" s="8" t="s">
        <v>35</v>
      </c>
      <c r="E271" s="10">
        <v>20000</v>
      </c>
      <c r="F271" s="8">
        <v>0.05</v>
      </c>
      <c r="G271" s="11">
        <v>45769</v>
      </c>
      <c r="H271" s="12">
        <f t="shared" si="4"/>
        <v>1000</v>
      </c>
      <c r="I271" s="10" t="s">
        <v>10</v>
      </c>
      <c r="J271" s="13">
        <v>45717</v>
      </c>
      <c r="K271" t="s">
        <v>486</v>
      </c>
    </row>
    <row r="272" hidden="1" spans="1:11">
      <c r="A272" t="s">
        <v>319</v>
      </c>
      <c r="B272" s="8">
        <v>242502899</v>
      </c>
      <c r="C272" s="9">
        <v>45702</v>
      </c>
      <c r="D272" s="8" t="s">
        <v>41</v>
      </c>
      <c r="E272" s="10">
        <v>50000</v>
      </c>
      <c r="F272" s="8">
        <v>0.285</v>
      </c>
      <c r="G272" s="11">
        <v>45799</v>
      </c>
      <c r="H272" s="12">
        <f t="shared" si="4"/>
        <v>14250</v>
      </c>
      <c r="I272" s="10" t="s">
        <v>10</v>
      </c>
      <c r="J272" s="13">
        <v>45730</v>
      </c>
      <c r="K272" t="s">
        <v>337</v>
      </c>
    </row>
    <row r="273" hidden="1" spans="1:11">
      <c r="B273" s="14">
        <v>242502900</v>
      </c>
      <c r="C273" s="13">
        <v>45702</v>
      </c>
      <c r="D273" s="14" t="s">
        <v>352</v>
      </c>
      <c r="E273" s="15">
        <v>73000</v>
      </c>
      <c r="F273" s="14">
        <v>0.0072</v>
      </c>
      <c r="G273" s="16">
        <v>45752</v>
      </c>
      <c r="H273" s="17">
        <f t="shared" si="4"/>
        <v>525.6</v>
      </c>
      <c r="I273" s="15" t="s">
        <v>317</v>
      </c>
      <c r="J273" s="15" t="s">
        <v>501</v>
      </c>
      <c r="K273" t="s">
        <v>378</v>
      </c>
    </row>
    <row r="274" hidden="1" spans="1:11">
      <c r="B274" s="14">
        <v>242502900</v>
      </c>
      <c r="C274" s="13">
        <v>45702</v>
      </c>
      <c r="D274" s="14" t="s">
        <v>352</v>
      </c>
      <c r="E274" s="15">
        <v>259000</v>
      </c>
      <c r="F274" s="14">
        <v>0.0072</v>
      </c>
      <c r="G274" s="16">
        <v>45782</v>
      </c>
      <c r="H274" s="17">
        <f t="shared" si="4"/>
        <v>1864.8</v>
      </c>
      <c r="I274" s="15" t="s">
        <v>317</v>
      </c>
      <c r="J274" s="15" t="s">
        <v>501</v>
      </c>
      <c r="K274" t="s">
        <v>378</v>
      </c>
    </row>
    <row r="275" hidden="1" spans="1:11">
      <c r="B275" s="14">
        <v>242502900</v>
      </c>
      <c r="C275" s="13">
        <v>45702</v>
      </c>
      <c r="D275" s="14" t="s">
        <v>352</v>
      </c>
      <c r="E275" s="15">
        <v>250000</v>
      </c>
      <c r="F275" s="14">
        <v>0.0072</v>
      </c>
      <c r="G275" s="16">
        <v>45813</v>
      </c>
      <c r="H275" s="17">
        <f t="shared" si="4"/>
        <v>1800</v>
      </c>
      <c r="I275" s="15" t="s">
        <v>317</v>
      </c>
      <c r="J275" s="15" t="s">
        <v>501</v>
      </c>
      <c r="K275" t="s">
        <v>378</v>
      </c>
    </row>
    <row r="276" hidden="1" spans="1:11">
      <c r="A276" t="s">
        <v>319</v>
      </c>
      <c r="B276" s="8">
        <v>242502901</v>
      </c>
      <c r="C276" s="9">
        <v>45702</v>
      </c>
      <c r="D276" s="8" t="s">
        <v>105</v>
      </c>
      <c r="E276" s="10">
        <v>20000</v>
      </c>
      <c r="F276" s="8">
        <v>0.18</v>
      </c>
      <c r="G276" s="11">
        <v>45769</v>
      </c>
      <c r="H276" s="12">
        <f t="shared" si="4"/>
        <v>3600</v>
      </c>
      <c r="I276" s="10" t="s">
        <v>10</v>
      </c>
      <c r="J276" s="13">
        <v>45706</v>
      </c>
      <c r="K276" t="s">
        <v>377</v>
      </c>
    </row>
    <row r="277" hidden="1" spans="1:11">
      <c r="A277" t="s">
        <v>319</v>
      </c>
      <c r="B277" s="8">
        <v>242502901</v>
      </c>
      <c r="C277" s="9">
        <v>45702</v>
      </c>
      <c r="D277" s="8" t="s">
        <v>105</v>
      </c>
      <c r="E277" s="10">
        <v>20000</v>
      </c>
      <c r="F277" s="8">
        <v>0.18</v>
      </c>
      <c r="G277" s="11">
        <v>45799</v>
      </c>
      <c r="H277" s="12">
        <f t="shared" si="4"/>
        <v>3600</v>
      </c>
      <c r="I277" s="10" t="s">
        <v>10</v>
      </c>
      <c r="J277" s="13">
        <v>45706</v>
      </c>
      <c r="K277" t="s">
        <v>377</v>
      </c>
    </row>
    <row r="278" hidden="1" spans="1:11">
      <c r="A278" t="s">
        <v>319</v>
      </c>
      <c r="B278" s="8">
        <v>242502901</v>
      </c>
      <c r="C278" s="9">
        <v>45702</v>
      </c>
      <c r="D278" s="8" t="s">
        <v>502</v>
      </c>
      <c r="E278" s="10">
        <v>60000</v>
      </c>
      <c r="F278" s="8">
        <v>0.1</v>
      </c>
      <c r="G278" s="11">
        <v>45769</v>
      </c>
      <c r="H278" s="12">
        <f t="shared" si="4"/>
        <v>6000</v>
      </c>
      <c r="I278" s="10" t="s">
        <v>10</v>
      </c>
      <c r="J278" s="13">
        <v>45706</v>
      </c>
      <c r="K278" t="s">
        <v>377</v>
      </c>
    </row>
    <row r="279" hidden="1" spans="1:11">
      <c r="A279" t="s">
        <v>319</v>
      </c>
      <c r="B279" s="8">
        <v>242502901</v>
      </c>
      <c r="C279" s="9">
        <v>45702</v>
      </c>
      <c r="D279" s="8" t="s">
        <v>502</v>
      </c>
      <c r="E279" s="10">
        <v>60000</v>
      </c>
      <c r="F279" s="8">
        <v>0.1</v>
      </c>
      <c r="G279" s="11">
        <v>45799</v>
      </c>
      <c r="H279" s="12">
        <f t="shared" si="4"/>
        <v>6000</v>
      </c>
      <c r="I279" s="10" t="s">
        <v>10</v>
      </c>
      <c r="J279" s="13">
        <v>45706</v>
      </c>
      <c r="K279" t="s">
        <v>377</v>
      </c>
    </row>
    <row r="280" hidden="1" spans="1:11">
      <c r="A280" t="s">
        <v>319</v>
      </c>
      <c r="B280" s="8">
        <v>242502901</v>
      </c>
      <c r="C280" s="9">
        <v>45702</v>
      </c>
      <c r="D280" s="8" t="s">
        <v>183</v>
      </c>
      <c r="E280" s="10">
        <v>20000</v>
      </c>
      <c r="F280" s="8">
        <v>0.5</v>
      </c>
      <c r="G280" s="11">
        <v>45738</v>
      </c>
      <c r="H280" s="12">
        <f t="shared" si="4"/>
        <v>10000</v>
      </c>
      <c r="I280" s="10" t="s">
        <v>10</v>
      </c>
      <c r="J280" s="13">
        <v>45706</v>
      </c>
      <c r="K280" t="s">
        <v>377</v>
      </c>
    </row>
    <row r="281" hidden="1" spans="1:11">
      <c r="A281" t="s">
        <v>319</v>
      </c>
      <c r="B281" s="8">
        <v>242502901</v>
      </c>
      <c r="C281" s="9">
        <v>45702</v>
      </c>
      <c r="D281" s="8" t="s">
        <v>183</v>
      </c>
      <c r="E281" s="10">
        <v>12000</v>
      </c>
      <c r="F281" s="8">
        <v>0.5</v>
      </c>
      <c r="G281" s="11">
        <v>45769</v>
      </c>
      <c r="H281" s="12">
        <f t="shared" si="4"/>
        <v>6000</v>
      </c>
      <c r="I281" s="10" t="s">
        <v>10</v>
      </c>
      <c r="J281" s="13">
        <v>45706</v>
      </c>
      <c r="K281" t="s">
        <v>377</v>
      </c>
    </row>
    <row r="282" hidden="1" spans="1:11">
      <c r="A282" t="s">
        <v>319</v>
      </c>
      <c r="B282" s="8">
        <v>242502930</v>
      </c>
      <c r="C282" s="9">
        <v>45705</v>
      </c>
      <c r="D282" s="8" t="s">
        <v>42</v>
      </c>
      <c r="E282" s="10">
        <v>100000</v>
      </c>
      <c r="F282" s="8">
        <v>0.065</v>
      </c>
      <c r="G282" s="11">
        <v>45799</v>
      </c>
      <c r="H282" s="12">
        <f t="shared" si="4"/>
        <v>6500</v>
      </c>
      <c r="I282" s="10" t="s">
        <v>10</v>
      </c>
      <c r="J282" s="13">
        <v>45730</v>
      </c>
      <c r="K282" t="s">
        <v>337</v>
      </c>
    </row>
    <row r="283" hidden="1" spans="1:11">
      <c r="A283" t="s">
        <v>319</v>
      </c>
      <c r="B283" s="8">
        <v>242502930</v>
      </c>
      <c r="C283" s="9">
        <v>45705</v>
      </c>
      <c r="D283" s="8" t="s">
        <v>42</v>
      </c>
      <c r="E283" s="10">
        <v>100000</v>
      </c>
      <c r="F283" s="8">
        <v>0.065</v>
      </c>
      <c r="G283" s="11">
        <v>45799</v>
      </c>
      <c r="H283" s="12">
        <f t="shared" si="4"/>
        <v>6500</v>
      </c>
      <c r="I283" s="10" t="s">
        <v>10</v>
      </c>
      <c r="J283" s="13">
        <v>45730</v>
      </c>
      <c r="K283" t="s">
        <v>337</v>
      </c>
    </row>
    <row r="284" hidden="1" spans="1:11">
      <c r="A284" t="s">
        <v>319</v>
      </c>
      <c r="B284" s="8">
        <v>242502942</v>
      </c>
      <c r="C284" s="9">
        <v>45705</v>
      </c>
      <c r="D284" s="8" t="s">
        <v>181</v>
      </c>
      <c r="E284" s="10">
        <v>200000</v>
      </c>
      <c r="F284" s="8">
        <v>0.027</v>
      </c>
      <c r="G284" s="11">
        <v>45710</v>
      </c>
      <c r="H284" s="12">
        <f t="shared" si="4"/>
        <v>5400</v>
      </c>
      <c r="I284" s="10" t="s">
        <v>10</v>
      </c>
      <c r="J284" s="13">
        <v>45749</v>
      </c>
      <c r="K284" t="s">
        <v>439</v>
      </c>
    </row>
    <row r="285" hidden="1" spans="1:11">
      <c r="A285" t="s">
        <v>319</v>
      </c>
      <c r="B285" s="8">
        <v>242502942</v>
      </c>
      <c r="C285" s="9">
        <v>45705</v>
      </c>
      <c r="D285" s="8" t="s">
        <v>181</v>
      </c>
      <c r="E285" s="10">
        <v>200000</v>
      </c>
      <c r="F285" s="8">
        <v>0.027</v>
      </c>
      <c r="G285" s="11">
        <v>45752</v>
      </c>
      <c r="H285" s="12">
        <f t="shared" si="4"/>
        <v>5400</v>
      </c>
      <c r="I285" s="10" t="s">
        <v>10</v>
      </c>
      <c r="J285" s="13">
        <v>45749</v>
      </c>
      <c r="K285" t="s">
        <v>439</v>
      </c>
    </row>
    <row r="286" hidden="1" spans="1:11">
      <c r="A286" t="s">
        <v>319</v>
      </c>
      <c r="B286" s="8">
        <v>242502942</v>
      </c>
      <c r="C286" s="9">
        <v>45705</v>
      </c>
      <c r="D286" s="8" t="s">
        <v>181</v>
      </c>
      <c r="E286" s="10">
        <v>100000</v>
      </c>
      <c r="F286" s="8">
        <v>0.027</v>
      </c>
      <c r="G286" s="11">
        <v>45769</v>
      </c>
      <c r="H286" s="12">
        <f t="shared" si="4"/>
        <v>2700</v>
      </c>
      <c r="I286" s="10" t="s">
        <v>10</v>
      </c>
      <c r="J286" s="13">
        <v>45749</v>
      </c>
      <c r="K286" t="s">
        <v>439</v>
      </c>
    </row>
    <row r="287" hidden="1" spans="1:11">
      <c r="B287" s="14">
        <v>242502945</v>
      </c>
      <c r="C287" s="13">
        <v>45705</v>
      </c>
      <c r="D287" s="14" t="s">
        <v>352</v>
      </c>
      <c r="E287" s="15">
        <v>250000</v>
      </c>
      <c r="F287" s="14">
        <v>0.0072</v>
      </c>
      <c r="G287" s="16">
        <v>45710</v>
      </c>
      <c r="H287" s="17">
        <f t="shared" si="4"/>
        <v>1800</v>
      </c>
      <c r="I287" s="15" t="s">
        <v>317</v>
      </c>
      <c r="J287" s="15" t="s">
        <v>501</v>
      </c>
      <c r="K287" t="s">
        <v>503</v>
      </c>
    </row>
    <row r="288" hidden="1" spans="1:11">
      <c r="B288" s="14">
        <v>242502945</v>
      </c>
      <c r="C288" s="13">
        <v>45705</v>
      </c>
      <c r="D288" s="14" t="s">
        <v>352</v>
      </c>
      <c r="E288" s="15">
        <v>250000</v>
      </c>
      <c r="F288" s="14">
        <v>0.0072</v>
      </c>
      <c r="G288" s="16">
        <v>45710</v>
      </c>
      <c r="H288" s="17">
        <f t="shared" si="4"/>
        <v>1800</v>
      </c>
      <c r="I288" s="15" t="s">
        <v>317</v>
      </c>
      <c r="J288" s="15" t="s">
        <v>501</v>
      </c>
      <c r="K288" t="s">
        <v>503</v>
      </c>
    </row>
    <row r="289" hidden="1" spans="1:11">
      <c r="B289" s="14">
        <v>242502945</v>
      </c>
      <c r="C289" s="13">
        <v>45705</v>
      </c>
      <c r="D289" s="14" t="s">
        <v>352</v>
      </c>
      <c r="E289" s="15">
        <v>250000</v>
      </c>
      <c r="F289" s="14">
        <v>0.0072</v>
      </c>
      <c r="G289" s="16">
        <v>45710</v>
      </c>
      <c r="H289" s="17">
        <f t="shared" si="4"/>
        <v>1800</v>
      </c>
      <c r="I289" s="15" t="s">
        <v>317</v>
      </c>
      <c r="J289" s="15" t="s">
        <v>501</v>
      </c>
      <c r="K289" t="s">
        <v>503</v>
      </c>
    </row>
    <row r="290" hidden="1" spans="1:11">
      <c r="B290" s="14">
        <v>242502945</v>
      </c>
      <c r="C290" s="13">
        <v>45705</v>
      </c>
      <c r="D290" s="14" t="s">
        <v>352</v>
      </c>
      <c r="E290" s="15">
        <v>250000</v>
      </c>
      <c r="F290" s="14">
        <v>0.0072</v>
      </c>
      <c r="G290" s="16">
        <v>45738</v>
      </c>
      <c r="H290" s="17">
        <f t="shared" si="4"/>
        <v>1800</v>
      </c>
      <c r="I290" s="15" t="s">
        <v>317</v>
      </c>
      <c r="J290" s="15" t="s">
        <v>501</v>
      </c>
      <c r="K290" t="s">
        <v>503</v>
      </c>
    </row>
    <row r="291" hidden="1" spans="1:11">
      <c r="B291" s="14">
        <v>242502945</v>
      </c>
      <c r="C291" s="13">
        <v>45705</v>
      </c>
      <c r="D291" s="14" t="s">
        <v>352</v>
      </c>
      <c r="E291" s="15">
        <v>250000</v>
      </c>
      <c r="F291" s="14">
        <v>0.0072</v>
      </c>
      <c r="G291" s="16">
        <v>45769</v>
      </c>
      <c r="H291" s="17">
        <f t="shared" si="4"/>
        <v>1800</v>
      </c>
      <c r="I291" s="15" t="s">
        <v>317</v>
      </c>
      <c r="J291" s="15" t="s">
        <v>501</v>
      </c>
      <c r="K291" t="s">
        <v>503</v>
      </c>
    </row>
    <row r="292" hidden="1" spans="1:11">
      <c r="B292" s="14">
        <v>242502945</v>
      </c>
      <c r="C292" s="13">
        <v>45705</v>
      </c>
      <c r="D292" s="14" t="s">
        <v>352</v>
      </c>
      <c r="E292" s="15">
        <v>250000</v>
      </c>
      <c r="F292" s="14">
        <v>0.0072</v>
      </c>
      <c r="G292" s="16">
        <v>45799</v>
      </c>
      <c r="H292" s="17">
        <f t="shared" si="4"/>
        <v>1800</v>
      </c>
      <c r="I292" s="15" t="s">
        <v>317</v>
      </c>
      <c r="J292" s="15" t="s">
        <v>501</v>
      </c>
      <c r="K292" t="s">
        <v>503</v>
      </c>
    </row>
    <row r="293" hidden="1" spans="1:11">
      <c r="B293" s="8">
        <v>242502946</v>
      </c>
      <c r="C293" s="9">
        <v>45705</v>
      </c>
      <c r="D293" s="8" t="s">
        <v>504</v>
      </c>
      <c r="E293" s="10">
        <v>98000</v>
      </c>
      <c r="F293" s="8">
        <v>0.017</v>
      </c>
      <c r="G293" s="11">
        <v>45874</v>
      </c>
      <c r="H293" s="12">
        <f t="shared" si="4"/>
        <v>1666</v>
      </c>
      <c r="I293" s="10" t="s">
        <v>10</v>
      </c>
      <c r="J293" s="15" t="s">
        <v>505</v>
      </c>
      <c r="K293" t="s">
        <v>506</v>
      </c>
    </row>
    <row r="294" hidden="1" spans="1:11">
      <c r="B294" s="8">
        <v>242502946</v>
      </c>
      <c r="C294" s="9">
        <v>45705</v>
      </c>
      <c r="D294" s="8" t="s">
        <v>504</v>
      </c>
      <c r="E294" s="10">
        <v>100000</v>
      </c>
      <c r="F294" s="8">
        <v>0.017</v>
      </c>
      <c r="G294" s="11">
        <v>45905</v>
      </c>
      <c r="H294" s="12">
        <f t="shared" si="4"/>
        <v>1700</v>
      </c>
      <c r="I294" s="10" t="s">
        <v>10</v>
      </c>
      <c r="J294" s="15" t="s">
        <v>505</v>
      </c>
      <c r="K294" t="s">
        <v>506</v>
      </c>
    </row>
    <row r="295" hidden="1" spans="1:11">
      <c r="B295" s="8">
        <v>242502946</v>
      </c>
      <c r="C295" s="9">
        <v>45705</v>
      </c>
      <c r="D295" s="8" t="s">
        <v>504</v>
      </c>
      <c r="E295" s="10">
        <v>98000</v>
      </c>
      <c r="F295" s="8">
        <v>0.017</v>
      </c>
      <c r="G295" s="11">
        <v>45935</v>
      </c>
      <c r="H295" s="12">
        <f t="shared" si="4"/>
        <v>1666</v>
      </c>
      <c r="I295" s="10" t="s">
        <v>10</v>
      </c>
      <c r="J295" s="15" t="s">
        <v>507</v>
      </c>
      <c r="K295" t="s">
        <v>506</v>
      </c>
    </row>
    <row r="296" hidden="1" spans="1:11">
      <c r="B296" s="8">
        <v>242502946</v>
      </c>
      <c r="C296" s="9">
        <v>45705</v>
      </c>
      <c r="D296" s="8" t="s">
        <v>504</v>
      </c>
      <c r="E296" s="10">
        <v>98000</v>
      </c>
      <c r="F296" s="8">
        <v>0.017</v>
      </c>
      <c r="G296" s="11">
        <v>45966</v>
      </c>
      <c r="H296" s="12">
        <f t="shared" si="4"/>
        <v>1666</v>
      </c>
      <c r="I296" s="10" t="s">
        <v>10</v>
      </c>
      <c r="J296" s="15" t="s">
        <v>508</v>
      </c>
      <c r="K296" t="s">
        <v>506</v>
      </c>
    </row>
    <row r="297" hidden="1" spans="1:11">
      <c r="B297" s="8">
        <v>242502946</v>
      </c>
      <c r="C297" s="9">
        <v>45705</v>
      </c>
      <c r="D297" s="8" t="s">
        <v>504</v>
      </c>
      <c r="E297" s="10">
        <v>100000</v>
      </c>
      <c r="F297" s="8">
        <v>0.017</v>
      </c>
      <c r="G297" s="11">
        <v>45996</v>
      </c>
      <c r="H297" s="12">
        <f t="shared" si="4"/>
        <v>1700</v>
      </c>
      <c r="I297" s="10" t="s">
        <v>10</v>
      </c>
      <c r="J297" s="15" t="s">
        <v>508</v>
      </c>
      <c r="K297" t="s">
        <v>506</v>
      </c>
    </row>
    <row r="298" hidden="1" spans="1:11">
      <c r="A298" t="s">
        <v>319</v>
      </c>
      <c r="B298" s="8">
        <v>242502950</v>
      </c>
      <c r="C298" s="9">
        <v>45706</v>
      </c>
      <c r="D298" s="8" t="s">
        <v>509</v>
      </c>
      <c r="E298" s="10">
        <v>20000</v>
      </c>
      <c r="F298" s="8">
        <v>0.215</v>
      </c>
      <c r="G298" s="11">
        <v>45738</v>
      </c>
      <c r="H298" s="12">
        <f t="shared" si="4"/>
        <v>4300</v>
      </c>
      <c r="I298" s="10" t="s">
        <v>10</v>
      </c>
      <c r="J298" s="13">
        <v>45708</v>
      </c>
    </row>
    <row r="299" hidden="1" spans="1:11">
      <c r="A299" t="s">
        <v>319</v>
      </c>
      <c r="B299" s="8">
        <v>242502950</v>
      </c>
      <c r="C299" s="9">
        <v>45706</v>
      </c>
      <c r="D299" s="8" t="s">
        <v>509</v>
      </c>
      <c r="E299" s="10">
        <v>20000</v>
      </c>
      <c r="F299" s="8">
        <v>0.215</v>
      </c>
      <c r="G299" s="11">
        <v>45769</v>
      </c>
      <c r="H299" s="12">
        <f t="shared" si="4"/>
        <v>4300</v>
      </c>
      <c r="I299" s="10" t="s">
        <v>10</v>
      </c>
      <c r="J299" s="13">
        <v>45708</v>
      </c>
    </row>
    <row r="300" hidden="1" spans="1:11">
      <c r="A300" t="s">
        <v>319</v>
      </c>
      <c r="B300" s="8">
        <v>242502951</v>
      </c>
      <c r="C300" s="9">
        <v>45706</v>
      </c>
      <c r="D300" s="8" t="s">
        <v>46</v>
      </c>
      <c r="E300" s="10">
        <v>32000</v>
      </c>
      <c r="F300" s="8">
        <v>0.022</v>
      </c>
      <c r="G300" s="11">
        <v>45710</v>
      </c>
      <c r="H300" s="12">
        <f t="shared" si="4"/>
        <v>704</v>
      </c>
      <c r="I300" s="10" t="s">
        <v>10</v>
      </c>
      <c r="J300" s="13">
        <v>45707</v>
      </c>
      <c r="K300" t="s">
        <v>460</v>
      </c>
    </row>
    <row r="301" hidden="1" spans="1:11">
      <c r="A301" t="s">
        <v>319</v>
      </c>
      <c r="B301" s="8">
        <v>242502951</v>
      </c>
      <c r="C301" s="9">
        <v>45706</v>
      </c>
      <c r="D301" s="8" t="s">
        <v>46</v>
      </c>
      <c r="E301" s="10">
        <v>32000</v>
      </c>
      <c r="F301" s="8">
        <v>0.022</v>
      </c>
      <c r="G301" s="11">
        <v>45721</v>
      </c>
      <c r="H301" s="12">
        <f t="shared" si="4"/>
        <v>704</v>
      </c>
      <c r="I301" s="10" t="s">
        <v>10</v>
      </c>
      <c r="J301" s="13">
        <v>45707</v>
      </c>
      <c r="K301" t="s">
        <v>460</v>
      </c>
    </row>
    <row r="302" hidden="1" spans="1:11">
      <c r="A302" t="s">
        <v>319</v>
      </c>
      <c r="B302" s="8">
        <v>242502951</v>
      </c>
      <c r="C302" s="9">
        <v>45706</v>
      </c>
      <c r="D302" s="8" t="s">
        <v>46</v>
      </c>
      <c r="E302" s="10">
        <v>32000</v>
      </c>
      <c r="F302" s="8">
        <v>0.022</v>
      </c>
      <c r="G302" s="11">
        <v>45752</v>
      </c>
      <c r="H302" s="12">
        <f t="shared" si="4"/>
        <v>704</v>
      </c>
      <c r="I302" s="10" t="s">
        <v>10</v>
      </c>
      <c r="J302" s="13">
        <v>45707</v>
      </c>
      <c r="K302" t="s">
        <v>460</v>
      </c>
    </row>
    <row r="303" hidden="1" spans="1:11">
      <c r="A303" t="s">
        <v>319</v>
      </c>
      <c r="B303" s="8">
        <v>242502951</v>
      </c>
      <c r="C303" s="9">
        <v>45706</v>
      </c>
      <c r="D303" s="8" t="s">
        <v>46</v>
      </c>
      <c r="E303" s="10">
        <v>32000</v>
      </c>
      <c r="F303" s="8">
        <v>0.022</v>
      </c>
      <c r="G303" s="11">
        <v>45782</v>
      </c>
      <c r="H303" s="12">
        <f t="shared" si="4"/>
        <v>704</v>
      </c>
      <c r="I303" s="10" t="s">
        <v>10</v>
      </c>
      <c r="J303" s="13">
        <v>45707</v>
      </c>
      <c r="K303" t="s">
        <v>460</v>
      </c>
    </row>
    <row r="304" hidden="1" spans="1:11">
      <c r="A304" t="s">
        <v>319</v>
      </c>
      <c r="B304" s="8">
        <v>242503010</v>
      </c>
      <c r="C304" s="9">
        <v>45708</v>
      </c>
      <c r="D304" s="8" t="s">
        <v>11</v>
      </c>
      <c r="E304" s="10">
        <v>200000</v>
      </c>
      <c r="F304" s="8">
        <v>0.032</v>
      </c>
      <c r="G304" s="11">
        <v>45782</v>
      </c>
      <c r="H304" s="12">
        <f t="shared" si="4"/>
        <v>6400</v>
      </c>
      <c r="I304" s="10" t="s">
        <v>10</v>
      </c>
      <c r="J304" s="13">
        <v>45797</v>
      </c>
      <c r="K304" t="s">
        <v>467</v>
      </c>
    </row>
    <row r="305" hidden="1" spans="1:11">
      <c r="A305" t="s">
        <v>319</v>
      </c>
      <c r="B305" s="8">
        <v>242503010</v>
      </c>
      <c r="C305" s="9">
        <v>45708</v>
      </c>
      <c r="D305" s="8" t="s">
        <v>11</v>
      </c>
      <c r="E305" s="10">
        <v>200000</v>
      </c>
      <c r="F305" s="8">
        <v>0.032</v>
      </c>
      <c r="G305" s="11">
        <v>45813</v>
      </c>
      <c r="H305" s="12">
        <f t="shared" si="4"/>
        <v>6400</v>
      </c>
      <c r="I305" s="10" t="s">
        <v>10</v>
      </c>
      <c r="J305" s="13">
        <v>45797</v>
      </c>
      <c r="K305" t="s">
        <v>467</v>
      </c>
    </row>
    <row r="306" hidden="1" spans="1:11">
      <c r="A306" t="s">
        <v>319</v>
      </c>
      <c r="B306" s="8">
        <v>242503011</v>
      </c>
      <c r="C306" s="9">
        <v>45708</v>
      </c>
      <c r="D306" s="8" t="s">
        <v>426</v>
      </c>
      <c r="E306" s="10">
        <v>300000</v>
      </c>
      <c r="F306" s="8">
        <v>0.032</v>
      </c>
      <c r="G306" s="11">
        <v>45813</v>
      </c>
      <c r="H306" s="12">
        <f t="shared" si="4"/>
        <v>9600</v>
      </c>
      <c r="I306" s="10" t="s">
        <v>10</v>
      </c>
      <c r="J306" s="13">
        <v>45812</v>
      </c>
      <c r="K306" t="s">
        <v>486</v>
      </c>
    </row>
    <row r="307" hidden="1" spans="1:11">
      <c r="A307" t="s">
        <v>319</v>
      </c>
      <c r="B307" s="8">
        <v>242503012</v>
      </c>
      <c r="C307" s="9">
        <v>45708</v>
      </c>
      <c r="D307" s="8" t="s">
        <v>426</v>
      </c>
      <c r="E307" s="10">
        <v>450000</v>
      </c>
      <c r="F307" s="8">
        <v>0.032</v>
      </c>
      <c r="G307" s="11">
        <v>45782</v>
      </c>
      <c r="H307" s="12">
        <f t="shared" si="4"/>
        <v>14400</v>
      </c>
      <c r="I307" s="10" t="s">
        <v>10</v>
      </c>
      <c r="J307" s="13">
        <v>45810</v>
      </c>
      <c r="K307" t="s">
        <v>489</v>
      </c>
    </row>
    <row r="308" hidden="1" spans="1:11">
      <c r="A308" t="s">
        <v>319</v>
      </c>
      <c r="B308" s="8">
        <v>242503012</v>
      </c>
      <c r="C308" s="9">
        <v>45708</v>
      </c>
      <c r="D308" s="8" t="s">
        <v>426</v>
      </c>
      <c r="E308" s="10">
        <v>450000</v>
      </c>
      <c r="F308" s="8">
        <v>0.032</v>
      </c>
      <c r="G308" s="11">
        <v>45782</v>
      </c>
      <c r="H308" s="12">
        <f t="shared" si="4"/>
        <v>14400</v>
      </c>
      <c r="I308" s="10" t="s">
        <v>10</v>
      </c>
      <c r="J308" s="13">
        <v>45810</v>
      </c>
      <c r="K308" t="s">
        <v>489</v>
      </c>
    </row>
    <row r="309" hidden="1" spans="1:11">
      <c r="A309" t="s">
        <v>319</v>
      </c>
      <c r="B309" s="8">
        <v>242503013</v>
      </c>
      <c r="C309" s="9">
        <v>45708</v>
      </c>
      <c r="D309" s="8" t="s">
        <v>426</v>
      </c>
      <c r="E309" s="10">
        <v>300000</v>
      </c>
      <c r="F309" s="8">
        <v>0.032</v>
      </c>
      <c r="G309" s="11">
        <v>45813</v>
      </c>
      <c r="H309" s="12">
        <f t="shared" si="4"/>
        <v>9600</v>
      </c>
      <c r="I309" s="10" t="s">
        <v>10</v>
      </c>
      <c r="J309" s="13">
        <v>45810</v>
      </c>
      <c r="K309" t="s">
        <v>489</v>
      </c>
    </row>
    <row r="310" hidden="1" spans="1:11">
      <c r="A310" t="s">
        <v>319</v>
      </c>
      <c r="B310" s="8">
        <v>242503013</v>
      </c>
      <c r="C310" s="9">
        <v>45708</v>
      </c>
      <c r="D310" s="8" t="s">
        <v>425</v>
      </c>
      <c r="E310" s="10">
        <v>80000</v>
      </c>
      <c r="F310" s="8">
        <v>0.07</v>
      </c>
      <c r="G310" s="11">
        <v>45782</v>
      </c>
      <c r="H310" s="12">
        <f t="shared" si="4"/>
        <v>5600</v>
      </c>
      <c r="I310" s="10" t="s">
        <v>10</v>
      </c>
      <c r="J310" s="13">
        <v>45800</v>
      </c>
      <c r="K310" t="s">
        <v>489</v>
      </c>
    </row>
    <row r="311" hidden="1" spans="1:11">
      <c r="A311" t="s">
        <v>319</v>
      </c>
      <c r="B311" s="8">
        <v>242503014</v>
      </c>
      <c r="C311" s="9">
        <v>45708</v>
      </c>
      <c r="D311" s="8" t="s">
        <v>426</v>
      </c>
      <c r="E311" s="10">
        <v>400000</v>
      </c>
      <c r="F311" s="8">
        <v>0.032</v>
      </c>
      <c r="G311" s="11">
        <v>45782</v>
      </c>
      <c r="H311" s="12">
        <f t="shared" si="4"/>
        <v>12800</v>
      </c>
      <c r="I311" s="10" t="s">
        <v>10</v>
      </c>
      <c r="J311" s="13">
        <v>45810</v>
      </c>
      <c r="K311" t="s">
        <v>431</v>
      </c>
    </row>
    <row r="312" hidden="1" spans="1:11">
      <c r="A312" t="s">
        <v>319</v>
      </c>
      <c r="B312" s="8">
        <v>242503014</v>
      </c>
      <c r="C312" s="9">
        <v>45708</v>
      </c>
      <c r="D312" s="8" t="s">
        <v>426</v>
      </c>
      <c r="E312" s="10">
        <v>200000</v>
      </c>
      <c r="F312" s="8">
        <v>0.032</v>
      </c>
      <c r="G312" s="11">
        <v>45813</v>
      </c>
      <c r="H312" s="12">
        <f t="shared" si="4"/>
        <v>6400</v>
      </c>
      <c r="I312" s="10" t="s">
        <v>10</v>
      </c>
      <c r="J312" s="13">
        <v>45810</v>
      </c>
      <c r="K312" t="s">
        <v>431</v>
      </c>
    </row>
    <row r="313" hidden="1" spans="1:11">
      <c r="A313" t="s">
        <v>319</v>
      </c>
      <c r="B313" s="8">
        <v>242503015</v>
      </c>
      <c r="C313" s="9">
        <v>45708</v>
      </c>
      <c r="D313" s="8" t="s">
        <v>29</v>
      </c>
      <c r="E313" s="10">
        <v>200000</v>
      </c>
      <c r="F313" s="8">
        <v>0.0216</v>
      </c>
      <c r="G313" s="11">
        <v>45813</v>
      </c>
      <c r="H313" s="12">
        <f t="shared" si="4"/>
        <v>4320</v>
      </c>
      <c r="I313" s="10" t="s">
        <v>10</v>
      </c>
      <c r="J313" s="13">
        <v>45789</v>
      </c>
      <c r="K313" t="s">
        <v>510</v>
      </c>
    </row>
    <row r="314" hidden="1" spans="1:11">
      <c r="A314" t="s">
        <v>319</v>
      </c>
      <c r="B314" s="8">
        <v>242503015</v>
      </c>
      <c r="C314" s="9">
        <v>45708</v>
      </c>
      <c r="D314" s="8" t="s">
        <v>29</v>
      </c>
      <c r="E314" s="10">
        <v>300000</v>
      </c>
      <c r="F314" s="8">
        <v>0.0216</v>
      </c>
      <c r="G314" s="11">
        <v>45813</v>
      </c>
      <c r="H314" s="12">
        <f t="shared" si="4"/>
        <v>6480</v>
      </c>
      <c r="I314" s="10" t="s">
        <v>10</v>
      </c>
      <c r="J314" s="13">
        <v>45789</v>
      </c>
      <c r="K314" t="s">
        <v>510</v>
      </c>
    </row>
    <row r="315" hidden="1" spans="1:11">
      <c r="A315" t="s">
        <v>319</v>
      </c>
      <c r="B315" s="8">
        <v>242503015</v>
      </c>
      <c r="C315" s="9">
        <v>45708</v>
      </c>
      <c r="D315" s="8" t="s">
        <v>29</v>
      </c>
      <c r="E315" s="10">
        <v>200000</v>
      </c>
      <c r="F315" s="8">
        <v>0.0216</v>
      </c>
      <c r="G315" s="11">
        <v>45813</v>
      </c>
      <c r="H315" s="12">
        <f t="shared" si="4"/>
        <v>4320</v>
      </c>
      <c r="I315" s="10" t="s">
        <v>10</v>
      </c>
      <c r="J315" s="13">
        <v>45789</v>
      </c>
      <c r="K315" t="s">
        <v>510</v>
      </c>
    </row>
    <row r="316" hidden="1" spans="1:11">
      <c r="A316" t="s">
        <v>319</v>
      </c>
      <c r="B316" s="8">
        <v>242503015</v>
      </c>
      <c r="C316" s="9">
        <v>45708</v>
      </c>
      <c r="D316" s="8" t="s">
        <v>29</v>
      </c>
      <c r="E316" s="10">
        <v>300000</v>
      </c>
      <c r="F316" s="8">
        <v>0.0216</v>
      </c>
      <c r="G316" s="11">
        <v>45813</v>
      </c>
      <c r="H316" s="12">
        <f t="shared" si="4"/>
        <v>6480</v>
      </c>
      <c r="I316" s="10" t="s">
        <v>10</v>
      </c>
      <c r="J316" s="13">
        <v>45789</v>
      </c>
      <c r="K316" t="s">
        <v>510</v>
      </c>
    </row>
    <row r="317" hidden="1" spans="1:11">
      <c r="A317" t="s">
        <v>319</v>
      </c>
      <c r="B317" s="8">
        <v>242503015</v>
      </c>
      <c r="C317" s="9">
        <v>45708</v>
      </c>
      <c r="D317" s="8" t="s">
        <v>30</v>
      </c>
      <c r="E317" s="10">
        <v>200000</v>
      </c>
      <c r="F317" s="8">
        <v>0.026</v>
      </c>
      <c r="G317" s="11">
        <v>45782</v>
      </c>
      <c r="H317" s="12">
        <f t="shared" si="4"/>
        <v>5200</v>
      </c>
      <c r="I317" s="10" t="s">
        <v>10</v>
      </c>
      <c r="J317" s="13">
        <v>45789</v>
      </c>
      <c r="K317" t="s">
        <v>510</v>
      </c>
    </row>
    <row r="318" hidden="1" spans="1:11">
      <c r="A318" t="s">
        <v>319</v>
      </c>
      <c r="B318" s="8">
        <v>242503016</v>
      </c>
      <c r="C318" s="9">
        <v>45708</v>
      </c>
      <c r="D318" s="8" t="s">
        <v>388</v>
      </c>
      <c r="E318" s="10">
        <v>50000</v>
      </c>
      <c r="F318" s="8">
        <v>0.035</v>
      </c>
      <c r="G318" s="11">
        <v>45813</v>
      </c>
      <c r="H318" s="12">
        <f t="shared" si="4"/>
        <v>1750</v>
      </c>
      <c r="I318" s="10" t="s">
        <v>10</v>
      </c>
      <c r="J318" s="13">
        <v>45776</v>
      </c>
      <c r="K318" t="s">
        <v>510</v>
      </c>
    </row>
    <row r="319" hidden="1" spans="1:11">
      <c r="A319" t="s">
        <v>319</v>
      </c>
      <c r="B319" s="8">
        <v>242503016</v>
      </c>
      <c r="C319" s="9">
        <v>45708</v>
      </c>
      <c r="D319" s="8" t="s">
        <v>388</v>
      </c>
      <c r="E319" s="10">
        <v>50000</v>
      </c>
      <c r="F319" s="8">
        <v>0.035</v>
      </c>
      <c r="G319" s="11">
        <v>45813</v>
      </c>
      <c r="H319" s="12">
        <f t="shared" si="4"/>
        <v>1750</v>
      </c>
      <c r="I319" s="10" t="s">
        <v>10</v>
      </c>
      <c r="J319" s="13">
        <v>45776</v>
      </c>
      <c r="K319" t="s">
        <v>510</v>
      </c>
    </row>
    <row r="320" hidden="1" spans="1:11">
      <c r="A320" t="s">
        <v>319</v>
      </c>
      <c r="B320" s="8">
        <v>242503016</v>
      </c>
      <c r="C320" s="9">
        <v>45708</v>
      </c>
      <c r="D320" s="8" t="s">
        <v>31</v>
      </c>
      <c r="E320" s="10">
        <v>174000</v>
      </c>
      <c r="F320" s="8">
        <v>0.024</v>
      </c>
      <c r="G320" s="11">
        <v>45782</v>
      </c>
      <c r="H320" s="12">
        <f t="shared" si="4"/>
        <v>4176</v>
      </c>
      <c r="I320" s="10" t="s">
        <v>10</v>
      </c>
      <c r="J320" s="13">
        <v>45783</v>
      </c>
      <c r="K320" t="s">
        <v>510</v>
      </c>
    </row>
    <row r="321" hidden="1" spans="1:11">
      <c r="A321" t="s">
        <v>319</v>
      </c>
      <c r="B321" s="8">
        <v>242503016</v>
      </c>
      <c r="C321" s="9">
        <v>45708</v>
      </c>
      <c r="D321" s="8" t="s">
        <v>31</v>
      </c>
      <c r="E321" s="10">
        <v>174000</v>
      </c>
      <c r="F321" s="8">
        <v>0.024</v>
      </c>
      <c r="G321" s="11">
        <v>45782</v>
      </c>
      <c r="H321" s="12">
        <f t="shared" si="4"/>
        <v>4176</v>
      </c>
      <c r="I321" s="10" t="s">
        <v>10</v>
      </c>
      <c r="J321" s="13">
        <v>45783</v>
      </c>
      <c r="K321" t="s">
        <v>510</v>
      </c>
    </row>
    <row r="322" hidden="1" spans="1:11">
      <c r="A322" t="s">
        <v>319</v>
      </c>
      <c r="B322" s="8">
        <v>242503016</v>
      </c>
      <c r="C322" s="9">
        <v>45708</v>
      </c>
      <c r="D322" s="8" t="s">
        <v>31</v>
      </c>
      <c r="E322" s="10">
        <v>174000</v>
      </c>
      <c r="F322" s="8">
        <v>0.024</v>
      </c>
      <c r="G322" s="11">
        <v>45782</v>
      </c>
      <c r="H322" s="12">
        <f t="shared" ref="H322:H385" si="5">E322*F322</f>
        <v>4176</v>
      </c>
      <c r="I322" s="10" t="s">
        <v>10</v>
      </c>
      <c r="J322" s="13">
        <v>45783</v>
      </c>
      <c r="K322" t="s">
        <v>510</v>
      </c>
    </row>
    <row r="323" hidden="1" spans="1:11">
      <c r="A323" t="s">
        <v>319</v>
      </c>
      <c r="B323" s="8">
        <v>242503016</v>
      </c>
      <c r="C323" s="9">
        <v>45708</v>
      </c>
      <c r="D323" s="8" t="s">
        <v>31</v>
      </c>
      <c r="E323" s="10">
        <v>180000</v>
      </c>
      <c r="F323" s="8">
        <v>0.024</v>
      </c>
      <c r="G323" s="11">
        <v>45782</v>
      </c>
      <c r="H323" s="12">
        <f t="shared" si="5"/>
        <v>4320</v>
      </c>
      <c r="I323" s="10" t="s">
        <v>10</v>
      </c>
      <c r="J323" s="13">
        <v>45783</v>
      </c>
      <c r="K323" t="s">
        <v>510</v>
      </c>
    </row>
    <row r="324" hidden="1" spans="1:11">
      <c r="A324" t="s">
        <v>319</v>
      </c>
      <c r="B324" s="8">
        <v>242503016</v>
      </c>
      <c r="C324" s="9">
        <v>45708</v>
      </c>
      <c r="D324" s="8" t="s">
        <v>31</v>
      </c>
      <c r="E324" s="10">
        <v>180000</v>
      </c>
      <c r="F324" s="8">
        <v>0.024</v>
      </c>
      <c r="G324" s="11">
        <v>45813</v>
      </c>
      <c r="H324" s="12">
        <f t="shared" si="5"/>
        <v>4320</v>
      </c>
      <c r="I324" s="10" t="s">
        <v>10</v>
      </c>
      <c r="J324" s="13">
        <v>45783</v>
      </c>
      <c r="K324" t="s">
        <v>510</v>
      </c>
    </row>
    <row r="325" hidden="1" spans="1:11">
      <c r="A325" t="s">
        <v>319</v>
      </c>
      <c r="B325" s="8">
        <v>242503017</v>
      </c>
      <c r="C325" s="9">
        <v>45708</v>
      </c>
      <c r="D325" s="8" t="s">
        <v>58</v>
      </c>
      <c r="E325" s="10">
        <v>200000</v>
      </c>
      <c r="F325" s="8">
        <v>0.0175</v>
      </c>
      <c r="G325" s="11">
        <v>45782</v>
      </c>
      <c r="H325" s="12">
        <f t="shared" si="5"/>
        <v>3500</v>
      </c>
      <c r="I325" s="10" t="s">
        <v>10</v>
      </c>
      <c r="J325" s="13">
        <v>45755</v>
      </c>
      <c r="K325" t="s">
        <v>510</v>
      </c>
    </row>
    <row r="326" hidden="1" spans="1:11">
      <c r="A326" t="s">
        <v>319</v>
      </c>
      <c r="B326" s="8">
        <v>242503017</v>
      </c>
      <c r="C326" s="9">
        <v>45708</v>
      </c>
      <c r="D326" s="8" t="s">
        <v>58</v>
      </c>
      <c r="E326" s="10">
        <v>200000</v>
      </c>
      <c r="F326" s="8">
        <v>0.0175</v>
      </c>
      <c r="G326" s="11">
        <v>45782</v>
      </c>
      <c r="H326" s="12">
        <f t="shared" si="5"/>
        <v>3500</v>
      </c>
      <c r="I326" s="10" t="s">
        <v>10</v>
      </c>
      <c r="J326" s="13">
        <v>45755</v>
      </c>
      <c r="K326" t="s">
        <v>510</v>
      </c>
    </row>
    <row r="327" hidden="1" spans="1:11">
      <c r="A327" t="s">
        <v>319</v>
      </c>
      <c r="B327" s="8">
        <v>242503017</v>
      </c>
      <c r="C327" s="9">
        <v>45708</v>
      </c>
      <c r="D327" s="8" t="s">
        <v>58</v>
      </c>
      <c r="E327" s="10">
        <v>200000</v>
      </c>
      <c r="F327" s="8">
        <v>0.0175</v>
      </c>
      <c r="G327" s="11">
        <v>45782</v>
      </c>
      <c r="H327" s="12">
        <f t="shared" si="5"/>
        <v>3500</v>
      </c>
      <c r="I327" s="10" t="s">
        <v>10</v>
      </c>
      <c r="J327" s="13">
        <v>45755</v>
      </c>
      <c r="K327" t="s">
        <v>510</v>
      </c>
    </row>
    <row r="328" hidden="1" spans="1:11">
      <c r="A328" t="s">
        <v>319</v>
      </c>
      <c r="B328" s="8">
        <v>242503017</v>
      </c>
      <c r="C328" s="9">
        <v>45708</v>
      </c>
      <c r="D328" s="8" t="s">
        <v>58</v>
      </c>
      <c r="E328" s="10">
        <v>200000</v>
      </c>
      <c r="F328" s="8">
        <v>0.0175</v>
      </c>
      <c r="G328" s="11">
        <v>45782</v>
      </c>
      <c r="H328" s="12">
        <f t="shared" si="5"/>
        <v>3500</v>
      </c>
      <c r="I328" s="10" t="s">
        <v>10</v>
      </c>
      <c r="J328" s="13">
        <v>45755</v>
      </c>
      <c r="K328" t="s">
        <v>510</v>
      </c>
    </row>
    <row r="329" hidden="1" spans="1:11">
      <c r="A329" t="s">
        <v>319</v>
      </c>
      <c r="B329" s="8">
        <v>242503018</v>
      </c>
      <c r="C329" s="9">
        <v>45708</v>
      </c>
      <c r="D329" s="8" t="s">
        <v>33</v>
      </c>
      <c r="E329" s="10">
        <v>100000</v>
      </c>
      <c r="F329" s="8">
        <v>0.02</v>
      </c>
      <c r="G329" s="11">
        <v>45782</v>
      </c>
      <c r="H329" s="12">
        <f t="shared" si="5"/>
        <v>2000</v>
      </c>
      <c r="I329" s="10" t="s">
        <v>10</v>
      </c>
      <c r="J329" s="13">
        <v>45764</v>
      </c>
      <c r="K329" t="s">
        <v>510</v>
      </c>
    </row>
    <row r="330" hidden="1" spans="1:11">
      <c r="A330" t="s">
        <v>319</v>
      </c>
      <c r="B330" s="8">
        <v>242503018</v>
      </c>
      <c r="C330" s="9">
        <v>45708</v>
      </c>
      <c r="D330" s="8" t="s">
        <v>33</v>
      </c>
      <c r="E330" s="10">
        <v>100000</v>
      </c>
      <c r="F330" s="8">
        <v>0.02</v>
      </c>
      <c r="G330" s="11">
        <v>45782</v>
      </c>
      <c r="H330" s="12">
        <f t="shared" si="5"/>
        <v>2000</v>
      </c>
      <c r="I330" s="10" t="s">
        <v>10</v>
      </c>
      <c r="J330" s="13">
        <v>45764</v>
      </c>
      <c r="K330" t="s">
        <v>510</v>
      </c>
    </row>
    <row r="331" hidden="1" spans="1:11">
      <c r="A331" t="s">
        <v>319</v>
      </c>
      <c r="B331" s="8">
        <v>242503018</v>
      </c>
      <c r="C331" s="9">
        <v>45708</v>
      </c>
      <c r="D331" s="8" t="s">
        <v>33</v>
      </c>
      <c r="E331" s="10">
        <v>100000</v>
      </c>
      <c r="F331" s="8">
        <v>0.02</v>
      </c>
      <c r="G331" s="11">
        <v>45782</v>
      </c>
      <c r="H331" s="12">
        <f t="shared" si="5"/>
        <v>2000</v>
      </c>
      <c r="I331" s="10" t="s">
        <v>10</v>
      </c>
      <c r="J331" s="13">
        <v>45764</v>
      </c>
      <c r="K331" t="s">
        <v>510</v>
      </c>
    </row>
    <row r="332" hidden="1" spans="1:11">
      <c r="A332" t="s">
        <v>319</v>
      </c>
      <c r="B332" s="8">
        <v>242503018</v>
      </c>
      <c r="C332" s="9">
        <v>45708</v>
      </c>
      <c r="D332" s="8" t="s">
        <v>33</v>
      </c>
      <c r="E332" s="10">
        <v>100000</v>
      </c>
      <c r="F332" s="8">
        <v>0.02</v>
      </c>
      <c r="G332" s="11">
        <v>45813</v>
      </c>
      <c r="H332" s="12">
        <f t="shared" si="5"/>
        <v>2000</v>
      </c>
      <c r="I332" s="10" t="s">
        <v>10</v>
      </c>
      <c r="J332" s="13">
        <v>45764</v>
      </c>
      <c r="K332" t="s">
        <v>510</v>
      </c>
    </row>
    <row r="333" hidden="1" spans="1:11">
      <c r="A333" t="s">
        <v>319</v>
      </c>
      <c r="B333" s="8">
        <v>242503018</v>
      </c>
      <c r="C333" s="9">
        <v>45708</v>
      </c>
      <c r="D333" s="8" t="s">
        <v>33</v>
      </c>
      <c r="E333" s="10">
        <v>100000</v>
      </c>
      <c r="F333" s="8">
        <v>0.02</v>
      </c>
      <c r="G333" s="11">
        <v>45813</v>
      </c>
      <c r="H333" s="12">
        <f t="shared" si="5"/>
        <v>2000</v>
      </c>
      <c r="I333" s="10" t="s">
        <v>10</v>
      </c>
      <c r="J333" s="13">
        <v>45764</v>
      </c>
      <c r="K333" t="s">
        <v>510</v>
      </c>
    </row>
    <row r="334" hidden="1" spans="1:11">
      <c r="A334" t="s">
        <v>319</v>
      </c>
      <c r="B334" s="8">
        <v>242503018</v>
      </c>
      <c r="C334" s="9">
        <v>45708</v>
      </c>
      <c r="D334" s="8" t="s">
        <v>33</v>
      </c>
      <c r="E334" s="10">
        <v>100000</v>
      </c>
      <c r="F334" s="8">
        <v>0.02</v>
      </c>
      <c r="G334" s="11">
        <v>45813</v>
      </c>
      <c r="H334" s="12">
        <f t="shared" si="5"/>
        <v>2000</v>
      </c>
      <c r="I334" s="10" t="s">
        <v>10</v>
      </c>
      <c r="J334" s="13">
        <v>45764</v>
      </c>
      <c r="K334" t="s">
        <v>510</v>
      </c>
    </row>
    <row r="335" hidden="1" spans="1:11">
      <c r="A335" t="s">
        <v>319</v>
      </c>
      <c r="B335" s="8">
        <v>242503019</v>
      </c>
      <c r="C335" s="9">
        <v>45708</v>
      </c>
      <c r="D335" s="8" t="s">
        <v>50</v>
      </c>
      <c r="E335" s="10">
        <v>100000</v>
      </c>
      <c r="F335" s="8">
        <v>0.08</v>
      </c>
      <c r="G335" s="11">
        <v>45799</v>
      </c>
      <c r="H335" s="12">
        <f t="shared" si="5"/>
        <v>8000</v>
      </c>
      <c r="I335" s="10" t="s">
        <v>10</v>
      </c>
      <c r="J335" s="13">
        <v>45730</v>
      </c>
      <c r="K335" t="s">
        <v>377</v>
      </c>
    </row>
    <row r="336" hidden="1" spans="1:11">
      <c r="A336" t="s">
        <v>319</v>
      </c>
      <c r="B336" s="8">
        <v>242503019</v>
      </c>
      <c r="C336" s="9">
        <v>45708</v>
      </c>
      <c r="D336" s="8" t="s">
        <v>111</v>
      </c>
      <c r="E336" s="10">
        <v>50000</v>
      </c>
      <c r="F336" s="8">
        <v>0.045</v>
      </c>
      <c r="G336" s="11">
        <v>45799</v>
      </c>
      <c r="H336" s="12">
        <f t="shared" si="5"/>
        <v>2250</v>
      </c>
      <c r="I336" s="10" t="s">
        <v>10</v>
      </c>
      <c r="J336" s="13">
        <v>45730</v>
      </c>
      <c r="K336" t="s">
        <v>377</v>
      </c>
    </row>
    <row r="337" hidden="1" spans="1:11">
      <c r="A337" t="s">
        <v>319</v>
      </c>
      <c r="B337" s="8">
        <v>242503019</v>
      </c>
      <c r="C337" s="9">
        <v>45708</v>
      </c>
      <c r="D337" s="8" t="s">
        <v>487</v>
      </c>
      <c r="E337" s="10">
        <v>32000</v>
      </c>
      <c r="F337" s="8">
        <v>0.015</v>
      </c>
      <c r="G337" s="11">
        <v>45799</v>
      </c>
      <c r="H337" s="12">
        <f t="shared" si="5"/>
        <v>480</v>
      </c>
      <c r="I337" s="10" t="s">
        <v>10</v>
      </c>
      <c r="J337" s="13">
        <v>45730</v>
      </c>
      <c r="K337" t="s">
        <v>377</v>
      </c>
    </row>
    <row r="338" hidden="1" spans="1:11">
      <c r="A338" t="s">
        <v>319</v>
      </c>
      <c r="B338" s="8">
        <v>242503019</v>
      </c>
      <c r="C338" s="9">
        <v>45708</v>
      </c>
      <c r="D338" s="8" t="s">
        <v>46</v>
      </c>
      <c r="E338" s="10">
        <v>88000</v>
      </c>
      <c r="F338" s="8">
        <v>0.022</v>
      </c>
      <c r="G338" s="11">
        <v>45799</v>
      </c>
      <c r="H338" s="12">
        <f t="shared" si="5"/>
        <v>1936</v>
      </c>
      <c r="I338" s="10" t="s">
        <v>10</v>
      </c>
      <c r="J338" s="13">
        <v>45730</v>
      </c>
      <c r="K338" t="s">
        <v>377</v>
      </c>
    </row>
    <row r="339" hidden="1" spans="1:11">
      <c r="A339" t="s">
        <v>319</v>
      </c>
      <c r="B339" s="8">
        <v>242503019</v>
      </c>
      <c r="C339" s="9">
        <v>45708</v>
      </c>
      <c r="D339" s="8" t="s">
        <v>40</v>
      </c>
      <c r="E339" s="10">
        <v>60000</v>
      </c>
      <c r="F339" s="8">
        <v>0.05</v>
      </c>
      <c r="G339" s="11">
        <v>45799</v>
      </c>
      <c r="H339" s="12">
        <f t="shared" si="5"/>
        <v>3000</v>
      </c>
      <c r="I339" s="10" t="s">
        <v>10</v>
      </c>
      <c r="J339" s="13">
        <v>45730</v>
      </c>
      <c r="K339" t="s">
        <v>377</v>
      </c>
    </row>
    <row r="340" hidden="1" spans="1:11">
      <c r="A340" t="s">
        <v>319</v>
      </c>
      <c r="B340" s="8">
        <v>242503019</v>
      </c>
      <c r="C340" s="9">
        <v>45708</v>
      </c>
      <c r="D340" s="8" t="s">
        <v>511</v>
      </c>
      <c r="E340" s="10">
        <v>40000</v>
      </c>
      <c r="F340" s="8">
        <v>0.041</v>
      </c>
      <c r="G340" s="11">
        <v>45799</v>
      </c>
      <c r="H340" s="12">
        <f t="shared" si="5"/>
        <v>1640</v>
      </c>
      <c r="I340" s="10" t="s">
        <v>10</v>
      </c>
      <c r="J340" s="13">
        <v>45730</v>
      </c>
      <c r="K340" t="s">
        <v>377</v>
      </c>
    </row>
    <row r="341" hidden="1" spans="1:11">
      <c r="A341" t="s">
        <v>319</v>
      </c>
      <c r="B341" s="8">
        <v>242503035</v>
      </c>
      <c r="C341" s="9">
        <v>45708</v>
      </c>
      <c r="D341" s="8" t="s">
        <v>482</v>
      </c>
      <c r="E341" s="10">
        <v>200000</v>
      </c>
      <c r="F341" s="8">
        <v>0.02049</v>
      </c>
      <c r="G341" s="11">
        <v>45799</v>
      </c>
      <c r="H341" s="12">
        <f t="shared" si="5"/>
        <v>4098</v>
      </c>
      <c r="I341" s="10" t="s">
        <v>10</v>
      </c>
      <c r="J341" s="13">
        <v>45764</v>
      </c>
    </row>
    <row r="342" hidden="1" spans="1:11">
      <c r="A342" t="s">
        <v>319</v>
      </c>
      <c r="B342" s="8">
        <v>242503035</v>
      </c>
      <c r="C342" s="9">
        <v>45708</v>
      </c>
      <c r="D342" s="8" t="s">
        <v>482</v>
      </c>
      <c r="E342" s="10">
        <v>200000</v>
      </c>
      <c r="F342" s="8">
        <v>0.02049</v>
      </c>
      <c r="G342" s="11">
        <v>45799</v>
      </c>
      <c r="H342" s="12">
        <f t="shared" si="5"/>
        <v>4098</v>
      </c>
      <c r="I342" s="10" t="s">
        <v>10</v>
      </c>
      <c r="J342" s="13">
        <v>45764</v>
      </c>
    </row>
    <row r="343" hidden="1" spans="1:11">
      <c r="A343" t="s">
        <v>319</v>
      </c>
      <c r="B343" s="8">
        <v>242503037</v>
      </c>
      <c r="C343" s="9">
        <v>45708</v>
      </c>
      <c r="D343" s="8" t="s">
        <v>181</v>
      </c>
      <c r="E343" s="10">
        <v>300000</v>
      </c>
      <c r="F343" s="8">
        <v>0.027</v>
      </c>
      <c r="G343" s="11">
        <v>45721</v>
      </c>
      <c r="H343" s="12">
        <f t="shared" si="5"/>
        <v>8100</v>
      </c>
      <c r="I343" s="10" t="s">
        <v>10</v>
      </c>
      <c r="J343" s="13">
        <v>45713</v>
      </c>
    </row>
    <row r="344" hidden="1" spans="1:11">
      <c r="A344" t="s">
        <v>319</v>
      </c>
      <c r="B344" s="8">
        <v>242503037</v>
      </c>
      <c r="C344" s="9">
        <v>45708</v>
      </c>
      <c r="D344" s="8" t="s">
        <v>181</v>
      </c>
      <c r="E344" s="10">
        <v>200000</v>
      </c>
      <c r="F344" s="8">
        <v>0.027</v>
      </c>
      <c r="G344" s="11">
        <v>45752</v>
      </c>
      <c r="H344" s="12">
        <f t="shared" si="5"/>
        <v>5400</v>
      </c>
      <c r="I344" s="10" t="s">
        <v>10</v>
      </c>
      <c r="J344" s="13">
        <v>45713</v>
      </c>
    </row>
    <row r="345" hidden="1" spans="1:11">
      <c r="A345" t="s">
        <v>319</v>
      </c>
      <c r="B345" s="8">
        <v>242503037</v>
      </c>
      <c r="C345" s="9">
        <v>45708</v>
      </c>
      <c r="D345" s="8" t="s">
        <v>181</v>
      </c>
      <c r="E345" s="10">
        <v>200000</v>
      </c>
      <c r="F345" s="8">
        <v>0.027</v>
      </c>
      <c r="G345" s="11">
        <v>45782</v>
      </c>
      <c r="H345" s="12">
        <f t="shared" si="5"/>
        <v>5400</v>
      </c>
      <c r="I345" s="10" t="s">
        <v>10</v>
      </c>
      <c r="J345" s="13">
        <v>45713</v>
      </c>
    </row>
    <row r="346" hidden="1" spans="1:11">
      <c r="A346" t="s">
        <v>319</v>
      </c>
      <c r="B346" s="8">
        <v>242503037</v>
      </c>
      <c r="C346" s="9">
        <v>45708</v>
      </c>
      <c r="D346" s="8" t="s">
        <v>388</v>
      </c>
      <c r="E346" s="10">
        <v>200000</v>
      </c>
      <c r="F346" s="8">
        <v>0.035</v>
      </c>
      <c r="G346" s="11">
        <v>45721</v>
      </c>
      <c r="H346" s="12">
        <f t="shared" si="5"/>
        <v>7000</v>
      </c>
      <c r="I346" s="10" t="s">
        <v>10</v>
      </c>
      <c r="J346" s="13">
        <v>45712</v>
      </c>
    </row>
    <row r="347" hidden="1" spans="1:11">
      <c r="A347" t="s">
        <v>319</v>
      </c>
      <c r="B347" s="8">
        <v>242503037</v>
      </c>
      <c r="C347" s="9">
        <v>45708</v>
      </c>
      <c r="D347" s="8" t="s">
        <v>388</v>
      </c>
      <c r="E347" s="10">
        <v>100000</v>
      </c>
      <c r="F347" s="8">
        <v>0.035</v>
      </c>
      <c r="G347" s="11">
        <v>45752</v>
      </c>
      <c r="H347" s="12">
        <f t="shared" si="5"/>
        <v>3500</v>
      </c>
      <c r="I347" s="10" t="s">
        <v>10</v>
      </c>
      <c r="J347" s="13">
        <v>45712</v>
      </c>
    </row>
    <row r="348" hidden="1" spans="1:11">
      <c r="A348" t="s">
        <v>319</v>
      </c>
      <c r="B348" s="8">
        <v>242503043</v>
      </c>
      <c r="C348" s="9">
        <v>45709</v>
      </c>
      <c r="D348" s="8" t="s">
        <v>105</v>
      </c>
      <c r="E348" s="10">
        <v>20000</v>
      </c>
      <c r="F348" s="8">
        <v>0.18</v>
      </c>
      <c r="G348" s="11">
        <v>45721</v>
      </c>
      <c r="H348" s="12">
        <f t="shared" si="5"/>
        <v>3600</v>
      </c>
      <c r="I348" s="10" t="s">
        <v>10</v>
      </c>
      <c r="J348" s="13">
        <v>45713</v>
      </c>
    </row>
    <row r="349" hidden="1" spans="1:11">
      <c r="A349" t="s">
        <v>319</v>
      </c>
      <c r="B349" s="8">
        <v>242503043</v>
      </c>
      <c r="C349" s="9">
        <v>45709</v>
      </c>
      <c r="D349" s="8" t="s">
        <v>105</v>
      </c>
      <c r="E349" s="10">
        <v>20000</v>
      </c>
      <c r="F349" s="8">
        <v>0.18</v>
      </c>
      <c r="G349" s="11">
        <v>45782</v>
      </c>
      <c r="H349" s="12">
        <f t="shared" si="5"/>
        <v>3600</v>
      </c>
      <c r="I349" s="10" t="s">
        <v>10</v>
      </c>
      <c r="J349" s="13">
        <v>45713</v>
      </c>
    </row>
    <row r="350" hidden="1" spans="1:11">
      <c r="B350" s="14">
        <v>242503056</v>
      </c>
      <c r="C350" s="13">
        <v>45712</v>
      </c>
      <c r="D350" s="14" t="s">
        <v>512</v>
      </c>
      <c r="E350" s="15">
        <v>20000</v>
      </c>
      <c r="F350" s="14">
        <v>0.031</v>
      </c>
      <c r="G350" s="16">
        <v>45726</v>
      </c>
      <c r="H350" s="17">
        <f t="shared" si="5"/>
        <v>620</v>
      </c>
      <c r="I350" s="15" t="s">
        <v>317</v>
      </c>
      <c r="J350" s="15" t="s">
        <v>513</v>
      </c>
    </row>
    <row r="351" hidden="1" spans="1:11">
      <c r="A351" t="s">
        <v>319</v>
      </c>
      <c r="B351" s="8">
        <v>242503057</v>
      </c>
      <c r="C351" s="9">
        <v>45712</v>
      </c>
      <c r="D351" s="8" t="s">
        <v>141</v>
      </c>
      <c r="E351" s="10">
        <v>21000</v>
      </c>
      <c r="F351" s="8">
        <v>0.019</v>
      </c>
      <c r="G351" s="11">
        <v>45738</v>
      </c>
      <c r="H351" s="12">
        <f t="shared" si="5"/>
        <v>399</v>
      </c>
      <c r="I351" s="10" t="s">
        <v>10</v>
      </c>
      <c r="J351" s="13">
        <v>45713</v>
      </c>
    </row>
    <row r="352" hidden="1" spans="1:11">
      <c r="B352" s="14">
        <v>242503058</v>
      </c>
      <c r="C352" s="13">
        <v>45712</v>
      </c>
      <c r="D352" s="14" t="s">
        <v>497</v>
      </c>
      <c r="E352" s="15">
        <v>1000</v>
      </c>
      <c r="F352" s="14">
        <v>0.17</v>
      </c>
      <c r="G352" s="16">
        <v>45721</v>
      </c>
      <c r="H352" s="17">
        <f t="shared" si="5"/>
        <v>170</v>
      </c>
      <c r="I352" s="15" t="s">
        <v>51</v>
      </c>
      <c r="J352" s="15"/>
    </row>
    <row r="353" hidden="1" spans="1:17">
      <c r="A353" t="s">
        <v>319</v>
      </c>
      <c r="B353" s="8">
        <v>242503063</v>
      </c>
      <c r="C353" s="9">
        <v>45712</v>
      </c>
      <c r="D353" s="8" t="s">
        <v>29</v>
      </c>
      <c r="E353" s="10">
        <v>250000</v>
      </c>
      <c r="F353" s="8">
        <v>0.027</v>
      </c>
      <c r="G353" s="11">
        <v>45782</v>
      </c>
      <c r="H353" s="12">
        <f t="shared" si="5"/>
        <v>6750</v>
      </c>
      <c r="I353" s="10" t="s">
        <v>10</v>
      </c>
      <c r="J353" s="13">
        <v>45734</v>
      </c>
    </row>
    <row r="354" hidden="1" spans="1:17">
      <c r="A354" t="s">
        <v>319</v>
      </c>
      <c r="B354" s="8">
        <v>242503063</v>
      </c>
      <c r="C354" s="9">
        <v>45712</v>
      </c>
      <c r="D354" s="8" t="s">
        <v>29</v>
      </c>
      <c r="E354" s="10">
        <v>250000</v>
      </c>
      <c r="F354" s="8">
        <v>0.027</v>
      </c>
      <c r="G354" s="11">
        <v>45782</v>
      </c>
      <c r="H354" s="12">
        <f t="shared" si="5"/>
        <v>6750</v>
      </c>
      <c r="I354" s="10" t="s">
        <v>10</v>
      </c>
      <c r="J354" s="13">
        <v>45734</v>
      </c>
    </row>
    <row r="355" hidden="1" spans="1:17">
      <c r="A355" t="s">
        <v>319</v>
      </c>
      <c r="B355" s="8">
        <v>242503063</v>
      </c>
      <c r="C355" s="9">
        <v>45712</v>
      </c>
      <c r="D355" s="8" t="s">
        <v>29</v>
      </c>
      <c r="E355" s="10">
        <v>250000</v>
      </c>
      <c r="F355" s="8">
        <v>0.027</v>
      </c>
      <c r="G355" s="11">
        <v>45782</v>
      </c>
      <c r="H355" s="12">
        <f t="shared" si="5"/>
        <v>6750</v>
      </c>
      <c r="I355" s="10" t="s">
        <v>10</v>
      </c>
      <c r="J355" s="13">
        <v>45734</v>
      </c>
    </row>
    <row r="356" hidden="1" spans="1:17">
      <c r="A356" t="s">
        <v>319</v>
      </c>
      <c r="B356" s="8">
        <v>242503063</v>
      </c>
      <c r="C356" s="9">
        <v>45712</v>
      </c>
      <c r="D356" s="8" t="s">
        <v>29</v>
      </c>
      <c r="E356" s="10">
        <v>250000</v>
      </c>
      <c r="F356" s="8">
        <v>0.027</v>
      </c>
      <c r="G356" s="11">
        <v>45782</v>
      </c>
      <c r="H356" s="12">
        <f t="shared" si="5"/>
        <v>6750</v>
      </c>
      <c r="I356" s="10" t="s">
        <v>10</v>
      </c>
      <c r="J356" s="13">
        <v>45734</v>
      </c>
    </row>
    <row r="357" hidden="1" spans="1:17">
      <c r="A357" t="s">
        <v>319</v>
      </c>
      <c r="B357" s="8">
        <v>242503063</v>
      </c>
      <c r="C357" s="9">
        <v>45712</v>
      </c>
      <c r="D357" s="8" t="s">
        <v>29</v>
      </c>
      <c r="E357" s="10">
        <v>250000</v>
      </c>
      <c r="F357" s="8">
        <v>0.027</v>
      </c>
      <c r="G357" s="11">
        <v>45782</v>
      </c>
      <c r="H357" s="12">
        <f t="shared" si="5"/>
        <v>6750</v>
      </c>
      <c r="I357" s="10" t="s">
        <v>10</v>
      </c>
      <c r="J357" s="13">
        <v>45734</v>
      </c>
    </row>
    <row r="358" hidden="1" spans="1:17">
      <c r="A358" t="s">
        <v>319</v>
      </c>
      <c r="B358" s="8">
        <v>242503064</v>
      </c>
      <c r="C358" s="9">
        <v>45712</v>
      </c>
      <c r="D358" s="8" t="s">
        <v>29</v>
      </c>
      <c r="E358" s="10">
        <v>250000</v>
      </c>
      <c r="F358" s="8">
        <v>0.0216</v>
      </c>
      <c r="G358" s="11">
        <v>45782</v>
      </c>
      <c r="H358" s="12">
        <f t="shared" si="5"/>
        <v>5400</v>
      </c>
      <c r="I358" s="10" t="s">
        <v>10</v>
      </c>
      <c r="J358" s="13">
        <v>45810</v>
      </c>
    </row>
    <row r="359" hidden="1" spans="1:17">
      <c r="A359" t="s">
        <v>319</v>
      </c>
      <c r="B359" s="8">
        <v>242503064</v>
      </c>
      <c r="C359" s="9">
        <v>45712</v>
      </c>
      <c r="D359" s="8" t="s">
        <v>29</v>
      </c>
      <c r="E359" s="10">
        <v>250000</v>
      </c>
      <c r="F359" s="8">
        <v>0.0216</v>
      </c>
      <c r="G359" s="11">
        <v>45782</v>
      </c>
      <c r="H359" s="12">
        <f t="shared" si="5"/>
        <v>5400</v>
      </c>
      <c r="I359" s="10" t="s">
        <v>10</v>
      </c>
      <c r="J359" s="13">
        <v>45810</v>
      </c>
    </row>
    <row r="360" hidden="1" spans="1:17">
      <c r="A360" t="s">
        <v>319</v>
      </c>
      <c r="B360" s="8">
        <v>242503064</v>
      </c>
      <c r="C360" s="9">
        <v>45712</v>
      </c>
      <c r="D360" s="8" t="s">
        <v>29</v>
      </c>
      <c r="E360" s="10">
        <v>250000</v>
      </c>
      <c r="F360" s="8">
        <v>0.0216</v>
      </c>
      <c r="G360" s="11">
        <v>45782</v>
      </c>
      <c r="H360" s="12">
        <f t="shared" si="5"/>
        <v>5400</v>
      </c>
      <c r="I360" s="10" t="s">
        <v>10</v>
      </c>
      <c r="J360" s="13">
        <v>45810</v>
      </c>
    </row>
    <row r="361" hidden="1" spans="1:17">
      <c r="A361" t="s">
        <v>319</v>
      </c>
      <c r="B361" s="8">
        <v>242503064</v>
      </c>
      <c r="C361" s="9">
        <v>45712</v>
      </c>
      <c r="D361" s="8" t="s">
        <v>29</v>
      </c>
      <c r="E361" s="10">
        <v>250000</v>
      </c>
      <c r="F361" s="8">
        <v>0.0216</v>
      </c>
      <c r="G361" s="11">
        <v>45782</v>
      </c>
      <c r="H361" s="12">
        <f t="shared" si="5"/>
        <v>5400</v>
      </c>
      <c r="I361" s="10" t="s">
        <v>10</v>
      </c>
      <c r="J361" s="13">
        <v>45810</v>
      </c>
      <c r="Q361">
        <v>996122</v>
      </c>
    </row>
    <row r="362" hidden="1" spans="1:17">
      <c r="A362" t="s">
        <v>319</v>
      </c>
      <c r="B362" s="8">
        <v>242503064</v>
      </c>
      <c r="C362" s="9">
        <v>45712</v>
      </c>
      <c r="D362" s="8" t="s">
        <v>29</v>
      </c>
      <c r="E362" s="10">
        <v>250000</v>
      </c>
      <c r="F362" s="8">
        <v>0.0216</v>
      </c>
      <c r="G362" s="11">
        <v>45782</v>
      </c>
      <c r="H362" s="12">
        <f t="shared" si="5"/>
        <v>5400</v>
      </c>
      <c r="I362" s="10" t="s">
        <v>10</v>
      </c>
      <c r="J362" s="13">
        <v>45810</v>
      </c>
      <c r="Q362">
        <v>36000</v>
      </c>
    </row>
    <row r="363" hidden="1" spans="1:17">
      <c r="A363" t="s">
        <v>319</v>
      </c>
      <c r="B363" s="8">
        <v>242503062</v>
      </c>
      <c r="C363" s="9">
        <v>45712</v>
      </c>
      <c r="D363" s="8" t="s">
        <v>416</v>
      </c>
      <c r="E363" s="10">
        <v>50000</v>
      </c>
      <c r="F363" s="8">
        <v>0.098</v>
      </c>
      <c r="G363" s="11">
        <v>45769</v>
      </c>
      <c r="H363" s="12">
        <f t="shared" si="5"/>
        <v>4900</v>
      </c>
      <c r="I363" s="10" t="s">
        <v>10</v>
      </c>
      <c r="J363" s="14" t="s">
        <v>514</v>
      </c>
    </row>
    <row r="364" hidden="1" spans="1:17">
      <c r="A364" t="s">
        <v>319</v>
      </c>
      <c r="B364" s="8">
        <v>242503066</v>
      </c>
      <c r="C364" s="9">
        <v>45712</v>
      </c>
      <c r="D364" s="8" t="s">
        <v>427</v>
      </c>
      <c r="E364" s="10">
        <v>50000</v>
      </c>
      <c r="F364" s="8">
        <v>0.05</v>
      </c>
      <c r="G364" s="11">
        <v>45712</v>
      </c>
      <c r="H364" s="12">
        <f t="shared" si="5"/>
        <v>2500</v>
      </c>
      <c r="I364" s="10" t="s">
        <v>10</v>
      </c>
      <c r="J364" s="13">
        <v>45713</v>
      </c>
    </row>
    <row r="365" hidden="1" spans="1:17">
      <c r="A365" t="s">
        <v>319</v>
      </c>
      <c r="B365" s="8">
        <v>242503078</v>
      </c>
      <c r="C365" s="9">
        <v>45713</v>
      </c>
      <c r="D365" s="8" t="s">
        <v>181</v>
      </c>
      <c r="E365" s="10">
        <v>20000</v>
      </c>
      <c r="F365" s="8">
        <v>0.027</v>
      </c>
      <c r="G365" s="11">
        <v>45713</v>
      </c>
      <c r="H365" s="12">
        <f t="shared" si="5"/>
        <v>540</v>
      </c>
      <c r="I365" s="10" t="s">
        <v>10</v>
      </c>
      <c r="J365" s="13">
        <v>45741</v>
      </c>
      <c r="Q365">
        <v>2452</v>
      </c>
    </row>
    <row r="366" hidden="1" spans="1:17">
      <c r="A366" t="s">
        <v>319</v>
      </c>
      <c r="B366" s="8">
        <v>242503090</v>
      </c>
      <c r="C366" s="9">
        <v>45714</v>
      </c>
      <c r="D366" s="8" t="s">
        <v>11</v>
      </c>
      <c r="E366" s="10">
        <v>20000</v>
      </c>
      <c r="F366" s="8">
        <v>0.032</v>
      </c>
      <c r="G366" s="11">
        <v>45721</v>
      </c>
      <c r="H366" s="12">
        <f t="shared" si="5"/>
        <v>640</v>
      </c>
      <c r="I366" s="10" t="s">
        <v>10</v>
      </c>
      <c r="J366" s="13">
        <v>45783</v>
      </c>
      <c r="Q366">
        <v>4620</v>
      </c>
    </row>
    <row r="367" hidden="1" spans="1:17">
      <c r="A367" t="s">
        <v>319</v>
      </c>
      <c r="B367" s="8">
        <v>242503094</v>
      </c>
      <c r="C367" s="9">
        <v>45714</v>
      </c>
      <c r="D367" s="8" t="s">
        <v>515</v>
      </c>
      <c r="E367" s="10">
        <v>180000</v>
      </c>
      <c r="F367" s="8">
        <v>0.0238</v>
      </c>
      <c r="G367" s="11">
        <v>45721</v>
      </c>
      <c r="H367" s="12">
        <f t="shared" si="5"/>
        <v>4284</v>
      </c>
      <c r="I367" s="10" t="s">
        <v>10</v>
      </c>
      <c r="J367" s="13">
        <v>45734</v>
      </c>
      <c r="K367" t="s">
        <v>478</v>
      </c>
    </row>
    <row r="368" hidden="1" spans="1:17">
      <c r="A368" t="s">
        <v>319</v>
      </c>
      <c r="B368" s="8">
        <v>242503094</v>
      </c>
      <c r="C368" s="9">
        <v>45714</v>
      </c>
      <c r="D368" s="8" t="s">
        <v>515</v>
      </c>
      <c r="E368" s="10">
        <v>180000</v>
      </c>
      <c r="F368" s="8">
        <v>0.0238</v>
      </c>
      <c r="G368" s="11">
        <v>45752</v>
      </c>
      <c r="H368" s="12">
        <f t="shared" si="5"/>
        <v>4284</v>
      </c>
      <c r="I368" s="10" t="s">
        <v>10</v>
      </c>
      <c r="J368" s="13">
        <v>45734</v>
      </c>
      <c r="K368" t="s">
        <v>478</v>
      </c>
    </row>
    <row r="369" hidden="1" spans="1:17">
      <c r="A369" t="s">
        <v>319</v>
      </c>
      <c r="B369" s="8">
        <v>242503094</v>
      </c>
      <c r="C369" s="9">
        <v>45714</v>
      </c>
      <c r="D369" s="8" t="s">
        <v>32</v>
      </c>
      <c r="E369" s="10">
        <v>60000</v>
      </c>
      <c r="F369" s="8">
        <v>0.0175</v>
      </c>
      <c r="G369" s="11">
        <v>45752</v>
      </c>
      <c r="H369" s="12">
        <f t="shared" si="5"/>
        <v>1050</v>
      </c>
      <c r="I369" s="10" t="s">
        <v>10</v>
      </c>
      <c r="J369" s="13">
        <v>45734</v>
      </c>
      <c r="K369" t="s">
        <v>478</v>
      </c>
    </row>
    <row r="370" hidden="1" spans="1:17">
      <c r="A370" t="s">
        <v>319</v>
      </c>
      <c r="B370" s="8">
        <v>242503094</v>
      </c>
      <c r="C370" s="9">
        <v>45714</v>
      </c>
      <c r="D370" s="8" t="s">
        <v>70</v>
      </c>
      <c r="E370" s="10">
        <v>20000</v>
      </c>
      <c r="F370" s="8">
        <v>0.028</v>
      </c>
      <c r="G370" s="11">
        <v>45752</v>
      </c>
      <c r="H370" s="12">
        <f t="shared" si="5"/>
        <v>560</v>
      </c>
      <c r="I370" s="10" t="s">
        <v>10</v>
      </c>
      <c r="J370" s="13">
        <v>45734</v>
      </c>
      <c r="K370" t="s">
        <v>478</v>
      </c>
    </row>
    <row r="371" hidden="1" spans="1:17">
      <c r="A371" t="s">
        <v>319</v>
      </c>
      <c r="B371" s="8">
        <v>242503094</v>
      </c>
      <c r="C371" s="9">
        <v>45714</v>
      </c>
      <c r="D371" s="8" t="s">
        <v>516</v>
      </c>
      <c r="E371" s="10">
        <v>90000</v>
      </c>
      <c r="F371" s="8">
        <v>0.032</v>
      </c>
      <c r="G371" s="11">
        <v>45752</v>
      </c>
      <c r="H371" s="12">
        <f t="shared" si="5"/>
        <v>2880</v>
      </c>
      <c r="I371" s="10" t="s">
        <v>10</v>
      </c>
      <c r="J371" s="13">
        <v>45734</v>
      </c>
      <c r="K371" t="s">
        <v>478</v>
      </c>
    </row>
    <row r="372" hidden="1" spans="1:17">
      <c r="A372" t="s">
        <v>319</v>
      </c>
      <c r="B372" s="8">
        <v>242503094</v>
      </c>
      <c r="C372" s="9">
        <v>45714</v>
      </c>
      <c r="D372" s="8" t="s">
        <v>282</v>
      </c>
      <c r="E372" s="10">
        <v>20000</v>
      </c>
      <c r="F372" s="8">
        <v>0.032</v>
      </c>
      <c r="G372" s="11">
        <v>45752</v>
      </c>
      <c r="H372" s="12">
        <f t="shared" si="5"/>
        <v>640</v>
      </c>
      <c r="I372" s="10" t="s">
        <v>10</v>
      </c>
      <c r="J372" s="13">
        <v>45734</v>
      </c>
      <c r="K372" t="s">
        <v>478</v>
      </c>
    </row>
    <row r="373" hidden="1" spans="1:17">
      <c r="A373" t="s">
        <v>319</v>
      </c>
      <c r="B373" s="8">
        <v>242503095</v>
      </c>
      <c r="C373" s="9">
        <v>45714</v>
      </c>
      <c r="D373" s="8" t="s">
        <v>56</v>
      </c>
      <c r="E373" s="10">
        <v>40000</v>
      </c>
      <c r="F373" s="8">
        <v>0.031</v>
      </c>
      <c r="G373" s="11">
        <v>45782</v>
      </c>
      <c r="H373" s="12">
        <f t="shared" si="5"/>
        <v>1240</v>
      </c>
      <c r="I373" s="10" t="s">
        <v>10</v>
      </c>
      <c r="J373" s="13">
        <v>45734</v>
      </c>
      <c r="K373" t="s">
        <v>478</v>
      </c>
    </row>
    <row r="374" hidden="1" spans="1:17">
      <c r="A374" t="s">
        <v>319</v>
      </c>
      <c r="B374" s="8">
        <v>242503095</v>
      </c>
      <c r="C374" s="9">
        <v>45714</v>
      </c>
      <c r="D374" s="8" t="s">
        <v>25</v>
      </c>
      <c r="E374" s="10">
        <v>20000</v>
      </c>
      <c r="F374" s="8">
        <v>0.016</v>
      </c>
      <c r="G374" s="11">
        <v>45782</v>
      </c>
      <c r="H374" s="12">
        <f t="shared" si="5"/>
        <v>320</v>
      </c>
      <c r="I374" s="10" t="s">
        <v>10</v>
      </c>
      <c r="J374" s="13">
        <v>45734</v>
      </c>
      <c r="K374" t="s">
        <v>478</v>
      </c>
    </row>
    <row r="375" hidden="1" spans="1:17">
      <c r="A375" t="s">
        <v>319</v>
      </c>
      <c r="B375" s="8">
        <v>242503095</v>
      </c>
      <c r="C375" s="9">
        <v>45714</v>
      </c>
      <c r="D375" s="8" t="s">
        <v>57</v>
      </c>
      <c r="E375" s="10">
        <v>10000</v>
      </c>
      <c r="F375" s="8">
        <v>0.15</v>
      </c>
      <c r="G375" s="11">
        <v>45782</v>
      </c>
      <c r="H375" s="12">
        <f t="shared" si="5"/>
        <v>1500</v>
      </c>
      <c r="I375" s="10" t="s">
        <v>10</v>
      </c>
      <c r="J375" s="13">
        <v>45734</v>
      </c>
      <c r="K375" t="s">
        <v>478</v>
      </c>
    </row>
    <row r="376" hidden="1" spans="1:17">
      <c r="A376" t="s">
        <v>319</v>
      </c>
      <c r="B376" s="8">
        <v>242503095</v>
      </c>
      <c r="C376" s="9">
        <v>45714</v>
      </c>
      <c r="D376" s="8" t="s">
        <v>517</v>
      </c>
      <c r="E376" s="10">
        <v>180000</v>
      </c>
      <c r="F376" s="8">
        <v>0.0238</v>
      </c>
      <c r="G376" s="11">
        <v>45782</v>
      </c>
      <c r="H376" s="12">
        <f t="shared" si="5"/>
        <v>4284</v>
      </c>
      <c r="I376" s="10" t="s">
        <v>10</v>
      </c>
      <c r="J376" s="13">
        <v>45734</v>
      </c>
      <c r="K376" t="s">
        <v>478</v>
      </c>
    </row>
    <row r="377" hidden="1" spans="1:17">
      <c r="A377" t="s">
        <v>319</v>
      </c>
      <c r="B377" s="8">
        <v>242503095</v>
      </c>
      <c r="C377" s="9">
        <v>45714</v>
      </c>
      <c r="D377" s="8" t="s">
        <v>32</v>
      </c>
      <c r="E377" s="10">
        <v>60000</v>
      </c>
      <c r="F377" s="8">
        <v>0.0175</v>
      </c>
      <c r="G377" s="11">
        <v>45782</v>
      </c>
      <c r="H377" s="12">
        <f t="shared" si="5"/>
        <v>1050</v>
      </c>
      <c r="I377" s="10" t="s">
        <v>10</v>
      </c>
      <c r="J377" s="13">
        <v>45734</v>
      </c>
      <c r="K377" t="s">
        <v>478</v>
      </c>
    </row>
    <row r="378" hidden="1" spans="1:17">
      <c r="A378" t="s">
        <v>319</v>
      </c>
      <c r="B378" s="8">
        <v>242503095</v>
      </c>
      <c r="C378" s="9">
        <v>45714</v>
      </c>
      <c r="D378" s="8" t="s">
        <v>108</v>
      </c>
      <c r="E378" s="10">
        <v>20000</v>
      </c>
      <c r="F378" s="8">
        <v>0.04</v>
      </c>
      <c r="G378" s="11">
        <v>45782</v>
      </c>
      <c r="H378" s="12">
        <f t="shared" si="5"/>
        <v>800</v>
      </c>
      <c r="I378" s="10" t="s">
        <v>10</v>
      </c>
      <c r="J378" s="13">
        <v>45734</v>
      </c>
      <c r="K378" t="s">
        <v>478</v>
      </c>
    </row>
    <row r="379" hidden="1" spans="1:17">
      <c r="A379" t="s">
        <v>319</v>
      </c>
      <c r="B379" s="8">
        <v>242503095</v>
      </c>
      <c r="C379" s="9">
        <v>45714</v>
      </c>
      <c r="D379" s="8" t="s">
        <v>386</v>
      </c>
      <c r="E379" s="10">
        <v>40000</v>
      </c>
      <c r="F379" s="8">
        <v>0.04</v>
      </c>
      <c r="G379" s="11">
        <v>45782</v>
      </c>
      <c r="H379" s="12">
        <f t="shared" si="5"/>
        <v>1600</v>
      </c>
      <c r="I379" s="10" t="s">
        <v>10</v>
      </c>
      <c r="J379" s="13">
        <v>45734</v>
      </c>
      <c r="K379" t="s">
        <v>478</v>
      </c>
    </row>
    <row r="380" hidden="1" spans="1:17">
      <c r="A380" t="s">
        <v>319</v>
      </c>
      <c r="B380" s="8">
        <v>242503095</v>
      </c>
      <c r="C380" s="9">
        <v>45714</v>
      </c>
      <c r="D380" s="8" t="s">
        <v>516</v>
      </c>
      <c r="E380" s="10">
        <v>90000</v>
      </c>
      <c r="F380" s="8">
        <v>0.032</v>
      </c>
      <c r="G380" s="11">
        <v>45782</v>
      </c>
      <c r="H380" s="12">
        <f t="shared" si="5"/>
        <v>2880</v>
      </c>
      <c r="I380" s="10" t="s">
        <v>10</v>
      </c>
      <c r="J380" s="13">
        <v>45734</v>
      </c>
      <c r="K380" t="s">
        <v>478</v>
      </c>
    </row>
    <row r="381" hidden="1" spans="1:17">
      <c r="A381" t="s">
        <v>319</v>
      </c>
      <c r="B381" s="8">
        <v>242503095</v>
      </c>
      <c r="C381" s="9">
        <v>45714</v>
      </c>
      <c r="D381" s="8" t="s">
        <v>282</v>
      </c>
      <c r="E381" s="10">
        <v>20000</v>
      </c>
      <c r="F381" s="8">
        <v>0.032</v>
      </c>
      <c r="G381" s="11">
        <v>45782</v>
      </c>
      <c r="H381" s="12">
        <f t="shared" si="5"/>
        <v>640</v>
      </c>
      <c r="I381" s="10" t="s">
        <v>10</v>
      </c>
      <c r="J381" s="13">
        <v>45734</v>
      </c>
      <c r="K381" t="s">
        <v>478</v>
      </c>
    </row>
    <row r="382" hidden="1" spans="1:17">
      <c r="A382" t="s">
        <v>319</v>
      </c>
      <c r="B382" s="8">
        <v>242503096</v>
      </c>
      <c r="C382" s="9">
        <v>45714</v>
      </c>
      <c r="D382" s="8" t="s">
        <v>56</v>
      </c>
      <c r="E382" s="10">
        <v>40000</v>
      </c>
      <c r="F382" s="8">
        <v>0.031</v>
      </c>
      <c r="G382" s="11">
        <v>45813</v>
      </c>
      <c r="H382" s="12">
        <f t="shared" si="5"/>
        <v>1240</v>
      </c>
      <c r="I382" s="10" t="s">
        <v>10</v>
      </c>
      <c r="J382" s="13">
        <v>45764</v>
      </c>
      <c r="K382" t="s">
        <v>478</v>
      </c>
      <c r="Q382">
        <v>794382</v>
      </c>
    </row>
    <row r="383" hidden="1" spans="1:17">
      <c r="A383" t="s">
        <v>319</v>
      </c>
      <c r="B383" s="8">
        <v>242503096</v>
      </c>
      <c r="C383" s="9">
        <v>45714</v>
      </c>
      <c r="D383" s="8" t="s">
        <v>517</v>
      </c>
      <c r="E383" s="10">
        <v>180000</v>
      </c>
      <c r="F383" s="8">
        <v>0.0238</v>
      </c>
      <c r="G383" s="11">
        <v>45813</v>
      </c>
      <c r="H383" s="12">
        <f t="shared" si="5"/>
        <v>4284</v>
      </c>
      <c r="I383" s="10" t="s">
        <v>10</v>
      </c>
      <c r="J383" s="13">
        <v>45764</v>
      </c>
      <c r="K383" t="s">
        <v>478</v>
      </c>
    </row>
    <row r="384" hidden="1" spans="1:17">
      <c r="A384" t="s">
        <v>319</v>
      </c>
      <c r="B384" s="8">
        <v>242503096</v>
      </c>
      <c r="C384" s="9">
        <v>45714</v>
      </c>
      <c r="D384" s="8" t="s">
        <v>32</v>
      </c>
      <c r="E384" s="10">
        <v>60000</v>
      </c>
      <c r="F384" s="8">
        <v>0.0175</v>
      </c>
      <c r="G384" s="11">
        <v>45813</v>
      </c>
      <c r="H384" s="12">
        <f t="shared" si="5"/>
        <v>1050</v>
      </c>
      <c r="I384" s="10" t="s">
        <v>10</v>
      </c>
      <c r="J384" s="13">
        <v>45770</v>
      </c>
      <c r="K384" t="s">
        <v>478</v>
      </c>
    </row>
    <row r="385" hidden="1" spans="1:11">
      <c r="A385" t="s">
        <v>319</v>
      </c>
      <c r="B385" s="8">
        <v>242503096</v>
      </c>
      <c r="C385" s="9">
        <v>45714</v>
      </c>
      <c r="D385" s="8" t="s">
        <v>108</v>
      </c>
      <c r="E385" s="10">
        <v>20000</v>
      </c>
      <c r="F385" s="8">
        <v>0.04</v>
      </c>
      <c r="G385" s="11">
        <v>45813</v>
      </c>
      <c r="H385" s="12">
        <f t="shared" si="5"/>
        <v>800</v>
      </c>
      <c r="I385" s="10" t="s">
        <v>10</v>
      </c>
      <c r="J385" s="13">
        <v>45764</v>
      </c>
      <c r="K385" t="s">
        <v>478</v>
      </c>
    </row>
    <row r="386" hidden="1" spans="1:11">
      <c r="A386" t="s">
        <v>319</v>
      </c>
      <c r="B386" s="8">
        <v>242503096</v>
      </c>
      <c r="C386" s="9">
        <v>45714</v>
      </c>
      <c r="D386" s="8" t="s">
        <v>386</v>
      </c>
      <c r="E386" s="10">
        <v>40000</v>
      </c>
      <c r="F386" s="8">
        <v>0.04</v>
      </c>
      <c r="G386" s="11">
        <v>45813</v>
      </c>
      <c r="H386" s="12">
        <f t="shared" ref="H386:H449" si="6">E386*F386</f>
        <v>1600</v>
      </c>
      <c r="I386" s="10" t="s">
        <v>10</v>
      </c>
      <c r="J386" s="13">
        <v>45764</v>
      </c>
      <c r="K386" t="s">
        <v>478</v>
      </c>
    </row>
    <row r="387" hidden="1" spans="1:11">
      <c r="A387" t="s">
        <v>319</v>
      </c>
      <c r="B387" s="8">
        <v>242503096</v>
      </c>
      <c r="C387" s="9">
        <v>45714</v>
      </c>
      <c r="D387" s="8" t="s">
        <v>516</v>
      </c>
      <c r="E387" s="10">
        <v>90000</v>
      </c>
      <c r="F387" s="8">
        <v>0.032</v>
      </c>
      <c r="G387" s="11">
        <v>45813</v>
      </c>
      <c r="H387" s="12">
        <f t="shared" si="6"/>
        <v>2880</v>
      </c>
      <c r="I387" s="10" t="s">
        <v>10</v>
      </c>
      <c r="J387" s="13">
        <v>45764</v>
      </c>
      <c r="K387" t="s">
        <v>478</v>
      </c>
    </row>
    <row r="388" hidden="1" spans="1:11">
      <c r="A388" t="s">
        <v>319</v>
      </c>
      <c r="B388" s="8">
        <v>242503096</v>
      </c>
      <c r="C388" s="9">
        <v>45714</v>
      </c>
      <c r="D388" s="8" t="s">
        <v>282</v>
      </c>
      <c r="E388" s="10">
        <v>20000</v>
      </c>
      <c r="F388" s="8">
        <v>0.032</v>
      </c>
      <c r="G388" s="11">
        <v>45813</v>
      </c>
      <c r="H388" s="12">
        <f t="shared" si="6"/>
        <v>640</v>
      </c>
      <c r="I388" s="10" t="s">
        <v>10</v>
      </c>
      <c r="J388" s="13">
        <v>45764</v>
      </c>
      <c r="K388" t="s">
        <v>478</v>
      </c>
    </row>
    <row r="389" hidden="1" spans="1:11">
      <c r="A389" t="s">
        <v>319</v>
      </c>
      <c r="B389" s="8">
        <v>242503100</v>
      </c>
      <c r="C389" s="9">
        <v>45714</v>
      </c>
      <c r="D389" s="8" t="s">
        <v>47</v>
      </c>
      <c r="E389" s="10">
        <v>120000</v>
      </c>
      <c r="F389" s="8">
        <v>0.024</v>
      </c>
      <c r="G389" s="11">
        <v>45752</v>
      </c>
      <c r="H389" s="12">
        <f t="shared" si="6"/>
        <v>2880</v>
      </c>
      <c r="I389" s="10" t="s">
        <v>10</v>
      </c>
      <c r="J389" s="13">
        <v>45719</v>
      </c>
    </row>
    <row r="390" hidden="1" spans="1:11">
      <c r="A390" t="s">
        <v>319</v>
      </c>
      <c r="B390" s="8">
        <v>242503100</v>
      </c>
      <c r="C390" s="9">
        <v>45714</v>
      </c>
      <c r="D390" s="8" t="s">
        <v>163</v>
      </c>
      <c r="E390" s="10">
        <v>80000</v>
      </c>
      <c r="F390" s="8">
        <v>0.0025</v>
      </c>
      <c r="G390" s="11">
        <v>45721</v>
      </c>
      <c r="H390" s="12">
        <f t="shared" si="6"/>
        <v>200</v>
      </c>
      <c r="I390" s="10" t="s">
        <v>10</v>
      </c>
      <c r="J390" s="13">
        <v>45719</v>
      </c>
    </row>
    <row r="391" hidden="1" spans="1:11">
      <c r="A391" t="s">
        <v>319</v>
      </c>
      <c r="B391" s="8">
        <v>242503100</v>
      </c>
      <c r="C391" s="9">
        <v>45714</v>
      </c>
      <c r="D391" s="8" t="s">
        <v>45</v>
      </c>
      <c r="E391" s="10">
        <v>120000</v>
      </c>
      <c r="F391" s="8">
        <v>0.024</v>
      </c>
      <c r="G391" s="11">
        <v>45752</v>
      </c>
      <c r="H391" s="12">
        <f t="shared" si="6"/>
        <v>2880</v>
      </c>
      <c r="I391" s="10" t="s">
        <v>10</v>
      </c>
      <c r="J391" s="13">
        <v>45719</v>
      </c>
    </row>
    <row r="392" hidden="1" spans="1:11">
      <c r="A392" t="s">
        <v>319</v>
      </c>
      <c r="B392" s="8">
        <v>242503100</v>
      </c>
      <c r="C392" s="9">
        <v>45714</v>
      </c>
      <c r="D392" s="8" t="s">
        <v>38</v>
      </c>
      <c r="E392" s="10">
        <v>160000</v>
      </c>
      <c r="F392" s="8">
        <v>0.01</v>
      </c>
      <c r="G392" s="11">
        <v>45721</v>
      </c>
      <c r="H392" s="12">
        <f t="shared" si="6"/>
        <v>1600</v>
      </c>
      <c r="I392" s="10" t="s">
        <v>10</v>
      </c>
      <c r="J392" s="13">
        <v>45719</v>
      </c>
    </row>
    <row r="393" hidden="1" spans="1:11">
      <c r="A393" t="s">
        <v>319</v>
      </c>
      <c r="B393" s="8">
        <v>242503100</v>
      </c>
      <c r="C393" s="9">
        <v>45714</v>
      </c>
      <c r="D393" s="8" t="s">
        <v>38</v>
      </c>
      <c r="E393" s="10">
        <v>80000</v>
      </c>
      <c r="F393" s="8">
        <v>0.01</v>
      </c>
      <c r="G393" s="11">
        <v>45721</v>
      </c>
      <c r="H393" s="12">
        <f t="shared" si="6"/>
        <v>800</v>
      </c>
      <c r="I393" s="10" t="s">
        <v>10</v>
      </c>
      <c r="J393" s="13">
        <v>45719</v>
      </c>
    </row>
    <row r="394" hidden="1" spans="1:11">
      <c r="A394" t="s">
        <v>319</v>
      </c>
      <c r="B394" s="8">
        <v>242503100</v>
      </c>
      <c r="C394" s="9">
        <v>45714</v>
      </c>
      <c r="D394" s="8" t="s">
        <v>511</v>
      </c>
      <c r="E394" s="10">
        <v>40000</v>
      </c>
      <c r="F394" s="8">
        <v>0.041</v>
      </c>
      <c r="G394" s="11">
        <v>45721</v>
      </c>
      <c r="H394" s="12">
        <f t="shared" si="6"/>
        <v>1640</v>
      </c>
      <c r="I394" s="10" t="s">
        <v>10</v>
      </c>
      <c r="J394" s="13">
        <v>45719</v>
      </c>
    </row>
    <row r="395" hidden="1" spans="1:11">
      <c r="A395" t="s">
        <v>319</v>
      </c>
      <c r="B395" s="8">
        <v>242503100</v>
      </c>
      <c r="C395" s="9">
        <v>45714</v>
      </c>
      <c r="D395" s="8" t="s">
        <v>59</v>
      </c>
      <c r="E395" s="10">
        <v>32000</v>
      </c>
      <c r="F395" s="8">
        <v>0.015</v>
      </c>
      <c r="G395" s="11">
        <v>45721</v>
      </c>
      <c r="H395" s="12">
        <f t="shared" si="6"/>
        <v>480</v>
      </c>
      <c r="I395" s="10" t="s">
        <v>10</v>
      </c>
      <c r="J395" s="13">
        <v>45719</v>
      </c>
    </row>
    <row r="396" hidden="1" spans="1:11">
      <c r="A396" t="s">
        <v>319</v>
      </c>
      <c r="B396" s="8">
        <v>242503100</v>
      </c>
      <c r="C396" s="9">
        <v>45714</v>
      </c>
      <c r="D396" s="8" t="s">
        <v>62</v>
      </c>
      <c r="E396" s="10">
        <v>80000</v>
      </c>
      <c r="F396" s="8">
        <v>0.006</v>
      </c>
      <c r="G396" s="11">
        <v>45721</v>
      </c>
      <c r="H396" s="12">
        <f t="shared" si="6"/>
        <v>480</v>
      </c>
      <c r="I396" s="10" t="s">
        <v>10</v>
      </c>
      <c r="J396" s="13">
        <v>45719</v>
      </c>
    </row>
    <row r="397" hidden="1" spans="1:11">
      <c r="A397" t="s">
        <v>319</v>
      </c>
      <c r="B397" s="8">
        <v>242503100</v>
      </c>
      <c r="C397" s="9">
        <v>45714</v>
      </c>
      <c r="D397" s="8" t="s">
        <v>62</v>
      </c>
      <c r="E397" s="10">
        <v>80000</v>
      </c>
      <c r="F397" s="8">
        <v>0.006</v>
      </c>
      <c r="G397" s="11">
        <v>45721</v>
      </c>
      <c r="H397" s="12">
        <f t="shared" si="6"/>
        <v>480</v>
      </c>
      <c r="I397" s="10" t="s">
        <v>10</v>
      </c>
      <c r="J397" s="13">
        <v>45719</v>
      </c>
    </row>
    <row r="398" hidden="1" spans="1:11">
      <c r="A398" t="s">
        <v>319</v>
      </c>
      <c r="B398" s="8">
        <v>242503100</v>
      </c>
      <c r="C398" s="9">
        <v>45714</v>
      </c>
      <c r="D398" s="8" t="s">
        <v>40</v>
      </c>
      <c r="E398" s="10">
        <v>32000</v>
      </c>
      <c r="F398" s="8">
        <v>0.05</v>
      </c>
      <c r="G398" s="11">
        <v>45721</v>
      </c>
      <c r="H398" s="12">
        <f t="shared" si="6"/>
        <v>1600</v>
      </c>
      <c r="I398" s="10" t="s">
        <v>10</v>
      </c>
      <c r="J398" s="13">
        <v>45719</v>
      </c>
    </row>
    <row r="399" hidden="1" spans="1:11">
      <c r="A399" t="s">
        <v>319</v>
      </c>
      <c r="B399" s="8">
        <v>242503101</v>
      </c>
      <c r="C399" s="9">
        <v>45714</v>
      </c>
      <c r="D399" s="8" t="s">
        <v>45</v>
      </c>
      <c r="E399" s="10">
        <v>120000</v>
      </c>
      <c r="F399" s="8">
        <v>0.024</v>
      </c>
      <c r="G399" s="11">
        <v>45752</v>
      </c>
      <c r="H399" s="12">
        <f t="shared" si="6"/>
        <v>2880</v>
      </c>
      <c r="I399" s="10" t="s">
        <v>10</v>
      </c>
      <c r="J399" s="13">
        <v>45717</v>
      </c>
    </row>
    <row r="400" hidden="1" spans="1:11">
      <c r="A400" t="s">
        <v>319</v>
      </c>
      <c r="B400" s="8">
        <v>242503101</v>
      </c>
      <c r="C400" s="9">
        <v>45714</v>
      </c>
      <c r="D400" s="8" t="s">
        <v>38</v>
      </c>
      <c r="E400" s="10">
        <v>80000</v>
      </c>
      <c r="F400" s="8">
        <v>0.01</v>
      </c>
      <c r="G400" s="11">
        <v>45752</v>
      </c>
      <c r="H400" s="12">
        <f t="shared" si="6"/>
        <v>800</v>
      </c>
      <c r="I400" s="10" t="s">
        <v>10</v>
      </c>
      <c r="J400" s="13">
        <v>45717</v>
      </c>
    </row>
    <row r="401" hidden="1" spans="1:11">
      <c r="A401" t="s">
        <v>319</v>
      </c>
      <c r="B401" s="8">
        <v>242503101</v>
      </c>
      <c r="C401" s="9">
        <v>45714</v>
      </c>
      <c r="D401" s="8" t="s">
        <v>38</v>
      </c>
      <c r="E401" s="10">
        <v>80000</v>
      </c>
      <c r="F401" s="8">
        <v>0.01</v>
      </c>
      <c r="G401" s="11">
        <v>45752</v>
      </c>
      <c r="H401" s="12">
        <f t="shared" si="6"/>
        <v>800</v>
      </c>
      <c r="I401" s="10" t="s">
        <v>10</v>
      </c>
      <c r="J401" s="13">
        <v>45717</v>
      </c>
    </row>
    <row r="402" hidden="1" spans="1:11">
      <c r="A402" t="s">
        <v>319</v>
      </c>
      <c r="B402" s="8">
        <v>242503106</v>
      </c>
      <c r="C402" s="9">
        <v>45715</v>
      </c>
      <c r="D402" s="8" t="s">
        <v>70</v>
      </c>
      <c r="E402" s="10">
        <v>20000</v>
      </c>
      <c r="F402" s="8">
        <v>0.028</v>
      </c>
      <c r="G402" s="11">
        <v>45769</v>
      </c>
      <c r="H402" s="12">
        <f t="shared" si="6"/>
        <v>560</v>
      </c>
      <c r="I402" s="10" t="s">
        <v>10</v>
      </c>
      <c r="J402" s="13">
        <v>45730</v>
      </c>
      <c r="K402" t="s">
        <v>391</v>
      </c>
    </row>
    <row r="403" hidden="1" spans="1:11">
      <c r="A403" t="s">
        <v>319</v>
      </c>
      <c r="B403" s="8">
        <v>242503116</v>
      </c>
      <c r="C403" s="9">
        <v>45715</v>
      </c>
      <c r="D403" s="8" t="s">
        <v>40</v>
      </c>
      <c r="E403" s="10">
        <v>100000</v>
      </c>
      <c r="F403" s="8">
        <v>0.05</v>
      </c>
      <c r="G403" s="11">
        <v>45721</v>
      </c>
      <c r="H403" s="12">
        <f t="shared" si="6"/>
        <v>5000</v>
      </c>
      <c r="I403" s="10" t="s">
        <v>10</v>
      </c>
      <c r="J403" s="13">
        <v>45721</v>
      </c>
      <c r="K403" t="s">
        <v>380</v>
      </c>
    </row>
    <row r="404" hidden="1" spans="1:11">
      <c r="A404" t="s">
        <v>319</v>
      </c>
      <c r="B404" s="8">
        <v>242503116</v>
      </c>
      <c r="C404" s="9">
        <v>45715</v>
      </c>
      <c r="D404" s="8" t="s">
        <v>40</v>
      </c>
      <c r="E404" s="10">
        <v>100000</v>
      </c>
      <c r="F404" s="8">
        <v>0.05</v>
      </c>
      <c r="G404" s="11">
        <v>45721</v>
      </c>
      <c r="H404" s="12">
        <f t="shared" si="6"/>
        <v>5000</v>
      </c>
      <c r="I404" s="10" t="s">
        <v>10</v>
      </c>
      <c r="J404" s="13">
        <v>45721</v>
      </c>
      <c r="K404" t="s">
        <v>380</v>
      </c>
    </row>
    <row r="405" hidden="1" spans="1:11">
      <c r="A405" t="s">
        <v>319</v>
      </c>
      <c r="B405" s="8">
        <v>242503116</v>
      </c>
      <c r="C405" s="9">
        <v>45715</v>
      </c>
      <c r="D405" s="8" t="s">
        <v>40</v>
      </c>
      <c r="E405" s="10">
        <v>100000</v>
      </c>
      <c r="F405" s="8">
        <v>0.05</v>
      </c>
      <c r="G405" s="11">
        <v>45721</v>
      </c>
      <c r="H405" s="12">
        <f t="shared" si="6"/>
        <v>5000</v>
      </c>
      <c r="I405" s="10" t="s">
        <v>10</v>
      </c>
      <c r="J405" s="13">
        <v>45721</v>
      </c>
      <c r="K405" t="s">
        <v>380</v>
      </c>
    </row>
    <row r="406" hidden="1" spans="1:11">
      <c r="A406" t="s">
        <v>319</v>
      </c>
      <c r="B406" s="8">
        <v>242503116</v>
      </c>
      <c r="C406" s="9">
        <v>45715</v>
      </c>
      <c r="D406" s="8" t="s">
        <v>40</v>
      </c>
      <c r="E406" s="10">
        <v>100000</v>
      </c>
      <c r="F406" s="8">
        <v>0.05</v>
      </c>
      <c r="G406" s="11">
        <v>45721</v>
      </c>
      <c r="H406" s="12">
        <f t="shared" si="6"/>
        <v>5000</v>
      </c>
      <c r="I406" s="10" t="s">
        <v>10</v>
      </c>
      <c r="J406" s="13">
        <v>45721</v>
      </c>
      <c r="K406" t="s">
        <v>380</v>
      </c>
    </row>
    <row r="407" hidden="1" spans="1:11">
      <c r="A407" t="s">
        <v>319</v>
      </c>
      <c r="B407" s="8">
        <v>242503116</v>
      </c>
      <c r="C407" s="9">
        <v>45715</v>
      </c>
      <c r="D407" s="8" t="s">
        <v>40</v>
      </c>
      <c r="E407" s="10">
        <v>100000</v>
      </c>
      <c r="F407" s="8">
        <v>0.05</v>
      </c>
      <c r="G407" s="11">
        <v>45721</v>
      </c>
      <c r="H407" s="12">
        <f t="shared" si="6"/>
        <v>5000</v>
      </c>
      <c r="I407" s="10" t="s">
        <v>10</v>
      </c>
      <c r="J407" s="13">
        <v>45721</v>
      </c>
      <c r="K407" t="s">
        <v>380</v>
      </c>
    </row>
    <row r="408" hidden="1" spans="1:11">
      <c r="A408" t="s">
        <v>319</v>
      </c>
      <c r="B408" s="8">
        <v>242503117</v>
      </c>
      <c r="C408" s="9">
        <v>45715</v>
      </c>
      <c r="D408" s="8" t="s">
        <v>40</v>
      </c>
      <c r="E408" s="10">
        <v>100000</v>
      </c>
      <c r="F408" s="8">
        <v>0.05</v>
      </c>
      <c r="G408" s="11">
        <v>45721</v>
      </c>
      <c r="H408" s="12">
        <f t="shared" si="6"/>
        <v>5000</v>
      </c>
      <c r="I408" s="10" t="s">
        <v>10</v>
      </c>
      <c r="J408" s="13">
        <v>45754</v>
      </c>
      <c r="K408" t="s">
        <v>380</v>
      </c>
    </row>
    <row r="409" hidden="1" spans="1:11">
      <c r="A409" t="s">
        <v>319</v>
      </c>
      <c r="B409" s="8">
        <v>242503117</v>
      </c>
      <c r="C409" s="9">
        <v>45715</v>
      </c>
      <c r="D409" s="8" t="s">
        <v>40</v>
      </c>
      <c r="E409" s="10">
        <v>100000</v>
      </c>
      <c r="F409" s="8">
        <v>0.05</v>
      </c>
      <c r="G409" s="11">
        <v>45721</v>
      </c>
      <c r="H409" s="12">
        <f t="shared" si="6"/>
        <v>5000</v>
      </c>
      <c r="I409" s="10" t="s">
        <v>10</v>
      </c>
      <c r="J409" s="13">
        <v>45754</v>
      </c>
      <c r="K409" t="s">
        <v>380</v>
      </c>
    </row>
    <row r="410" hidden="1" spans="1:11">
      <c r="A410" t="s">
        <v>319</v>
      </c>
      <c r="B410" s="8">
        <v>242503117</v>
      </c>
      <c r="C410" s="9">
        <v>45715</v>
      </c>
      <c r="D410" s="8" t="s">
        <v>40</v>
      </c>
      <c r="E410" s="10">
        <v>100000</v>
      </c>
      <c r="F410" s="8">
        <v>0.05</v>
      </c>
      <c r="G410" s="11">
        <v>45769</v>
      </c>
      <c r="H410" s="12">
        <f t="shared" si="6"/>
        <v>5000</v>
      </c>
      <c r="I410" s="10" t="s">
        <v>10</v>
      </c>
      <c r="J410" s="13">
        <v>45754</v>
      </c>
      <c r="K410" t="s">
        <v>380</v>
      </c>
    </row>
    <row r="411" hidden="1" spans="1:11">
      <c r="A411" t="s">
        <v>319</v>
      </c>
      <c r="B411" s="8">
        <v>242503117</v>
      </c>
      <c r="C411" s="9">
        <v>45715</v>
      </c>
      <c r="D411" s="8" t="s">
        <v>40</v>
      </c>
      <c r="E411" s="10">
        <v>100000</v>
      </c>
      <c r="F411" s="8">
        <v>0.05</v>
      </c>
      <c r="G411" s="11">
        <v>45769</v>
      </c>
      <c r="H411" s="12">
        <f t="shared" si="6"/>
        <v>5000</v>
      </c>
      <c r="I411" s="10" t="s">
        <v>10</v>
      </c>
      <c r="J411" s="13">
        <v>45754</v>
      </c>
      <c r="K411" t="s">
        <v>380</v>
      </c>
    </row>
    <row r="412" hidden="1" spans="1:11">
      <c r="A412" t="s">
        <v>319</v>
      </c>
      <c r="B412" s="8">
        <v>242503117</v>
      </c>
      <c r="C412" s="9">
        <v>45715</v>
      </c>
      <c r="D412" s="8" t="s">
        <v>40</v>
      </c>
      <c r="E412" s="10">
        <v>100000</v>
      </c>
      <c r="F412" s="8">
        <v>0.05</v>
      </c>
      <c r="G412" s="11">
        <v>45769</v>
      </c>
      <c r="H412" s="12">
        <f t="shared" si="6"/>
        <v>5000</v>
      </c>
      <c r="I412" s="10" t="s">
        <v>10</v>
      </c>
      <c r="J412" s="13">
        <v>45754</v>
      </c>
      <c r="K412" t="s">
        <v>380</v>
      </c>
    </row>
    <row r="413" hidden="1" spans="1:11">
      <c r="A413" t="s">
        <v>319</v>
      </c>
      <c r="B413" s="8">
        <v>242503118</v>
      </c>
      <c r="C413" s="9">
        <v>45715</v>
      </c>
      <c r="D413" s="8" t="s">
        <v>46</v>
      </c>
      <c r="E413" s="10">
        <v>100000</v>
      </c>
      <c r="F413" s="8">
        <v>0.02</v>
      </c>
      <c r="G413" s="11">
        <v>45721</v>
      </c>
      <c r="H413" s="12">
        <f t="shared" si="6"/>
        <v>2000</v>
      </c>
      <c r="I413" s="10" t="s">
        <v>10</v>
      </c>
      <c r="J413" s="13">
        <v>45797</v>
      </c>
      <c r="K413" t="s">
        <v>380</v>
      </c>
    </row>
    <row r="414" hidden="1" spans="1:11">
      <c r="A414" t="s">
        <v>319</v>
      </c>
      <c r="B414" s="8">
        <v>242503118</v>
      </c>
      <c r="C414" s="9">
        <v>45715</v>
      </c>
      <c r="D414" s="8" t="s">
        <v>46</v>
      </c>
      <c r="E414" s="10">
        <v>100000</v>
      </c>
      <c r="F414" s="8">
        <v>0.02</v>
      </c>
      <c r="G414" s="11">
        <v>45721</v>
      </c>
      <c r="H414" s="12">
        <f t="shared" si="6"/>
        <v>2000</v>
      </c>
      <c r="I414" s="10" t="s">
        <v>10</v>
      </c>
      <c r="J414" s="13">
        <v>45797</v>
      </c>
      <c r="K414" t="s">
        <v>380</v>
      </c>
    </row>
    <row r="415" hidden="1" spans="1:11">
      <c r="A415" t="s">
        <v>319</v>
      </c>
      <c r="B415" s="8">
        <v>242503118</v>
      </c>
      <c r="C415" s="9">
        <v>45715</v>
      </c>
      <c r="D415" s="8" t="s">
        <v>46</v>
      </c>
      <c r="E415" s="10">
        <v>100000</v>
      </c>
      <c r="F415" s="8">
        <v>0.02</v>
      </c>
      <c r="G415" s="11">
        <v>45721</v>
      </c>
      <c r="H415" s="12">
        <f t="shared" si="6"/>
        <v>2000</v>
      </c>
      <c r="I415" s="10" t="s">
        <v>10</v>
      </c>
      <c r="J415" s="13">
        <v>45797</v>
      </c>
      <c r="K415" t="s">
        <v>380</v>
      </c>
    </row>
    <row r="416" hidden="1" spans="1:11">
      <c r="A416" t="s">
        <v>319</v>
      </c>
      <c r="B416" s="8">
        <v>242503118</v>
      </c>
      <c r="C416" s="9">
        <v>45715</v>
      </c>
      <c r="D416" s="8" t="s">
        <v>46</v>
      </c>
      <c r="E416" s="10">
        <v>100000</v>
      </c>
      <c r="F416" s="8">
        <v>0.02</v>
      </c>
      <c r="G416" s="11">
        <v>45769</v>
      </c>
      <c r="H416" s="12">
        <f t="shared" si="6"/>
        <v>2000</v>
      </c>
      <c r="I416" s="10" t="s">
        <v>10</v>
      </c>
      <c r="J416" s="13">
        <v>45797</v>
      </c>
      <c r="K416" t="s">
        <v>380</v>
      </c>
    </row>
    <row r="417" hidden="1" spans="1:11">
      <c r="A417" t="s">
        <v>319</v>
      </c>
      <c r="B417" s="8">
        <v>242503118</v>
      </c>
      <c r="C417" s="9">
        <v>45715</v>
      </c>
      <c r="D417" s="8" t="s">
        <v>46</v>
      </c>
      <c r="E417" s="10">
        <v>100000</v>
      </c>
      <c r="F417" s="8">
        <v>0.02</v>
      </c>
      <c r="G417" s="11">
        <v>45769</v>
      </c>
      <c r="H417" s="12">
        <f t="shared" si="6"/>
        <v>2000</v>
      </c>
      <c r="I417" s="10" t="s">
        <v>10</v>
      </c>
      <c r="J417" s="13">
        <v>45797</v>
      </c>
      <c r="K417" t="s">
        <v>380</v>
      </c>
    </row>
    <row r="418" hidden="1" spans="1:11">
      <c r="A418" t="s">
        <v>319</v>
      </c>
      <c r="B418" s="8">
        <v>242503118</v>
      </c>
      <c r="C418" s="9">
        <v>45715</v>
      </c>
      <c r="D418" s="8" t="s">
        <v>46</v>
      </c>
      <c r="E418" s="10">
        <v>100000</v>
      </c>
      <c r="F418" s="8">
        <v>0.02</v>
      </c>
      <c r="G418" s="11">
        <v>45769</v>
      </c>
      <c r="H418" s="12">
        <f t="shared" si="6"/>
        <v>2000</v>
      </c>
      <c r="I418" s="10" t="s">
        <v>10</v>
      </c>
      <c r="J418" s="13">
        <v>45797</v>
      </c>
      <c r="K418" t="s">
        <v>380</v>
      </c>
    </row>
    <row r="419" hidden="1" spans="1:11">
      <c r="A419" t="s">
        <v>319</v>
      </c>
      <c r="B419" s="8">
        <v>242503118</v>
      </c>
      <c r="C419" s="9">
        <v>45715</v>
      </c>
      <c r="D419" s="8" t="s">
        <v>46</v>
      </c>
      <c r="E419" s="10">
        <v>100000</v>
      </c>
      <c r="F419" s="8">
        <v>0.02</v>
      </c>
      <c r="G419" s="11">
        <v>45769</v>
      </c>
      <c r="H419" s="12">
        <f t="shared" si="6"/>
        <v>2000</v>
      </c>
      <c r="I419" s="10" t="s">
        <v>10</v>
      </c>
      <c r="J419" s="13">
        <v>45797</v>
      </c>
      <c r="K419" t="s">
        <v>380</v>
      </c>
    </row>
    <row r="420" hidden="1" spans="1:11">
      <c r="A420" t="s">
        <v>319</v>
      </c>
      <c r="B420" s="8">
        <v>242503118</v>
      </c>
      <c r="C420" s="9">
        <v>45715</v>
      </c>
      <c r="D420" s="8" t="s">
        <v>46</v>
      </c>
      <c r="E420" s="10">
        <v>100000</v>
      </c>
      <c r="F420" s="8">
        <v>0.02</v>
      </c>
      <c r="G420" s="11">
        <v>45799</v>
      </c>
      <c r="H420" s="12">
        <f t="shared" si="6"/>
        <v>2000</v>
      </c>
      <c r="I420" s="10" t="s">
        <v>10</v>
      </c>
      <c r="J420" s="13">
        <v>45797</v>
      </c>
      <c r="K420" t="s">
        <v>380</v>
      </c>
    </row>
    <row r="421" hidden="1" spans="1:11">
      <c r="A421" t="s">
        <v>319</v>
      </c>
      <c r="B421" s="8">
        <v>242503118</v>
      </c>
      <c r="C421" s="9">
        <v>45715</v>
      </c>
      <c r="D421" s="8" t="s">
        <v>46</v>
      </c>
      <c r="E421" s="10">
        <v>100000</v>
      </c>
      <c r="F421" s="8">
        <v>0.02</v>
      </c>
      <c r="G421" s="11">
        <v>45799</v>
      </c>
      <c r="H421" s="12">
        <f t="shared" si="6"/>
        <v>2000</v>
      </c>
      <c r="I421" s="10" t="s">
        <v>10</v>
      </c>
      <c r="J421" s="13">
        <v>45797</v>
      </c>
      <c r="K421" t="s">
        <v>380</v>
      </c>
    </row>
    <row r="422" hidden="1" spans="1:11">
      <c r="A422" t="s">
        <v>319</v>
      </c>
      <c r="B422" s="8">
        <v>242503118</v>
      </c>
      <c r="C422" s="9">
        <v>45715</v>
      </c>
      <c r="D422" s="8" t="s">
        <v>46</v>
      </c>
      <c r="E422" s="10">
        <v>100000</v>
      </c>
      <c r="F422" s="8">
        <v>0.02</v>
      </c>
      <c r="G422" s="11">
        <v>45799</v>
      </c>
      <c r="H422" s="12">
        <f t="shared" si="6"/>
        <v>2000</v>
      </c>
      <c r="I422" s="10" t="s">
        <v>10</v>
      </c>
      <c r="J422" s="13">
        <v>45797</v>
      </c>
      <c r="K422" t="s">
        <v>380</v>
      </c>
    </row>
    <row r="423" hidden="1" spans="1:11">
      <c r="A423" t="s">
        <v>319</v>
      </c>
      <c r="B423" s="8">
        <v>242503119</v>
      </c>
      <c r="C423" s="66">
        <v>45715</v>
      </c>
      <c r="D423" s="8" t="s">
        <v>45</v>
      </c>
      <c r="E423" s="67">
        <v>100000</v>
      </c>
      <c r="F423" s="8">
        <v>0.024</v>
      </c>
      <c r="G423" s="11">
        <v>45769</v>
      </c>
      <c r="H423" s="68">
        <f t="shared" si="6"/>
        <v>2400</v>
      </c>
      <c r="I423" s="67" t="s">
        <v>10</v>
      </c>
      <c r="J423" s="13">
        <v>45749</v>
      </c>
      <c r="K423" t="s">
        <v>380</v>
      </c>
    </row>
    <row r="424" hidden="1" spans="1:11">
      <c r="A424" t="s">
        <v>319</v>
      </c>
      <c r="B424" s="8">
        <v>242503119</v>
      </c>
      <c r="C424" s="66">
        <v>45715</v>
      </c>
      <c r="D424" s="8" t="s">
        <v>45</v>
      </c>
      <c r="E424" s="67">
        <v>100000</v>
      </c>
      <c r="F424" s="8">
        <v>0.024</v>
      </c>
      <c r="G424" s="11">
        <v>45769</v>
      </c>
      <c r="H424" s="68">
        <f t="shared" si="6"/>
        <v>2400</v>
      </c>
      <c r="I424" s="67" t="s">
        <v>10</v>
      </c>
      <c r="J424" s="13">
        <v>45749</v>
      </c>
      <c r="K424" t="s">
        <v>380</v>
      </c>
    </row>
    <row r="425" hidden="1" spans="1:11">
      <c r="A425" t="s">
        <v>319</v>
      </c>
      <c r="B425" s="8">
        <v>242503119</v>
      </c>
      <c r="C425" s="66">
        <v>45715</v>
      </c>
      <c r="D425" s="8" t="s">
        <v>45</v>
      </c>
      <c r="E425" s="67">
        <v>100000</v>
      </c>
      <c r="F425" s="8">
        <v>0.024</v>
      </c>
      <c r="G425" s="11">
        <v>45769</v>
      </c>
      <c r="H425" s="68">
        <f t="shared" si="6"/>
        <v>2400</v>
      </c>
      <c r="I425" s="67" t="s">
        <v>10</v>
      </c>
      <c r="J425" s="13">
        <v>45749</v>
      </c>
      <c r="K425" t="s">
        <v>380</v>
      </c>
    </row>
    <row r="426" hidden="1" spans="1:11">
      <c r="A426" t="s">
        <v>319</v>
      </c>
      <c r="B426" s="8">
        <v>242503119</v>
      </c>
      <c r="C426" s="66">
        <v>45715</v>
      </c>
      <c r="D426" s="8" t="s">
        <v>45</v>
      </c>
      <c r="E426" s="67">
        <v>100000</v>
      </c>
      <c r="F426" s="8">
        <v>0.024</v>
      </c>
      <c r="G426" s="11">
        <v>45769</v>
      </c>
      <c r="H426" s="68">
        <f t="shared" si="6"/>
        <v>2400</v>
      </c>
      <c r="I426" s="67" t="s">
        <v>10</v>
      </c>
      <c r="J426" s="13">
        <v>45749</v>
      </c>
      <c r="K426" t="s">
        <v>380</v>
      </c>
    </row>
    <row r="427" hidden="1" spans="1:11">
      <c r="A427" t="s">
        <v>319</v>
      </c>
      <c r="B427" s="8">
        <v>242503119</v>
      </c>
      <c r="C427" s="66">
        <v>45715</v>
      </c>
      <c r="D427" s="8" t="s">
        <v>45</v>
      </c>
      <c r="E427" s="67">
        <v>100000</v>
      </c>
      <c r="F427" s="8">
        <v>0.024</v>
      </c>
      <c r="G427" s="11">
        <v>45769</v>
      </c>
      <c r="H427" s="68">
        <f t="shared" si="6"/>
        <v>2400</v>
      </c>
      <c r="I427" s="67" t="s">
        <v>10</v>
      </c>
      <c r="J427" s="13">
        <v>45749</v>
      </c>
      <c r="K427" t="s">
        <v>380</v>
      </c>
    </row>
    <row r="428" hidden="1" spans="1:11">
      <c r="A428" t="s">
        <v>319</v>
      </c>
      <c r="B428" s="8">
        <v>242503119</v>
      </c>
      <c r="C428" s="66">
        <v>45715</v>
      </c>
      <c r="D428" s="8" t="s">
        <v>59</v>
      </c>
      <c r="E428" s="67">
        <v>96000</v>
      </c>
      <c r="F428" s="8">
        <v>0.015</v>
      </c>
      <c r="G428" s="11">
        <v>45734</v>
      </c>
      <c r="H428" s="68">
        <f t="shared" si="6"/>
        <v>1440</v>
      </c>
      <c r="I428" s="67" t="s">
        <v>10</v>
      </c>
      <c r="J428" s="13">
        <v>45749</v>
      </c>
      <c r="K428" t="s">
        <v>380</v>
      </c>
    </row>
    <row r="429" hidden="1" spans="1:11">
      <c r="A429" t="s">
        <v>319</v>
      </c>
      <c r="B429" s="8">
        <v>242503119</v>
      </c>
      <c r="C429" s="66">
        <v>45715</v>
      </c>
      <c r="D429" s="8" t="s">
        <v>59</v>
      </c>
      <c r="E429" s="67">
        <v>96000</v>
      </c>
      <c r="F429" s="8">
        <v>0.015</v>
      </c>
      <c r="G429" s="11">
        <v>45734</v>
      </c>
      <c r="H429" s="68">
        <f t="shared" si="6"/>
        <v>1440</v>
      </c>
      <c r="I429" s="67" t="s">
        <v>10</v>
      </c>
      <c r="J429" s="13">
        <v>45749</v>
      </c>
      <c r="K429" t="s">
        <v>380</v>
      </c>
    </row>
    <row r="430" hidden="1" spans="1:11">
      <c r="A430" t="s">
        <v>319</v>
      </c>
      <c r="B430" s="8">
        <v>242503119</v>
      </c>
      <c r="C430" s="66">
        <v>45715</v>
      </c>
      <c r="D430" s="8" t="s">
        <v>163</v>
      </c>
      <c r="E430" s="67">
        <v>96000</v>
      </c>
      <c r="F430" s="8">
        <v>0.0025</v>
      </c>
      <c r="G430" s="11">
        <v>45734</v>
      </c>
      <c r="H430" s="68">
        <f t="shared" si="6"/>
        <v>240</v>
      </c>
      <c r="I430" s="67" t="s">
        <v>10</v>
      </c>
      <c r="J430" s="13">
        <v>45749</v>
      </c>
      <c r="K430" t="s">
        <v>380</v>
      </c>
    </row>
    <row r="431" hidden="1" spans="1:11">
      <c r="A431" t="s">
        <v>319</v>
      </c>
      <c r="B431" s="14">
        <v>242503127</v>
      </c>
      <c r="C431" s="13">
        <v>45716</v>
      </c>
      <c r="D431" s="14" t="s">
        <v>518</v>
      </c>
      <c r="E431" s="15">
        <v>1000</v>
      </c>
      <c r="F431" s="14">
        <v>0.24</v>
      </c>
      <c r="G431" s="16">
        <v>45716</v>
      </c>
      <c r="H431" s="17">
        <f t="shared" si="6"/>
        <v>240</v>
      </c>
      <c r="I431" s="15" t="s">
        <v>51</v>
      </c>
      <c r="J431" s="15"/>
    </row>
    <row r="432" hidden="1" spans="1:11">
      <c r="A432" t="s">
        <v>319</v>
      </c>
      <c r="B432" s="8">
        <v>242503129</v>
      </c>
      <c r="C432" s="9">
        <v>45716</v>
      </c>
      <c r="D432" s="8" t="s">
        <v>479</v>
      </c>
      <c r="E432" s="10">
        <v>20000</v>
      </c>
      <c r="F432" s="8">
        <v>0.0315</v>
      </c>
      <c r="G432" s="11">
        <v>45769</v>
      </c>
      <c r="H432" s="12">
        <f t="shared" si="6"/>
        <v>630</v>
      </c>
      <c r="I432" s="10" t="s">
        <v>10</v>
      </c>
      <c r="J432" s="13">
        <v>45719</v>
      </c>
      <c r="K432" t="s">
        <v>519</v>
      </c>
    </row>
    <row r="433" hidden="1" spans="1:11">
      <c r="A433" t="s">
        <v>319</v>
      </c>
      <c r="B433" s="8">
        <v>242503130</v>
      </c>
      <c r="C433" s="9">
        <v>45716</v>
      </c>
      <c r="D433" s="8" t="s">
        <v>427</v>
      </c>
      <c r="E433" s="10">
        <v>500000</v>
      </c>
      <c r="F433" s="8">
        <v>0.05</v>
      </c>
      <c r="G433" s="11">
        <v>45726</v>
      </c>
      <c r="H433" s="12">
        <f t="shared" si="6"/>
        <v>25000</v>
      </c>
      <c r="I433" s="10" t="s">
        <v>10</v>
      </c>
      <c r="J433" s="13">
        <v>45717</v>
      </c>
      <c r="K433" t="s">
        <v>377</v>
      </c>
    </row>
    <row r="434" hidden="1" spans="1:11">
      <c r="A434" t="s">
        <v>319</v>
      </c>
      <c r="B434" s="8">
        <v>242503131</v>
      </c>
      <c r="C434" s="9">
        <v>45716</v>
      </c>
      <c r="D434" s="8" t="s">
        <v>427</v>
      </c>
      <c r="E434" s="10">
        <v>500000</v>
      </c>
      <c r="F434" s="8">
        <v>0.05</v>
      </c>
      <c r="G434" s="11">
        <v>45738</v>
      </c>
      <c r="H434" s="12">
        <f t="shared" si="6"/>
        <v>25000</v>
      </c>
      <c r="I434" s="10" t="s">
        <v>10</v>
      </c>
      <c r="J434" s="13">
        <v>45729</v>
      </c>
      <c r="K434" t="s">
        <v>377</v>
      </c>
    </row>
    <row r="435" hidden="1" spans="1:11">
      <c r="A435" t="s">
        <v>319</v>
      </c>
      <c r="B435" s="8">
        <v>242503132</v>
      </c>
      <c r="C435" s="9">
        <v>45716</v>
      </c>
      <c r="D435" s="8" t="s">
        <v>427</v>
      </c>
      <c r="E435" s="10">
        <v>500000</v>
      </c>
      <c r="F435" s="8">
        <v>0.05</v>
      </c>
      <c r="G435" s="11">
        <v>45769</v>
      </c>
      <c r="H435" s="12">
        <f t="shared" si="6"/>
        <v>25000</v>
      </c>
      <c r="I435" s="10" t="s">
        <v>10</v>
      </c>
      <c r="J435" s="13">
        <v>45741</v>
      </c>
      <c r="K435" t="s">
        <v>377</v>
      </c>
    </row>
    <row r="436" hidden="1" spans="1:11">
      <c r="A436" t="s">
        <v>319</v>
      </c>
      <c r="B436" s="8">
        <v>242503140</v>
      </c>
      <c r="C436" s="9">
        <v>45716</v>
      </c>
      <c r="D436" s="8" t="s">
        <v>520</v>
      </c>
      <c r="E436" s="10">
        <v>49950</v>
      </c>
      <c r="F436" s="8">
        <v>0.08</v>
      </c>
      <c r="G436" s="11">
        <v>45738</v>
      </c>
      <c r="H436" s="12">
        <f t="shared" si="6"/>
        <v>3996</v>
      </c>
      <c r="I436" s="10" t="s">
        <v>10</v>
      </c>
      <c r="J436" s="13">
        <v>45719</v>
      </c>
    </row>
    <row r="437" hidden="1" spans="1:11">
      <c r="A437" t="s">
        <v>319</v>
      </c>
      <c r="B437" s="8">
        <v>242503140</v>
      </c>
      <c r="C437" s="9">
        <v>45716</v>
      </c>
      <c r="D437" s="8" t="s">
        <v>520</v>
      </c>
      <c r="E437" s="10">
        <v>49950</v>
      </c>
      <c r="F437" s="8">
        <v>0.08</v>
      </c>
      <c r="G437" s="11">
        <v>45738</v>
      </c>
      <c r="H437" s="12">
        <f t="shared" si="6"/>
        <v>3996</v>
      </c>
      <c r="I437" s="10" t="s">
        <v>10</v>
      </c>
      <c r="J437" s="13">
        <v>45719</v>
      </c>
    </row>
    <row r="438" hidden="1" spans="1:11">
      <c r="A438" t="s">
        <v>319</v>
      </c>
      <c r="B438" s="8">
        <v>242503149</v>
      </c>
      <c r="C438" s="9">
        <v>45719</v>
      </c>
      <c r="D438" s="8" t="s">
        <v>9</v>
      </c>
      <c r="E438" s="10">
        <v>20000</v>
      </c>
      <c r="F438" s="8">
        <v>0.0254</v>
      </c>
      <c r="G438" s="11">
        <v>45769</v>
      </c>
      <c r="H438" s="12">
        <f t="shared" si="6"/>
        <v>508</v>
      </c>
      <c r="I438" s="10" t="s">
        <v>10</v>
      </c>
      <c r="J438" s="13">
        <v>45719</v>
      </c>
    </row>
    <row r="439" hidden="1" spans="1:11">
      <c r="B439" s="14">
        <v>242503163</v>
      </c>
      <c r="C439" s="13">
        <v>45720</v>
      </c>
      <c r="D439" s="14" t="s">
        <v>521</v>
      </c>
      <c r="E439" s="15">
        <v>3061</v>
      </c>
      <c r="F439" s="14">
        <v>0.17</v>
      </c>
      <c r="G439" s="16">
        <v>45721</v>
      </c>
      <c r="H439" s="17">
        <f t="shared" si="6"/>
        <v>520.37</v>
      </c>
      <c r="I439" s="15" t="s">
        <v>51</v>
      </c>
      <c r="J439" s="15"/>
    </row>
    <row r="440" hidden="1" spans="1:11">
      <c r="B440" s="14">
        <v>242503164</v>
      </c>
      <c r="C440" s="13">
        <v>45720</v>
      </c>
      <c r="D440" s="14" t="s">
        <v>522</v>
      </c>
      <c r="E440" s="15">
        <v>2000</v>
      </c>
      <c r="F440" s="14">
        <v>0.03</v>
      </c>
      <c r="G440" s="16">
        <v>45752</v>
      </c>
      <c r="H440" s="17">
        <f t="shared" si="6"/>
        <v>60</v>
      </c>
      <c r="I440" s="15" t="s">
        <v>51</v>
      </c>
      <c r="J440" s="15"/>
    </row>
    <row r="441" hidden="1" spans="1:11">
      <c r="B441" s="14">
        <v>242503165</v>
      </c>
      <c r="C441" s="13">
        <v>45720</v>
      </c>
      <c r="D441" s="14" t="s">
        <v>523</v>
      </c>
      <c r="E441" s="15">
        <v>2000</v>
      </c>
      <c r="F441" s="14">
        <v>0.032</v>
      </c>
      <c r="G441" s="16">
        <v>45752</v>
      </c>
      <c r="H441" s="17">
        <f t="shared" si="6"/>
        <v>64</v>
      </c>
      <c r="I441" s="15" t="s">
        <v>51</v>
      </c>
      <c r="J441" s="15"/>
    </row>
    <row r="442" hidden="1" spans="1:11">
      <c r="B442" s="14">
        <v>242503165</v>
      </c>
      <c r="C442" s="13">
        <v>45720</v>
      </c>
      <c r="D442" s="14" t="s">
        <v>524</v>
      </c>
      <c r="E442" s="15">
        <v>2000</v>
      </c>
      <c r="F442" s="14">
        <v>0.0385</v>
      </c>
      <c r="G442" s="16">
        <v>45752</v>
      </c>
      <c r="H442" s="17">
        <f t="shared" si="6"/>
        <v>77</v>
      </c>
      <c r="I442" s="15" t="s">
        <v>51</v>
      </c>
      <c r="J442" s="15"/>
    </row>
    <row r="443" hidden="1" spans="1:11">
      <c r="A443" t="s">
        <v>319</v>
      </c>
      <c r="B443" s="8">
        <v>242503166</v>
      </c>
      <c r="C443" s="9">
        <v>45720</v>
      </c>
      <c r="D443" s="8" t="s">
        <v>182</v>
      </c>
      <c r="E443" s="10">
        <v>200000</v>
      </c>
      <c r="F443" s="8">
        <v>0.025</v>
      </c>
      <c r="G443" s="11">
        <v>45752</v>
      </c>
      <c r="H443" s="12">
        <f t="shared" si="6"/>
        <v>5000</v>
      </c>
      <c r="I443" s="10" t="s">
        <v>10</v>
      </c>
      <c r="J443" s="13">
        <v>45729</v>
      </c>
    </row>
    <row r="444" hidden="1" spans="1:11">
      <c r="A444" t="s">
        <v>319</v>
      </c>
      <c r="B444" s="8">
        <v>242503166</v>
      </c>
      <c r="C444" s="9">
        <v>45720</v>
      </c>
      <c r="D444" s="8" t="s">
        <v>182</v>
      </c>
      <c r="E444" s="10">
        <v>120000</v>
      </c>
      <c r="F444" s="8">
        <v>0.025</v>
      </c>
      <c r="G444" s="11">
        <v>45782</v>
      </c>
      <c r="H444" s="12">
        <f t="shared" si="6"/>
        <v>3000</v>
      </c>
      <c r="I444" s="10" t="s">
        <v>10</v>
      </c>
      <c r="J444" s="13">
        <v>45729</v>
      </c>
    </row>
    <row r="445" hidden="1" spans="1:11">
      <c r="A445" t="s">
        <v>319</v>
      </c>
      <c r="B445" s="8">
        <v>242503166</v>
      </c>
      <c r="C445" s="9">
        <v>45720</v>
      </c>
      <c r="D445" s="8" t="s">
        <v>182</v>
      </c>
      <c r="E445" s="10">
        <v>120000</v>
      </c>
      <c r="F445" s="8">
        <v>0.025</v>
      </c>
      <c r="G445" s="11">
        <v>45813</v>
      </c>
      <c r="H445" s="12">
        <f t="shared" si="6"/>
        <v>3000</v>
      </c>
      <c r="I445" s="10" t="s">
        <v>10</v>
      </c>
      <c r="J445" s="13">
        <v>45729</v>
      </c>
    </row>
    <row r="446" hidden="1" spans="1:11">
      <c r="A446" t="s">
        <v>319</v>
      </c>
      <c r="B446" s="8">
        <v>242503166</v>
      </c>
      <c r="C446" s="9">
        <v>45720</v>
      </c>
      <c r="D446" s="8" t="s">
        <v>182</v>
      </c>
      <c r="E446" s="10">
        <v>120000</v>
      </c>
      <c r="F446" s="8">
        <v>0.025</v>
      </c>
      <c r="G446" s="11">
        <v>45843</v>
      </c>
      <c r="H446" s="12">
        <f t="shared" si="6"/>
        <v>3000</v>
      </c>
      <c r="I446" s="10" t="s">
        <v>10</v>
      </c>
      <c r="J446" s="13">
        <v>45729</v>
      </c>
    </row>
    <row r="447" hidden="1" spans="1:11">
      <c r="A447" t="s">
        <v>319</v>
      </c>
      <c r="B447" s="8">
        <v>242503175</v>
      </c>
      <c r="C447" s="9">
        <v>45720</v>
      </c>
      <c r="D447" s="8" t="s">
        <v>497</v>
      </c>
      <c r="E447" s="10">
        <v>10000</v>
      </c>
      <c r="F447" s="8">
        <v>0.17</v>
      </c>
      <c r="G447" s="11">
        <v>45799</v>
      </c>
      <c r="H447" s="12">
        <f t="shared" si="6"/>
        <v>1700</v>
      </c>
      <c r="I447" s="10" t="s">
        <v>10</v>
      </c>
      <c r="J447" s="13">
        <v>45778</v>
      </c>
    </row>
    <row r="448" hidden="1" spans="1:11">
      <c r="A448" t="s">
        <v>319</v>
      </c>
      <c r="B448" s="8">
        <v>242503175</v>
      </c>
      <c r="C448" s="9">
        <v>45720</v>
      </c>
      <c r="D448" s="8" t="s">
        <v>497</v>
      </c>
      <c r="E448" s="10">
        <v>10000</v>
      </c>
      <c r="F448" s="8">
        <v>0.17</v>
      </c>
      <c r="G448" s="11">
        <v>45830</v>
      </c>
      <c r="H448" s="12">
        <f t="shared" si="6"/>
        <v>1700</v>
      </c>
      <c r="I448" s="10" t="s">
        <v>10</v>
      </c>
      <c r="J448" s="13">
        <v>45778</v>
      </c>
    </row>
    <row r="449" hidden="1" spans="1:11">
      <c r="B449" s="70">
        <v>242503189</v>
      </c>
      <c r="C449" s="71">
        <v>45721</v>
      </c>
      <c r="D449" s="70" t="s">
        <v>525</v>
      </c>
      <c r="E449" s="72">
        <v>6000</v>
      </c>
      <c r="F449" s="70">
        <v>0.03</v>
      </c>
      <c r="G449" s="73">
        <v>45721</v>
      </c>
      <c r="H449" s="74">
        <f t="shared" si="6"/>
        <v>180</v>
      </c>
      <c r="I449" s="72" t="s">
        <v>51</v>
      </c>
      <c r="J449" s="15"/>
    </row>
    <row r="450" hidden="1" spans="1:11">
      <c r="A450" t="s">
        <v>319</v>
      </c>
      <c r="B450" s="8">
        <v>242503195</v>
      </c>
      <c r="C450" s="9">
        <v>45721</v>
      </c>
      <c r="D450" s="8" t="s">
        <v>32</v>
      </c>
      <c r="E450" s="10">
        <v>300000</v>
      </c>
      <c r="F450" s="8">
        <v>0.0175</v>
      </c>
      <c r="G450" s="11">
        <v>45769</v>
      </c>
      <c r="H450" s="12">
        <f t="shared" ref="H450:H513" si="7">E450*F450</f>
        <v>5250</v>
      </c>
      <c r="I450" s="10" t="s">
        <v>10</v>
      </c>
      <c r="J450" s="13">
        <v>45748</v>
      </c>
      <c r="K450" t="s">
        <v>467</v>
      </c>
    </row>
    <row r="451" hidden="1" spans="1:11">
      <c r="A451" t="s">
        <v>319</v>
      </c>
      <c r="B451" s="8">
        <v>242503195</v>
      </c>
      <c r="C451" s="9">
        <v>45721</v>
      </c>
      <c r="D451" s="8" t="s">
        <v>32</v>
      </c>
      <c r="E451" s="10">
        <v>300000</v>
      </c>
      <c r="F451" s="8">
        <v>0.0175</v>
      </c>
      <c r="G451" s="11">
        <v>45769</v>
      </c>
      <c r="H451" s="12">
        <f t="shared" si="7"/>
        <v>5250</v>
      </c>
      <c r="I451" s="10" t="s">
        <v>10</v>
      </c>
      <c r="J451" s="13">
        <v>45748</v>
      </c>
      <c r="K451" t="s">
        <v>467</v>
      </c>
    </row>
    <row r="452" hidden="1" spans="1:11">
      <c r="A452" t="s">
        <v>319</v>
      </c>
      <c r="B452" s="8">
        <v>242503195</v>
      </c>
      <c r="C452" s="9">
        <v>45721</v>
      </c>
      <c r="D452" s="8" t="s">
        <v>32</v>
      </c>
      <c r="E452" s="10">
        <v>300000</v>
      </c>
      <c r="F452" s="8">
        <v>0.0175</v>
      </c>
      <c r="G452" s="11">
        <v>45799</v>
      </c>
      <c r="H452" s="12">
        <f t="shared" si="7"/>
        <v>5250</v>
      </c>
      <c r="I452" s="10" t="s">
        <v>10</v>
      </c>
      <c r="J452" s="13">
        <v>45748</v>
      </c>
      <c r="K452" t="s">
        <v>467</v>
      </c>
    </row>
    <row r="453" hidden="1" spans="1:11">
      <c r="A453" t="s">
        <v>319</v>
      </c>
      <c r="B453" s="8">
        <v>242503195</v>
      </c>
      <c r="C453" s="9">
        <v>45721</v>
      </c>
      <c r="D453" s="8" t="s">
        <v>32</v>
      </c>
      <c r="E453" s="10">
        <v>300000</v>
      </c>
      <c r="F453" s="8">
        <v>0.0175</v>
      </c>
      <c r="G453" s="11">
        <v>45799</v>
      </c>
      <c r="H453" s="12">
        <f t="shared" si="7"/>
        <v>5250</v>
      </c>
      <c r="I453" s="10" t="s">
        <v>10</v>
      </c>
      <c r="J453" s="13">
        <v>45748</v>
      </c>
      <c r="K453" t="s">
        <v>467</v>
      </c>
    </row>
    <row r="454" hidden="1" spans="1:11">
      <c r="A454" t="s">
        <v>319</v>
      </c>
      <c r="B454" s="8">
        <v>242503196</v>
      </c>
      <c r="C454" s="9">
        <v>45721</v>
      </c>
      <c r="D454" s="8" t="s">
        <v>32</v>
      </c>
      <c r="E454" s="10">
        <v>30000</v>
      </c>
      <c r="F454" s="8">
        <v>0.0175</v>
      </c>
      <c r="G454" s="11">
        <v>45799</v>
      </c>
      <c r="H454" s="12">
        <f t="shared" si="7"/>
        <v>525</v>
      </c>
      <c r="I454" s="10" t="s">
        <v>10</v>
      </c>
      <c r="J454" s="13">
        <v>45741</v>
      </c>
      <c r="K454" t="s">
        <v>467</v>
      </c>
    </row>
    <row r="455" hidden="1" spans="1:11">
      <c r="A455" t="s">
        <v>319</v>
      </c>
      <c r="B455" s="8">
        <v>242503196</v>
      </c>
      <c r="C455" s="9">
        <v>45721</v>
      </c>
      <c r="D455" s="8" t="s">
        <v>32</v>
      </c>
      <c r="E455" s="10">
        <v>30000</v>
      </c>
      <c r="F455" s="8">
        <v>0.0175</v>
      </c>
      <c r="G455" s="11">
        <v>45830</v>
      </c>
      <c r="H455" s="12">
        <f t="shared" si="7"/>
        <v>525</v>
      </c>
      <c r="I455" s="10" t="s">
        <v>10</v>
      </c>
      <c r="J455" s="13">
        <v>45741</v>
      </c>
      <c r="K455" t="s">
        <v>467</v>
      </c>
    </row>
    <row r="456" hidden="1" spans="1:11">
      <c r="A456" t="s">
        <v>319</v>
      </c>
      <c r="B456" s="8">
        <v>242503196</v>
      </c>
      <c r="C456" s="9">
        <v>45721</v>
      </c>
      <c r="D456" s="8" t="s">
        <v>32</v>
      </c>
      <c r="E456" s="10">
        <v>30000</v>
      </c>
      <c r="F456" s="8">
        <v>0.0175</v>
      </c>
      <c r="G456" s="11">
        <v>45860</v>
      </c>
      <c r="H456" s="12">
        <f t="shared" si="7"/>
        <v>525</v>
      </c>
      <c r="I456" s="10" t="s">
        <v>10</v>
      </c>
      <c r="J456" s="13">
        <v>45741</v>
      </c>
      <c r="K456" t="s">
        <v>467</v>
      </c>
    </row>
    <row r="457" hidden="1" spans="1:11">
      <c r="A457" t="s">
        <v>319</v>
      </c>
      <c r="B457" s="8">
        <v>242503197</v>
      </c>
      <c r="C457" s="9">
        <v>45721</v>
      </c>
      <c r="D457" s="8" t="s">
        <v>32</v>
      </c>
      <c r="E457" s="10">
        <v>130000</v>
      </c>
      <c r="F457" s="8">
        <v>0.014</v>
      </c>
      <c r="G457" s="11">
        <v>45799</v>
      </c>
      <c r="H457" s="12">
        <f t="shared" si="7"/>
        <v>1820</v>
      </c>
      <c r="I457" s="10" t="s">
        <v>10</v>
      </c>
      <c r="J457" s="13">
        <v>45789</v>
      </c>
      <c r="K457" t="s">
        <v>467</v>
      </c>
    </row>
    <row r="458" hidden="1" spans="1:11">
      <c r="A458" t="s">
        <v>319</v>
      </c>
      <c r="B458" s="8">
        <v>242503197</v>
      </c>
      <c r="C458" s="9">
        <v>45721</v>
      </c>
      <c r="D458" s="8" t="s">
        <v>32</v>
      </c>
      <c r="E458" s="10">
        <v>130000</v>
      </c>
      <c r="F458" s="8">
        <v>0.014</v>
      </c>
      <c r="G458" s="11">
        <v>45830</v>
      </c>
      <c r="H458" s="12">
        <f t="shared" si="7"/>
        <v>1820</v>
      </c>
      <c r="I458" s="10" t="s">
        <v>10</v>
      </c>
      <c r="J458" s="13">
        <v>45789</v>
      </c>
      <c r="K458" t="s">
        <v>467</v>
      </c>
    </row>
    <row r="459" hidden="1" spans="1:11">
      <c r="A459" t="s">
        <v>319</v>
      </c>
      <c r="B459" s="8">
        <v>242503197</v>
      </c>
      <c r="C459" s="9">
        <v>45721</v>
      </c>
      <c r="D459" s="8" t="s">
        <v>32</v>
      </c>
      <c r="E459" s="10">
        <v>130000</v>
      </c>
      <c r="F459" s="8">
        <v>0.014</v>
      </c>
      <c r="G459" s="11">
        <v>45860</v>
      </c>
      <c r="H459" s="12">
        <f t="shared" si="7"/>
        <v>1820</v>
      </c>
      <c r="I459" s="10" t="s">
        <v>10</v>
      </c>
      <c r="J459" s="13">
        <v>45789</v>
      </c>
      <c r="K459" t="s">
        <v>467</v>
      </c>
    </row>
    <row r="460" hidden="1" spans="1:11">
      <c r="A460" t="s">
        <v>319</v>
      </c>
      <c r="B460" s="8">
        <v>242503198</v>
      </c>
      <c r="C460" s="9">
        <v>45721</v>
      </c>
      <c r="D460" s="8" t="s">
        <v>32</v>
      </c>
      <c r="E460" s="10">
        <v>60000</v>
      </c>
      <c r="F460" s="8">
        <v>0.014</v>
      </c>
      <c r="G460" s="11">
        <v>45799</v>
      </c>
      <c r="H460" s="12">
        <f t="shared" si="7"/>
        <v>840</v>
      </c>
      <c r="I460" s="10" t="s">
        <v>10</v>
      </c>
      <c r="J460" s="13">
        <v>45789</v>
      </c>
      <c r="K460" t="s">
        <v>478</v>
      </c>
    </row>
    <row r="461" hidden="1" spans="1:11">
      <c r="A461" t="s">
        <v>319</v>
      </c>
      <c r="B461" s="8">
        <v>242503198</v>
      </c>
      <c r="C461" s="9">
        <v>45721</v>
      </c>
      <c r="D461" s="8" t="s">
        <v>32</v>
      </c>
      <c r="E461" s="10">
        <v>60000</v>
      </c>
      <c r="F461" s="8">
        <v>0.014</v>
      </c>
      <c r="G461" s="11">
        <v>45830</v>
      </c>
      <c r="H461" s="12">
        <f t="shared" si="7"/>
        <v>840</v>
      </c>
      <c r="I461" s="10" t="s">
        <v>10</v>
      </c>
      <c r="J461" s="13">
        <v>45789</v>
      </c>
      <c r="K461" t="s">
        <v>478</v>
      </c>
    </row>
    <row r="462" hidden="1" spans="1:11">
      <c r="A462" t="s">
        <v>319</v>
      </c>
      <c r="B462" s="8">
        <v>242503198</v>
      </c>
      <c r="C462" s="9">
        <v>45721</v>
      </c>
      <c r="D462" s="8" t="s">
        <v>32</v>
      </c>
      <c r="E462" s="10">
        <v>60000</v>
      </c>
      <c r="F462" s="8">
        <v>0.014</v>
      </c>
      <c r="G462" s="11">
        <v>45860</v>
      </c>
      <c r="H462" s="12">
        <f t="shared" si="7"/>
        <v>840</v>
      </c>
      <c r="I462" s="10" t="s">
        <v>10</v>
      </c>
      <c r="J462" s="13">
        <v>45789</v>
      </c>
      <c r="K462" t="s">
        <v>478</v>
      </c>
    </row>
    <row r="463" hidden="1" spans="1:11">
      <c r="A463" t="s">
        <v>319</v>
      </c>
      <c r="B463" s="8">
        <v>242503199</v>
      </c>
      <c r="C463" s="9">
        <v>45721</v>
      </c>
      <c r="D463" s="8" t="s">
        <v>30</v>
      </c>
      <c r="E463" s="10">
        <v>70000</v>
      </c>
      <c r="F463" s="8">
        <v>0.026</v>
      </c>
      <c r="G463" s="11">
        <v>45799</v>
      </c>
      <c r="H463" s="12">
        <f t="shared" si="7"/>
        <v>1820</v>
      </c>
      <c r="I463" s="10" t="s">
        <v>10</v>
      </c>
      <c r="J463" s="13">
        <v>45810</v>
      </c>
      <c r="K463" t="s">
        <v>378</v>
      </c>
    </row>
    <row r="464" hidden="1" spans="1:11">
      <c r="B464" s="14">
        <v>242503200</v>
      </c>
      <c r="C464" s="13">
        <v>45721</v>
      </c>
      <c r="D464" s="14" t="s">
        <v>526</v>
      </c>
      <c r="E464" s="15">
        <v>4000</v>
      </c>
      <c r="F464" s="14">
        <v>0.03</v>
      </c>
      <c r="G464" s="16">
        <v>45721</v>
      </c>
      <c r="H464" s="17">
        <f t="shared" si="7"/>
        <v>120</v>
      </c>
      <c r="I464" s="15" t="s">
        <v>51</v>
      </c>
      <c r="J464" s="15"/>
    </row>
    <row r="465" hidden="1" spans="1:11">
      <c r="B465" s="14">
        <v>242503200</v>
      </c>
      <c r="C465" s="13">
        <v>45721</v>
      </c>
      <c r="D465" s="14" t="s">
        <v>527</v>
      </c>
      <c r="E465" s="15">
        <v>2100</v>
      </c>
      <c r="F465" s="14">
        <v>0.031</v>
      </c>
      <c r="G465" s="16">
        <v>45721</v>
      </c>
      <c r="H465" s="17">
        <f t="shared" si="7"/>
        <v>65.1</v>
      </c>
      <c r="I465" s="15" t="s">
        <v>51</v>
      </c>
      <c r="J465" s="15">
        <v>0.033</v>
      </c>
    </row>
    <row r="466" hidden="1" spans="1:11">
      <c r="A466" t="s">
        <v>319</v>
      </c>
      <c r="B466" s="8">
        <v>242503203</v>
      </c>
      <c r="C466" s="9">
        <v>45721</v>
      </c>
      <c r="D466" s="8" t="s">
        <v>32</v>
      </c>
      <c r="E466" s="10">
        <v>300000</v>
      </c>
      <c r="F466" s="8">
        <v>0.014</v>
      </c>
      <c r="G466" s="11">
        <v>45830</v>
      </c>
      <c r="H466" s="12">
        <f t="shared" si="7"/>
        <v>4200</v>
      </c>
      <c r="I466" s="10" t="s">
        <v>10</v>
      </c>
      <c r="J466" s="13">
        <v>45783</v>
      </c>
    </row>
    <row r="467" hidden="1" spans="1:11">
      <c r="A467" t="s">
        <v>319</v>
      </c>
      <c r="B467" s="8">
        <v>242503203</v>
      </c>
      <c r="C467" s="9">
        <v>45721</v>
      </c>
      <c r="D467" s="8" t="s">
        <v>32</v>
      </c>
      <c r="E467" s="10">
        <v>300000</v>
      </c>
      <c r="F467" s="8">
        <v>0.014</v>
      </c>
      <c r="G467" s="11">
        <v>45830</v>
      </c>
      <c r="H467" s="12">
        <f t="shared" si="7"/>
        <v>4200</v>
      </c>
      <c r="I467" s="10" t="s">
        <v>10</v>
      </c>
      <c r="J467" s="13">
        <v>45783</v>
      </c>
    </row>
    <row r="468" hidden="1" spans="1:11">
      <c r="A468" t="s">
        <v>319</v>
      </c>
      <c r="B468" s="8">
        <v>242503203</v>
      </c>
      <c r="C468" s="9">
        <v>45721</v>
      </c>
      <c r="D468" s="8" t="s">
        <v>32</v>
      </c>
      <c r="E468" s="10">
        <v>300000</v>
      </c>
      <c r="F468" s="8">
        <v>0.014</v>
      </c>
      <c r="G468" s="11">
        <v>45860</v>
      </c>
      <c r="H468" s="12">
        <f t="shared" si="7"/>
        <v>4200</v>
      </c>
      <c r="I468" s="10" t="s">
        <v>10</v>
      </c>
      <c r="J468" s="13">
        <v>45783</v>
      </c>
    </row>
    <row r="469" hidden="1" spans="1:11">
      <c r="A469" t="s">
        <v>319</v>
      </c>
      <c r="B469" s="8">
        <v>242503203</v>
      </c>
      <c r="C469" s="9">
        <v>45721</v>
      </c>
      <c r="D469" s="8" t="s">
        <v>32</v>
      </c>
      <c r="E469" s="10">
        <v>300000</v>
      </c>
      <c r="F469" s="8">
        <v>0.014</v>
      </c>
      <c r="G469" s="11">
        <v>45860</v>
      </c>
      <c r="H469" s="12">
        <f t="shared" si="7"/>
        <v>4200</v>
      </c>
      <c r="I469" s="10" t="s">
        <v>10</v>
      </c>
      <c r="J469" s="13">
        <v>45783</v>
      </c>
    </row>
    <row r="470" hidden="1" spans="1:11">
      <c r="A470" t="s">
        <v>319</v>
      </c>
      <c r="B470" s="8">
        <v>242503229</v>
      </c>
      <c r="C470" s="9">
        <v>45723</v>
      </c>
      <c r="D470" s="8" t="s">
        <v>498</v>
      </c>
      <c r="E470" s="10">
        <v>20000</v>
      </c>
      <c r="F470" s="8">
        <v>0.06</v>
      </c>
      <c r="G470" s="11">
        <v>45769</v>
      </c>
      <c r="H470" s="12">
        <f t="shared" si="7"/>
        <v>1200</v>
      </c>
      <c r="I470" s="10" t="s">
        <v>10</v>
      </c>
      <c r="J470" s="13">
        <v>45729</v>
      </c>
    </row>
    <row r="471" hidden="1" spans="1:11">
      <c r="A471" t="s">
        <v>319</v>
      </c>
      <c r="B471" s="8">
        <v>242503231</v>
      </c>
      <c r="C471" s="9">
        <v>45726</v>
      </c>
      <c r="D471" s="8" t="s">
        <v>106</v>
      </c>
      <c r="E471" s="10">
        <v>180000</v>
      </c>
      <c r="F471" s="8">
        <v>0.04</v>
      </c>
      <c r="G471" s="11">
        <v>45782</v>
      </c>
      <c r="H471" s="12">
        <f t="shared" si="7"/>
        <v>7200</v>
      </c>
      <c r="I471" s="10" t="s">
        <v>10</v>
      </c>
      <c r="J471" s="13">
        <v>45729</v>
      </c>
      <c r="K471" t="s">
        <v>528</v>
      </c>
    </row>
    <row r="472" hidden="1" spans="1:11">
      <c r="A472" t="s">
        <v>319</v>
      </c>
      <c r="B472" s="8">
        <v>242503231</v>
      </c>
      <c r="C472" s="9">
        <v>45726</v>
      </c>
      <c r="D472" s="8" t="s">
        <v>106</v>
      </c>
      <c r="E472" s="10">
        <v>180000</v>
      </c>
      <c r="F472" s="8">
        <v>0.04</v>
      </c>
      <c r="G472" s="11">
        <v>45799</v>
      </c>
      <c r="H472" s="12">
        <f t="shared" si="7"/>
        <v>7200</v>
      </c>
      <c r="I472" s="10" t="s">
        <v>10</v>
      </c>
      <c r="J472" s="13">
        <v>45729</v>
      </c>
      <c r="K472" t="s">
        <v>528</v>
      </c>
    </row>
    <row r="473" hidden="1" spans="1:11">
      <c r="A473" t="s">
        <v>319</v>
      </c>
      <c r="B473" s="8">
        <v>242503249</v>
      </c>
      <c r="C473" s="9">
        <v>45726</v>
      </c>
      <c r="D473" s="8" t="s">
        <v>96</v>
      </c>
      <c r="E473" s="10">
        <v>64000</v>
      </c>
      <c r="F473" s="8">
        <v>0.003</v>
      </c>
      <c r="G473" s="11">
        <v>45738</v>
      </c>
      <c r="H473" s="12">
        <f t="shared" si="7"/>
        <v>192</v>
      </c>
      <c r="I473" s="10" t="s">
        <v>10</v>
      </c>
      <c r="J473" s="13">
        <v>45735</v>
      </c>
      <c r="K473" t="s">
        <v>380</v>
      </c>
    </row>
    <row r="474" hidden="1" spans="1:11">
      <c r="A474" t="s">
        <v>319</v>
      </c>
      <c r="B474" s="8">
        <v>242503249</v>
      </c>
      <c r="C474" s="9">
        <v>45726</v>
      </c>
      <c r="D474" s="8" t="s">
        <v>96</v>
      </c>
      <c r="E474" s="10">
        <v>144000</v>
      </c>
      <c r="F474" s="8">
        <v>0.003</v>
      </c>
      <c r="G474" s="11">
        <v>45769</v>
      </c>
      <c r="H474" s="12">
        <f t="shared" si="7"/>
        <v>432</v>
      </c>
      <c r="I474" s="10" t="s">
        <v>10</v>
      </c>
      <c r="J474" s="13">
        <v>45735</v>
      </c>
      <c r="K474" t="s">
        <v>380</v>
      </c>
    </row>
    <row r="475" hidden="1" spans="1:11">
      <c r="A475" t="s">
        <v>319</v>
      </c>
      <c r="B475" s="8">
        <v>242503249</v>
      </c>
      <c r="C475" s="9">
        <v>45726</v>
      </c>
      <c r="D475" s="8" t="s">
        <v>96</v>
      </c>
      <c r="E475" s="10">
        <v>144000</v>
      </c>
      <c r="F475" s="8">
        <v>0.003</v>
      </c>
      <c r="G475" s="11">
        <v>45799</v>
      </c>
      <c r="H475" s="12">
        <f t="shared" si="7"/>
        <v>432</v>
      </c>
      <c r="I475" s="10" t="s">
        <v>10</v>
      </c>
      <c r="J475" s="13">
        <v>45735</v>
      </c>
      <c r="K475" t="s">
        <v>380</v>
      </c>
    </row>
    <row r="476" hidden="1" spans="1:11">
      <c r="A476" t="s">
        <v>319</v>
      </c>
      <c r="B476" s="8">
        <v>242503249</v>
      </c>
      <c r="C476" s="9">
        <v>45726</v>
      </c>
      <c r="D476" s="8" t="s">
        <v>236</v>
      </c>
      <c r="E476" s="10">
        <v>80000</v>
      </c>
      <c r="F476" s="8">
        <v>0.005</v>
      </c>
      <c r="G476" s="11">
        <v>45738</v>
      </c>
      <c r="H476" s="12">
        <f t="shared" si="7"/>
        <v>400</v>
      </c>
      <c r="I476" s="10" t="s">
        <v>10</v>
      </c>
      <c r="J476" s="13">
        <v>45735</v>
      </c>
      <c r="K476" t="s">
        <v>380</v>
      </c>
    </row>
    <row r="477" hidden="1" spans="1:11">
      <c r="A477" t="s">
        <v>319</v>
      </c>
      <c r="B477" s="8">
        <v>242503249</v>
      </c>
      <c r="C477" s="9">
        <v>45726</v>
      </c>
      <c r="D477" s="8" t="s">
        <v>236</v>
      </c>
      <c r="E477" s="10">
        <v>192000</v>
      </c>
      <c r="F477" s="8">
        <v>0.005</v>
      </c>
      <c r="G477" s="11">
        <v>45769</v>
      </c>
      <c r="H477" s="12">
        <f t="shared" si="7"/>
        <v>960</v>
      </c>
      <c r="I477" s="10" t="s">
        <v>10</v>
      </c>
      <c r="J477" s="13">
        <v>45735</v>
      </c>
      <c r="K477" t="s">
        <v>380</v>
      </c>
    </row>
    <row r="478" hidden="1" spans="1:11">
      <c r="A478" t="s">
        <v>319</v>
      </c>
      <c r="B478" s="8">
        <v>242503249</v>
      </c>
      <c r="C478" s="9">
        <v>45726</v>
      </c>
      <c r="D478" s="8" t="s">
        <v>236</v>
      </c>
      <c r="E478" s="10">
        <v>208000</v>
      </c>
      <c r="F478" s="8">
        <v>0.005</v>
      </c>
      <c r="G478" s="11">
        <v>45769</v>
      </c>
      <c r="H478" s="12">
        <f t="shared" si="7"/>
        <v>1040</v>
      </c>
      <c r="I478" s="10" t="s">
        <v>10</v>
      </c>
      <c r="J478" s="13">
        <v>45735</v>
      </c>
      <c r="K478" t="s">
        <v>380</v>
      </c>
    </row>
    <row r="479" hidden="1" spans="1:11">
      <c r="A479" t="s">
        <v>319</v>
      </c>
      <c r="B479" s="8">
        <v>242503249</v>
      </c>
      <c r="C479" s="9">
        <v>45726</v>
      </c>
      <c r="D479" s="8" t="s">
        <v>236</v>
      </c>
      <c r="E479" s="10">
        <v>192000</v>
      </c>
      <c r="F479" s="8">
        <v>0.005</v>
      </c>
      <c r="G479" s="11">
        <v>45799</v>
      </c>
      <c r="H479" s="12">
        <f t="shared" si="7"/>
        <v>960</v>
      </c>
      <c r="I479" s="10" t="s">
        <v>10</v>
      </c>
      <c r="J479" s="13">
        <v>45735</v>
      </c>
      <c r="K479" t="s">
        <v>380</v>
      </c>
    </row>
    <row r="480" hidden="1" spans="1:11">
      <c r="A480" t="s">
        <v>319</v>
      </c>
      <c r="B480" s="8">
        <v>242503249</v>
      </c>
      <c r="C480" s="9">
        <v>45726</v>
      </c>
      <c r="D480" s="8" t="s">
        <v>236</v>
      </c>
      <c r="E480" s="10">
        <v>144000</v>
      </c>
      <c r="F480" s="8">
        <v>0.005</v>
      </c>
      <c r="G480" s="11">
        <v>45799</v>
      </c>
      <c r="H480" s="12">
        <f t="shared" si="7"/>
        <v>720</v>
      </c>
      <c r="I480" s="10" t="s">
        <v>10</v>
      </c>
      <c r="J480" s="13">
        <v>45735</v>
      </c>
      <c r="K480" t="s">
        <v>380</v>
      </c>
    </row>
    <row r="481" hidden="1" spans="1:11">
      <c r="A481" t="s">
        <v>319</v>
      </c>
      <c r="B481" s="70">
        <v>242503251</v>
      </c>
      <c r="C481" s="71">
        <v>45727</v>
      </c>
      <c r="D481" s="70" t="s">
        <v>512</v>
      </c>
      <c r="E481" s="72">
        <v>24000</v>
      </c>
      <c r="F481" s="70">
        <v>0.031</v>
      </c>
      <c r="G481" s="73">
        <v>45752</v>
      </c>
      <c r="H481" s="74">
        <f t="shared" si="7"/>
        <v>744</v>
      </c>
      <c r="I481" s="72" t="s">
        <v>51</v>
      </c>
      <c r="J481" s="15" t="s">
        <v>529</v>
      </c>
      <c r="K481" t="s">
        <v>491</v>
      </c>
    </row>
    <row r="482" hidden="1" spans="1:11">
      <c r="A482" t="s">
        <v>319</v>
      </c>
      <c r="B482" s="70">
        <v>242503251</v>
      </c>
      <c r="C482" s="71">
        <v>45727</v>
      </c>
      <c r="D482" s="70" t="s">
        <v>512</v>
      </c>
      <c r="E482" s="72">
        <v>24000</v>
      </c>
      <c r="F482" s="70">
        <v>0.031</v>
      </c>
      <c r="G482" s="73">
        <v>45782</v>
      </c>
      <c r="H482" s="74">
        <f t="shared" si="7"/>
        <v>744</v>
      </c>
      <c r="I482" s="72" t="s">
        <v>51</v>
      </c>
      <c r="J482" s="15" t="s">
        <v>529</v>
      </c>
      <c r="K482" t="s">
        <v>491</v>
      </c>
    </row>
    <row r="483" hidden="1" spans="1:11">
      <c r="A483" t="s">
        <v>319</v>
      </c>
      <c r="B483" s="70">
        <v>242503251</v>
      </c>
      <c r="C483" s="71">
        <v>45727</v>
      </c>
      <c r="D483" s="70" t="s">
        <v>512</v>
      </c>
      <c r="E483" s="72">
        <v>24000</v>
      </c>
      <c r="F483" s="70">
        <v>0.031</v>
      </c>
      <c r="G483" s="73">
        <v>45813</v>
      </c>
      <c r="H483" s="74">
        <f t="shared" si="7"/>
        <v>744</v>
      </c>
      <c r="I483" s="72" t="s">
        <v>51</v>
      </c>
      <c r="J483" s="15" t="s">
        <v>529</v>
      </c>
      <c r="K483" t="s">
        <v>491</v>
      </c>
    </row>
    <row r="484" hidden="1" spans="1:11">
      <c r="A484" t="s">
        <v>319</v>
      </c>
      <c r="B484" s="8">
        <v>242503281</v>
      </c>
      <c r="C484" s="9">
        <v>45728</v>
      </c>
      <c r="D484" s="8" t="s">
        <v>426</v>
      </c>
      <c r="E484" s="10">
        <v>200000</v>
      </c>
      <c r="F484" s="8">
        <v>0.032</v>
      </c>
      <c r="G484" s="11">
        <v>45843</v>
      </c>
      <c r="H484" s="12">
        <f t="shared" si="7"/>
        <v>6400</v>
      </c>
      <c r="I484" s="10" t="s">
        <v>10</v>
      </c>
      <c r="J484" s="13">
        <v>45812</v>
      </c>
      <c r="K484" t="s">
        <v>486</v>
      </c>
    </row>
    <row r="485" hidden="1" spans="1:11">
      <c r="A485" t="s">
        <v>319</v>
      </c>
      <c r="B485" s="8">
        <v>242503281</v>
      </c>
      <c r="C485" s="9">
        <v>45728</v>
      </c>
      <c r="D485" s="8" t="s">
        <v>426</v>
      </c>
      <c r="E485" s="10">
        <v>200000</v>
      </c>
      <c r="F485" s="8">
        <v>0.032</v>
      </c>
      <c r="G485" s="11">
        <v>45843</v>
      </c>
      <c r="H485" s="12">
        <f t="shared" si="7"/>
        <v>6400</v>
      </c>
      <c r="I485" s="10" t="s">
        <v>10</v>
      </c>
      <c r="J485" s="13">
        <v>45812</v>
      </c>
      <c r="K485" t="s">
        <v>486</v>
      </c>
    </row>
    <row r="486" hidden="1" spans="1:11">
      <c r="A486" t="s">
        <v>319</v>
      </c>
      <c r="B486" s="8">
        <v>242503281</v>
      </c>
      <c r="C486" s="9">
        <v>45728</v>
      </c>
      <c r="D486" s="8" t="s">
        <v>426</v>
      </c>
      <c r="E486" s="10">
        <v>200000</v>
      </c>
      <c r="F486" s="8">
        <v>0.032</v>
      </c>
      <c r="G486" s="11">
        <v>45843</v>
      </c>
      <c r="H486" s="12">
        <f t="shared" si="7"/>
        <v>6400</v>
      </c>
      <c r="I486" s="10" t="s">
        <v>10</v>
      </c>
      <c r="J486" s="13">
        <v>45812</v>
      </c>
      <c r="K486" t="s">
        <v>486</v>
      </c>
    </row>
    <row r="487" hidden="1" spans="1:11">
      <c r="A487" t="s">
        <v>319</v>
      </c>
      <c r="B487" s="8">
        <v>242503281</v>
      </c>
      <c r="C487" s="9">
        <v>45728</v>
      </c>
      <c r="D487" s="8" t="s">
        <v>426</v>
      </c>
      <c r="E487" s="10">
        <v>200000</v>
      </c>
      <c r="F487" s="8">
        <v>0.032</v>
      </c>
      <c r="G487" s="11">
        <v>45874</v>
      </c>
      <c r="H487" s="12">
        <f t="shared" si="7"/>
        <v>6400</v>
      </c>
      <c r="I487" s="10" t="s">
        <v>10</v>
      </c>
      <c r="J487" s="13">
        <v>45812</v>
      </c>
      <c r="K487" t="s">
        <v>486</v>
      </c>
    </row>
    <row r="488" hidden="1" spans="1:11">
      <c r="A488" t="s">
        <v>319</v>
      </c>
      <c r="B488" s="8">
        <v>242503281</v>
      </c>
      <c r="C488" s="9">
        <v>45728</v>
      </c>
      <c r="D488" s="8" t="s">
        <v>426</v>
      </c>
      <c r="E488" s="10">
        <v>200000</v>
      </c>
      <c r="F488" s="8">
        <v>0.032</v>
      </c>
      <c r="G488" s="11">
        <v>45874</v>
      </c>
      <c r="H488" s="12">
        <f t="shared" si="7"/>
        <v>6400</v>
      </c>
      <c r="I488" s="10" t="s">
        <v>10</v>
      </c>
      <c r="J488" s="13">
        <v>45812</v>
      </c>
      <c r="K488" t="s">
        <v>486</v>
      </c>
    </row>
    <row r="489" hidden="1" spans="1:11">
      <c r="A489" t="s">
        <v>319</v>
      </c>
      <c r="B489" s="8">
        <v>242503281</v>
      </c>
      <c r="C489" s="9">
        <v>45728</v>
      </c>
      <c r="D489" s="8" t="s">
        <v>426</v>
      </c>
      <c r="E489" s="10">
        <v>200000</v>
      </c>
      <c r="F489" s="8">
        <v>0.032</v>
      </c>
      <c r="G489" s="11">
        <v>45874</v>
      </c>
      <c r="H489" s="12">
        <f t="shared" si="7"/>
        <v>6400</v>
      </c>
      <c r="I489" s="10" t="s">
        <v>10</v>
      </c>
      <c r="J489" s="13">
        <v>45812</v>
      </c>
      <c r="K489" t="s">
        <v>486</v>
      </c>
    </row>
    <row r="490" hidden="1" spans="1:11">
      <c r="A490" t="s">
        <v>319</v>
      </c>
      <c r="B490" s="8">
        <v>242503285</v>
      </c>
      <c r="C490" s="9">
        <v>45728</v>
      </c>
      <c r="D490" s="8" t="s">
        <v>482</v>
      </c>
      <c r="E490" s="10">
        <v>300000</v>
      </c>
      <c r="F490" s="8">
        <v>0.02049</v>
      </c>
      <c r="G490" s="11">
        <v>45830</v>
      </c>
      <c r="H490" s="12">
        <f t="shared" si="7"/>
        <v>6147</v>
      </c>
      <c r="I490" s="10" t="s">
        <v>10</v>
      </c>
      <c r="J490" s="13">
        <v>45778</v>
      </c>
      <c r="K490" t="s">
        <v>369</v>
      </c>
    </row>
    <row r="491" hidden="1" spans="1:11">
      <c r="A491" t="s">
        <v>319</v>
      </c>
      <c r="B491" s="8">
        <v>242503285</v>
      </c>
      <c r="C491" s="9">
        <v>45728</v>
      </c>
      <c r="D491" s="8" t="s">
        <v>482</v>
      </c>
      <c r="E491" s="10">
        <v>300000</v>
      </c>
      <c r="F491" s="8">
        <v>0.02049</v>
      </c>
      <c r="G491" s="11">
        <v>45860</v>
      </c>
      <c r="H491" s="12">
        <f t="shared" si="7"/>
        <v>6147</v>
      </c>
      <c r="I491" s="10" t="s">
        <v>10</v>
      </c>
      <c r="J491" s="13">
        <v>45778</v>
      </c>
      <c r="K491" t="s">
        <v>369</v>
      </c>
    </row>
    <row r="492" hidden="1" spans="1:11">
      <c r="A492" t="s">
        <v>319</v>
      </c>
      <c r="B492" s="8">
        <v>242503287</v>
      </c>
      <c r="C492" s="9">
        <v>45728</v>
      </c>
      <c r="D492" s="8" t="s">
        <v>40</v>
      </c>
      <c r="E492" s="10">
        <v>100000</v>
      </c>
      <c r="F492" s="8">
        <v>0.035</v>
      </c>
      <c r="G492" s="11">
        <v>45830</v>
      </c>
      <c r="H492" s="12">
        <f t="shared" si="7"/>
        <v>3500</v>
      </c>
      <c r="I492" s="10" t="s">
        <v>10</v>
      </c>
      <c r="J492" s="13">
        <v>45789</v>
      </c>
      <c r="K492" t="s">
        <v>337</v>
      </c>
    </row>
    <row r="493" hidden="1" spans="1:11">
      <c r="A493" t="s">
        <v>319</v>
      </c>
      <c r="B493" s="8">
        <v>242503287</v>
      </c>
      <c r="C493" s="9">
        <v>45728</v>
      </c>
      <c r="D493" s="8" t="s">
        <v>41</v>
      </c>
      <c r="E493" s="10">
        <v>40000</v>
      </c>
      <c r="F493" s="8">
        <v>0.285</v>
      </c>
      <c r="G493" s="11">
        <v>45799</v>
      </c>
      <c r="H493" s="12">
        <f t="shared" si="7"/>
        <v>11400</v>
      </c>
      <c r="I493" s="10" t="s">
        <v>10</v>
      </c>
      <c r="J493" s="13">
        <v>45782</v>
      </c>
      <c r="K493" t="s">
        <v>337</v>
      </c>
    </row>
    <row r="494" hidden="1" spans="1:11">
      <c r="A494" t="s">
        <v>319</v>
      </c>
      <c r="B494" s="8">
        <v>242503287</v>
      </c>
      <c r="C494" s="9">
        <v>45728</v>
      </c>
      <c r="D494" s="8" t="s">
        <v>41</v>
      </c>
      <c r="E494" s="10">
        <v>50000</v>
      </c>
      <c r="F494" s="8">
        <v>0.285</v>
      </c>
      <c r="G494" s="11">
        <v>45830</v>
      </c>
      <c r="H494" s="12">
        <f t="shared" si="7"/>
        <v>14250</v>
      </c>
      <c r="I494" s="10" t="s">
        <v>10</v>
      </c>
      <c r="J494" s="13">
        <v>45782</v>
      </c>
      <c r="K494" t="s">
        <v>337</v>
      </c>
    </row>
    <row r="495" hidden="1" spans="1:11">
      <c r="A495" t="s">
        <v>319</v>
      </c>
      <c r="B495" s="8">
        <v>242503288</v>
      </c>
      <c r="C495" s="9">
        <v>45728</v>
      </c>
      <c r="D495" s="8" t="s">
        <v>226</v>
      </c>
      <c r="E495" s="10">
        <v>100000</v>
      </c>
      <c r="F495" s="8">
        <v>0.065</v>
      </c>
      <c r="G495" s="11">
        <v>45830</v>
      </c>
      <c r="H495" s="12">
        <f t="shared" si="7"/>
        <v>6500</v>
      </c>
      <c r="I495" s="10" t="s">
        <v>10</v>
      </c>
      <c r="J495" s="13">
        <v>45810</v>
      </c>
      <c r="K495" t="s">
        <v>337</v>
      </c>
    </row>
    <row r="496" hidden="1" spans="1:11">
      <c r="A496" t="s">
        <v>319</v>
      </c>
      <c r="B496" s="8">
        <v>242503288</v>
      </c>
      <c r="C496" s="9">
        <v>45728</v>
      </c>
      <c r="D496" s="8" t="s">
        <v>220</v>
      </c>
      <c r="E496" s="10">
        <v>60000</v>
      </c>
      <c r="F496" s="8">
        <v>0.0115</v>
      </c>
      <c r="G496" s="11">
        <v>45799</v>
      </c>
      <c r="H496" s="12">
        <f t="shared" si="7"/>
        <v>690</v>
      </c>
      <c r="I496" s="10" t="s">
        <v>10</v>
      </c>
      <c r="J496" s="13">
        <v>45811</v>
      </c>
      <c r="K496" t="s">
        <v>337</v>
      </c>
    </row>
    <row r="497" hidden="1" spans="1:11">
      <c r="A497" t="s">
        <v>319</v>
      </c>
      <c r="B497" s="8">
        <v>242503288</v>
      </c>
      <c r="C497" s="9">
        <v>45728</v>
      </c>
      <c r="D497" s="8" t="s">
        <v>220</v>
      </c>
      <c r="E497" s="10">
        <v>60000</v>
      </c>
      <c r="F497" s="8">
        <v>0.0115</v>
      </c>
      <c r="G497" s="11">
        <v>45830</v>
      </c>
      <c r="H497" s="12">
        <f t="shared" si="7"/>
        <v>690</v>
      </c>
      <c r="I497" s="10" t="s">
        <v>10</v>
      </c>
      <c r="J497" s="13">
        <v>45811</v>
      </c>
      <c r="K497" t="s">
        <v>337</v>
      </c>
    </row>
    <row r="498" hidden="1" spans="1:11">
      <c r="A498" t="s">
        <v>319</v>
      </c>
      <c r="B498" s="8">
        <v>242503288</v>
      </c>
      <c r="C498" s="9">
        <v>45728</v>
      </c>
      <c r="D498" s="8" t="s">
        <v>39</v>
      </c>
      <c r="E498" s="10">
        <v>300000</v>
      </c>
      <c r="F498" s="8">
        <v>0.022</v>
      </c>
      <c r="G498" s="11">
        <v>45830</v>
      </c>
      <c r="H498" s="12">
        <f t="shared" si="7"/>
        <v>6600</v>
      </c>
      <c r="I498" s="10" t="s">
        <v>10</v>
      </c>
      <c r="J498" s="13">
        <v>45800</v>
      </c>
      <c r="K498" t="s">
        <v>337</v>
      </c>
    </row>
    <row r="499" hidden="1" spans="1:11">
      <c r="A499" t="s">
        <v>319</v>
      </c>
      <c r="B499" s="8">
        <v>242503289</v>
      </c>
      <c r="C499" s="9">
        <v>45728</v>
      </c>
      <c r="D499" s="8" t="s">
        <v>426</v>
      </c>
      <c r="E499" s="10">
        <v>20000</v>
      </c>
      <c r="F499" s="8">
        <v>0.04</v>
      </c>
      <c r="G499" s="11">
        <v>45891</v>
      </c>
      <c r="H499" s="12">
        <f t="shared" si="7"/>
        <v>800</v>
      </c>
      <c r="I499" s="10" t="s">
        <v>10</v>
      </c>
      <c r="J499" s="13">
        <v>45764</v>
      </c>
      <c r="K499" t="s">
        <v>378</v>
      </c>
    </row>
    <row r="500" hidden="1" spans="1:11">
      <c r="A500" t="s">
        <v>319</v>
      </c>
      <c r="B500" s="8">
        <v>242503316</v>
      </c>
      <c r="C500" s="66">
        <v>45728</v>
      </c>
      <c r="D500" s="8" t="s">
        <v>162</v>
      </c>
      <c r="E500" s="67">
        <v>200000</v>
      </c>
      <c r="F500" s="8">
        <v>0.05</v>
      </c>
      <c r="G500" s="11">
        <v>45769</v>
      </c>
      <c r="H500" s="68">
        <f t="shared" si="7"/>
        <v>10000</v>
      </c>
      <c r="I500" s="67" t="s">
        <v>10</v>
      </c>
      <c r="J500" s="13">
        <v>45749</v>
      </c>
      <c r="K500" t="s">
        <v>377</v>
      </c>
    </row>
    <row r="501" hidden="1" spans="1:11">
      <c r="A501" t="s">
        <v>319</v>
      </c>
      <c r="B501" s="8">
        <v>242503316</v>
      </c>
      <c r="C501" s="66">
        <v>45728</v>
      </c>
      <c r="D501" s="8" t="s">
        <v>42</v>
      </c>
      <c r="E501" s="67">
        <v>150000</v>
      </c>
      <c r="F501" s="8">
        <v>0.065</v>
      </c>
      <c r="G501" s="11">
        <v>45769</v>
      </c>
      <c r="H501" s="68">
        <f t="shared" si="7"/>
        <v>9750</v>
      </c>
      <c r="I501" s="67" t="s">
        <v>10</v>
      </c>
      <c r="J501" s="13">
        <v>45749</v>
      </c>
      <c r="K501" t="s">
        <v>377</v>
      </c>
    </row>
    <row r="502" hidden="1" spans="1:11">
      <c r="A502" t="s">
        <v>319</v>
      </c>
      <c r="B502" s="8">
        <v>242503316</v>
      </c>
      <c r="C502" s="66">
        <v>45728</v>
      </c>
      <c r="D502" s="8" t="s">
        <v>50</v>
      </c>
      <c r="E502" s="67">
        <v>120000</v>
      </c>
      <c r="F502" s="8">
        <v>0.08</v>
      </c>
      <c r="G502" s="11">
        <v>45769</v>
      </c>
      <c r="H502" s="68">
        <f t="shared" si="7"/>
        <v>9600</v>
      </c>
      <c r="I502" s="67" t="s">
        <v>10</v>
      </c>
      <c r="J502" s="13">
        <v>45749</v>
      </c>
      <c r="K502" t="s">
        <v>377</v>
      </c>
    </row>
    <row r="503" hidden="1" spans="1:11">
      <c r="A503" t="s">
        <v>319</v>
      </c>
      <c r="B503" s="8">
        <v>242503316</v>
      </c>
      <c r="C503" s="66">
        <v>45728</v>
      </c>
      <c r="D503" s="8" t="s">
        <v>111</v>
      </c>
      <c r="E503" s="67">
        <v>50000</v>
      </c>
      <c r="F503" s="8">
        <v>0.045</v>
      </c>
      <c r="G503" s="11">
        <v>45769</v>
      </c>
      <c r="H503" s="68">
        <f t="shared" si="7"/>
        <v>2250</v>
      </c>
      <c r="I503" s="67" t="s">
        <v>10</v>
      </c>
      <c r="J503" s="13">
        <v>45749</v>
      </c>
      <c r="K503" t="s">
        <v>377</v>
      </c>
    </row>
    <row r="504" hidden="1" spans="1:11">
      <c r="A504" t="s">
        <v>319</v>
      </c>
      <c r="B504" s="8">
        <v>242503316</v>
      </c>
      <c r="C504" s="66">
        <v>45728</v>
      </c>
      <c r="D504" s="8" t="s">
        <v>487</v>
      </c>
      <c r="E504" s="67">
        <v>48000</v>
      </c>
      <c r="F504" s="8">
        <v>0.015</v>
      </c>
      <c r="G504" s="11">
        <v>45769</v>
      </c>
      <c r="H504" s="68">
        <f t="shared" si="7"/>
        <v>720</v>
      </c>
      <c r="I504" s="67" t="s">
        <v>10</v>
      </c>
      <c r="J504" s="13">
        <v>45749</v>
      </c>
      <c r="K504" t="s">
        <v>377</v>
      </c>
    </row>
    <row r="505" hidden="1" spans="1:11">
      <c r="A505" t="s">
        <v>319</v>
      </c>
      <c r="B505" s="8">
        <v>242503316</v>
      </c>
      <c r="C505" s="66">
        <v>45728</v>
      </c>
      <c r="D505" s="8" t="s">
        <v>226</v>
      </c>
      <c r="E505" s="67">
        <v>40000</v>
      </c>
      <c r="F505" s="8">
        <v>0.08</v>
      </c>
      <c r="G505" s="11">
        <v>45769</v>
      </c>
      <c r="H505" s="68">
        <f t="shared" si="7"/>
        <v>3200</v>
      </c>
      <c r="I505" s="67" t="s">
        <v>10</v>
      </c>
      <c r="J505" s="13">
        <v>45749</v>
      </c>
      <c r="K505" t="s">
        <v>377</v>
      </c>
    </row>
    <row r="506" hidden="1" spans="1:11">
      <c r="A506" t="s">
        <v>319</v>
      </c>
      <c r="B506" s="8">
        <v>242503316</v>
      </c>
      <c r="C506" s="66">
        <v>45728</v>
      </c>
      <c r="D506" s="8" t="s">
        <v>46</v>
      </c>
      <c r="E506" s="67">
        <v>80000</v>
      </c>
      <c r="F506" s="8">
        <v>0.022</v>
      </c>
      <c r="G506" s="11">
        <v>45769</v>
      </c>
      <c r="H506" s="68">
        <f t="shared" si="7"/>
        <v>1760</v>
      </c>
      <c r="I506" s="67" t="s">
        <v>10</v>
      </c>
      <c r="J506" s="13">
        <v>45749</v>
      </c>
      <c r="K506" t="s">
        <v>377</v>
      </c>
    </row>
    <row r="507" hidden="1" spans="1:11">
      <c r="A507" t="s">
        <v>319</v>
      </c>
      <c r="B507" s="8">
        <v>242503317</v>
      </c>
      <c r="C507" s="9">
        <v>45728</v>
      </c>
      <c r="D507" s="8" t="s">
        <v>42</v>
      </c>
      <c r="E507" s="10">
        <v>150000</v>
      </c>
      <c r="F507" s="8">
        <v>0.065</v>
      </c>
      <c r="G507" s="11">
        <v>45799</v>
      </c>
      <c r="H507" s="12">
        <f t="shared" si="7"/>
        <v>9750</v>
      </c>
      <c r="I507" s="10" t="s">
        <v>10</v>
      </c>
      <c r="J507" s="13">
        <v>45755</v>
      </c>
      <c r="K507" t="s">
        <v>377</v>
      </c>
    </row>
    <row r="508" hidden="1" spans="1:11">
      <c r="A508" t="s">
        <v>319</v>
      </c>
      <c r="B508" s="8">
        <v>242503317</v>
      </c>
      <c r="C508" s="9">
        <v>45728</v>
      </c>
      <c r="D508" s="8" t="s">
        <v>502</v>
      </c>
      <c r="E508" s="10">
        <v>70000</v>
      </c>
      <c r="F508" s="8">
        <v>0.1</v>
      </c>
      <c r="G508" s="11">
        <v>45799</v>
      </c>
      <c r="H508" s="12">
        <f t="shared" si="7"/>
        <v>7000</v>
      </c>
      <c r="I508" s="10" t="s">
        <v>10</v>
      </c>
      <c r="J508" s="13">
        <v>45755</v>
      </c>
      <c r="K508" t="s">
        <v>377</v>
      </c>
    </row>
    <row r="509" hidden="1" spans="1:11">
      <c r="A509" t="s">
        <v>319</v>
      </c>
      <c r="B509" s="8">
        <v>242503317</v>
      </c>
      <c r="C509" s="9">
        <v>45728</v>
      </c>
      <c r="D509" s="8" t="s">
        <v>50</v>
      </c>
      <c r="E509" s="10">
        <v>70000</v>
      </c>
      <c r="F509" s="8">
        <v>0.08</v>
      </c>
      <c r="G509" s="11">
        <v>45799</v>
      </c>
      <c r="H509" s="12">
        <f t="shared" si="7"/>
        <v>5600</v>
      </c>
      <c r="I509" s="10" t="s">
        <v>10</v>
      </c>
      <c r="J509" s="13">
        <v>45755</v>
      </c>
      <c r="K509" t="s">
        <v>377</v>
      </c>
    </row>
    <row r="510" hidden="1" spans="1:11">
      <c r="A510" t="s">
        <v>319</v>
      </c>
      <c r="B510" s="8">
        <v>242503317</v>
      </c>
      <c r="C510" s="9">
        <v>45728</v>
      </c>
      <c r="D510" s="8" t="s">
        <v>511</v>
      </c>
      <c r="E510" s="10">
        <v>48000</v>
      </c>
      <c r="F510" s="8">
        <v>0.041</v>
      </c>
      <c r="G510" s="11">
        <v>45799</v>
      </c>
      <c r="H510" s="12">
        <f t="shared" si="7"/>
        <v>1968</v>
      </c>
      <c r="I510" s="10" t="s">
        <v>10</v>
      </c>
      <c r="J510" s="13">
        <v>45755</v>
      </c>
      <c r="K510" t="s">
        <v>377</v>
      </c>
    </row>
    <row r="511" hidden="1" spans="1:11">
      <c r="A511" t="s">
        <v>319</v>
      </c>
      <c r="B511" s="8">
        <v>242503317</v>
      </c>
      <c r="C511" s="9">
        <v>45728</v>
      </c>
      <c r="D511" s="8" t="s">
        <v>226</v>
      </c>
      <c r="E511" s="10">
        <v>40000</v>
      </c>
      <c r="F511" s="8">
        <v>0.08</v>
      </c>
      <c r="G511" s="11">
        <v>45799</v>
      </c>
      <c r="H511" s="12">
        <f t="shared" si="7"/>
        <v>3200</v>
      </c>
      <c r="I511" s="10" t="s">
        <v>10</v>
      </c>
      <c r="J511" s="13">
        <v>45755</v>
      </c>
      <c r="K511" t="s">
        <v>377</v>
      </c>
    </row>
    <row r="512" hidden="1" spans="1:11">
      <c r="A512" t="s">
        <v>319</v>
      </c>
      <c r="B512" s="8">
        <v>242503317</v>
      </c>
      <c r="C512" s="9">
        <v>45728</v>
      </c>
      <c r="D512" s="8" t="s">
        <v>46</v>
      </c>
      <c r="E512" s="10">
        <v>80000</v>
      </c>
      <c r="F512" s="8">
        <v>0.022</v>
      </c>
      <c r="G512" s="11">
        <v>45799</v>
      </c>
      <c r="H512" s="12">
        <f t="shared" si="7"/>
        <v>1760</v>
      </c>
      <c r="I512" s="10" t="s">
        <v>10</v>
      </c>
      <c r="J512" s="13">
        <v>45755</v>
      </c>
      <c r="K512" t="s">
        <v>377</v>
      </c>
    </row>
    <row r="513" hidden="1" spans="1:11">
      <c r="A513" t="s">
        <v>319</v>
      </c>
      <c r="B513" s="8">
        <v>242503317</v>
      </c>
      <c r="C513" s="9">
        <v>45728</v>
      </c>
      <c r="D513" s="8" t="s">
        <v>40</v>
      </c>
      <c r="E513" s="10">
        <v>60000</v>
      </c>
      <c r="F513" s="8">
        <v>0.05</v>
      </c>
      <c r="G513" s="11">
        <v>45799</v>
      </c>
      <c r="H513" s="12">
        <f t="shared" si="7"/>
        <v>3000</v>
      </c>
      <c r="I513" s="10" t="s">
        <v>10</v>
      </c>
      <c r="J513" s="13">
        <v>45755</v>
      </c>
      <c r="K513" t="s">
        <v>377</v>
      </c>
    </row>
    <row r="514" hidden="1" spans="1:11">
      <c r="A514" t="s">
        <v>319</v>
      </c>
      <c r="B514" s="8">
        <v>242503317</v>
      </c>
      <c r="C514" s="9">
        <v>45728</v>
      </c>
      <c r="D514" s="8" t="s">
        <v>38</v>
      </c>
      <c r="E514" s="10">
        <v>40000</v>
      </c>
      <c r="F514" s="8">
        <v>0.01</v>
      </c>
      <c r="G514" s="11">
        <v>45799</v>
      </c>
      <c r="H514" s="12">
        <f t="shared" ref="H514:H577" si="8">E514*F514</f>
        <v>400</v>
      </c>
      <c r="I514" s="10" t="s">
        <v>10</v>
      </c>
      <c r="J514" s="13">
        <v>45755</v>
      </c>
      <c r="K514" t="s">
        <v>377</v>
      </c>
    </row>
    <row r="515" hidden="1" spans="1:11">
      <c r="A515" t="s">
        <v>319</v>
      </c>
      <c r="B515" s="8">
        <v>242503317</v>
      </c>
      <c r="C515" s="9">
        <v>45728</v>
      </c>
      <c r="D515" s="8" t="s">
        <v>162</v>
      </c>
      <c r="E515" s="10">
        <v>200000</v>
      </c>
      <c r="F515" s="8">
        <v>0.05</v>
      </c>
      <c r="G515" s="11">
        <v>45799</v>
      </c>
      <c r="H515" s="12">
        <f t="shared" si="8"/>
        <v>10000</v>
      </c>
      <c r="I515" s="10" t="s">
        <v>10</v>
      </c>
      <c r="J515" s="13">
        <v>45755</v>
      </c>
      <c r="K515" t="s">
        <v>377</v>
      </c>
    </row>
    <row r="516" hidden="1" spans="1:11">
      <c r="A516" t="s">
        <v>319</v>
      </c>
      <c r="B516" s="8">
        <v>242503317</v>
      </c>
      <c r="C516" s="9">
        <v>45728</v>
      </c>
      <c r="D516" s="8" t="s">
        <v>111</v>
      </c>
      <c r="E516" s="10">
        <v>50000</v>
      </c>
      <c r="F516" s="8">
        <v>0.045</v>
      </c>
      <c r="G516" s="11">
        <v>45799</v>
      </c>
      <c r="H516" s="12">
        <f t="shared" si="8"/>
        <v>2250</v>
      </c>
      <c r="I516" s="10" t="s">
        <v>10</v>
      </c>
      <c r="J516" s="13">
        <v>45755</v>
      </c>
      <c r="K516" t="s">
        <v>377</v>
      </c>
    </row>
    <row r="517" hidden="1" spans="1:11">
      <c r="A517" t="s">
        <v>319</v>
      </c>
      <c r="B517" s="8">
        <v>242503317</v>
      </c>
      <c r="C517" s="9">
        <v>45728</v>
      </c>
      <c r="D517" s="8" t="s">
        <v>487</v>
      </c>
      <c r="E517" s="10">
        <v>32000</v>
      </c>
      <c r="F517" s="8">
        <v>0.015</v>
      </c>
      <c r="G517" s="11">
        <v>45799</v>
      </c>
      <c r="H517" s="12">
        <f t="shared" si="8"/>
        <v>480</v>
      </c>
      <c r="I517" s="10" t="s">
        <v>10</v>
      </c>
      <c r="J517" s="13">
        <v>45755</v>
      </c>
      <c r="K517" t="s">
        <v>377</v>
      </c>
    </row>
    <row r="518" hidden="1" spans="1:11">
      <c r="A518" t="s">
        <v>319</v>
      </c>
      <c r="B518" s="8">
        <v>242503318</v>
      </c>
      <c r="C518" s="9">
        <v>45728</v>
      </c>
      <c r="D518" s="8" t="s">
        <v>105</v>
      </c>
      <c r="E518" s="10">
        <v>30000</v>
      </c>
      <c r="F518" s="8">
        <v>0.18</v>
      </c>
      <c r="G518" s="11">
        <v>45830</v>
      </c>
      <c r="H518" s="12">
        <f t="shared" si="8"/>
        <v>5400</v>
      </c>
      <c r="I518" s="10" t="s">
        <v>10</v>
      </c>
      <c r="J518" s="13">
        <v>45804</v>
      </c>
      <c r="K518" t="s">
        <v>377</v>
      </c>
    </row>
    <row r="519" hidden="1" spans="1:11">
      <c r="A519" t="s">
        <v>319</v>
      </c>
      <c r="B519" s="8">
        <v>242503318</v>
      </c>
      <c r="C519" s="9">
        <v>45728</v>
      </c>
      <c r="D519" s="8" t="s">
        <v>502</v>
      </c>
      <c r="E519" s="10">
        <v>70000</v>
      </c>
      <c r="F519" s="8">
        <v>0.1</v>
      </c>
      <c r="G519" s="11">
        <v>45830</v>
      </c>
      <c r="H519" s="12">
        <f t="shared" si="8"/>
        <v>7000</v>
      </c>
      <c r="I519" s="10" t="s">
        <v>10</v>
      </c>
      <c r="J519" s="13">
        <v>45804</v>
      </c>
      <c r="K519" t="s">
        <v>377</v>
      </c>
    </row>
    <row r="520" hidden="1" spans="1:11">
      <c r="A520" t="s">
        <v>319</v>
      </c>
      <c r="B520" s="8">
        <v>242503318</v>
      </c>
      <c r="C520" s="9">
        <v>45728</v>
      </c>
      <c r="D520" s="8" t="s">
        <v>111</v>
      </c>
      <c r="E520" s="10">
        <v>50000</v>
      </c>
      <c r="F520" s="8">
        <v>0.045</v>
      </c>
      <c r="G520" s="11">
        <v>45830</v>
      </c>
      <c r="H520" s="12">
        <f t="shared" si="8"/>
        <v>2250</v>
      </c>
      <c r="I520" s="10" t="s">
        <v>10</v>
      </c>
      <c r="J520" s="13">
        <v>45804</v>
      </c>
      <c r="K520" t="s">
        <v>377</v>
      </c>
    </row>
    <row r="521" hidden="1" spans="1:11">
      <c r="A521" t="s">
        <v>319</v>
      </c>
      <c r="B521" s="8">
        <v>242503318</v>
      </c>
      <c r="C521" s="9">
        <v>45728</v>
      </c>
      <c r="D521" s="8" t="s">
        <v>487</v>
      </c>
      <c r="E521" s="10">
        <v>32000</v>
      </c>
      <c r="F521" s="8">
        <v>0.015</v>
      </c>
      <c r="G521" s="11">
        <v>45830</v>
      </c>
      <c r="H521" s="12">
        <f t="shared" si="8"/>
        <v>480</v>
      </c>
      <c r="I521" s="10" t="s">
        <v>10</v>
      </c>
      <c r="J521" s="13">
        <v>45804</v>
      </c>
      <c r="K521" t="s">
        <v>377</v>
      </c>
    </row>
    <row r="522" hidden="1" spans="1:11">
      <c r="A522" t="s">
        <v>319</v>
      </c>
      <c r="B522" s="8">
        <v>242503318</v>
      </c>
      <c r="C522" s="9">
        <v>45728</v>
      </c>
      <c r="D522" s="8" t="s">
        <v>511</v>
      </c>
      <c r="E522" s="10">
        <v>52000</v>
      </c>
      <c r="F522" s="8">
        <v>0.041</v>
      </c>
      <c r="G522" s="11">
        <v>45830</v>
      </c>
      <c r="H522" s="12">
        <f t="shared" si="8"/>
        <v>2132</v>
      </c>
      <c r="I522" s="10" t="s">
        <v>10</v>
      </c>
      <c r="J522" s="13">
        <v>45804</v>
      </c>
      <c r="K522" t="s">
        <v>377</v>
      </c>
    </row>
    <row r="523" hidden="1" spans="1:11">
      <c r="A523" t="s">
        <v>319</v>
      </c>
      <c r="B523" s="8">
        <v>242503318</v>
      </c>
      <c r="C523" s="9">
        <v>45728</v>
      </c>
      <c r="D523" s="8" t="s">
        <v>46</v>
      </c>
      <c r="E523" s="10">
        <v>80000</v>
      </c>
      <c r="F523" s="8">
        <v>0.022</v>
      </c>
      <c r="G523" s="11">
        <v>45830</v>
      </c>
      <c r="H523" s="12">
        <f t="shared" si="8"/>
        <v>1760</v>
      </c>
      <c r="I523" s="10" t="s">
        <v>10</v>
      </c>
      <c r="J523" s="13">
        <v>45804</v>
      </c>
      <c r="K523" t="s">
        <v>377</v>
      </c>
    </row>
    <row r="524" hidden="1" spans="1:11">
      <c r="A524" t="s">
        <v>319</v>
      </c>
      <c r="B524" s="8">
        <v>242503318</v>
      </c>
      <c r="C524" s="9">
        <v>45728</v>
      </c>
      <c r="D524" s="8" t="s">
        <v>40</v>
      </c>
      <c r="E524" s="10">
        <v>60000</v>
      </c>
      <c r="F524" s="8">
        <v>0.035</v>
      </c>
      <c r="G524" s="11">
        <v>45830</v>
      </c>
      <c r="H524" s="12">
        <f t="shared" si="8"/>
        <v>2100</v>
      </c>
      <c r="I524" s="10" t="s">
        <v>10</v>
      </c>
      <c r="J524" s="13">
        <v>45804</v>
      </c>
      <c r="K524" t="s">
        <v>377</v>
      </c>
    </row>
    <row r="525" hidden="1" spans="1:11">
      <c r="A525" t="s">
        <v>319</v>
      </c>
      <c r="B525" s="8">
        <v>242503318</v>
      </c>
      <c r="C525" s="9">
        <v>45728</v>
      </c>
      <c r="D525" s="8" t="s">
        <v>38</v>
      </c>
      <c r="E525" s="10">
        <v>40000</v>
      </c>
      <c r="F525" s="8">
        <v>0.01</v>
      </c>
      <c r="G525" s="11">
        <v>45830</v>
      </c>
      <c r="H525" s="12">
        <f t="shared" si="8"/>
        <v>400</v>
      </c>
      <c r="I525" s="10" t="s">
        <v>10</v>
      </c>
      <c r="J525" s="13">
        <v>45804</v>
      </c>
      <c r="K525" t="s">
        <v>377</v>
      </c>
    </row>
    <row r="526" hidden="1" spans="1:11">
      <c r="A526" t="s">
        <v>319</v>
      </c>
      <c r="B526" s="8">
        <v>242503330</v>
      </c>
      <c r="C526" s="9">
        <v>45729</v>
      </c>
      <c r="D526" s="8" t="s">
        <v>399</v>
      </c>
      <c r="E526" s="10">
        <v>20000</v>
      </c>
      <c r="F526" s="8">
        <v>0.0175</v>
      </c>
      <c r="G526" s="11">
        <v>45769</v>
      </c>
      <c r="H526" s="12">
        <f t="shared" si="8"/>
        <v>350</v>
      </c>
      <c r="I526" s="10" t="s">
        <v>10</v>
      </c>
      <c r="J526" s="13">
        <v>45729</v>
      </c>
    </row>
    <row r="527" hidden="1" spans="1:11">
      <c r="A527" t="s">
        <v>319</v>
      </c>
      <c r="B527" s="8">
        <v>242503338</v>
      </c>
      <c r="C527" s="9">
        <v>45729</v>
      </c>
      <c r="D527" s="8" t="s">
        <v>35</v>
      </c>
      <c r="E527" s="10">
        <v>50000</v>
      </c>
      <c r="F527" s="8">
        <v>0.05</v>
      </c>
      <c r="G527" s="11">
        <v>45799</v>
      </c>
      <c r="H527" s="12">
        <f t="shared" si="8"/>
        <v>2500</v>
      </c>
      <c r="I527" s="10" t="s">
        <v>10</v>
      </c>
      <c r="J527" s="13">
        <v>45741</v>
      </c>
    </row>
    <row r="528" hidden="1" spans="1:11">
      <c r="A528" t="s">
        <v>319</v>
      </c>
      <c r="B528" s="8">
        <v>242503338</v>
      </c>
      <c r="C528" s="9">
        <v>45729</v>
      </c>
      <c r="D528" s="8" t="s">
        <v>35</v>
      </c>
      <c r="E528" s="10">
        <v>50000</v>
      </c>
      <c r="F528" s="8">
        <v>0.05</v>
      </c>
      <c r="G528" s="11">
        <v>45830</v>
      </c>
      <c r="H528" s="12">
        <f t="shared" si="8"/>
        <v>2500</v>
      </c>
      <c r="I528" s="10" t="s">
        <v>10</v>
      </c>
      <c r="J528" s="13">
        <v>45741</v>
      </c>
    </row>
    <row r="529" hidden="1" spans="1:11">
      <c r="A529" t="s">
        <v>319</v>
      </c>
      <c r="B529" s="8">
        <v>242503339</v>
      </c>
      <c r="C529" s="9">
        <v>45729</v>
      </c>
      <c r="D529" s="8" t="s">
        <v>530</v>
      </c>
      <c r="E529" s="10">
        <v>300000</v>
      </c>
      <c r="F529" s="8">
        <v>0.015</v>
      </c>
      <c r="G529" s="11">
        <v>45738</v>
      </c>
      <c r="H529" s="12">
        <f t="shared" si="8"/>
        <v>4500</v>
      </c>
      <c r="I529" s="10" t="s">
        <v>10</v>
      </c>
      <c r="J529" s="13">
        <v>45736</v>
      </c>
    </row>
    <row r="530" hidden="1" spans="1:11">
      <c r="A530" t="s">
        <v>319</v>
      </c>
      <c r="B530" s="8">
        <v>242503339</v>
      </c>
      <c r="C530" s="9">
        <v>45729</v>
      </c>
      <c r="D530" s="8" t="s">
        <v>530</v>
      </c>
      <c r="E530" s="10">
        <v>300000</v>
      </c>
      <c r="F530" s="8">
        <v>0.015</v>
      </c>
      <c r="G530" s="11">
        <v>45769</v>
      </c>
      <c r="H530" s="12">
        <f t="shared" si="8"/>
        <v>4500</v>
      </c>
      <c r="I530" s="10" t="s">
        <v>10</v>
      </c>
      <c r="J530" s="13">
        <v>45736</v>
      </c>
    </row>
    <row r="531" hidden="1" spans="1:11">
      <c r="A531" t="s">
        <v>319</v>
      </c>
      <c r="B531" s="8">
        <v>242503339</v>
      </c>
      <c r="C531" s="9">
        <v>45729</v>
      </c>
      <c r="D531" s="8" t="s">
        <v>530</v>
      </c>
      <c r="E531" s="10">
        <v>200000</v>
      </c>
      <c r="F531" s="8">
        <v>0.015</v>
      </c>
      <c r="G531" s="11">
        <v>45830</v>
      </c>
      <c r="H531" s="12">
        <f t="shared" si="8"/>
        <v>3000</v>
      </c>
      <c r="I531" s="10" t="s">
        <v>10</v>
      </c>
      <c r="J531" s="13">
        <v>45736</v>
      </c>
    </row>
    <row r="532" hidden="1" spans="1:11">
      <c r="A532" t="s">
        <v>319</v>
      </c>
      <c r="B532" s="8">
        <v>242503339</v>
      </c>
      <c r="C532" s="9">
        <v>45729</v>
      </c>
      <c r="D532" s="8" t="s">
        <v>530</v>
      </c>
      <c r="E532" s="10">
        <v>200000</v>
      </c>
      <c r="F532" s="8">
        <v>0.015</v>
      </c>
      <c r="G532" s="11">
        <v>45860</v>
      </c>
      <c r="H532" s="12">
        <f t="shared" si="8"/>
        <v>3000</v>
      </c>
      <c r="I532" s="10" t="s">
        <v>10</v>
      </c>
      <c r="J532" s="13">
        <v>45736</v>
      </c>
    </row>
    <row r="533" hidden="1" spans="1:11">
      <c r="A533" t="s">
        <v>319</v>
      </c>
      <c r="B533" s="8">
        <v>242503357</v>
      </c>
      <c r="C533" s="9">
        <v>45733</v>
      </c>
      <c r="D533" s="8" t="s">
        <v>45</v>
      </c>
      <c r="E533" s="10">
        <v>40000</v>
      </c>
      <c r="F533" s="8">
        <v>0.024</v>
      </c>
      <c r="G533" s="11">
        <v>45799</v>
      </c>
      <c r="H533" s="12">
        <f t="shared" si="8"/>
        <v>960</v>
      </c>
      <c r="I533" s="10" t="s">
        <v>10</v>
      </c>
      <c r="J533" s="13">
        <v>45770</v>
      </c>
    </row>
    <row r="534" hidden="1" spans="1:11">
      <c r="A534" t="s">
        <v>319</v>
      </c>
      <c r="B534" s="8">
        <v>242503358</v>
      </c>
      <c r="C534" s="9">
        <v>45733</v>
      </c>
      <c r="D534" s="8" t="s">
        <v>45</v>
      </c>
      <c r="E534" s="10">
        <v>100000</v>
      </c>
      <c r="F534" s="8">
        <v>0.024</v>
      </c>
      <c r="G534" s="11">
        <v>45799</v>
      </c>
      <c r="H534" s="12">
        <f t="shared" si="8"/>
        <v>2400</v>
      </c>
      <c r="I534" s="10" t="s">
        <v>10</v>
      </c>
      <c r="J534" s="13">
        <v>45791</v>
      </c>
    </row>
    <row r="535" hidden="1" spans="1:11">
      <c r="A535" t="s">
        <v>319</v>
      </c>
      <c r="B535" s="8">
        <v>242503358</v>
      </c>
      <c r="C535" s="9">
        <v>45733</v>
      </c>
      <c r="D535" s="8" t="s">
        <v>45</v>
      </c>
      <c r="E535" s="10">
        <v>100000</v>
      </c>
      <c r="F535" s="8">
        <v>0.024</v>
      </c>
      <c r="G535" s="11">
        <v>45830</v>
      </c>
      <c r="H535" s="12">
        <f t="shared" si="8"/>
        <v>2400</v>
      </c>
      <c r="I535" s="10" t="s">
        <v>10</v>
      </c>
      <c r="J535" s="13">
        <v>45791</v>
      </c>
    </row>
    <row r="536" hidden="1" spans="1:11">
      <c r="A536" t="s">
        <v>319</v>
      </c>
      <c r="B536" s="8">
        <v>242503379</v>
      </c>
      <c r="C536" s="66">
        <v>45733</v>
      </c>
      <c r="D536" s="8" t="s">
        <v>163</v>
      </c>
      <c r="E536" s="67">
        <v>96000</v>
      </c>
      <c r="F536" s="8">
        <v>0.0025</v>
      </c>
      <c r="G536" s="11">
        <v>45721</v>
      </c>
      <c r="H536" s="68">
        <f t="shared" si="8"/>
        <v>240</v>
      </c>
      <c r="I536" s="67" t="s">
        <v>10</v>
      </c>
      <c r="J536" s="75">
        <v>45755</v>
      </c>
      <c r="K536" s="76" t="s">
        <v>380</v>
      </c>
    </row>
    <row r="537" hidden="1" spans="1:11">
      <c r="A537" t="s">
        <v>319</v>
      </c>
      <c r="B537" s="8">
        <v>242503379</v>
      </c>
      <c r="C537" s="66">
        <v>45733</v>
      </c>
      <c r="D537" s="8" t="s">
        <v>163</v>
      </c>
      <c r="E537" s="67">
        <v>96000</v>
      </c>
      <c r="F537" s="8">
        <v>0.0025</v>
      </c>
      <c r="G537" s="11">
        <v>45721</v>
      </c>
      <c r="H537" s="68">
        <f t="shared" si="8"/>
        <v>240</v>
      </c>
      <c r="I537" s="67" t="s">
        <v>10</v>
      </c>
      <c r="J537" s="75">
        <v>45755</v>
      </c>
      <c r="K537" s="76" t="s">
        <v>380</v>
      </c>
    </row>
    <row r="538" hidden="1" spans="1:11">
      <c r="A538" t="s">
        <v>319</v>
      </c>
      <c r="B538" s="8">
        <v>242503379</v>
      </c>
      <c r="C538" s="66">
        <v>45733</v>
      </c>
      <c r="D538" s="8" t="s">
        <v>163</v>
      </c>
      <c r="E538" s="67">
        <v>96000</v>
      </c>
      <c r="F538" s="8">
        <v>0.0025</v>
      </c>
      <c r="G538" s="11">
        <v>45769</v>
      </c>
      <c r="H538" s="68">
        <f t="shared" si="8"/>
        <v>240</v>
      </c>
      <c r="I538" s="67" t="s">
        <v>10</v>
      </c>
      <c r="J538" s="75">
        <v>45755</v>
      </c>
      <c r="K538" s="76" t="s">
        <v>380</v>
      </c>
    </row>
    <row r="539" hidden="1" spans="1:11">
      <c r="A539" t="s">
        <v>319</v>
      </c>
      <c r="B539" s="8">
        <v>242503379</v>
      </c>
      <c r="C539" s="66">
        <v>45733</v>
      </c>
      <c r="D539" s="8" t="s">
        <v>163</v>
      </c>
      <c r="E539" s="67">
        <v>112000</v>
      </c>
      <c r="F539" s="8">
        <v>0.0025</v>
      </c>
      <c r="G539" s="11">
        <v>45769</v>
      </c>
      <c r="H539" s="68">
        <f t="shared" si="8"/>
        <v>280</v>
      </c>
      <c r="I539" s="67" t="s">
        <v>10</v>
      </c>
      <c r="J539" s="75">
        <v>45755</v>
      </c>
      <c r="K539" s="76" t="s">
        <v>380</v>
      </c>
    </row>
    <row r="540" hidden="1" spans="1:11">
      <c r="A540" t="s">
        <v>319</v>
      </c>
      <c r="B540" s="8">
        <v>242503379</v>
      </c>
      <c r="C540" s="66">
        <v>45733</v>
      </c>
      <c r="D540" s="8" t="s">
        <v>163</v>
      </c>
      <c r="E540" s="67">
        <v>96000</v>
      </c>
      <c r="F540" s="8">
        <v>0.0025</v>
      </c>
      <c r="G540" s="11">
        <v>45769</v>
      </c>
      <c r="H540" s="68">
        <f t="shared" si="8"/>
        <v>240</v>
      </c>
      <c r="I540" s="67" t="s">
        <v>10</v>
      </c>
      <c r="J540" s="75">
        <v>45755</v>
      </c>
      <c r="K540" s="76" t="s">
        <v>380</v>
      </c>
    </row>
    <row r="541" hidden="1" spans="1:11">
      <c r="A541" t="s">
        <v>319</v>
      </c>
      <c r="B541" s="8">
        <v>242503379</v>
      </c>
      <c r="C541" s="66">
        <v>45733</v>
      </c>
      <c r="D541" s="8" t="s">
        <v>163</v>
      </c>
      <c r="E541" s="67">
        <v>96000</v>
      </c>
      <c r="F541" s="8">
        <v>0.0025</v>
      </c>
      <c r="G541" s="11">
        <v>45799</v>
      </c>
      <c r="H541" s="68">
        <f t="shared" si="8"/>
        <v>240</v>
      </c>
      <c r="I541" s="67" t="s">
        <v>10</v>
      </c>
      <c r="J541" s="75">
        <v>45755</v>
      </c>
      <c r="K541" s="76" t="s">
        <v>380</v>
      </c>
    </row>
    <row r="542" hidden="1" spans="1:11">
      <c r="A542" t="s">
        <v>319</v>
      </c>
      <c r="B542" s="8">
        <v>242503379</v>
      </c>
      <c r="C542" s="66">
        <v>45733</v>
      </c>
      <c r="D542" s="8" t="s">
        <v>163</v>
      </c>
      <c r="E542" s="67">
        <v>96000</v>
      </c>
      <c r="F542" s="8">
        <v>0.0025</v>
      </c>
      <c r="G542" s="11">
        <v>45799</v>
      </c>
      <c r="H542" s="68">
        <f t="shared" si="8"/>
        <v>240</v>
      </c>
      <c r="I542" s="67" t="s">
        <v>10</v>
      </c>
      <c r="J542" s="75">
        <v>45755</v>
      </c>
      <c r="K542" s="76" t="s">
        <v>380</v>
      </c>
    </row>
    <row r="543" hidden="1" spans="1:11">
      <c r="A543" t="s">
        <v>319</v>
      </c>
      <c r="B543" s="8">
        <v>242503379</v>
      </c>
      <c r="C543" s="66">
        <v>45733</v>
      </c>
      <c r="D543" s="8" t="s">
        <v>163</v>
      </c>
      <c r="E543" s="67">
        <v>112000</v>
      </c>
      <c r="F543" s="8">
        <v>0.0025</v>
      </c>
      <c r="G543" s="11">
        <v>45799</v>
      </c>
      <c r="H543" s="68">
        <f t="shared" si="8"/>
        <v>280</v>
      </c>
      <c r="I543" s="67" t="s">
        <v>10</v>
      </c>
      <c r="J543" s="75">
        <v>45755</v>
      </c>
      <c r="K543" s="76" t="s">
        <v>380</v>
      </c>
    </row>
    <row r="544" hidden="1" spans="1:11">
      <c r="A544" t="s">
        <v>319</v>
      </c>
      <c r="B544" s="8">
        <v>242503406</v>
      </c>
      <c r="C544" s="9">
        <v>45734</v>
      </c>
      <c r="D544" s="8" t="s">
        <v>67</v>
      </c>
      <c r="E544" s="10">
        <v>100000</v>
      </c>
      <c r="F544" s="8">
        <v>0.028</v>
      </c>
      <c r="G544" s="11">
        <v>45782</v>
      </c>
      <c r="H544" s="12">
        <f t="shared" si="8"/>
        <v>2800</v>
      </c>
      <c r="I544" s="67" t="s">
        <v>10</v>
      </c>
      <c r="J544" s="13">
        <v>45741</v>
      </c>
      <c r="K544" t="s">
        <v>405</v>
      </c>
    </row>
    <row r="545" hidden="1" spans="1:11">
      <c r="A545" t="s">
        <v>319</v>
      </c>
      <c r="B545" s="8">
        <v>242503406</v>
      </c>
      <c r="C545" s="9">
        <v>45734</v>
      </c>
      <c r="D545" s="8" t="s">
        <v>67</v>
      </c>
      <c r="E545" s="10">
        <v>100000</v>
      </c>
      <c r="F545" s="8">
        <v>0.028</v>
      </c>
      <c r="G545" s="11">
        <v>45813</v>
      </c>
      <c r="H545" s="12">
        <f t="shared" si="8"/>
        <v>2800</v>
      </c>
      <c r="I545" s="67" t="s">
        <v>10</v>
      </c>
      <c r="J545" s="13">
        <v>45741</v>
      </c>
      <c r="K545" t="s">
        <v>405</v>
      </c>
    </row>
    <row r="546" hidden="1" spans="1:11">
      <c r="A546" t="s">
        <v>319</v>
      </c>
      <c r="B546" s="8">
        <v>242503406</v>
      </c>
      <c r="C546" s="9">
        <v>45734</v>
      </c>
      <c r="D546" s="8" t="s">
        <v>517</v>
      </c>
      <c r="E546" s="10">
        <v>300000</v>
      </c>
      <c r="F546" s="8">
        <v>0.0238</v>
      </c>
      <c r="G546" s="11">
        <v>45782</v>
      </c>
      <c r="H546" s="12">
        <f t="shared" si="8"/>
        <v>7140</v>
      </c>
      <c r="I546" s="67" t="s">
        <v>10</v>
      </c>
      <c r="J546" s="13">
        <v>45741</v>
      </c>
      <c r="K546" t="s">
        <v>405</v>
      </c>
    </row>
    <row r="547" hidden="1" spans="1:11">
      <c r="A547" t="s">
        <v>319</v>
      </c>
      <c r="B547" s="8">
        <v>242503406</v>
      </c>
      <c r="C547" s="9">
        <v>45734</v>
      </c>
      <c r="D547" s="8" t="s">
        <v>517</v>
      </c>
      <c r="E547" s="10">
        <v>250000</v>
      </c>
      <c r="F547" s="8">
        <v>0.0238</v>
      </c>
      <c r="G547" s="11">
        <v>45813</v>
      </c>
      <c r="H547" s="12">
        <f t="shared" si="8"/>
        <v>5950</v>
      </c>
      <c r="I547" s="67" t="s">
        <v>10</v>
      </c>
      <c r="J547" s="13">
        <v>45741</v>
      </c>
      <c r="K547" t="s">
        <v>405</v>
      </c>
    </row>
    <row r="548" hidden="1" spans="1:11">
      <c r="A548" t="s">
        <v>319</v>
      </c>
      <c r="B548" s="8">
        <v>242503407</v>
      </c>
      <c r="C548" s="9">
        <v>45734</v>
      </c>
      <c r="D548" s="8" t="s">
        <v>16</v>
      </c>
      <c r="E548" s="10">
        <v>220000</v>
      </c>
      <c r="F548" s="8">
        <v>0.0292</v>
      </c>
      <c r="G548" s="11">
        <v>45843</v>
      </c>
      <c r="H548" s="12">
        <f t="shared" si="8"/>
        <v>6424</v>
      </c>
      <c r="I548" s="67" t="s">
        <v>10</v>
      </c>
      <c r="J548" s="13">
        <v>45796</v>
      </c>
      <c r="K548" t="s">
        <v>405</v>
      </c>
    </row>
    <row r="549" hidden="1" spans="1:11">
      <c r="A549" t="s">
        <v>319</v>
      </c>
      <c r="B549" s="8">
        <v>242503407</v>
      </c>
      <c r="C549" s="9">
        <v>45734</v>
      </c>
      <c r="D549" s="8" t="s">
        <v>16</v>
      </c>
      <c r="E549" s="10">
        <v>220000</v>
      </c>
      <c r="F549" s="8">
        <v>0.0292</v>
      </c>
      <c r="G549" s="11">
        <v>45874</v>
      </c>
      <c r="H549" s="12">
        <f t="shared" si="8"/>
        <v>6424</v>
      </c>
      <c r="I549" s="67" t="s">
        <v>10</v>
      </c>
      <c r="J549" s="13">
        <v>45796</v>
      </c>
      <c r="K549" t="s">
        <v>405</v>
      </c>
    </row>
    <row r="550" hidden="1" spans="1:11">
      <c r="A550" t="s">
        <v>319</v>
      </c>
      <c r="B550" s="8">
        <v>242503407</v>
      </c>
      <c r="C550" s="9">
        <v>45734</v>
      </c>
      <c r="D550" s="8" t="s">
        <v>103</v>
      </c>
      <c r="E550" s="10">
        <v>30000</v>
      </c>
      <c r="F550" s="8">
        <v>0.028</v>
      </c>
      <c r="G550" s="11">
        <v>45843</v>
      </c>
      <c r="H550" s="12">
        <f t="shared" si="8"/>
        <v>840</v>
      </c>
      <c r="I550" s="67" t="s">
        <v>10</v>
      </c>
      <c r="J550" s="13">
        <v>45796</v>
      </c>
      <c r="K550" t="s">
        <v>405</v>
      </c>
    </row>
    <row r="551" hidden="1" spans="1:11">
      <c r="A551" t="s">
        <v>319</v>
      </c>
      <c r="B551" s="8">
        <v>242503407</v>
      </c>
      <c r="C551" s="9">
        <v>45734</v>
      </c>
      <c r="D551" s="8" t="s">
        <v>103</v>
      </c>
      <c r="E551" s="10">
        <v>30000</v>
      </c>
      <c r="F551" s="8">
        <v>0.028</v>
      </c>
      <c r="G551" s="11">
        <v>45874</v>
      </c>
      <c r="H551" s="12">
        <f t="shared" si="8"/>
        <v>840</v>
      </c>
      <c r="I551" s="67" t="s">
        <v>10</v>
      </c>
      <c r="J551" s="13">
        <v>45796</v>
      </c>
      <c r="K551" t="s">
        <v>405</v>
      </c>
    </row>
    <row r="552" hidden="1" spans="1:11">
      <c r="A552" t="s">
        <v>319</v>
      </c>
      <c r="B552" s="8">
        <v>242503407</v>
      </c>
      <c r="C552" s="9">
        <v>45734</v>
      </c>
      <c r="D552" s="8" t="s">
        <v>104</v>
      </c>
      <c r="E552" s="10">
        <v>70000</v>
      </c>
      <c r="F552" s="8">
        <v>0.028</v>
      </c>
      <c r="G552" s="11">
        <v>45843</v>
      </c>
      <c r="H552" s="12">
        <f t="shared" si="8"/>
        <v>1960</v>
      </c>
      <c r="I552" s="67" t="s">
        <v>10</v>
      </c>
      <c r="J552" s="13">
        <v>45796</v>
      </c>
      <c r="K552" t="s">
        <v>405</v>
      </c>
    </row>
    <row r="553" hidden="1" spans="1:11">
      <c r="A553" t="s">
        <v>319</v>
      </c>
      <c r="B553" s="8">
        <v>242503407</v>
      </c>
      <c r="C553" s="9">
        <v>45734</v>
      </c>
      <c r="D553" s="8" t="s">
        <v>104</v>
      </c>
      <c r="E553" s="10">
        <v>70000</v>
      </c>
      <c r="F553" s="8">
        <v>0.028</v>
      </c>
      <c r="G553" s="11">
        <v>45874</v>
      </c>
      <c r="H553" s="12">
        <f t="shared" si="8"/>
        <v>1960</v>
      </c>
      <c r="I553" s="67" t="s">
        <v>10</v>
      </c>
      <c r="J553" s="13">
        <v>45796</v>
      </c>
      <c r="K553" t="s">
        <v>405</v>
      </c>
    </row>
    <row r="554" hidden="1" spans="1:11">
      <c r="A554" t="s">
        <v>319</v>
      </c>
      <c r="B554" s="8">
        <v>242503407</v>
      </c>
      <c r="C554" s="9">
        <v>45734</v>
      </c>
      <c r="D554" s="8" t="s">
        <v>67</v>
      </c>
      <c r="E554" s="10">
        <v>100000</v>
      </c>
      <c r="F554" s="8">
        <v>0.028</v>
      </c>
      <c r="G554" s="11">
        <v>45843</v>
      </c>
      <c r="H554" s="12">
        <f t="shared" si="8"/>
        <v>2800</v>
      </c>
      <c r="I554" s="67" t="s">
        <v>10</v>
      </c>
      <c r="J554" s="13">
        <v>45796</v>
      </c>
      <c r="K554" t="s">
        <v>405</v>
      </c>
    </row>
    <row r="555" hidden="1" spans="1:11">
      <c r="A555" t="s">
        <v>319</v>
      </c>
      <c r="B555" s="8">
        <v>242503407</v>
      </c>
      <c r="C555" s="9">
        <v>45734</v>
      </c>
      <c r="D555" s="8" t="s">
        <v>67</v>
      </c>
      <c r="E555" s="10">
        <v>100000</v>
      </c>
      <c r="F555" s="8">
        <v>0.028</v>
      </c>
      <c r="G555" s="11">
        <v>45874</v>
      </c>
      <c r="H555" s="12">
        <f t="shared" si="8"/>
        <v>2800</v>
      </c>
      <c r="I555" s="67" t="s">
        <v>10</v>
      </c>
      <c r="J555" s="13">
        <v>45796</v>
      </c>
      <c r="K555" t="s">
        <v>405</v>
      </c>
    </row>
    <row r="556" hidden="1" spans="1:11">
      <c r="A556" t="s">
        <v>319</v>
      </c>
      <c r="B556" s="8">
        <v>242503407</v>
      </c>
      <c r="C556" s="9">
        <v>45734</v>
      </c>
      <c r="D556" s="8" t="s">
        <v>517</v>
      </c>
      <c r="E556" s="10">
        <v>250000</v>
      </c>
      <c r="F556" s="8">
        <v>0.0238</v>
      </c>
      <c r="G556" s="11">
        <v>45843</v>
      </c>
      <c r="H556" s="12">
        <f t="shared" si="8"/>
        <v>5950</v>
      </c>
      <c r="I556" s="10" t="s">
        <v>10</v>
      </c>
      <c r="J556" s="13">
        <v>45797</v>
      </c>
      <c r="K556" t="s">
        <v>405</v>
      </c>
    </row>
    <row r="557" hidden="1" spans="1:11">
      <c r="A557" t="s">
        <v>319</v>
      </c>
      <c r="B557" s="8">
        <v>242503407</v>
      </c>
      <c r="C557" s="9">
        <v>45734</v>
      </c>
      <c r="D557" s="8" t="s">
        <v>517</v>
      </c>
      <c r="E557" s="10">
        <v>220000</v>
      </c>
      <c r="F557" s="8">
        <v>0.0238</v>
      </c>
      <c r="G557" s="11">
        <v>45874</v>
      </c>
      <c r="H557" s="12">
        <f t="shared" si="8"/>
        <v>5236</v>
      </c>
      <c r="I557" s="10" t="s">
        <v>10</v>
      </c>
      <c r="J557" s="13">
        <v>45797</v>
      </c>
      <c r="K557" t="s">
        <v>405</v>
      </c>
    </row>
    <row r="558" hidden="1" spans="1:11">
      <c r="A558" t="s">
        <v>319</v>
      </c>
      <c r="B558" s="8">
        <v>242503408</v>
      </c>
      <c r="C558" s="9">
        <v>45734</v>
      </c>
      <c r="D558" s="8" t="s">
        <v>16</v>
      </c>
      <c r="E558" s="10">
        <v>220000</v>
      </c>
      <c r="F558" s="8">
        <v>0.0292</v>
      </c>
      <c r="G558" s="11">
        <v>45905</v>
      </c>
      <c r="H558" s="12">
        <f t="shared" si="8"/>
        <v>6424</v>
      </c>
      <c r="I558" s="67" t="s">
        <v>10</v>
      </c>
      <c r="J558" s="13">
        <v>45833</v>
      </c>
      <c r="K558" t="s">
        <v>405</v>
      </c>
    </row>
    <row r="559" hidden="1" spans="1:11">
      <c r="A559" t="s">
        <v>319</v>
      </c>
      <c r="B559" s="8">
        <v>242503408</v>
      </c>
      <c r="C559" s="9">
        <v>45734</v>
      </c>
      <c r="D559" s="8" t="s">
        <v>103</v>
      </c>
      <c r="E559" s="10">
        <v>30000</v>
      </c>
      <c r="F559" s="8">
        <v>0.028</v>
      </c>
      <c r="G559" s="11">
        <v>45905</v>
      </c>
      <c r="H559" s="12">
        <f t="shared" si="8"/>
        <v>840</v>
      </c>
      <c r="I559" s="67" t="s">
        <v>10</v>
      </c>
      <c r="J559" s="13">
        <v>45833</v>
      </c>
      <c r="K559" t="s">
        <v>405</v>
      </c>
    </row>
    <row r="560" hidden="1" spans="1:11">
      <c r="A560" t="s">
        <v>319</v>
      </c>
      <c r="B560" s="8">
        <v>242503408</v>
      </c>
      <c r="C560" s="9">
        <v>45734</v>
      </c>
      <c r="D560" s="8" t="s">
        <v>104</v>
      </c>
      <c r="E560" s="10">
        <v>70000</v>
      </c>
      <c r="F560" s="8">
        <v>0.028</v>
      </c>
      <c r="G560" s="11">
        <v>45905</v>
      </c>
      <c r="H560" s="12">
        <f t="shared" si="8"/>
        <v>1960</v>
      </c>
      <c r="I560" s="67" t="s">
        <v>10</v>
      </c>
      <c r="J560" s="13">
        <v>45833</v>
      </c>
      <c r="K560" t="s">
        <v>405</v>
      </c>
    </row>
    <row r="561" hidden="1" spans="1:11">
      <c r="A561" t="s">
        <v>319</v>
      </c>
      <c r="B561" s="8">
        <v>242503408</v>
      </c>
      <c r="C561" s="9">
        <v>45734</v>
      </c>
      <c r="D561" s="8" t="s">
        <v>517</v>
      </c>
      <c r="E561" s="10">
        <v>100000</v>
      </c>
      <c r="F561" s="8">
        <v>0.0238</v>
      </c>
      <c r="G561" s="11">
        <v>45905</v>
      </c>
      <c r="H561" s="12">
        <f t="shared" si="8"/>
        <v>2380</v>
      </c>
      <c r="I561" s="67" t="s">
        <v>10</v>
      </c>
      <c r="J561" s="13">
        <v>45833</v>
      </c>
      <c r="K561" t="s">
        <v>405</v>
      </c>
    </row>
    <row r="562" hidden="1" spans="1:11">
      <c r="A562" t="s">
        <v>319</v>
      </c>
      <c r="B562" s="8">
        <v>242503427</v>
      </c>
      <c r="C562" s="9">
        <v>45735</v>
      </c>
      <c r="D562" s="8" t="s">
        <v>531</v>
      </c>
      <c r="E562" s="10">
        <v>20000</v>
      </c>
      <c r="F562" s="8">
        <v>0.15</v>
      </c>
      <c r="G562" s="11">
        <v>45799</v>
      </c>
      <c r="H562" s="12">
        <f t="shared" si="8"/>
        <v>3000</v>
      </c>
      <c r="I562" s="67" t="s">
        <v>10</v>
      </c>
      <c r="J562" s="13">
        <v>45756</v>
      </c>
      <c r="K562" t="s">
        <v>377</v>
      </c>
    </row>
    <row r="563" hidden="1" spans="1:11">
      <c r="A563" t="s">
        <v>319</v>
      </c>
      <c r="B563" s="8">
        <v>242503472</v>
      </c>
      <c r="C563" s="9">
        <v>45736</v>
      </c>
      <c r="D563" s="8" t="s">
        <v>374</v>
      </c>
      <c r="E563" s="10">
        <v>100000</v>
      </c>
      <c r="F563" s="8">
        <v>0.01</v>
      </c>
      <c r="G563" s="11">
        <v>45738</v>
      </c>
      <c r="H563" s="12">
        <f t="shared" si="8"/>
        <v>1000</v>
      </c>
      <c r="I563" s="67" t="s">
        <v>10</v>
      </c>
      <c r="J563" s="15" t="s">
        <v>532</v>
      </c>
    </row>
    <row r="564" hidden="1" spans="1:11">
      <c r="A564" t="s">
        <v>319</v>
      </c>
      <c r="B564" s="8">
        <v>242503489</v>
      </c>
      <c r="C564" s="9">
        <v>45736</v>
      </c>
      <c r="D564" s="8" t="s">
        <v>226</v>
      </c>
      <c r="E564" s="10">
        <v>150000</v>
      </c>
      <c r="F564" s="8">
        <v>0.08</v>
      </c>
      <c r="G564" s="11">
        <v>45769</v>
      </c>
      <c r="H564" s="12">
        <f t="shared" si="8"/>
        <v>12000</v>
      </c>
      <c r="I564" s="67" t="s">
        <v>10</v>
      </c>
      <c r="J564" s="13">
        <v>45738</v>
      </c>
      <c r="K564" t="s">
        <v>486</v>
      </c>
    </row>
    <row r="565" hidden="1" spans="1:11">
      <c r="A565" t="s">
        <v>319</v>
      </c>
      <c r="B565" s="8">
        <v>242503489</v>
      </c>
      <c r="C565" s="9">
        <v>45736</v>
      </c>
      <c r="D565" s="8" t="s">
        <v>226</v>
      </c>
      <c r="E565" s="10">
        <v>150000</v>
      </c>
      <c r="F565" s="8">
        <v>0.08</v>
      </c>
      <c r="G565" s="11">
        <v>45799</v>
      </c>
      <c r="H565" s="12">
        <f t="shared" si="8"/>
        <v>12000</v>
      </c>
      <c r="I565" s="67" t="s">
        <v>10</v>
      </c>
      <c r="J565" s="13">
        <v>45738</v>
      </c>
      <c r="K565" t="s">
        <v>486</v>
      </c>
    </row>
    <row r="566" hidden="1" spans="1:11">
      <c r="A566" t="s">
        <v>319</v>
      </c>
      <c r="B566" s="8">
        <v>242503489</v>
      </c>
      <c r="C566" s="9">
        <v>45736</v>
      </c>
      <c r="D566" s="8" t="s">
        <v>226</v>
      </c>
      <c r="E566" s="10">
        <v>150000</v>
      </c>
      <c r="F566" s="8">
        <v>0.08</v>
      </c>
      <c r="G566" s="11">
        <v>45860</v>
      </c>
      <c r="H566" s="12">
        <f t="shared" si="8"/>
        <v>12000</v>
      </c>
      <c r="I566" s="67" t="s">
        <v>10</v>
      </c>
      <c r="J566" s="13">
        <v>45738</v>
      </c>
      <c r="K566" t="s">
        <v>486</v>
      </c>
    </row>
    <row r="567" hidden="1" spans="1:11">
      <c r="A567" t="s">
        <v>319</v>
      </c>
      <c r="B567" s="8">
        <v>242503493</v>
      </c>
      <c r="C567" s="9">
        <v>45736</v>
      </c>
      <c r="D567" s="8" t="s">
        <v>38</v>
      </c>
      <c r="E567" s="10">
        <v>56000</v>
      </c>
      <c r="F567" s="8">
        <v>0.01</v>
      </c>
      <c r="G567" s="11">
        <v>45752</v>
      </c>
      <c r="H567" s="12">
        <f t="shared" si="8"/>
        <v>560</v>
      </c>
      <c r="I567" s="67" t="s">
        <v>10</v>
      </c>
      <c r="J567" s="13">
        <v>45806</v>
      </c>
      <c r="K567" t="s">
        <v>460</v>
      </c>
    </row>
    <row r="568" hidden="1" spans="1:11">
      <c r="A568" t="s">
        <v>319</v>
      </c>
      <c r="B568" s="8">
        <v>242503493</v>
      </c>
      <c r="C568" s="9">
        <v>45736</v>
      </c>
      <c r="D568" s="8" t="s">
        <v>38</v>
      </c>
      <c r="E568" s="10">
        <v>56000</v>
      </c>
      <c r="F568" s="8">
        <v>0.01</v>
      </c>
      <c r="G568" s="11">
        <v>45782</v>
      </c>
      <c r="H568" s="12">
        <f t="shared" si="8"/>
        <v>560</v>
      </c>
      <c r="I568" s="67" t="s">
        <v>10</v>
      </c>
      <c r="J568" s="13">
        <v>45806</v>
      </c>
      <c r="K568" t="s">
        <v>460</v>
      </c>
    </row>
    <row r="569" hidden="1" spans="1:11">
      <c r="A569" t="s">
        <v>319</v>
      </c>
      <c r="B569" s="8">
        <v>242503493</v>
      </c>
      <c r="C569" s="9">
        <v>45736</v>
      </c>
      <c r="D569" s="8" t="s">
        <v>38</v>
      </c>
      <c r="E569" s="10">
        <v>52000</v>
      </c>
      <c r="F569" s="8">
        <v>0.01</v>
      </c>
      <c r="G569" s="11">
        <v>45813</v>
      </c>
      <c r="H569" s="12">
        <f t="shared" si="8"/>
        <v>520</v>
      </c>
      <c r="I569" s="67" t="s">
        <v>10</v>
      </c>
      <c r="J569" s="13">
        <v>45806</v>
      </c>
      <c r="K569" t="s">
        <v>460</v>
      </c>
    </row>
    <row r="570" hidden="1" spans="1:11">
      <c r="A570" t="s">
        <v>319</v>
      </c>
      <c r="B570" s="8">
        <v>242503493</v>
      </c>
      <c r="C570" s="9">
        <v>45736</v>
      </c>
      <c r="D570" s="8" t="s">
        <v>40</v>
      </c>
      <c r="E570" s="10">
        <v>30000</v>
      </c>
      <c r="F570" s="8">
        <v>0.035</v>
      </c>
      <c r="G570" s="11">
        <v>45752</v>
      </c>
      <c r="H570" s="12">
        <f t="shared" si="8"/>
        <v>1050</v>
      </c>
      <c r="I570" s="67" t="s">
        <v>10</v>
      </c>
      <c r="J570" s="13">
        <v>45812</v>
      </c>
      <c r="K570" t="s">
        <v>460</v>
      </c>
    </row>
    <row r="571" hidden="1" spans="1:11">
      <c r="A571" t="s">
        <v>319</v>
      </c>
      <c r="B571" s="8">
        <v>242503493</v>
      </c>
      <c r="C571" s="9">
        <v>45736</v>
      </c>
      <c r="D571" s="8" t="s">
        <v>40</v>
      </c>
      <c r="E571" s="10">
        <v>30000</v>
      </c>
      <c r="F571" s="8">
        <v>0.035</v>
      </c>
      <c r="G571" s="11">
        <v>45782</v>
      </c>
      <c r="H571" s="12">
        <f t="shared" si="8"/>
        <v>1050</v>
      </c>
      <c r="I571" s="67" t="s">
        <v>10</v>
      </c>
      <c r="J571" s="13">
        <v>45812</v>
      </c>
      <c r="K571" t="s">
        <v>460</v>
      </c>
    </row>
    <row r="572" hidden="1" spans="1:11">
      <c r="A572" t="s">
        <v>319</v>
      </c>
      <c r="B572" s="8">
        <v>242503495</v>
      </c>
      <c r="C572" s="9">
        <v>45736</v>
      </c>
      <c r="D572" s="8" t="s">
        <v>387</v>
      </c>
      <c r="E572" s="10">
        <v>50000</v>
      </c>
      <c r="F572" s="8">
        <v>0.03</v>
      </c>
      <c r="G572" s="11">
        <v>45738</v>
      </c>
      <c r="H572" s="12">
        <f t="shared" si="8"/>
        <v>1500</v>
      </c>
      <c r="I572" s="67" t="s">
        <v>10</v>
      </c>
      <c r="J572" s="13">
        <v>45738</v>
      </c>
      <c r="K572" t="s">
        <v>378</v>
      </c>
    </row>
    <row r="573" hidden="1" spans="1:11">
      <c r="A573" t="s">
        <v>319</v>
      </c>
      <c r="B573" s="8">
        <v>242503495</v>
      </c>
      <c r="C573" s="9">
        <v>45736</v>
      </c>
      <c r="D573" s="8" t="s">
        <v>533</v>
      </c>
      <c r="E573" s="10">
        <v>34000</v>
      </c>
      <c r="F573" s="8">
        <v>0.028</v>
      </c>
      <c r="G573" s="11">
        <v>45738</v>
      </c>
      <c r="H573" s="12">
        <f t="shared" si="8"/>
        <v>952</v>
      </c>
      <c r="I573" s="67" t="s">
        <v>10</v>
      </c>
      <c r="J573" s="13">
        <v>45738</v>
      </c>
      <c r="K573" t="s">
        <v>378</v>
      </c>
    </row>
    <row r="574" hidden="1" spans="1:11">
      <c r="A574" t="s">
        <v>319</v>
      </c>
      <c r="B574" s="8">
        <v>242503510</v>
      </c>
      <c r="C574" s="9">
        <v>45737</v>
      </c>
      <c r="D574" s="8" t="s">
        <v>29</v>
      </c>
      <c r="E574" s="10">
        <v>250000</v>
      </c>
      <c r="F574" s="8">
        <v>0.0216</v>
      </c>
      <c r="G574" s="11">
        <v>45830</v>
      </c>
      <c r="H574" s="12">
        <f t="shared" si="8"/>
        <v>5400</v>
      </c>
      <c r="I574" s="67" t="s">
        <v>10</v>
      </c>
      <c r="J574" s="13">
        <v>45812</v>
      </c>
      <c r="K574" t="s">
        <v>467</v>
      </c>
    </row>
    <row r="575" hidden="1" spans="1:11">
      <c r="A575" t="s">
        <v>319</v>
      </c>
      <c r="B575" s="8">
        <v>242503510</v>
      </c>
      <c r="C575" s="9">
        <v>45737</v>
      </c>
      <c r="D575" s="8" t="s">
        <v>29</v>
      </c>
      <c r="E575" s="10">
        <v>250000</v>
      </c>
      <c r="F575" s="8">
        <v>0.0216</v>
      </c>
      <c r="G575" s="11">
        <v>45830</v>
      </c>
      <c r="H575" s="12">
        <f t="shared" si="8"/>
        <v>5400</v>
      </c>
      <c r="I575" s="67" t="s">
        <v>10</v>
      </c>
      <c r="J575" s="13">
        <v>45812</v>
      </c>
      <c r="K575" t="s">
        <v>467</v>
      </c>
    </row>
    <row r="576" hidden="1" spans="1:11">
      <c r="A576" t="s">
        <v>319</v>
      </c>
      <c r="B576" s="8">
        <v>242503510</v>
      </c>
      <c r="C576" s="9">
        <v>45737</v>
      </c>
      <c r="D576" s="8" t="s">
        <v>29</v>
      </c>
      <c r="E576" s="10">
        <v>250000</v>
      </c>
      <c r="F576" s="8">
        <v>0.0216</v>
      </c>
      <c r="G576" s="11">
        <v>45830</v>
      </c>
      <c r="H576" s="12">
        <f t="shared" si="8"/>
        <v>5400</v>
      </c>
      <c r="I576" s="67" t="s">
        <v>10</v>
      </c>
      <c r="J576" s="13">
        <v>45812</v>
      </c>
      <c r="K576" t="s">
        <v>467</v>
      </c>
    </row>
    <row r="577" hidden="1" spans="1:11">
      <c r="A577" t="s">
        <v>319</v>
      </c>
      <c r="B577" s="8">
        <v>242503510</v>
      </c>
      <c r="C577" s="9">
        <v>45737</v>
      </c>
      <c r="D577" s="8" t="s">
        <v>29</v>
      </c>
      <c r="E577" s="10">
        <v>250000</v>
      </c>
      <c r="F577" s="8">
        <v>0.0216</v>
      </c>
      <c r="G577" s="11">
        <v>45830</v>
      </c>
      <c r="H577" s="12">
        <f t="shared" si="8"/>
        <v>5400</v>
      </c>
      <c r="I577" s="67" t="s">
        <v>10</v>
      </c>
      <c r="J577" s="13">
        <v>45812</v>
      </c>
      <c r="K577" t="s">
        <v>467</v>
      </c>
    </row>
    <row r="578" hidden="1" spans="1:11">
      <c r="A578" t="s">
        <v>319</v>
      </c>
      <c r="B578" s="8">
        <v>242503510</v>
      </c>
      <c r="C578" s="9">
        <v>45737</v>
      </c>
      <c r="D578" s="8" t="s">
        <v>29</v>
      </c>
      <c r="E578" s="10">
        <v>250000</v>
      </c>
      <c r="F578" s="8">
        <v>0.0216</v>
      </c>
      <c r="G578" s="11">
        <v>45891</v>
      </c>
      <c r="H578" s="12">
        <f t="shared" ref="H578:H641" si="9">E578*F578</f>
        <v>5400</v>
      </c>
      <c r="I578" s="67" t="s">
        <v>10</v>
      </c>
      <c r="J578" s="13">
        <v>45812</v>
      </c>
      <c r="K578" t="s">
        <v>467</v>
      </c>
    </row>
    <row r="579" hidden="1" spans="1:11">
      <c r="A579" t="s">
        <v>319</v>
      </c>
      <c r="B579" s="8">
        <v>242503510</v>
      </c>
      <c r="C579" s="9">
        <v>45737</v>
      </c>
      <c r="D579" s="8" t="s">
        <v>29</v>
      </c>
      <c r="E579" s="10">
        <v>250000</v>
      </c>
      <c r="F579" s="8">
        <v>0.0216</v>
      </c>
      <c r="G579" s="11">
        <v>45891</v>
      </c>
      <c r="H579" s="12">
        <f t="shared" si="9"/>
        <v>5400</v>
      </c>
      <c r="I579" s="67" t="s">
        <v>10</v>
      </c>
      <c r="J579" s="13">
        <v>45812</v>
      </c>
      <c r="K579" t="s">
        <v>467</v>
      </c>
    </row>
    <row r="580" hidden="1" spans="1:11">
      <c r="A580" t="s">
        <v>319</v>
      </c>
      <c r="B580" s="8">
        <v>242503510</v>
      </c>
      <c r="C580" s="9">
        <v>45737</v>
      </c>
      <c r="D580" s="8" t="s">
        <v>29</v>
      </c>
      <c r="E580" s="10">
        <v>250000</v>
      </c>
      <c r="F580" s="8">
        <v>0.0216</v>
      </c>
      <c r="G580" s="11">
        <v>45891</v>
      </c>
      <c r="H580" s="12">
        <f t="shared" si="9"/>
        <v>5400</v>
      </c>
      <c r="I580" s="67" t="s">
        <v>10</v>
      </c>
      <c r="J580" s="13">
        <v>45812</v>
      </c>
      <c r="K580" t="s">
        <v>467</v>
      </c>
    </row>
    <row r="581" hidden="1" spans="1:11">
      <c r="A581" t="s">
        <v>319</v>
      </c>
      <c r="B581" s="8">
        <v>242503510</v>
      </c>
      <c r="C581" s="9">
        <v>45737</v>
      </c>
      <c r="D581" s="8" t="s">
        <v>29</v>
      </c>
      <c r="E581" s="10">
        <v>250000</v>
      </c>
      <c r="F581" s="8">
        <v>0.0216</v>
      </c>
      <c r="G581" s="11">
        <v>45891</v>
      </c>
      <c r="H581" s="12">
        <f t="shared" si="9"/>
        <v>5400</v>
      </c>
      <c r="I581" s="67" t="s">
        <v>10</v>
      </c>
      <c r="J581" s="13">
        <v>45812</v>
      </c>
      <c r="K581" t="s">
        <v>467</v>
      </c>
    </row>
    <row r="582" hidden="1" spans="1:11">
      <c r="A582" t="s">
        <v>319</v>
      </c>
      <c r="B582" s="8">
        <v>242503511</v>
      </c>
      <c r="C582" s="9">
        <v>45737</v>
      </c>
      <c r="D582" s="8" t="s">
        <v>29</v>
      </c>
      <c r="E582" s="10">
        <v>250000</v>
      </c>
      <c r="F582" s="8">
        <v>0.0216</v>
      </c>
      <c r="G582" s="11">
        <v>45922</v>
      </c>
      <c r="H582" s="12">
        <f t="shared" si="9"/>
        <v>5400</v>
      </c>
      <c r="I582" s="67" t="s">
        <v>10</v>
      </c>
      <c r="J582" s="13">
        <v>45842</v>
      </c>
      <c r="K582" t="s">
        <v>467</v>
      </c>
    </row>
    <row r="583" hidden="1" spans="1:11">
      <c r="A583" t="s">
        <v>319</v>
      </c>
      <c r="B583" s="8">
        <v>242503511</v>
      </c>
      <c r="C583" s="9">
        <v>45737</v>
      </c>
      <c r="D583" s="8" t="s">
        <v>29</v>
      </c>
      <c r="E583" s="10">
        <v>250000</v>
      </c>
      <c r="F583" s="8">
        <v>0.0216</v>
      </c>
      <c r="G583" s="11">
        <v>45922</v>
      </c>
      <c r="H583" s="12">
        <f t="shared" si="9"/>
        <v>5400</v>
      </c>
      <c r="I583" s="67" t="s">
        <v>10</v>
      </c>
      <c r="J583" s="13">
        <v>45842</v>
      </c>
      <c r="K583" t="s">
        <v>467</v>
      </c>
    </row>
    <row r="584" hidden="1" spans="1:11">
      <c r="A584" t="s">
        <v>319</v>
      </c>
      <c r="B584" s="8">
        <v>242503511</v>
      </c>
      <c r="C584" s="9">
        <v>45737</v>
      </c>
      <c r="D584" s="8" t="s">
        <v>29</v>
      </c>
      <c r="E584" s="10">
        <v>250000</v>
      </c>
      <c r="F584" s="8">
        <v>0.0216</v>
      </c>
      <c r="G584" s="11">
        <v>45922</v>
      </c>
      <c r="H584" s="12">
        <f t="shared" si="9"/>
        <v>5400</v>
      </c>
      <c r="I584" s="67" t="s">
        <v>10</v>
      </c>
      <c r="J584" s="13">
        <v>45842</v>
      </c>
      <c r="K584" t="s">
        <v>467</v>
      </c>
    </row>
    <row r="585" hidden="1" spans="1:11">
      <c r="A585" t="s">
        <v>319</v>
      </c>
      <c r="B585" s="8">
        <v>242503511</v>
      </c>
      <c r="C585" s="9">
        <v>45737</v>
      </c>
      <c r="D585" s="8" t="s">
        <v>29</v>
      </c>
      <c r="E585" s="10">
        <v>250000</v>
      </c>
      <c r="F585" s="8">
        <v>0.0216</v>
      </c>
      <c r="G585" s="11">
        <v>45922</v>
      </c>
      <c r="H585" s="12">
        <f t="shared" si="9"/>
        <v>5400</v>
      </c>
      <c r="I585" s="67" t="s">
        <v>10</v>
      </c>
      <c r="J585" s="13">
        <v>45842</v>
      </c>
      <c r="K585" t="s">
        <v>467</v>
      </c>
    </row>
    <row r="586" hidden="1" spans="1:11">
      <c r="A586" t="s">
        <v>319</v>
      </c>
      <c r="B586" s="8">
        <v>242503512</v>
      </c>
      <c r="C586" s="9">
        <v>45737</v>
      </c>
      <c r="D586" s="8" t="s">
        <v>33</v>
      </c>
      <c r="E586" s="10">
        <v>250000</v>
      </c>
      <c r="F586" s="8">
        <v>0.018</v>
      </c>
      <c r="G586" s="11">
        <v>45799</v>
      </c>
      <c r="H586" s="12">
        <f t="shared" si="9"/>
        <v>4500</v>
      </c>
      <c r="I586" s="67" t="s">
        <v>10</v>
      </c>
      <c r="J586" s="13">
        <v>45789</v>
      </c>
      <c r="K586" t="s">
        <v>467</v>
      </c>
    </row>
    <row r="587" hidden="1" spans="1:11">
      <c r="A587" t="s">
        <v>319</v>
      </c>
      <c r="B587" s="8">
        <v>242503512</v>
      </c>
      <c r="C587" s="9">
        <v>45737</v>
      </c>
      <c r="D587" s="8" t="s">
        <v>33</v>
      </c>
      <c r="E587" s="10">
        <v>250000</v>
      </c>
      <c r="F587" s="8">
        <v>0.018</v>
      </c>
      <c r="G587" s="11">
        <v>45799</v>
      </c>
      <c r="H587" s="12">
        <f t="shared" si="9"/>
        <v>4500</v>
      </c>
      <c r="I587" s="67" t="s">
        <v>10</v>
      </c>
      <c r="J587" s="13">
        <v>45789</v>
      </c>
      <c r="K587" t="s">
        <v>467</v>
      </c>
    </row>
    <row r="588" hidden="1" spans="1:11">
      <c r="A588" t="s">
        <v>319</v>
      </c>
      <c r="B588" s="8">
        <v>242503512</v>
      </c>
      <c r="C588" s="9">
        <v>45737</v>
      </c>
      <c r="D588" s="8" t="s">
        <v>33</v>
      </c>
      <c r="E588" s="10">
        <v>200000</v>
      </c>
      <c r="F588" s="8">
        <v>0.018</v>
      </c>
      <c r="G588" s="11">
        <v>45830</v>
      </c>
      <c r="H588" s="12">
        <f t="shared" si="9"/>
        <v>3600</v>
      </c>
      <c r="I588" s="67" t="s">
        <v>10</v>
      </c>
      <c r="J588" s="13">
        <v>45789</v>
      </c>
      <c r="K588" t="s">
        <v>467</v>
      </c>
    </row>
    <row r="589" hidden="1" spans="1:11">
      <c r="A589" t="s">
        <v>319</v>
      </c>
      <c r="B589" s="8">
        <v>242503512</v>
      </c>
      <c r="C589" s="9">
        <v>45737</v>
      </c>
      <c r="D589" s="8" t="s">
        <v>33</v>
      </c>
      <c r="E589" s="10">
        <v>200000</v>
      </c>
      <c r="F589" s="8">
        <v>0.018</v>
      </c>
      <c r="G589" s="11">
        <v>45830</v>
      </c>
      <c r="H589" s="12">
        <f t="shared" si="9"/>
        <v>3600</v>
      </c>
      <c r="I589" s="67" t="s">
        <v>10</v>
      </c>
      <c r="J589" s="13">
        <v>45789</v>
      </c>
      <c r="K589" t="s">
        <v>467</v>
      </c>
    </row>
    <row r="590" hidden="1" spans="1:11">
      <c r="A590" t="s">
        <v>319</v>
      </c>
      <c r="B590" s="8">
        <v>242503513</v>
      </c>
      <c r="C590" s="9">
        <v>45737</v>
      </c>
      <c r="D590" s="8" t="s">
        <v>33</v>
      </c>
      <c r="E590" s="10">
        <v>200000</v>
      </c>
      <c r="F590" s="8">
        <v>0.018</v>
      </c>
      <c r="G590" s="11">
        <v>45891</v>
      </c>
      <c r="H590" s="12">
        <f t="shared" si="9"/>
        <v>3600</v>
      </c>
      <c r="I590" s="67" t="s">
        <v>10</v>
      </c>
      <c r="J590" s="13">
        <v>45842</v>
      </c>
      <c r="K590" t="s">
        <v>467</v>
      </c>
    </row>
    <row r="591" hidden="1" spans="1:11">
      <c r="A591" t="s">
        <v>319</v>
      </c>
      <c r="B591" s="8">
        <v>242503513</v>
      </c>
      <c r="C591" s="9">
        <v>45737</v>
      </c>
      <c r="D591" s="8" t="s">
        <v>33</v>
      </c>
      <c r="E591" s="10">
        <v>200000</v>
      </c>
      <c r="F591" s="8">
        <v>0.018</v>
      </c>
      <c r="G591" s="11">
        <v>45891</v>
      </c>
      <c r="H591" s="12">
        <f t="shared" si="9"/>
        <v>3600</v>
      </c>
      <c r="I591" s="67" t="s">
        <v>10</v>
      </c>
      <c r="J591" s="13">
        <v>45842</v>
      </c>
      <c r="K591" t="s">
        <v>467</v>
      </c>
    </row>
    <row r="592" hidden="1" spans="1:11">
      <c r="A592" t="s">
        <v>319</v>
      </c>
      <c r="B592" s="8">
        <v>242503513</v>
      </c>
      <c r="C592" s="9">
        <v>45737</v>
      </c>
      <c r="D592" s="8" t="s">
        <v>33</v>
      </c>
      <c r="E592" s="10">
        <v>200000</v>
      </c>
      <c r="F592" s="8">
        <v>0.018</v>
      </c>
      <c r="G592" s="11">
        <v>45891</v>
      </c>
      <c r="H592" s="12">
        <f t="shared" si="9"/>
        <v>3600</v>
      </c>
      <c r="I592" s="67" t="s">
        <v>10</v>
      </c>
      <c r="J592" s="13">
        <v>45842</v>
      </c>
      <c r="K592" t="s">
        <v>467</v>
      </c>
    </row>
    <row r="593" hidden="1" spans="1:11">
      <c r="A593" t="s">
        <v>319</v>
      </c>
      <c r="B593" s="8">
        <v>242503513</v>
      </c>
      <c r="C593" s="9">
        <v>45737</v>
      </c>
      <c r="D593" s="8" t="s">
        <v>33</v>
      </c>
      <c r="E593" s="10">
        <v>300000</v>
      </c>
      <c r="F593" s="8">
        <v>0.018</v>
      </c>
      <c r="G593" s="11">
        <v>45922</v>
      </c>
      <c r="H593" s="12">
        <f t="shared" si="9"/>
        <v>5400</v>
      </c>
      <c r="I593" s="67" t="s">
        <v>10</v>
      </c>
      <c r="J593" s="13">
        <v>45842</v>
      </c>
      <c r="K593" t="s">
        <v>467</v>
      </c>
    </row>
    <row r="594" hidden="1" spans="1:11">
      <c r="A594" t="s">
        <v>319</v>
      </c>
      <c r="B594" s="8">
        <v>242503514</v>
      </c>
      <c r="C594" s="9">
        <v>45737</v>
      </c>
      <c r="D594" s="8" t="s">
        <v>32</v>
      </c>
      <c r="E594" s="10">
        <v>300000</v>
      </c>
      <c r="F594" s="8">
        <v>0.014</v>
      </c>
      <c r="G594" s="11">
        <v>45830</v>
      </c>
      <c r="H594" s="12">
        <f t="shared" si="9"/>
        <v>4200</v>
      </c>
      <c r="I594" s="67" t="s">
        <v>10</v>
      </c>
      <c r="J594" s="13">
        <v>45842</v>
      </c>
      <c r="K594" t="s">
        <v>467</v>
      </c>
    </row>
    <row r="595" hidden="1" spans="1:11">
      <c r="A595" t="s">
        <v>319</v>
      </c>
      <c r="B595" s="8">
        <v>242503514</v>
      </c>
      <c r="C595" s="9">
        <v>45737</v>
      </c>
      <c r="D595" s="8" t="s">
        <v>32</v>
      </c>
      <c r="E595" s="10">
        <v>300000</v>
      </c>
      <c r="F595" s="8">
        <v>0.014</v>
      </c>
      <c r="G595" s="11">
        <v>45830</v>
      </c>
      <c r="H595" s="12">
        <f t="shared" si="9"/>
        <v>4200</v>
      </c>
      <c r="I595" s="67" t="s">
        <v>10</v>
      </c>
      <c r="J595" s="13">
        <v>45842</v>
      </c>
      <c r="K595" t="s">
        <v>467</v>
      </c>
    </row>
    <row r="596" hidden="1" spans="1:11">
      <c r="A596" t="s">
        <v>319</v>
      </c>
      <c r="B596" s="8">
        <v>242503514</v>
      </c>
      <c r="C596" s="9">
        <v>45737</v>
      </c>
      <c r="D596" s="8" t="s">
        <v>32</v>
      </c>
      <c r="E596" s="10">
        <v>300000</v>
      </c>
      <c r="F596" s="8">
        <v>0.014</v>
      </c>
      <c r="G596" s="11">
        <v>45891</v>
      </c>
      <c r="H596" s="12">
        <f t="shared" si="9"/>
        <v>4200</v>
      </c>
      <c r="I596" s="67" t="s">
        <v>10</v>
      </c>
      <c r="J596" s="13">
        <v>45842</v>
      </c>
      <c r="K596" t="s">
        <v>467</v>
      </c>
    </row>
    <row r="597" hidden="1" spans="1:11">
      <c r="A597" t="s">
        <v>319</v>
      </c>
      <c r="B597" s="8">
        <v>242503514</v>
      </c>
      <c r="C597" s="9">
        <v>45737</v>
      </c>
      <c r="D597" s="8" t="s">
        <v>32</v>
      </c>
      <c r="E597" s="10">
        <v>300000</v>
      </c>
      <c r="F597" s="8">
        <v>0.014</v>
      </c>
      <c r="G597" s="11">
        <v>45891</v>
      </c>
      <c r="H597" s="12">
        <f t="shared" si="9"/>
        <v>4200</v>
      </c>
      <c r="I597" s="67" t="s">
        <v>10</v>
      </c>
      <c r="J597" s="13">
        <v>45842</v>
      </c>
      <c r="K597" t="s">
        <v>467</v>
      </c>
    </row>
    <row r="598" hidden="1" spans="1:11">
      <c r="A598" t="s">
        <v>319</v>
      </c>
      <c r="B598" s="8">
        <v>242503514</v>
      </c>
      <c r="C598" s="9">
        <v>45737</v>
      </c>
      <c r="D598" s="8" t="s">
        <v>32</v>
      </c>
      <c r="E598" s="10">
        <v>300000</v>
      </c>
      <c r="F598" s="8">
        <v>0.014</v>
      </c>
      <c r="G598" s="11">
        <v>45922</v>
      </c>
      <c r="H598" s="12">
        <f t="shared" si="9"/>
        <v>4200</v>
      </c>
      <c r="I598" s="67" t="s">
        <v>10</v>
      </c>
      <c r="J598" s="13">
        <v>45842</v>
      </c>
      <c r="K598" t="s">
        <v>467</v>
      </c>
    </row>
    <row r="599" hidden="1" spans="1:11">
      <c r="A599" t="s">
        <v>319</v>
      </c>
      <c r="B599" s="8">
        <v>242503515</v>
      </c>
      <c r="C599" s="9">
        <v>45737</v>
      </c>
      <c r="D599" s="8" t="s">
        <v>58</v>
      </c>
      <c r="E599" s="10">
        <v>200000</v>
      </c>
      <c r="F599" s="8">
        <v>0.014</v>
      </c>
      <c r="G599" s="11">
        <v>45799</v>
      </c>
      <c r="H599" s="12">
        <f t="shared" si="9"/>
        <v>2800</v>
      </c>
      <c r="I599" s="67" t="s">
        <v>10</v>
      </c>
      <c r="J599" s="13">
        <v>45783</v>
      </c>
      <c r="K599" t="s">
        <v>467</v>
      </c>
    </row>
    <row r="600" hidden="1" spans="1:11">
      <c r="A600" t="s">
        <v>319</v>
      </c>
      <c r="B600" s="8">
        <v>242503515</v>
      </c>
      <c r="C600" s="9">
        <v>45737</v>
      </c>
      <c r="D600" s="8" t="s">
        <v>58</v>
      </c>
      <c r="E600" s="10">
        <v>200000</v>
      </c>
      <c r="F600" s="8">
        <v>0.014</v>
      </c>
      <c r="G600" s="11">
        <v>45799</v>
      </c>
      <c r="H600" s="12">
        <f t="shared" si="9"/>
        <v>2800</v>
      </c>
      <c r="I600" s="67" t="s">
        <v>10</v>
      </c>
      <c r="J600" s="13">
        <v>45783</v>
      </c>
      <c r="K600" t="s">
        <v>467</v>
      </c>
    </row>
    <row r="601" hidden="1" spans="1:11">
      <c r="A601" t="s">
        <v>319</v>
      </c>
      <c r="B601" s="8">
        <v>242503515</v>
      </c>
      <c r="C601" s="9">
        <v>45737</v>
      </c>
      <c r="D601" s="8" t="s">
        <v>58</v>
      </c>
      <c r="E601" s="10">
        <v>250000</v>
      </c>
      <c r="F601" s="8">
        <v>0.014</v>
      </c>
      <c r="G601" s="11">
        <v>45799</v>
      </c>
      <c r="H601" s="12">
        <f t="shared" si="9"/>
        <v>3500</v>
      </c>
      <c r="I601" s="67" t="s">
        <v>10</v>
      </c>
      <c r="J601" s="13">
        <v>45783</v>
      </c>
      <c r="K601" t="s">
        <v>467</v>
      </c>
    </row>
    <row r="602" hidden="1" spans="1:11">
      <c r="A602" t="s">
        <v>319</v>
      </c>
      <c r="B602" s="8">
        <v>242503515</v>
      </c>
      <c r="C602" s="9">
        <v>45737</v>
      </c>
      <c r="D602" s="8" t="s">
        <v>58</v>
      </c>
      <c r="E602" s="10">
        <v>200000</v>
      </c>
      <c r="F602" s="8">
        <v>0.014</v>
      </c>
      <c r="G602" s="11">
        <v>45830</v>
      </c>
      <c r="H602" s="12">
        <f t="shared" si="9"/>
        <v>2800</v>
      </c>
      <c r="I602" s="67" t="s">
        <v>10</v>
      </c>
      <c r="J602" s="13">
        <v>45783</v>
      </c>
      <c r="K602" t="s">
        <v>467</v>
      </c>
    </row>
    <row r="603" hidden="1" spans="1:11">
      <c r="A603" t="s">
        <v>319</v>
      </c>
      <c r="B603" s="8">
        <v>242503515</v>
      </c>
      <c r="C603" s="9">
        <v>45737</v>
      </c>
      <c r="D603" s="8" t="s">
        <v>58</v>
      </c>
      <c r="E603" s="10">
        <v>200000</v>
      </c>
      <c r="F603" s="8">
        <v>0.014</v>
      </c>
      <c r="G603" s="11">
        <v>45830</v>
      </c>
      <c r="H603" s="12">
        <f t="shared" si="9"/>
        <v>2800</v>
      </c>
      <c r="I603" s="67" t="s">
        <v>10</v>
      </c>
      <c r="J603" s="13">
        <v>45783</v>
      </c>
      <c r="K603" t="s">
        <v>467</v>
      </c>
    </row>
    <row r="604" hidden="1" spans="1:11">
      <c r="A604" t="s">
        <v>319</v>
      </c>
      <c r="B604" s="8">
        <v>242503515</v>
      </c>
      <c r="C604" s="9">
        <v>45737</v>
      </c>
      <c r="D604" s="8" t="s">
        <v>58</v>
      </c>
      <c r="E604" s="10">
        <v>200000</v>
      </c>
      <c r="F604" s="8">
        <v>0.014</v>
      </c>
      <c r="G604" s="11">
        <v>45830</v>
      </c>
      <c r="H604" s="12">
        <f t="shared" si="9"/>
        <v>2800</v>
      </c>
      <c r="I604" s="67" t="s">
        <v>10</v>
      </c>
      <c r="J604" s="13">
        <v>45783</v>
      </c>
      <c r="K604" t="s">
        <v>467</v>
      </c>
    </row>
    <row r="605" hidden="1" spans="1:11">
      <c r="A605" t="s">
        <v>319</v>
      </c>
      <c r="B605" s="8">
        <v>242503516</v>
      </c>
      <c r="C605" s="9">
        <v>45737</v>
      </c>
      <c r="D605" s="8" t="s">
        <v>58</v>
      </c>
      <c r="E605" s="10">
        <v>200000</v>
      </c>
      <c r="F605" s="8">
        <v>0.014</v>
      </c>
      <c r="G605" s="11">
        <v>45891</v>
      </c>
      <c r="H605" s="12">
        <f t="shared" si="9"/>
        <v>2800</v>
      </c>
      <c r="I605" s="67" t="s">
        <v>10</v>
      </c>
      <c r="J605" s="13">
        <v>45842</v>
      </c>
      <c r="K605" t="s">
        <v>467</v>
      </c>
    </row>
    <row r="606" hidden="1" spans="1:11">
      <c r="A606" t="s">
        <v>319</v>
      </c>
      <c r="B606" s="8">
        <v>242503516</v>
      </c>
      <c r="C606" s="9">
        <v>45737</v>
      </c>
      <c r="D606" s="8" t="s">
        <v>58</v>
      </c>
      <c r="E606" s="10">
        <v>200000</v>
      </c>
      <c r="F606" s="8">
        <v>0.014</v>
      </c>
      <c r="G606" s="11">
        <v>45891</v>
      </c>
      <c r="H606" s="12">
        <f t="shared" si="9"/>
        <v>2800</v>
      </c>
      <c r="I606" s="67" t="s">
        <v>10</v>
      </c>
      <c r="J606" s="13">
        <v>45842</v>
      </c>
      <c r="K606" t="s">
        <v>467</v>
      </c>
    </row>
    <row r="607" hidden="1" spans="1:11">
      <c r="A607" t="s">
        <v>319</v>
      </c>
      <c r="B607" s="8">
        <v>242503516</v>
      </c>
      <c r="C607" s="9">
        <v>45737</v>
      </c>
      <c r="D607" s="8" t="s">
        <v>58</v>
      </c>
      <c r="E607" s="10">
        <v>200000</v>
      </c>
      <c r="F607" s="8">
        <v>0.014</v>
      </c>
      <c r="G607" s="11">
        <v>45891</v>
      </c>
      <c r="H607" s="12">
        <f t="shared" si="9"/>
        <v>2800</v>
      </c>
      <c r="I607" s="67" t="s">
        <v>10</v>
      </c>
      <c r="J607" s="13">
        <v>45842</v>
      </c>
      <c r="K607" t="s">
        <v>467</v>
      </c>
    </row>
    <row r="608" hidden="1" spans="1:11">
      <c r="A608" t="s">
        <v>319</v>
      </c>
      <c r="B608" s="8">
        <v>242503516</v>
      </c>
      <c r="C608" s="9">
        <v>45737</v>
      </c>
      <c r="D608" s="8" t="s">
        <v>58</v>
      </c>
      <c r="E608" s="10">
        <v>200000</v>
      </c>
      <c r="F608" s="8">
        <v>0.014</v>
      </c>
      <c r="G608" s="11">
        <v>45922</v>
      </c>
      <c r="H608" s="12">
        <f t="shared" si="9"/>
        <v>2800</v>
      </c>
      <c r="I608" s="67" t="s">
        <v>10</v>
      </c>
      <c r="J608" s="13">
        <v>45842</v>
      </c>
      <c r="K608" t="s">
        <v>467</v>
      </c>
    </row>
    <row r="609" hidden="1" spans="1:11">
      <c r="A609" t="s">
        <v>319</v>
      </c>
      <c r="B609" s="8">
        <v>242503517</v>
      </c>
      <c r="C609" s="9">
        <v>45737</v>
      </c>
      <c r="D609" s="8" t="s">
        <v>31</v>
      </c>
      <c r="E609" s="10">
        <v>250000</v>
      </c>
      <c r="F609" s="8">
        <v>0.03</v>
      </c>
      <c r="G609" s="11">
        <v>45769</v>
      </c>
      <c r="H609" s="12">
        <f t="shared" si="9"/>
        <v>7500</v>
      </c>
      <c r="I609" s="67" t="s">
        <v>10</v>
      </c>
      <c r="J609" s="13">
        <v>45749</v>
      </c>
      <c r="K609" t="s">
        <v>467</v>
      </c>
    </row>
    <row r="610" hidden="1" spans="1:11">
      <c r="A610" t="s">
        <v>319</v>
      </c>
      <c r="B610" s="8">
        <v>242503517</v>
      </c>
      <c r="C610" s="9">
        <v>45737</v>
      </c>
      <c r="D610" s="8" t="s">
        <v>31</v>
      </c>
      <c r="E610" s="10">
        <v>250000</v>
      </c>
      <c r="F610" s="8">
        <v>0.03</v>
      </c>
      <c r="G610" s="11">
        <v>45769</v>
      </c>
      <c r="H610" s="12">
        <f t="shared" si="9"/>
        <v>7500</v>
      </c>
      <c r="I610" s="67" t="s">
        <v>10</v>
      </c>
      <c r="J610" s="13">
        <v>45749</v>
      </c>
      <c r="K610" t="s">
        <v>467</v>
      </c>
    </row>
    <row r="611" hidden="1" spans="1:11">
      <c r="A611" t="s">
        <v>319</v>
      </c>
      <c r="B611" s="8">
        <v>242503517</v>
      </c>
      <c r="C611" s="9">
        <v>45737</v>
      </c>
      <c r="D611" s="8" t="s">
        <v>31</v>
      </c>
      <c r="E611" s="10">
        <v>250000</v>
      </c>
      <c r="F611" s="8">
        <v>0.03</v>
      </c>
      <c r="G611" s="11">
        <v>45769</v>
      </c>
      <c r="H611" s="12">
        <f t="shared" si="9"/>
        <v>7500</v>
      </c>
      <c r="I611" s="67" t="s">
        <v>10</v>
      </c>
      <c r="J611" s="13">
        <v>45749</v>
      </c>
      <c r="K611" t="s">
        <v>467</v>
      </c>
    </row>
    <row r="612" hidden="1" spans="1:11">
      <c r="A612" t="s">
        <v>319</v>
      </c>
      <c r="B612" s="8">
        <v>242503517</v>
      </c>
      <c r="C612" s="9">
        <v>45737</v>
      </c>
      <c r="D612" s="8" t="s">
        <v>31</v>
      </c>
      <c r="E612" s="10">
        <v>250000</v>
      </c>
      <c r="F612" s="8">
        <v>0.03</v>
      </c>
      <c r="G612" s="11">
        <v>45769</v>
      </c>
      <c r="H612" s="12">
        <f t="shared" si="9"/>
        <v>7500</v>
      </c>
      <c r="I612" s="67" t="s">
        <v>10</v>
      </c>
      <c r="J612" s="13">
        <v>45749</v>
      </c>
      <c r="K612" t="s">
        <v>467</v>
      </c>
    </row>
    <row r="613" hidden="1" spans="1:11">
      <c r="A613" t="s">
        <v>319</v>
      </c>
      <c r="B613" s="8">
        <v>242503518</v>
      </c>
      <c r="C613" s="9">
        <v>45737</v>
      </c>
      <c r="D613" s="8" t="s">
        <v>31</v>
      </c>
      <c r="E613" s="10">
        <v>200000</v>
      </c>
      <c r="F613" s="8">
        <v>0.024</v>
      </c>
      <c r="G613" s="11">
        <v>45830</v>
      </c>
      <c r="H613" s="12">
        <f t="shared" si="9"/>
        <v>4800</v>
      </c>
      <c r="I613" s="67" t="s">
        <v>10</v>
      </c>
      <c r="J613" s="13">
        <v>45842</v>
      </c>
      <c r="K613" t="s">
        <v>467</v>
      </c>
    </row>
    <row r="614" hidden="1" spans="1:11">
      <c r="A614" t="s">
        <v>319</v>
      </c>
      <c r="B614" s="8">
        <v>242503518</v>
      </c>
      <c r="C614" s="9">
        <v>45737</v>
      </c>
      <c r="D614" s="8" t="s">
        <v>31</v>
      </c>
      <c r="E614" s="10">
        <v>140000</v>
      </c>
      <c r="F614" s="8">
        <v>0.024</v>
      </c>
      <c r="G614" s="11">
        <v>45830</v>
      </c>
      <c r="H614" s="12">
        <f t="shared" si="9"/>
        <v>3360</v>
      </c>
      <c r="I614" s="67" t="s">
        <v>10</v>
      </c>
      <c r="J614" s="13">
        <v>45842</v>
      </c>
      <c r="K614" t="s">
        <v>467</v>
      </c>
    </row>
    <row r="615" hidden="1" spans="1:11">
      <c r="A615" t="s">
        <v>319</v>
      </c>
      <c r="B615" s="8">
        <v>242503518</v>
      </c>
      <c r="C615" s="9">
        <v>45737</v>
      </c>
      <c r="D615" s="8" t="s">
        <v>31</v>
      </c>
      <c r="E615" s="10">
        <v>250000</v>
      </c>
      <c r="F615" s="8">
        <v>0.024</v>
      </c>
      <c r="G615" s="11">
        <v>45891</v>
      </c>
      <c r="H615" s="12">
        <f t="shared" si="9"/>
        <v>6000</v>
      </c>
      <c r="I615" s="67" t="s">
        <v>10</v>
      </c>
      <c r="J615" s="13">
        <v>45842</v>
      </c>
      <c r="K615" t="s">
        <v>467</v>
      </c>
    </row>
    <row r="616" hidden="1" spans="1:11">
      <c r="A616" t="s">
        <v>319</v>
      </c>
      <c r="B616" s="8">
        <v>242503518</v>
      </c>
      <c r="C616" s="9">
        <v>45737</v>
      </c>
      <c r="D616" s="8" t="s">
        <v>31</v>
      </c>
      <c r="E616" s="10">
        <v>250000</v>
      </c>
      <c r="F616" s="8">
        <v>0.024</v>
      </c>
      <c r="G616" s="11">
        <v>45891</v>
      </c>
      <c r="H616" s="12">
        <f t="shared" si="9"/>
        <v>6000</v>
      </c>
      <c r="I616" s="67" t="s">
        <v>10</v>
      </c>
      <c r="J616" s="13">
        <v>45842</v>
      </c>
      <c r="K616" t="s">
        <v>467</v>
      </c>
    </row>
    <row r="617" hidden="1" spans="1:11">
      <c r="A617" t="s">
        <v>319</v>
      </c>
      <c r="B617" s="8">
        <v>242503518</v>
      </c>
      <c r="C617" s="9">
        <v>45737</v>
      </c>
      <c r="D617" s="8" t="s">
        <v>31</v>
      </c>
      <c r="E617" s="10">
        <v>300000</v>
      </c>
      <c r="F617" s="8">
        <v>0.024</v>
      </c>
      <c r="G617" s="11">
        <v>45891</v>
      </c>
      <c r="H617" s="12">
        <f t="shared" si="9"/>
        <v>7200</v>
      </c>
      <c r="I617" s="67" t="s">
        <v>10</v>
      </c>
      <c r="J617" s="13">
        <v>45842</v>
      </c>
      <c r="K617" t="s">
        <v>467</v>
      </c>
    </row>
    <row r="618" hidden="1" spans="1:11">
      <c r="A618" t="s">
        <v>319</v>
      </c>
      <c r="B618" s="8">
        <v>242503519</v>
      </c>
      <c r="C618" s="9">
        <v>45737</v>
      </c>
      <c r="D618" s="8" t="s">
        <v>78</v>
      </c>
      <c r="E618" s="10">
        <v>60000</v>
      </c>
      <c r="F618" s="8">
        <v>0.016</v>
      </c>
      <c r="G618" s="11">
        <v>45799</v>
      </c>
      <c r="H618" s="12">
        <f t="shared" si="9"/>
        <v>960</v>
      </c>
      <c r="I618" s="67" t="s">
        <v>10</v>
      </c>
      <c r="J618" s="13">
        <v>45789</v>
      </c>
      <c r="K618" t="s">
        <v>467</v>
      </c>
    </row>
    <row r="619" hidden="1" spans="1:11">
      <c r="A619" t="s">
        <v>319</v>
      </c>
      <c r="B619" s="8">
        <v>242503519</v>
      </c>
      <c r="C619" s="9">
        <v>45737</v>
      </c>
      <c r="D619" s="8" t="s">
        <v>78</v>
      </c>
      <c r="E619" s="10">
        <v>60000</v>
      </c>
      <c r="F619" s="8">
        <v>0.016</v>
      </c>
      <c r="G619" s="11">
        <v>45830</v>
      </c>
      <c r="H619" s="12">
        <f t="shared" si="9"/>
        <v>960</v>
      </c>
      <c r="I619" s="67" t="s">
        <v>10</v>
      </c>
      <c r="J619" s="13">
        <v>45789</v>
      </c>
      <c r="K619" t="s">
        <v>467</v>
      </c>
    </row>
    <row r="620" hidden="1" spans="1:11">
      <c r="A620" t="s">
        <v>319</v>
      </c>
      <c r="B620" s="8">
        <v>242503520</v>
      </c>
      <c r="C620" s="9">
        <v>45737</v>
      </c>
      <c r="D620" s="8" t="s">
        <v>31</v>
      </c>
      <c r="E620" s="10">
        <v>200000</v>
      </c>
      <c r="F620" s="8">
        <v>0.024</v>
      </c>
      <c r="G620" s="11">
        <v>45799</v>
      </c>
      <c r="H620" s="12">
        <f t="shared" si="9"/>
        <v>4800</v>
      </c>
      <c r="I620" s="67" t="s">
        <v>10</v>
      </c>
      <c r="J620" s="13">
        <v>45789</v>
      </c>
      <c r="K620" t="s">
        <v>467</v>
      </c>
    </row>
    <row r="621" hidden="1" spans="1:11">
      <c r="A621" t="s">
        <v>319</v>
      </c>
      <c r="B621" s="8">
        <v>242503520</v>
      </c>
      <c r="C621" s="9">
        <v>45737</v>
      </c>
      <c r="D621" s="8" t="s">
        <v>31</v>
      </c>
      <c r="E621" s="10">
        <v>200000</v>
      </c>
      <c r="F621" s="8">
        <v>0.024</v>
      </c>
      <c r="G621" s="11">
        <v>45799</v>
      </c>
      <c r="H621" s="12">
        <f t="shared" si="9"/>
        <v>4800</v>
      </c>
      <c r="I621" s="67" t="s">
        <v>10</v>
      </c>
      <c r="J621" s="13">
        <v>45789</v>
      </c>
      <c r="K621" t="s">
        <v>467</v>
      </c>
    </row>
    <row r="622" hidden="1" spans="1:11">
      <c r="A622" t="s">
        <v>319</v>
      </c>
      <c r="B622" s="8">
        <v>242503520</v>
      </c>
      <c r="C622" s="9">
        <v>45737</v>
      </c>
      <c r="D622" s="8" t="s">
        <v>31</v>
      </c>
      <c r="E622" s="10">
        <v>200000</v>
      </c>
      <c r="F622" s="8">
        <v>0.024</v>
      </c>
      <c r="G622" s="11">
        <v>45799</v>
      </c>
      <c r="H622" s="12">
        <f t="shared" si="9"/>
        <v>4800</v>
      </c>
      <c r="I622" s="67" t="s">
        <v>10</v>
      </c>
      <c r="J622" s="13">
        <v>45789</v>
      </c>
      <c r="K622" t="s">
        <v>467</v>
      </c>
    </row>
    <row r="623" hidden="1" spans="1:11">
      <c r="A623" t="s">
        <v>319</v>
      </c>
      <c r="B623" s="8">
        <v>242503520</v>
      </c>
      <c r="C623" s="9">
        <v>45737</v>
      </c>
      <c r="D623" s="8" t="s">
        <v>31</v>
      </c>
      <c r="E623" s="10">
        <v>200000</v>
      </c>
      <c r="F623" s="8">
        <v>0.024</v>
      </c>
      <c r="G623" s="11">
        <v>45799</v>
      </c>
      <c r="H623" s="12">
        <f t="shared" si="9"/>
        <v>4800</v>
      </c>
      <c r="I623" s="67" t="s">
        <v>10</v>
      </c>
      <c r="J623" s="13">
        <v>45789</v>
      </c>
      <c r="K623" t="s">
        <v>467</v>
      </c>
    </row>
    <row r="624" hidden="1" spans="1:11">
      <c r="A624" t="s">
        <v>319</v>
      </c>
      <c r="B624" s="8">
        <v>242503557</v>
      </c>
      <c r="C624" s="9">
        <v>45741</v>
      </c>
      <c r="D624" s="8" t="s">
        <v>517</v>
      </c>
      <c r="E624" s="10">
        <v>100000</v>
      </c>
      <c r="F624" s="8">
        <v>0.0238</v>
      </c>
      <c r="G624" s="11">
        <v>45769</v>
      </c>
      <c r="H624" s="12">
        <f t="shared" si="9"/>
        <v>2380</v>
      </c>
      <c r="I624" s="67" t="s">
        <v>10</v>
      </c>
      <c r="J624" s="13">
        <v>45749</v>
      </c>
      <c r="K624" t="s">
        <v>405</v>
      </c>
    </row>
    <row r="625" hidden="1" spans="1:11">
      <c r="A625" t="s">
        <v>319</v>
      </c>
      <c r="B625" s="8">
        <v>242503557</v>
      </c>
      <c r="C625" s="9">
        <v>45741</v>
      </c>
      <c r="D625" s="8" t="s">
        <v>517</v>
      </c>
      <c r="E625" s="10">
        <v>100000</v>
      </c>
      <c r="F625" s="8">
        <v>0.0238</v>
      </c>
      <c r="G625" s="11">
        <v>45799</v>
      </c>
      <c r="H625" s="12">
        <f t="shared" si="9"/>
        <v>2380</v>
      </c>
      <c r="I625" s="67" t="s">
        <v>10</v>
      </c>
      <c r="J625" s="13">
        <v>45749</v>
      </c>
      <c r="K625" t="s">
        <v>405</v>
      </c>
    </row>
    <row r="626" hidden="1" spans="1:11">
      <c r="A626" t="s">
        <v>319</v>
      </c>
      <c r="B626" s="8">
        <v>242503558</v>
      </c>
      <c r="C626" s="9">
        <v>45741</v>
      </c>
      <c r="D626" s="8" t="s">
        <v>517</v>
      </c>
      <c r="E626" s="10">
        <v>100000</v>
      </c>
      <c r="F626" s="8">
        <v>0.0238</v>
      </c>
      <c r="G626" s="11">
        <v>45769</v>
      </c>
      <c r="H626" s="12">
        <f t="shared" si="9"/>
        <v>2380</v>
      </c>
      <c r="I626" s="67" t="s">
        <v>10</v>
      </c>
      <c r="J626" s="13">
        <v>45749</v>
      </c>
      <c r="K626" t="s">
        <v>528</v>
      </c>
    </row>
    <row r="627" hidden="1" spans="1:11">
      <c r="A627" t="s">
        <v>319</v>
      </c>
      <c r="B627" s="8">
        <v>242503558</v>
      </c>
      <c r="C627" s="9">
        <v>45741</v>
      </c>
      <c r="D627" s="8" t="s">
        <v>517</v>
      </c>
      <c r="E627" s="10">
        <v>100000</v>
      </c>
      <c r="F627" s="8">
        <v>0.0238</v>
      </c>
      <c r="G627" s="11">
        <v>45830</v>
      </c>
      <c r="H627" s="12">
        <f t="shared" si="9"/>
        <v>2380</v>
      </c>
      <c r="I627" s="67" t="s">
        <v>10</v>
      </c>
      <c r="J627" s="13">
        <v>45749</v>
      </c>
      <c r="K627" t="s">
        <v>528</v>
      </c>
    </row>
    <row r="628" hidden="1" spans="1:11">
      <c r="A628" t="s">
        <v>319</v>
      </c>
      <c r="B628" s="8">
        <v>242503559</v>
      </c>
      <c r="C628" s="9">
        <v>45741</v>
      </c>
      <c r="D628" s="8" t="s">
        <v>517</v>
      </c>
      <c r="E628" s="10">
        <v>100000</v>
      </c>
      <c r="F628" s="8">
        <v>0.0238</v>
      </c>
      <c r="G628" s="11">
        <v>45830</v>
      </c>
      <c r="H628" s="12">
        <f t="shared" si="9"/>
        <v>2380</v>
      </c>
      <c r="I628" s="67" t="s">
        <v>10</v>
      </c>
      <c r="J628" s="13">
        <v>45778</v>
      </c>
      <c r="K628" t="s">
        <v>405</v>
      </c>
    </row>
    <row r="629" hidden="1" spans="1:11">
      <c r="A629" t="s">
        <v>319</v>
      </c>
      <c r="B629" s="8">
        <v>242503559</v>
      </c>
      <c r="C629" s="9">
        <v>45741</v>
      </c>
      <c r="D629" s="8" t="s">
        <v>517</v>
      </c>
      <c r="E629" s="10">
        <v>100000</v>
      </c>
      <c r="F629" s="8">
        <v>0.0238</v>
      </c>
      <c r="G629" s="11">
        <v>45860</v>
      </c>
      <c r="H629" s="12">
        <f t="shared" si="9"/>
        <v>2380</v>
      </c>
      <c r="I629" s="67" t="s">
        <v>10</v>
      </c>
      <c r="J629" s="13">
        <v>45778</v>
      </c>
      <c r="K629" t="s">
        <v>405</v>
      </c>
    </row>
    <row r="630" hidden="1" spans="1:11">
      <c r="A630" t="s">
        <v>319</v>
      </c>
      <c r="B630" s="8">
        <v>242503560</v>
      </c>
      <c r="C630" s="9">
        <v>45741</v>
      </c>
      <c r="D630" s="8" t="s">
        <v>517</v>
      </c>
      <c r="E630" s="10">
        <v>100000</v>
      </c>
      <c r="F630" s="8">
        <v>0.0238</v>
      </c>
      <c r="G630" s="11">
        <v>45891</v>
      </c>
      <c r="H630" s="12">
        <f t="shared" si="9"/>
        <v>2380</v>
      </c>
      <c r="I630" s="67" t="s">
        <v>10</v>
      </c>
      <c r="J630" s="13">
        <v>45833</v>
      </c>
      <c r="K630" t="s">
        <v>405</v>
      </c>
    </row>
    <row r="631" hidden="1" spans="1:11">
      <c r="A631" t="s">
        <v>319</v>
      </c>
      <c r="B631" s="8">
        <v>242503561</v>
      </c>
      <c r="C631" s="9">
        <v>45741</v>
      </c>
      <c r="D631" s="8" t="s">
        <v>517</v>
      </c>
      <c r="E631" s="10">
        <v>160000</v>
      </c>
      <c r="F631" s="8">
        <v>0.0238</v>
      </c>
      <c r="G631" s="11">
        <v>45860</v>
      </c>
      <c r="H631" s="12">
        <f t="shared" si="9"/>
        <v>3808</v>
      </c>
      <c r="I631" s="67" t="s">
        <v>10</v>
      </c>
      <c r="J631" s="13">
        <v>45833</v>
      </c>
      <c r="K631" t="s">
        <v>528</v>
      </c>
    </row>
    <row r="632" hidden="1" spans="1:11">
      <c r="A632" t="s">
        <v>319</v>
      </c>
      <c r="B632" s="8">
        <v>242503561</v>
      </c>
      <c r="C632" s="9">
        <v>45741</v>
      </c>
      <c r="D632" s="8" t="s">
        <v>517</v>
      </c>
      <c r="E632" s="10">
        <v>160000</v>
      </c>
      <c r="F632" s="8">
        <v>0.0238</v>
      </c>
      <c r="G632" s="11">
        <v>45891</v>
      </c>
      <c r="H632" s="12">
        <f t="shared" si="9"/>
        <v>3808</v>
      </c>
      <c r="I632" s="67" t="s">
        <v>10</v>
      </c>
      <c r="J632" s="13">
        <v>45833</v>
      </c>
      <c r="K632" t="s">
        <v>528</v>
      </c>
    </row>
    <row r="633" hidden="1" spans="1:11">
      <c r="A633" t="s">
        <v>319</v>
      </c>
      <c r="B633" s="8">
        <v>242503562</v>
      </c>
      <c r="C633" s="9">
        <v>45742</v>
      </c>
      <c r="D633" s="8" t="s">
        <v>483</v>
      </c>
      <c r="E633" s="10">
        <v>50000</v>
      </c>
      <c r="F633" s="8">
        <v>0.06</v>
      </c>
      <c r="G633" s="11">
        <v>45752</v>
      </c>
      <c r="H633" s="12">
        <f t="shared" si="9"/>
        <v>3000</v>
      </c>
      <c r="I633" s="10" t="s">
        <v>10</v>
      </c>
      <c r="J633" s="13">
        <v>45744</v>
      </c>
      <c r="K633" t="s">
        <v>337</v>
      </c>
    </row>
    <row r="634" hidden="1" spans="1:11">
      <c r="A634" t="s">
        <v>319</v>
      </c>
      <c r="B634" s="8">
        <v>242503564</v>
      </c>
      <c r="C634" s="9">
        <v>45742</v>
      </c>
      <c r="D634" s="8" t="s">
        <v>518</v>
      </c>
      <c r="E634" s="10">
        <v>20000</v>
      </c>
      <c r="F634" s="8">
        <v>0.24</v>
      </c>
      <c r="G634" s="11">
        <v>45752</v>
      </c>
      <c r="H634" s="12">
        <f t="shared" si="9"/>
        <v>4800</v>
      </c>
      <c r="I634" s="10" t="s">
        <v>10</v>
      </c>
      <c r="J634" s="13">
        <v>45757</v>
      </c>
    </row>
    <row r="635" hidden="1" spans="1:11">
      <c r="A635" t="s">
        <v>319</v>
      </c>
      <c r="B635" s="8">
        <v>242503572</v>
      </c>
      <c r="C635" s="9">
        <v>45742</v>
      </c>
      <c r="D635" s="8" t="s">
        <v>285</v>
      </c>
      <c r="E635" s="10">
        <v>24000</v>
      </c>
      <c r="F635" s="8">
        <v>0.02</v>
      </c>
      <c r="G635" s="11">
        <v>45752</v>
      </c>
      <c r="H635" s="12">
        <f t="shared" si="9"/>
        <v>480</v>
      </c>
      <c r="I635" s="67" t="s">
        <v>10</v>
      </c>
      <c r="J635" s="13">
        <v>45749</v>
      </c>
      <c r="K635" t="s">
        <v>469</v>
      </c>
    </row>
    <row r="636" hidden="1" spans="1:11">
      <c r="A636" t="s">
        <v>319</v>
      </c>
      <c r="B636" s="8">
        <v>242503572</v>
      </c>
      <c r="C636" s="9">
        <v>45742</v>
      </c>
      <c r="D636" s="8" t="s">
        <v>285</v>
      </c>
      <c r="E636" s="10">
        <v>24000</v>
      </c>
      <c r="F636" s="8">
        <v>0.02</v>
      </c>
      <c r="G636" s="11">
        <v>45843</v>
      </c>
      <c r="H636" s="12">
        <f t="shared" si="9"/>
        <v>480</v>
      </c>
      <c r="I636" s="67" t="s">
        <v>10</v>
      </c>
      <c r="J636" s="13">
        <v>45749</v>
      </c>
      <c r="K636" t="s">
        <v>469</v>
      </c>
    </row>
    <row r="637" hidden="1" spans="1:11">
      <c r="A637" t="s">
        <v>319</v>
      </c>
      <c r="B637" s="8">
        <v>242503572</v>
      </c>
      <c r="C637" s="9">
        <v>45742</v>
      </c>
      <c r="D637" s="8" t="s">
        <v>286</v>
      </c>
      <c r="E637" s="10">
        <v>24000</v>
      </c>
      <c r="F637" s="8">
        <v>0.0235</v>
      </c>
      <c r="G637" s="11">
        <v>45752</v>
      </c>
      <c r="H637" s="12">
        <f t="shared" si="9"/>
        <v>564</v>
      </c>
      <c r="I637" s="67" t="s">
        <v>10</v>
      </c>
      <c r="J637" s="13">
        <v>45749</v>
      </c>
      <c r="K637" t="s">
        <v>469</v>
      </c>
    </row>
    <row r="638" hidden="1" spans="1:11">
      <c r="A638" t="s">
        <v>319</v>
      </c>
      <c r="B638" s="8">
        <v>242503572</v>
      </c>
      <c r="C638" s="9">
        <v>45742</v>
      </c>
      <c r="D638" s="8" t="s">
        <v>286</v>
      </c>
      <c r="E638" s="10">
        <v>24000</v>
      </c>
      <c r="F638" s="8">
        <v>0.0235</v>
      </c>
      <c r="G638" s="11">
        <v>45843</v>
      </c>
      <c r="H638" s="12">
        <f t="shared" si="9"/>
        <v>564</v>
      </c>
      <c r="I638" s="67" t="s">
        <v>10</v>
      </c>
      <c r="J638" s="13">
        <v>45749</v>
      </c>
      <c r="K638" t="s">
        <v>469</v>
      </c>
    </row>
    <row r="639" hidden="1" spans="1:11">
      <c r="A639" t="s">
        <v>319</v>
      </c>
      <c r="B639" s="8">
        <v>242503572</v>
      </c>
      <c r="C639" s="9">
        <v>45742</v>
      </c>
      <c r="D639" s="8" t="s">
        <v>287</v>
      </c>
      <c r="E639" s="10">
        <v>20000</v>
      </c>
      <c r="F639" s="8">
        <v>0.018</v>
      </c>
      <c r="G639" s="11">
        <v>45752</v>
      </c>
      <c r="H639" s="12">
        <f t="shared" si="9"/>
        <v>360</v>
      </c>
      <c r="I639" s="67" t="s">
        <v>10</v>
      </c>
      <c r="J639" s="13">
        <v>45749</v>
      </c>
      <c r="K639" t="s">
        <v>469</v>
      </c>
    </row>
    <row r="640" hidden="1" spans="1:11">
      <c r="A640" t="s">
        <v>319</v>
      </c>
      <c r="B640" s="8">
        <v>242503572</v>
      </c>
      <c r="C640" s="9">
        <v>45742</v>
      </c>
      <c r="D640" s="8" t="s">
        <v>287</v>
      </c>
      <c r="E640" s="10">
        <v>20000</v>
      </c>
      <c r="F640" s="8">
        <v>0.018</v>
      </c>
      <c r="G640" s="11">
        <v>45843</v>
      </c>
      <c r="H640" s="12">
        <f t="shared" si="9"/>
        <v>360</v>
      </c>
      <c r="I640" s="67" t="s">
        <v>10</v>
      </c>
      <c r="J640" s="13">
        <v>45749</v>
      </c>
      <c r="K640" t="s">
        <v>469</v>
      </c>
    </row>
    <row r="641" hidden="1" spans="1:11">
      <c r="A641" t="s">
        <v>319</v>
      </c>
      <c r="B641" s="8">
        <v>242503572</v>
      </c>
      <c r="C641" s="9">
        <v>45742</v>
      </c>
      <c r="D641" s="8" t="s">
        <v>288</v>
      </c>
      <c r="E641" s="10">
        <v>24000</v>
      </c>
      <c r="F641" s="8">
        <v>0.022</v>
      </c>
      <c r="G641" s="11">
        <v>45752</v>
      </c>
      <c r="H641" s="12">
        <f t="shared" si="9"/>
        <v>528</v>
      </c>
      <c r="I641" s="67" t="s">
        <v>10</v>
      </c>
      <c r="J641" s="13">
        <v>45749</v>
      </c>
      <c r="K641" t="s">
        <v>469</v>
      </c>
    </row>
    <row r="642" hidden="1" spans="1:11">
      <c r="A642" t="s">
        <v>319</v>
      </c>
      <c r="B642" s="8">
        <v>242503572</v>
      </c>
      <c r="C642" s="9">
        <v>45742</v>
      </c>
      <c r="D642" s="8" t="s">
        <v>288</v>
      </c>
      <c r="E642" s="10">
        <v>24000</v>
      </c>
      <c r="F642" s="8">
        <v>0.022</v>
      </c>
      <c r="G642" s="11">
        <v>45843</v>
      </c>
      <c r="H642" s="12">
        <f t="shared" ref="H642:H705" si="10">E642*F642</f>
        <v>528</v>
      </c>
      <c r="I642" s="67" t="s">
        <v>10</v>
      </c>
      <c r="J642" s="13">
        <v>45749</v>
      </c>
      <c r="K642" t="s">
        <v>469</v>
      </c>
    </row>
    <row r="643" hidden="1" spans="1:11">
      <c r="A643" t="s">
        <v>319</v>
      </c>
      <c r="B643" s="8">
        <v>242503601</v>
      </c>
      <c r="C643" s="9">
        <v>45743</v>
      </c>
      <c r="D643" s="8" t="s">
        <v>30</v>
      </c>
      <c r="E643" s="10">
        <v>80000</v>
      </c>
      <c r="F643" s="8">
        <v>0.026</v>
      </c>
      <c r="G643" s="11">
        <v>45799</v>
      </c>
      <c r="H643" s="12">
        <f t="shared" si="10"/>
        <v>2080</v>
      </c>
      <c r="I643" s="10" t="s">
        <v>10</v>
      </c>
      <c r="J643" s="13">
        <v>45797</v>
      </c>
      <c r="K643" t="s">
        <v>499</v>
      </c>
    </row>
    <row r="644" hidden="1" spans="1:11">
      <c r="A644" t="s">
        <v>319</v>
      </c>
      <c r="B644" s="8">
        <v>242503620</v>
      </c>
      <c r="C644" s="9">
        <v>45744</v>
      </c>
      <c r="D644" s="8" t="s">
        <v>47</v>
      </c>
      <c r="E644" s="10">
        <v>120000</v>
      </c>
      <c r="F644" s="8">
        <v>0.022</v>
      </c>
      <c r="G644" s="11">
        <v>45813</v>
      </c>
      <c r="H644" s="12">
        <f t="shared" si="10"/>
        <v>2640</v>
      </c>
      <c r="I644" s="10" t="s">
        <v>10</v>
      </c>
      <c r="J644" s="13">
        <v>45797</v>
      </c>
      <c r="K644" t="s">
        <v>499</v>
      </c>
    </row>
    <row r="645" hidden="1" spans="1:11">
      <c r="A645" t="s">
        <v>319</v>
      </c>
      <c r="B645" s="8">
        <v>242503620</v>
      </c>
      <c r="C645" s="9">
        <v>45744</v>
      </c>
      <c r="D645" s="8" t="s">
        <v>47</v>
      </c>
      <c r="E645" s="10">
        <v>120000</v>
      </c>
      <c r="F645" s="8">
        <v>0.022</v>
      </c>
      <c r="G645" s="11">
        <v>45782</v>
      </c>
      <c r="H645" s="12">
        <f t="shared" si="10"/>
        <v>2640</v>
      </c>
      <c r="I645" s="10" t="s">
        <v>10</v>
      </c>
      <c r="J645" s="13">
        <v>45797</v>
      </c>
      <c r="K645" t="s">
        <v>499</v>
      </c>
    </row>
    <row r="646" hidden="1" spans="1:11">
      <c r="A646" t="s">
        <v>319</v>
      </c>
      <c r="B646" s="8">
        <v>242503620</v>
      </c>
      <c r="C646" s="9">
        <v>45744</v>
      </c>
      <c r="D646" s="8" t="s">
        <v>163</v>
      </c>
      <c r="E646" s="10">
        <v>208000</v>
      </c>
      <c r="F646" s="8">
        <v>0.0025</v>
      </c>
      <c r="G646" s="11">
        <v>45813</v>
      </c>
      <c r="H646" s="12">
        <f t="shared" si="10"/>
        <v>520</v>
      </c>
      <c r="I646" s="10" t="s">
        <v>10</v>
      </c>
      <c r="J646" s="13">
        <v>45792</v>
      </c>
      <c r="K646" t="s">
        <v>499</v>
      </c>
    </row>
    <row r="647" hidden="1" spans="1:11">
      <c r="A647" t="s">
        <v>319</v>
      </c>
      <c r="B647" s="8">
        <v>242503620</v>
      </c>
      <c r="C647" s="9">
        <v>45744</v>
      </c>
      <c r="D647" s="8" t="s">
        <v>59</v>
      </c>
      <c r="E647" s="10">
        <v>208000</v>
      </c>
      <c r="F647" s="8">
        <v>0.015</v>
      </c>
      <c r="G647" s="11">
        <v>45813</v>
      </c>
      <c r="H647" s="12">
        <f t="shared" si="10"/>
        <v>3120</v>
      </c>
      <c r="I647" s="10" t="s">
        <v>10</v>
      </c>
      <c r="J647" s="13">
        <v>45792</v>
      </c>
      <c r="K647" t="s">
        <v>499</v>
      </c>
    </row>
    <row r="648" hidden="1" spans="1:11">
      <c r="A648" t="s">
        <v>319</v>
      </c>
      <c r="B648" s="8">
        <v>242503620</v>
      </c>
      <c r="C648" s="9">
        <v>45744</v>
      </c>
      <c r="D648" s="8" t="s">
        <v>62</v>
      </c>
      <c r="E648" s="10">
        <v>80000</v>
      </c>
      <c r="F648" s="8">
        <v>0.005</v>
      </c>
      <c r="G648" s="11">
        <v>45813</v>
      </c>
      <c r="H648" s="12">
        <f t="shared" si="10"/>
        <v>400</v>
      </c>
      <c r="I648" s="10" t="s">
        <v>10</v>
      </c>
      <c r="J648" s="13">
        <v>45797</v>
      </c>
      <c r="K648" t="s">
        <v>499</v>
      </c>
    </row>
    <row r="649" hidden="1" spans="1:11">
      <c r="A649" t="s">
        <v>319</v>
      </c>
      <c r="B649" s="8">
        <v>242503620</v>
      </c>
      <c r="C649" s="9">
        <v>45744</v>
      </c>
      <c r="D649" s="8" t="s">
        <v>46</v>
      </c>
      <c r="E649" s="10">
        <v>100000</v>
      </c>
      <c r="F649" s="8">
        <v>0.02</v>
      </c>
      <c r="G649" s="11">
        <v>45752</v>
      </c>
      <c r="H649" s="12">
        <f t="shared" si="10"/>
        <v>2000</v>
      </c>
      <c r="I649" s="10" t="s">
        <v>10</v>
      </c>
      <c r="J649" s="13">
        <v>45797</v>
      </c>
      <c r="K649" t="s">
        <v>499</v>
      </c>
    </row>
    <row r="650" hidden="1" spans="1:11">
      <c r="A650" t="s">
        <v>319</v>
      </c>
      <c r="B650" s="8">
        <v>242503620</v>
      </c>
      <c r="C650" s="9">
        <v>45744</v>
      </c>
      <c r="D650" s="8" t="s">
        <v>46</v>
      </c>
      <c r="E650" s="10">
        <v>100000</v>
      </c>
      <c r="F650" s="8">
        <v>0.02</v>
      </c>
      <c r="G650" s="11">
        <v>45782</v>
      </c>
      <c r="H650" s="12">
        <f t="shared" si="10"/>
        <v>2000</v>
      </c>
      <c r="I650" s="10" t="s">
        <v>10</v>
      </c>
      <c r="J650" s="13">
        <v>45797</v>
      </c>
      <c r="K650" t="s">
        <v>499</v>
      </c>
    </row>
    <row r="651" hidden="1" spans="1:11">
      <c r="A651" t="s">
        <v>319</v>
      </c>
      <c r="B651" s="8">
        <v>242503621</v>
      </c>
      <c r="C651" s="9">
        <v>45744</v>
      </c>
      <c r="D651" s="8" t="s">
        <v>45</v>
      </c>
      <c r="E651" s="10">
        <v>120000</v>
      </c>
      <c r="F651" s="8">
        <v>0.024</v>
      </c>
      <c r="G651" s="11">
        <v>45782</v>
      </c>
      <c r="H651" s="12">
        <f t="shared" si="10"/>
        <v>2880</v>
      </c>
      <c r="I651" s="10" t="s">
        <v>10</v>
      </c>
      <c r="J651" s="13">
        <v>45792</v>
      </c>
      <c r="K651" t="s">
        <v>534</v>
      </c>
    </row>
    <row r="652" hidden="1" spans="1:11">
      <c r="A652" t="s">
        <v>319</v>
      </c>
      <c r="B652" s="8">
        <v>242503621</v>
      </c>
      <c r="C652" s="9">
        <v>45744</v>
      </c>
      <c r="D652" s="8" t="s">
        <v>45</v>
      </c>
      <c r="E652" s="10">
        <v>120000</v>
      </c>
      <c r="F652" s="8">
        <v>0.024</v>
      </c>
      <c r="G652" s="11">
        <v>45813</v>
      </c>
      <c r="H652" s="12">
        <f t="shared" si="10"/>
        <v>2880</v>
      </c>
      <c r="I652" s="10" t="s">
        <v>10</v>
      </c>
      <c r="J652" s="13">
        <v>45792</v>
      </c>
      <c r="K652" t="s">
        <v>534</v>
      </c>
    </row>
    <row r="653" hidden="1" spans="1:11">
      <c r="A653" t="s">
        <v>319</v>
      </c>
      <c r="B653" s="8">
        <v>242503621</v>
      </c>
      <c r="C653" s="9">
        <v>45744</v>
      </c>
      <c r="D653" s="8" t="s">
        <v>38</v>
      </c>
      <c r="E653" s="10">
        <v>80000</v>
      </c>
      <c r="F653" s="8">
        <v>0.01</v>
      </c>
      <c r="G653" s="11">
        <v>45782</v>
      </c>
      <c r="H653" s="12">
        <f t="shared" si="10"/>
        <v>800</v>
      </c>
      <c r="I653" s="10" t="s">
        <v>10</v>
      </c>
      <c r="J653" s="13">
        <v>45792</v>
      </c>
      <c r="K653" t="s">
        <v>534</v>
      </c>
    </row>
    <row r="654" hidden="1" spans="1:11">
      <c r="A654" t="s">
        <v>319</v>
      </c>
      <c r="B654" s="8">
        <v>242503621</v>
      </c>
      <c r="C654" s="9">
        <v>45744</v>
      </c>
      <c r="D654" s="8" t="s">
        <v>38</v>
      </c>
      <c r="E654" s="10">
        <v>80000</v>
      </c>
      <c r="F654" s="8">
        <v>0.01</v>
      </c>
      <c r="G654" s="11">
        <v>45813</v>
      </c>
      <c r="H654" s="12">
        <f t="shared" si="10"/>
        <v>800</v>
      </c>
      <c r="I654" s="10" t="s">
        <v>10</v>
      </c>
      <c r="J654" s="13">
        <v>45792</v>
      </c>
      <c r="K654" t="s">
        <v>534</v>
      </c>
    </row>
    <row r="655" hidden="1" spans="1:11">
      <c r="A655" t="s">
        <v>319</v>
      </c>
      <c r="B655" s="8">
        <v>242503621</v>
      </c>
      <c r="C655" s="9">
        <v>45744</v>
      </c>
      <c r="D655" s="50" t="s">
        <v>48</v>
      </c>
      <c r="E655" s="10">
        <v>208000</v>
      </c>
      <c r="F655" s="8">
        <v>0.017</v>
      </c>
      <c r="G655" s="11">
        <v>45782</v>
      </c>
      <c r="H655" s="12">
        <f t="shared" si="10"/>
        <v>3536</v>
      </c>
      <c r="I655" s="10" t="s">
        <v>10</v>
      </c>
      <c r="J655" s="13">
        <v>45797</v>
      </c>
      <c r="K655" t="s">
        <v>534</v>
      </c>
    </row>
    <row r="656" hidden="1" spans="1:11">
      <c r="A656" t="s">
        <v>319</v>
      </c>
      <c r="B656" s="8">
        <v>252600031</v>
      </c>
      <c r="C656" s="9">
        <v>45750</v>
      </c>
      <c r="D656" s="8" t="s">
        <v>30</v>
      </c>
      <c r="E656" s="10">
        <v>100000</v>
      </c>
      <c r="F656" s="8">
        <v>0.026</v>
      </c>
      <c r="G656" s="11">
        <v>45830</v>
      </c>
      <c r="H656" s="12">
        <f t="shared" si="10"/>
        <v>2600</v>
      </c>
      <c r="I656" s="10" t="s">
        <v>10</v>
      </c>
      <c r="J656" s="13">
        <v>45797</v>
      </c>
    </row>
    <row r="657" hidden="1" spans="1:11">
      <c r="A657" t="s">
        <v>319</v>
      </c>
      <c r="B657" s="8">
        <v>252600033</v>
      </c>
      <c r="C657" s="9">
        <v>45750</v>
      </c>
      <c r="D657" s="8" t="s">
        <v>57</v>
      </c>
      <c r="E657" s="10">
        <v>10000</v>
      </c>
      <c r="F657" s="8">
        <v>0.15</v>
      </c>
      <c r="G657" s="11">
        <v>45782</v>
      </c>
      <c r="H657" s="12">
        <f t="shared" si="10"/>
        <v>1500</v>
      </c>
      <c r="I657" s="10" t="s">
        <v>10</v>
      </c>
      <c r="J657" s="13">
        <v>45776</v>
      </c>
      <c r="K657" t="s">
        <v>528</v>
      </c>
    </row>
    <row r="658" hidden="1" spans="1:11">
      <c r="A658" t="s">
        <v>319</v>
      </c>
      <c r="B658" s="8">
        <v>252600033</v>
      </c>
      <c r="C658" s="9">
        <v>45750</v>
      </c>
      <c r="D658" s="8" t="s">
        <v>106</v>
      </c>
      <c r="E658" s="10">
        <v>100000</v>
      </c>
      <c r="F658" s="8">
        <v>0.033</v>
      </c>
      <c r="G658" s="11">
        <v>45813</v>
      </c>
      <c r="H658" s="12">
        <f t="shared" si="10"/>
        <v>3300</v>
      </c>
      <c r="I658" s="10" t="s">
        <v>10</v>
      </c>
      <c r="J658" s="13">
        <v>45783</v>
      </c>
      <c r="K658" t="s">
        <v>528</v>
      </c>
    </row>
    <row r="659" hidden="1" spans="1:11">
      <c r="A659" t="s">
        <v>319</v>
      </c>
      <c r="B659" s="8">
        <v>252600033</v>
      </c>
      <c r="C659" s="9">
        <v>45750</v>
      </c>
      <c r="D659" s="8" t="s">
        <v>129</v>
      </c>
      <c r="E659" s="10">
        <v>200000</v>
      </c>
      <c r="F659" s="8">
        <v>0.025</v>
      </c>
      <c r="G659" s="11">
        <v>45782</v>
      </c>
      <c r="H659" s="12">
        <f t="shared" si="10"/>
        <v>5000</v>
      </c>
      <c r="I659" s="10" t="s">
        <v>10</v>
      </c>
      <c r="J659" s="13">
        <v>45783</v>
      </c>
      <c r="K659" t="s">
        <v>528</v>
      </c>
    </row>
    <row r="660" hidden="1" spans="1:11">
      <c r="A660" t="s">
        <v>319</v>
      </c>
      <c r="B660" s="8">
        <v>252600033</v>
      </c>
      <c r="C660" s="9">
        <v>45750</v>
      </c>
      <c r="D660" s="8" t="s">
        <v>129</v>
      </c>
      <c r="E660" s="10">
        <v>100000</v>
      </c>
      <c r="F660" s="8">
        <v>0.025</v>
      </c>
      <c r="G660" s="11">
        <v>45813</v>
      </c>
      <c r="H660" s="12">
        <f t="shared" si="10"/>
        <v>2500</v>
      </c>
      <c r="I660" s="10" t="s">
        <v>10</v>
      </c>
      <c r="J660" s="13">
        <v>45783</v>
      </c>
      <c r="K660" t="s">
        <v>528</v>
      </c>
    </row>
    <row r="661" hidden="1" spans="1:11">
      <c r="A661" t="s">
        <v>319</v>
      </c>
      <c r="B661" s="8">
        <v>252600033</v>
      </c>
      <c r="C661" s="9">
        <v>45750</v>
      </c>
      <c r="D661" s="8" t="s">
        <v>388</v>
      </c>
      <c r="E661" s="10">
        <v>100000</v>
      </c>
      <c r="F661" s="8">
        <v>0.035</v>
      </c>
      <c r="G661" s="11">
        <v>45813</v>
      </c>
      <c r="H661" s="12">
        <f t="shared" si="10"/>
        <v>3500</v>
      </c>
      <c r="I661" s="10" t="s">
        <v>10</v>
      </c>
      <c r="J661" s="13">
        <v>45776</v>
      </c>
      <c r="K661" t="s">
        <v>528</v>
      </c>
    </row>
    <row r="662" hidden="1" spans="1:11">
      <c r="A662" t="s">
        <v>319</v>
      </c>
      <c r="B662" s="8">
        <v>252600033</v>
      </c>
      <c r="C662" s="9">
        <v>45750</v>
      </c>
      <c r="D662" s="8" t="s">
        <v>387</v>
      </c>
      <c r="E662" s="10">
        <v>60000</v>
      </c>
      <c r="F662" s="8">
        <v>0.025</v>
      </c>
      <c r="G662" s="11">
        <v>45782</v>
      </c>
      <c r="H662" s="12">
        <f t="shared" si="10"/>
        <v>1500</v>
      </c>
      <c r="I662" s="10" t="s">
        <v>10</v>
      </c>
      <c r="J662" s="13">
        <v>45783</v>
      </c>
      <c r="K662" t="s">
        <v>528</v>
      </c>
    </row>
    <row r="663" hidden="1" spans="1:11">
      <c r="A663" t="s">
        <v>319</v>
      </c>
      <c r="B663" s="8">
        <v>252600033</v>
      </c>
      <c r="C663" s="9">
        <v>45750</v>
      </c>
      <c r="D663" s="8" t="s">
        <v>387</v>
      </c>
      <c r="E663" s="10">
        <v>60000</v>
      </c>
      <c r="F663" s="8">
        <v>0.025</v>
      </c>
      <c r="G663" s="11">
        <v>45813</v>
      </c>
      <c r="H663" s="12">
        <f t="shared" si="10"/>
        <v>1500</v>
      </c>
      <c r="I663" s="10" t="s">
        <v>10</v>
      </c>
      <c r="J663" s="13">
        <v>45783</v>
      </c>
      <c r="K663" t="s">
        <v>528</v>
      </c>
    </row>
    <row r="664" hidden="1" spans="1:11">
      <c r="A664" t="s">
        <v>319</v>
      </c>
      <c r="B664" s="8">
        <v>252600033</v>
      </c>
      <c r="C664" s="9">
        <v>45750</v>
      </c>
      <c r="D664" s="8" t="s">
        <v>516</v>
      </c>
      <c r="E664" s="10">
        <v>100000</v>
      </c>
      <c r="F664" s="8">
        <v>0.032</v>
      </c>
      <c r="G664" s="11">
        <v>45813</v>
      </c>
      <c r="H664" s="12">
        <f t="shared" si="10"/>
        <v>3200</v>
      </c>
      <c r="I664" s="10" t="s">
        <v>10</v>
      </c>
      <c r="J664" s="13">
        <v>45776</v>
      </c>
      <c r="K664" t="s">
        <v>528</v>
      </c>
    </row>
    <row r="665" hidden="1" spans="1:11">
      <c r="A665" t="s">
        <v>319</v>
      </c>
      <c r="B665" s="8">
        <v>252600034</v>
      </c>
      <c r="C665" s="9">
        <v>45750</v>
      </c>
      <c r="D665" s="8" t="s">
        <v>25</v>
      </c>
      <c r="E665" s="10">
        <v>20000</v>
      </c>
      <c r="F665" s="8">
        <v>0.016</v>
      </c>
      <c r="G665" s="11">
        <v>45830</v>
      </c>
      <c r="H665" s="12">
        <f t="shared" si="10"/>
        <v>320</v>
      </c>
      <c r="I665" s="10" t="s">
        <v>10</v>
      </c>
      <c r="J665" s="13">
        <v>45800</v>
      </c>
      <c r="K665" t="s">
        <v>528</v>
      </c>
    </row>
    <row r="666" hidden="1" spans="1:11">
      <c r="A666" t="s">
        <v>319</v>
      </c>
      <c r="B666" s="8">
        <v>252600034</v>
      </c>
      <c r="C666" s="9">
        <v>45750</v>
      </c>
      <c r="D666" s="8" t="s">
        <v>108</v>
      </c>
      <c r="E666" s="10">
        <v>20000</v>
      </c>
      <c r="F666" s="8">
        <v>0.04</v>
      </c>
      <c r="G666" s="11">
        <v>45843</v>
      </c>
      <c r="H666" s="12">
        <f t="shared" si="10"/>
        <v>800</v>
      </c>
      <c r="I666" s="10" t="s">
        <v>10</v>
      </c>
      <c r="J666" s="13">
        <v>45800</v>
      </c>
      <c r="K666" t="s">
        <v>528</v>
      </c>
    </row>
    <row r="667" hidden="1" spans="1:11">
      <c r="A667" t="s">
        <v>319</v>
      </c>
      <c r="B667" s="8">
        <v>252600034</v>
      </c>
      <c r="C667" s="9">
        <v>45750</v>
      </c>
      <c r="D667" s="8" t="s">
        <v>100</v>
      </c>
      <c r="E667" s="10">
        <v>20000</v>
      </c>
      <c r="F667" s="8">
        <v>0.0224</v>
      </c>
      <c r="G667" s="11">
        <v>45830</v>
      </c>
      <c r="H667" s="12">
        <f t="shared" si="10"/>
        <v>448</v>
      </c>
      <c r="I667" s="10" t="s">
        <v>10</v>
      </c>
      <c r="J667" s="13">
        <v>45810</v>
      </c>
      <c r="K667" t="s">
        <v>528</v>
      </c>
    </row>
    <row r="668" hidden="1" spans="1:11">
      <c r="A668" t="s">
        <v>319</v>
      </c>
      <c r="B668" s="8">
        <v>252600034</v>
      </c>
      <c r="C668" s="9">
        <v>45750</v>
      </c>
      <c r="D668" s="8" t="s">
        <v>106</v>
      </c>
      <c r="E668" s="10">
        <v>140000</v>
      </c>
      <c r="F668" s="8">
        <v>0.033</v>
      </c>
      <c r="G668" s="11">
        <v>45843</v>
      </c>
      <c r="H668" s="12">
        <f t="shared" si="10"/>
        <v>4620</v>
      </c>
      <c r="I668" s="10" t="s">
        <v>10</v>
      </c>
      <c r="J668" s="13">
        <v>45810</v>
      </c>
      <c r="K668" t="s">
        <v>528</v>
      </c>
    </row>
    <row r="669" hidden="1" spans="1:11">
      <c r="A669" t="s">
        <v>319</v>
      </c>
      <c r="B669" s="8">
        <v>252600034</v>
      </c>
      <c r="C669" s="9">
        <v>45750</v>
      </c>
      <c r="D669" s="8" t="s">
        <v>106</v>
      </c>
      <c r="E669" s="10">
        <v>100000</v>
      </c>
      <c r="F669" s="8">
        <v>0.033</v>
      </c>
      <c r="G669" s="11">
        <v>45830</v>
      </c>
      <c r="H669" s="12">
        <f t="shared" si="10"/>
        <v>3300</v>
      </c>
      <c r="I669" s="10" t="s">
        <v>10</v>
      </c>
      <c r="J669" s="13">
        <v>45810</v>
      </c>
      <c r="K669" t="s">
        <v>528</v>
      </c>
    </row>
    <row r="670" hidden="1" spans="1:11">
      <c r="A670" t="s">
        <v>319</v>
      </c>
      <c r="B670" s="8">
        <v>252600034</v>
      </c>
      <c r="C670" s="9">
        <v>45750</v>
      </c>
      <c r="D670" s="8" t="s">
        <v>129</v>
      </c>
      <c r="E670" s="10">
        <v>60000</v>
      </c>
      <c r="F670" s="8">
        <v>0.025</v>
      </c>
      <c r="G670" s="11">
        <v>45843</v>
      </c>
      <c r="H670" s="12">
        <f t="shared" si="10"/>
        <v>1500</v>
      </c>
      <c r="I670" s="10" t="s">
        <v>10</v>
      </c>
      <c r="J670" s="13">
        <v>45810</v>
      </c>
      <c r="K670" t="s">
        <v>528</v>
      </c>
    </row>
    <row r="671" hidden="1" spans="1:11">
      <c r="A671" t="s">
        <v>319</v>
      </c>
      <c r="B671" s="8">
        <v>252600034</v>
      </c>
      <c r="C671" s="9">
        <v>45750</v>
      </c>
      <c r="D671" s="8" t="s">
        <v>388</v>
      </c>
      <c r="E671" s="10">
        <v>160000</v>
      </c>
      <c r="F671" s="8">
        <v>0.035</v>
      </c>
      <c r="G671" s="11">
        <v>45830</v>
      </c>
      <c r="H671" s="12">
        <f t="shared" si="10"/>
        <v>5600</v>
      </c>
      <c r="I671" s="10" t="s">
        <v>10</v>
      </c>
      <c r="J671" s="13">
        <v>45800</v>
      </c>
      <c r="K671" t="s">
        <v>528</v>
      </c>
    </row>
    <row r="672" hidden="1" spans="1:11">
      <c r="A672" t="s">
        <v>319</v>
      </c>
      <c r="B672" s="8">
        <v>252600034</v>
      </c>
      <c r="C672" s="9">
        <v>45750</v>
      </c>
      <c r="D672" s="8" t="s">
        <v>388</v>
      </c>
      <c r="E672" s="10">
        <v>140000</v>
      </c>
      <c r="F672" s="8">
        <v>0.035</v>
      </c>
      <c r="G672" s="11">
        <v>45843</v>
      </c>
      <c r="H672" s="12">
        <f t="shared" si="10"/>
        <v>4900</v>
      </c>
      <c r="I672" s="10" t="s">
        <v>10</v>
      </c>
      <c r="J672" s="13">
        <v>45800</v>
      </c>
      <c r="K672" t="s">
        <v>528</v>
      </c>
    </row>
    <row r="673" hidden="1" spans="1:16">
      <c r="A673" t="s">
        <v>319</v>
      </c>
      <c r="B673" s="8">
        <v>252600034</v>
      </c>
      <c r="C673" s="9">
        <v>45750</v>
      </c>
      <c r="D673" s="8" t="s">
        <v>386</v>
      </c>
      <c r="E673" s="10">
        <v>40000</v>
      </c>
      <c r="F673" s="8">
        <v>0.04</v>
      </c>
      <c r="G673" s="11">
        <v>45843</v>
      </c>
      <c r="H673" s="12">
        <f t="shared" si="10"/>
        <v>1600</v>
      </c>
      <c r="I673" s="10" t="s">
        <v>10</v>
      </c>
      <c r="J673" s="13">
        <v>45800</v>
      </c>
      <c r="K673" t="s">
        <v>528</v>
      </c>
    </row>
    <row r="674" hidden="1" spans="1:16">
      <c r="A674" t="s">
        <v>319</v>
      </c>
      <c r="B674" s="8">
        <v>252600034</v>
      </c>
      <c r="C674" s="9">
        <v>45750</v>
      </c>
      <c r="D674" s="8" t="s">
        <v>386</v>
      </c>
      <c r="E674" s="10">
        <v>40000</v>
      </c>
      <c r="F674" s="8">
        <v>0.04</v>
      </c>
      <c r="G674" s="11">
        <v>45853</v>
      </c>
      <c r="H674" s="12">
        <f t="shared" si="10"/>
        <v>1600</v>
      </c>
      <c r="I674" s="10" t="s">
        <v>10</v>
      </c>
      <c r="J674" s="13">
        <v>45800</v>
      </c>
      <c r="K674" t="s">
        <v>528</v>
      </c>
    </row>
    <row r="675" hidden="1" spans="1:16">
      <c r="A675" t="s">
        <v>319</v>
      </c>
      <c r="B675" s="8">
        <v>252600034</v>
      </c>
      <c r="C675" s="9">
        <v>45750</v>
      </c>
      <c r="D675" s="8" t="s">
        <v>387</v>
      </c>
      <c r="E675" s="10">
        <v>60000</v>
      </c>
      <c r="F675" s="8">
        <v>0.025</v>
      </c>
      <c r="G675" s="11">
        <v>45843</v>
      </c>
      <c r="H675" s="12">
        <f t="shared" si="10"/>
        <v>1500</v>
      </c>
      <c r="I675" s="10" t="s">
        <v>10</v>
      </c>
      <c r="J675" s="13">
        <v>45810</v>
      </c>
      <c r="K675" t="s">
        <v>528</v>
      </c>
    </row>
    <row r="676" hidden="1" spans="1:16">
      <c r="A676" t="s">
        <v>319</v>
      </c>
      <c r="B676" s="8">
        <v>252600034</v>
      </c>
      <c r="C676" s="9">
        <v>45750</v>
      </c>
      <c r="D676" s="8" t="s">
        <v>387</v>
      </c>
      <c r="E676" s="10">
        <v>20000</v>
      </c>
      <c r="F676" s="8">
        <v>0.025</v>
      </c>
      <c r="G676" s="11">
        <v>45874</v>
      </c>
      <c r="H676" s="12">
        <f t="shared" si="10"/>
        <v>500</v>
      </c>
      <c r="I676" s="10" t="s">
        <v>10</v>
      </c>
      <c r="J676" s="13">
        <v>45810</v>
      </c>
      <c r="K676" t="s">
        <v>528</v>
      </c>
    </row>
    <row r="677" hidden="1" spans="1:16">
      <c r="A677" t="s">
        <v>319</v>
      </c>
      <c r="B677" s="8">
        <v>252600034</v>
      </c>
      <c r="C677" s="9">
        <v>45750</v>
      </c>
      <c r="D677" s="8" t="s">
        <v>516</v>
      </c>
      <c r="E677" s="10">
        <v>80000</v>
      </c>
      <c r="F677" s="8">
        <v>0.032</v>
      </c>
      <c r="G677" s="11">
        <v>45843</v>
      </c>
      <c r="H677" s="12">
        <f t="shared" si="10"/>
        <v>2560</v>
      </c>
      <c r="I677" s="10" t="s">
        <v>10</v>
      </c>
      <c r="J677" s="13">
        <v>45800</v>
      </c>
      <c r="K677" t="s">
        <v>528</v>
      </c>
      <c r="P677">
        <f>1800000*0.02</f>
        <v>36000</v>
      </c>
    </row>
    <row r="678" hidden="1" spans="1:16">
      <c r="A678" t="s">
        <v>319</v>
      </c>
      <c r="B678" s="8">
        <v>252600034</v>
      </c>
      <c r="C678" s="9">
        <v>45750</v>
      </c>
      <c r="D678" s="8" t="s">
        <v>516</v>
      </c>
      <c r="E678" s="10">
        <v>80000</v>
      </c>
      <c r="F678" s="8">
        <v>0.032</v>
      </c>
      <c r="G678" s="11">
        <v>45830</v>
      </c>
      <c r="H678" s="12">
        <f t="shared" si="10"/>
        <v>2560</v>
      </c>
      <c r="I678" s="10" t="s">
        <v>10</v>
      </c>
      <c r="J678" s="13">
        <v>45800</v>
      </c>
      <c r="K678" t="s">
        <v>528</v>
      </c>
    </row>
    <row r="679" hidden="1" spans="1:16">
      <c r="A679" t="s">
        <v>319</v>
      </c>
      <c r="B679" s="8">
        <v>252600034</v>
      </c>
      <c r="C679" s="9">
        <v>45750</v>
      </c>
      <c r="D679" s="8" t="s">
        <v>282</v>
      </c>
      <c r="E679" s="10">
        <v>20000</v>
      </c>
      <c r="F679" s="8">
        <v>0.0304</v>
      </c>
      <c r="G679" s="11">
        <v>45830</v>
      </c>
      <c r="H679" s="12">
        <f t="shared" si="10"/>
        <v>608</v>
      </c>
      <c r="I679" s="10" t="s">
        <v>10</v>
      </c>
      <c r="J679" s="13">
        <v>45810</v>
      </c>
      <c r="K679" t="s">
        <v>528</v>
      </c>
    </row>
    <row r="680" hidden="1" spans="1:16">
      <c r="A680" t="s">
        <v>319</v>
      </c>
      <c r="B680" s="8">
        <v>252600034</v>
      </c>
      <c r="C680" s="9">
        <v>45750</v>
      </c>
      <c r="D680" s="8" t="s">
        <v>282</v>
      </c>
      <c r="E680" s="10">
        <v>20000</v>
      </c>
      <c r="F680" s="8">
        <v>0.0304</v>
      </c>
      <c r="G680" s="11">
        <v>45843</v>
      </c>
      <c r="H680" s="12">
        <f t="shared" si="10"/>
        <v>608</v>
      </c>
      <c r="I680" s="10" t="s">
        <v>10</v>
      </c>
      <c r="J680" s="13">
        <v>45810</v>
      </c>
      <c r="K680" t="s">
        <v>528</v>
      </c>
    </row>
    <row r="681" hidden="1" spans="1:16">
      <c r="A681" t="s">
        <v>319</v>
      </c>
      <c r="B681" s="8">
        <v>252600035</v>
      </c>
      <c r="C681" s="9">
        <v>45750</v>
      </c>
      <c r="D681" s="8" t="s">
        <v>100</v>
      </c>
      <c r="E681" s="10">
        <v>20000</v>
      </c>
      <c r="F681" s="8">
        <v>0.0224</v>
      </c>
      <c r="G681" s="11">
        <v>45905</v>
      </c>
      <c r="H681" s="12">
        <f t="shared" si="10"/>
        <v>448</v>
      </c>
      <c r="I681" s="10" t="s">
        <v>10</v>
      </c>
      <c r="J681" s="13">
        <v>45866</v>
      </c>
      <c r="K681" t="s">
        <v>528</v>
      </c>
    </row>
    <row r="682" hidden="1" spans="1:16">
      <c r="A682" t="s">
        <v>319</v>
      </c>
      <c r="B682" s="8">
        <v>252600035</v>
      </c>
      <c r="C682" s="9">
        <v>45750</v>
      </c>
      <c r="D682" s="8" t="s">
        <v>129</v>
      </c>
      <c r="E682" s="10">
        <v>40000</v>
      </c>
      <c r="F682" s="8">
        <v>0.025</v>
      </c>
      <c r="G682" s="11">
        <v>45905</v>
      </c>
      <c r="H682" s="12">
        <f t="shared" si="10"/>
        <v>1000</v>
      </c>
      <c r="I682" s="10" t="s">
        <v>10</v>
      </c>
      <c r="J682" s="13">
        <v>45866</v>
      </c>
      <c r="K682" t="s">
        <v>528</v>
      </c>
    </row>
    <row r="683" hidden="1" spans="1:16">
      <c r="A683" t="s">
        <v>319</v>
      </c>
      <c r="B683" s="8">
        <v>252600035</v>
      </c>
      <c r="C683" s="9">
        <v>45750</v>
      </c>
      <c r="D683" s="8" t="s">
        <v>386</v>
      </c>
      <c r="E683" s="10">
        <v>40000</v>
      </c>
      <c r="F683" s="8">
        <v>0.04</v>
      </c>
      <c r="G683" s="11">
        <v>45905</v>
      </c>
      <c r="H683" s="12">
        <f t="shared" si="10"/>
        <v>1600</v>
      </c>
      <c r="I683" s="10" t="s">
        <v>10</v>
      </c>
      <c r="J683" s="13">
        <v>45863</v>
      </c>
      <c r="K683" t="s">
        <v>528</v>
      </c>
    </row>
    <row r="684" hidden="1" spans="1:16">
      <c r="A684" t="s">
        <v>319</v>
      </c>
      <c r="B684" s="8">
        <v>252600035</v>
      </c>
      <c r="C684" s="9">
        <v>45750</v>
      </c>
      <c r="D684" s="8" t="s">
        <v>282</v>
      </c>
      <c r="E684" s="10">
        <v>20000</v>
      </c>
      <c r="F684" s="8">
        <v>0.0304</v>
      </c>
      <c r="G684" s="11">
        <v>45905</v>
      </c>
      <c r="H684" s="12">
        <f t="shared" si="10"/>
        <v>608</v>
      </c>
      <c r="I684" s="10" t="s">
        <v>10</v>
      </c>
      <c r="J684" s="13">
        <v>45866</v>
      </c>
      <c r="K684" t="s">
        <v>528</v>
      </c>
    </row>
    <row r="685" hidden="1" spans="1:16">
      <c r="A685" t="s">
        <v>319</v>
      </c>
      <c r="B685" s="8">
        <v>252600036</v>
      </c>
      <c r="C685" s="9">
        <v>45750</v>
      </c>
      <c r="D685" s="8" t="s">
        <v>30</v>
      </c>
      <c r="E685" s="10">
        <v>70000</v>
      </c>
      <c r="F685" s="8">
        <v>0.026</v>
      </c>
      <c r="G685" s="11">
        <v>45830</v>
      </c>
      <c r="H685" s="12">
        <f t="shared" si="10"/>
        <v>1820</v>
      </c>
      <c r="I685" s="10" t="s">
        <v>10</v>
      </c>
      <c r="J685" s="13">
        <v>45812</v>
      </c>
      <c r="K685" t="s">
        <v>378</v>
      </c>
    </row>
    <row r="686" hidden="1" spans="1:16">
      <c r="B686" s="8">
        <v>252600081</v>
      </c>
      <c r="C686" s="9">
        <v>45755</v>
      </c>
      <c r="D686" s="8" t="s">
        <v>26</v>
      </c>
      <c r="E686" s="10">
        <v>50000</v>
      </c>
      <c r="F686" s="8">
        <v>0.014</v>
      </c>
      <c r="G686" s="11">
        <v>45769</v>
      </c>
      <c r="H686" s="12">
        <f t="shared" si="10"/>
        <v>700</v>
      </c>
      <c r="I686" s="10" t="s">
        <v>10</v>
      </c>
      <c r="J686" s="13">
        <v>45757</v>
      </c>
    </row>
    <row r="687" hidden="1" spans="1:16">
      <c r="A687" t="s">
        <v>319</v>
      </c>
      <c r="B687" s="8">
        <v>252600110</v>
      </c>
      <c r="C687" s="9">
        <v>45757</v>
      </c>
      <c r="D687" s="8" t="s">
        <v>39</v>
      </c>
      <c r="E687" s="10">
        <v>200000</v>
      </c>
      <c r="F687" s="8">
        <v>0.022</v>
      </c>
      <c r="G687" s="11">
        <v>45782</v>
      </c>
      <c r="H687" s="12">
        <f t="shared" si="10"/>
        <v>4400</v>
      </c>
      <c r="I687" s="10" t="s">
        <v>10</v>
      </c>
      <c r="J687" s="13">
        <v>45776</v>
      </c>
      <c r="K687" t="s">
        <v>431</v>
      </c>
    </row>
    <row r="688" hidden="1" spans="1:16">
      <c r="A688" t="s">
        <v>319</v>
      </c>
      <c r="B688" s="8">
        <v>252600110</v>
      </c>
      <c r="C688" s="9">
        <v>45757</v>
      </c>
      <c r="D688" s="8" t="s">
        <v>39</v>
      </c>
      <c r="E688" s="10">
        <v>200000</v>
      </c>
      <c r="F688" s="8">
        <v>0.022</v>
      </c>
      <c r="G688" s="11">
        <v>45782</v>
      </c>
      <c r="H688" s="12">
        <f t="shared" si="10"/>
        <v>4400</v>
      </c>
      <c r="I688" s="10" t="s">
        <v>10</v>
      </c>
      <c r="J688" s="13">
        <v>45776</v>
      </c>
      <c r="K688" t="s">
        <v>431</v>
      </c>
    </row>
    <row r="689" hidden="1" spans="1:11">
      <c r="A689" t="s">
        <v>319</v>
      </c>
      <c r="B689" s="8">
        <v>252600110</v>
      </c>
      <c r="C689" s="9">
        <v>45757</v>
      </c>
      <c r="D689" s="8" t="s">
        <v>39</v>
      </c>
      <c r="E689" s="10">
        <v>200000</v>
      </c>
      <c r="F689" s="8">
        <v>0.022</v>
      </c>
      <c r="G689" s="11">
        <v>45782</v>
      </c>
      <c r="H689" s="12">
        <f t="shared" si="10"/>
        <v>4400</v>
      </c>
      <c r="I689" s="10" t="s">
        <v>10</v>
      </c>
      <c r="J689" s="13">
        <v>45776</v>
      </c>
      <c r="K689" t="s">
        <v>431</v>
      </c>
    </row>
    <row r="690" hidden="1" spans="1:11">
      <c r="A690" t="s">
        <v>319</v>
      </c>
      <c r="B690" s="8">
        <v>252600110</v>
      </c>
      <c r="C690" s="9">
        <v>45757</v>
      </c>
      <c r="D690" s="8" t="s">
        <v>39</v>
      </c>
      <c r="E690" s="10">
        <v>200000</v>
      </c>
      <c r="F690" s="8">
        <v>0.022</v>
      </c>
      <c r="G690" s="11">
        <v>45782</v>
      </c>
      <c r="H690" s="12">
        <f t="shared" si="10"/>
        <v>4400</v>
      </c>
      <c r="I690" s="10" t="s">
        <v>10</v>
      </c>
      <c r="J690" s="13">
        <v>45776</v>
      </c>
      <c r="K690" t="s">
        <v>431</v>
      </c>
    </row>
    <row r="691" hidden="1" spans="1:11">
      <c r="A691" t="s">
        <v>319</v>
      </c>
      <c r="B691" s="8">
        <v>252600110</v>
      </c>
      <c r="C691" s="9">
        <v>45757</v>
      </c>
      <c r="D691" s="8" t="s">
        <v>39</v>
      </c>
      <c r="E691" s="10">
        <v>200000</v>
      </c>
      <c r="F691" s="8">
        <v>0.022</v>
      </c>
      <c r="G691" s="11">
        <v>45782</v>
      </c>
      <c r="H691" s="12">
        <f t="shared" si="10"/>
        <v>4400</v>
      </c>
      <c r="I691" s="10" t="s">
        <v>10</v>
      </c>
      <c r="J691" s="13">
        <v>45776</v>
      </c>
      <c r="K691" t="s">
        <v>431</v>
      </c>
    </row>
    <row r="692" hidden="1" spans="1:11">
      <c r="A692" t="s">
        <v>319</v>
      </c>
      <c r="B692" s="8">
        <v>252600110</v>
      </c>
      <c r="C692" s="9">
        <v>45757</v>
      </c>
      <c r="D692" s="8" t="s">
        <v>39</v>
      </c>
      <c r="E692" s="10">
        <v>200000</v>
      </c>
      <c r="F692" s="8">
        <v>0.022</v>
      </c>
      <c r="G692" s="11">
        <v>45782</v>
      </c>
      <c r="H692" s="12">
        <f t="shared" si="10"/>
        <v>4400</v>
      </c>
      <c r="I692" s="10" t="s">
        <v>10</v>
      </c>
      <c r="J692" s="13">
        <v>45776</v>
      </c>
      <c r="K692" t="s">
        <v>431</v>
      </c>
    </row>
    <row r="693" hidden="1" spans="1:11">
      <c r="A693" t="s">
        <v>319</v>
      </c>
      <c r="B693" s="8">
        <v>252600110</v>
      </c>
      <c r="C693" s="9">
        <v>45757</v>
      </c>
      <c r="D693" s="8" t="s">
        <v>39</v>
      </c>
      <c r="E693" s="10">
        <v>200000</v>
      </c>
      <c r="F693" s="8">
        <v>0.022</v>
      </c>
      <c r="G693" s="11">
        <v>45813</v>
      </c>
      <c r="H693" s="12">
        <f t="shared" si="10"/>
        <v>4400</v>
      </c>
      <c r="I693" s="10" t="s">
        <v>10</v>
      </c>
      <c r="J693" s="13">
        <v>45776</v>
      </c>
      <c r="K693" t="s">
        <v>431</v>
      </c>
    </row>
    <row r="694" hidden="1" spans="1:11">
      <c r="A694" t="s">
        <v>319</v>
      </c>
      <c r="B694" s="8">
        <v>252600110</v>
      </c>
      <c r="C694" s="9">
        <v>45757</v>
      </c>
      <c r="D694" s="8" t="s">
        <v>39</v>
      </c>
      <c r="E694" s="10">
        <v>200000</v>
      </c>
      <c r="F694" s="8">
        <v>0.022</v>
      </c>
      <c r="G694" s="11">
        <v>45813</v>
      </c>
      <c r="H694" s="12">
        <f t="shared" si="10"/>
        <v>4400</v>
      </c>
      <c r="I694" s="10" t="s">
        <v>10</v>
      </c>
      <c r="J694" s="13">
        <v>45776</v>
      </c>
      <c r="K694" t="s">
        <v>431</v>
      </c>
    </row>
    <row r="695" hidden="1" spans="1:11">
      <c r="A695" t="s">
        <v>319</v>
      </c>
      <c r="B695" s="8">
        <v>252600110</v>
      </c>
      <c r="C695" s="9">
        <v>45757</v>
      </c>
      <c r="D695" s="8" t="s">
        <v>39</v>
      </c>
      <c r="E695" s="10">
        <v>200000</v>
      </c>
      <c r="F695" s="8">
        <v>0.022</v>
      </c>
      <c r="G695" s="11">
        <v>45813</v>
      </c>
      <c r="H695" s="12">
        <f t="shared" si="10"/>
        <v>4400</v>
      </c>
      <c r="I695" s="10" t="s">
        <v>10</v>
      </c>
      <c r="J695" s="13">
        <v>45776</v>
      </c>
      <c r="K695" t="s">
        <v>431</v>
      </c>
    </row>
    <row r="696" hidden="1" spans="1:11">
      <c r="A696" t="s">
        <v>319</v>
      </c>
      <c r="B696" s="8">
        <v>252600110</v>
      </c>
      <c r="C696" s="9">
        <v>45757</v>
      </c>
      <c r="D696" s="8" t="s">
        <v>39</v>
      </c>
      <c r="E696" s="10">
        <v>200000</v>
      </c>
      <c r="F696" s="8">
        <v>0.022</v>
      </c>
      <c r="G696" s="11">
        <v>45813</v>
      </c>
      <c r="H696" s="12">
        <f t="shared" si="10"/>
        <v>4400</v>
      </c>
      <c r="I696" s="10" t="s">
        <v>10</v>
      </c>
      <c r="J696" s="13">
        <v>45776</v>
      </c>
      <c r="K696" t="s">
        <v>431</v>
      </c>
    </row>
    <row r="697" hidden="1" spans="1:11">
      <c r="A697" t="s">
        <v>319</v>
      </c>
      <c r="B697" s="8">
        <v>252600110</v>
      </c>
      <c r="C697" s="9">
        <v>45757</v>
      </c>
      <c r="D697" s="8" t="s">
        <v>39</v>
      </c>
      <c r="E697" s="10">
        <v>200000</v>
      </c>
      <c r="F697" s="8">
        <v>0.022</v>
      </c>
      <c r="G697" s="11">
        <v>45813</v>
      </c>
      <c r="H697" s="12">
        <f t="shared" si="10"/>
        <v>4400</v>
      </c>
      <c r="I697" s="10" t="s">
        <v>10</v>
      </c>
      <c r="J697" s="13">
        <v>45776</v>
      </c>
      <c r="K697" t="s">
        <v>431</v>
      </c>
    </row>
    <row r="698" hidden="1" spans="1:11">
      <c r="A698" t="s">
        <v>319</v>
      </c>
      <c r="B698" s="8">
        <v>252600110</v>
      </c>
      <c r="C698" s="9">
        <v>45757</v>
      </c>
      <c r="D698" s="8" t="s">
        <v>39</v>
      </c>
      <c r="E698" s="10">
        <v>200000</v>
      </c>
      <c r="F698" s="8">
        <v>0.022</v>
      </c>
      <c r="G698" s="11">
        <v>45813</v>
      </c>
      <c r="H698" s="12">
        <f t="shared" si="10"/>
        <v>4400</v>
      </c>
      <c r="I698" s="10" t="s">
        <v>10</v>
      </c>
      <c r="J698" s="13">
        <v>45776</v>
      </c>
      <c r="K698" t="s">
        <v>431</v>
      </c>
    </row>
    <row r="699" hidden="1" spans="1:11">
      <c r="A699" t="s">
        <v>319</v>
      </c>
      <c r="B699" s="8">
        <v>252600111</v>
      </c>
      <c r="C699" s="9">
        <v>45757</v>
      </c>
      <c r="D699" s="8" t="s">
        <v>426</v>
      </c>
      <c r="E699" s="10">
        <v>200000</v>
      </c>
      <c r="F699" s="8">
        <v>0.032</v>
      </c>
      <c r="G699" s="11">
        <v>45813</v>
      </c>
      <c r="H699" s="12">
        <f t="shared" si="10"/>
        <v>6400</v>
      </c>
      <c r="I699" s="10" t="s">
        <v>10</v>
      </c>
      <c r="J699" s="13">
        <v>45789</v>
      </c>
      <c r="K699" t="s">
        <v>431</v>
      </c>
    </row>
    <row r="700" hidden="1" spans="1:11">
      <c r="A700" t="s">
        <v>319</v>
      </c>
      <c r="B700" s="8">
        <v>252600111</v>
      </c>
      <c r="C700" s="9">
        <v>45757</v>
      </c>
      <c r="D700" s="8" t="s">
        <v>426</v>
      </c>
      <c r="E700" s="10">
        <v>200000</v>
      </c>
      <c r="F700" s="8">
        <v>0.032</v>
      </c>
      <c r="G700" s="11">
        <v>45813</v>
      </c>
      <c r="H700" s="12">
        <f t="shared" si="10"/>
        <v>6400</v>
      </c>
      <c r="I700" s="10" t="s">
        <v>10</v>
      </c>
      <c r="J700" s="13">
        <v>45789</v>
      </c>
      <c r="K700" t="s">
        <v>431</v>
      </c>
    </row>
    <row r="701" hidden="1" spans="1:11">
      <c r="A701" t="s">
        <v>319</v>
      </c>
      <c r="B701" s="8">
        <v>252600111</v>
      </c>
      <c r="C701" s="9">
        <v>45757</v>
      </c>
      <c r="D701" s="8" t="s">
        <v>425</v>
      </c>
      <c r="E701" s="10">
        <v>20000</v>
      </c>
      <c r="F701" s="8">
        <v>0.07</v>
      </c>
      <c r="G701" s="11">
        <v>45813</v>
      </c>
      <c r="H701" s="12">
        <f t="shared" si="10"/>
        <v>1400</v>
      </c>
      <c r="I701" s="10" t="s">
        <v>10</v>
      </c>
      <c r="J701" s="13">
        <v>45783</v>
      </c>
      <c r="K701" t="s">
        <v>431</v>
      </c>
    </row>
    <row r="702" hidden="1" spans="1:11">
      <c r="A702" t="s">
        <v>319</v>
      </c>
      <c r="B702" s="8">
        <v>252600111</v>
      </c>
      <c r="C702" s="9">
        <v>45757</v>
      </c>
      <c r="D702" s="8" t="s">
        <v>426</v>
      </c>
      <c r="E702" s="10">
        <v>120000</v>
      </c>
      <c r="F702" s="8">
        <v>0.032</v>
      </c>
      <c r="G702" s="11">
        <v>45782</v>
      </c>
      <c r="H702" s="12">
        <f t="shared" si="10"/>
        <v>3840</v>
      </c>
      <c r="I702" s="10" t="s">
        <v>10</v>
      </c>
      <c r="J702" s="13">
        <v>45789</v>
      </c>
      <c r="K702" t="s">
        <v>431</v>
      </c>
    </row>
    <row r="703" hidden="1" spans="1:11">
      <c r="A703" t="s">
        <v>319</v>
      </c>
      <c r="B703" s="8">
        <v>252600111</v>
      </c>
      <c r="C703" s="9">
        <v>45757</v>
      </c>
      <c r="D703" s="8" t="s">
        <v>426</v>
      </c>
      <c r="E703" s="10">
        <v>120000</v>
      </c>
      <c r="F703" s="8">
        <v>0.032</v>
      </c>
      <c r="G703" s="11">
        <v>45782</v>
      </c>
      <c r="H703" s="12">
        <f t="shared" si="10"/>
        <v>3840</v>
      </c>
      <c r="I703" s="10" t="s">
        <v>10</v>
      </c>
      <c r="J703" s="13">
        <v>45789</v>
      </c>
      <c r="K703" t="s">
        <v>431</v>
      </c>
    </row>
    <row r="704" hidden="1" spans="1:11">
      <c r="A704" t="s">
        <v>319</v>
      </c>
      <c r="B704" s="8">
        <v>252600112</v>
      </c>
      <c r="C704" s="9">
        <v>45757</v>
      </c>
      <c r="D704" s="8" t="s">
        <v>39</v>
      </c>
      <c r="E704" s="10">
        <v>200000</v>
      </c>
      <c r="F704" s="8">
        <v>0.022</v>
      </c>
      <c r="G704" s="11">
        <v>45843</v>
      </c>
      <c r="H704" s="12">
        <f t="shared" si="10"/>
        <v>4400</v>
      </c>
      <c r="I704" s="10" t="s">
        <v>10</v>
      </c>
      <c r="J704" s="13">
        <v>45800</v>
      </c>
      <c r="K704" t="s">
        <v>431</v>
      </c>
    </row>
    <row r="705" hidden="1" spans="1:11">
      <c r="A705" t="s">
        <v>319</v>
      </c>
      <c r="B705" s="8">
        <v>252600112</v>
      </c>
      <c r="C705" s="9">
        <v>45757</v>
      </c>
      <c r="D705" s="8" t="s">
        <v>39</v>
      </c>
      <c r="E705" s="10">
        <v>200000</v>
      </c>
      <c r="F705" s="8">
        <v>0.022</v>
      </c>
      <c r="G705" s="11">
        <v>45843</v>
      </c>
      <c r="H705" s="12">
        <f t="shared" si="10"/>
        <v>4400</v>
      </c>
      <c r="I705" s="10" t="s">
        <v>10</v>
      </c>
      <c r="J705" s="13">
        <v>45800</v>
      </c>
      <c r="K705" t="s">
        <v>431</v>
      </c>
    </row>
    <row r="706" hidden="1" spans="1:11">
      <c r="A706" t="s">
        <v>319</v>
      </c>
      <c r="B706" s="8">
        <v>252600112</v>
      </c>
      <c r="C706" s="9">
        <v>45757</v>
      </c>
      <c r="D706" s="8" t="s">
        <v>39</v>
      </c>
      <c r="E706" s="10">
        <v>200000</v>
      </c>
      <c r="F706" s="8">
        <v>0.022</v>
      </c>
      <c r="G706" s="11">
        <v>45843</v>
      </c>
      <c r="H706" s="12">
        <f t="shared" ref="H706:H769" si="11">E706*F706</f>
        <v>4400</v>
      </c>
      <c r="I706" s="10" t="s">
        <v>10</v>
      </c>
      <c r="J706" s="13">
        <v>45800</v>
      </c>
      <c r="K706" t="s">
        <v>431</v>
      </c>
    </row>
    <row r="707" hidden="1" spans="1:11">
      <c r="A707" t="s">
        <v>319</v>
      </c>
      <c r="B707" s="8">
        <v>252600112</v>
      </c>
      <c r="C707" s="9">
        <v>45757</v>
      </c>
      <c r="D707" s="8" t="s">
        <v>39</v>
      </c>
      <c r="E707" s="10">
        <v>200000</v>
      </c>
      <c r="F707" s="8">
        <v>0.022</v>
      </c>
      <c r="G707" s="11">
        <v>45843</v>
      </c>
      <c r="H707" s="12">
        <f t="shared" si="11"/>
        <v>4400</v>
      </c>
      <c r="I707" s="10" t="s">
        <v>10</v>
      </c>
      <c r="J707" s="13">
        <v>45800</v>
      </c>
      <c r="K707" t="s">
        <v>431</v>
      </c>
    </row>
    <row r="708" hidden="1" spans="1:11">
      <c r="A708" t="s">
        <v>319</v>
      </c>
      <c r="B708" s="8">
        <v>252600112</v>
      </c>
      <c r="C708" s="9">
        <v>45757</v>
      </c>
      <c r="D708" s="8" t="s">
        <v>39</v>
      </c>
      <c r="E708" s="10">
        <v>200000</v>
      </c>
      <c r="F708" s="8">
        <v>0.022</v>
      </c>
      <c r="G708" s="11">
        <v>45843</v>
      </c>
      <c r="H708" s="12">
        <f t="shared" si="11"/>
        <v>4400</v>
      </c>
      <c r="I708" s="10" t="s">
        <v>10</v>
      </c>
      <c r="J708" s="13">
        <v>45800</v>
      </c>
      <c r="K708" t="s">
        <v>431</v>
      </c>
    </row>
    <row r="709" hidden="1" spans="1:11">
      <c r="A709" t="s">
        <v>319</v>
      </c>
      <c r="B709" s="8">
        <v>252600112</v>
      </c>
      <c r="C709" s="9">
        <v>45757</v>
      </c>
      <c r="D709" s="8" t="s">
        <v>39</v>
      </c>
      <c r="E709" s="10">
        <v>200000</v>
      </c>
      <c r="F709" s="8">
        <v>0.022</v>
      </c>
      <c r="G709" s="11">
        <v>45843</v>
      </c>
      <c r="H709" s="12">
        <f t="shared" si="11"/>
        <v>4400</v>
      </c>
      <c r="I709" s="10" t="s">
        <v>10</v>
      </c>
      <c r="J709" s="13">
        <v>45800</v>
      </c>
      <c r="K709" t="s">
        <v>431</v>
      </c>
    </row>
    <row r="710" hidden="1" spans="1:11">
      <c r="A710" t="s">
        <v>319</v>
      </c>
      <c r="B710" s="8">
        <v>252600112</v>
      </c>
      <c r="C710" s="9">
        <v>45757</v>
      </c>
      <c r="D710" s="8" t="s">
        <v>426</v>
      </c>
      <c r="E710" s="10">
        <v>200000</v>
      </c>
      <c r="F710" s="8">
        <v>0.032</v>
      </c>
      <c r="G710" s="11">
        <v>45843</v>
      </c>
      <c r="H710" s="12">
        <f t="shared" si="11"/>
        <v>6400</v>
      </c>
      <c r="I710" s="10" t="s">
        <v>10</v>
      </c>
      <c r="J710" s="13">
        <v>45810</v>
      </c>
      <c r="K710" t="s">
        <v>431</v>
      </c>
    </row>
    <row r="711" hidden="1" spans="1:11">
      <c r="A711" t="s">
        <v>319</v>
      </c>
      <c r="B711" s="8">
        <v>252600112</v>
      </c>
      <c r="C711" s="9">
        <v>45757</v>
      </c>
      <c r="D711" s="8" t="s">
        <v>426</v>
      </c>
      <c r="E711" s="10">
        <v>200000</v>
      </c>
      <c r="F711" s="8">
        <v>0.032</v>
      </c>
      <c r="G711" s="11">
        <v>45843</v>
      </c>
      <c r="H711" s="12">
        <f t="shared" si="11"/>
        <v>6400</v>
      </c>
      <c r="I711" s="10" t="s">
        <v>10</v>
      </c>
      <c r="J711" s="13">
        <v>45810</v>
      </c>
      <c r="K711" t="s">
        <v>431</v>
      </c>
    </row>
    <row r="712" hidden="1" spans="1:11">
      <c r="A712" t="s">
        <v>319</v>
      </c>
      <c r="B712" s="8">
        <v>252600112</v>
      </c>
      <c r="C712" s="9">
        <v>45757</v>
      </c>
      <c r="D712" s="8" t="s">
        <v>425</v>
      </c>
      <c r="E712" s="10">
        <v>20000</v>
      </c>
      <c r="F712" s="8">
        <v>0.07</v>
      </c>
      <c r="G712" s="11">
        <v>45843</v>
      </c>
      <c r="H712" s="12">
        <f t="shared" si="11"/>
        <v>1400</v>
      </c>
      <c r="I712" s="10" t="s">
        <v>10</v>
      </c>
      <c r="J712" s="13">
        <v>45800</v>
      </c>
      <c r="K712" t="s">
        <v>431</v>
      </c>
    </row>
    <row r="713" hidden="1" spans="1:11">
      <c r="A713" t="s">
        <v>319</v>
      </c>
      <c r="B713" s="8">
        <v>252600112</v>
      </c>
      <c r="C713" s="9">
        <v>45757</v>
      </c>
      <c r="D713" s="8" t="s">
        <v>426</v>
      </c>
      <c r="E713" s="10">
        <v>120000</v>
      </c>
      <c r="F713" s="8">
        <v>0.032</v>
      </c>
      <c r="G713" s="11">
        <v>45843</v>
      </c>
      <c r="H713" s="12">
        <f t="shared" si="11"/>
        <v>3840</v>
      </c>
      <c r="I713" s="10" t="s">
        <v>10</v>
      </c>
      <c r="J713" s="13">
        <v>45810</v>
      </c>
      <c r="K713" t="s">
        <v>431</v>
      </c>
    </row>
    <row r="714" hidden="1" spans="1:11">
      <c r="A714" t="s">
        <v>319</v>
      </c>
      <c r="B714" s="8">
        <v>252600113</v>
      </c>
      <c r="C714" s="9">
        <v>45757</v>
      </c>
      <c r="D714" s="8" t="s">
        <v>39</v>
      </c>
      <c r="E714" s="10">
        <v>200000</v>
      </c>
      <c r="F714" s="8">
        <v>0.022</v>
      </c>
      <c r="G714" s="11">
        <v>45905</v>
      </c>
      <c r="H714" s="12">
        <f t="shared" si="11"/>
        <v>4400</v>
      </c>
      <c r="I714" s="10" t="s">
        <v>10</v>
      </c>
      <c r="J714" s="13">
        <v>45840</v>
      </c>
      <c r="K714" t="s">
        <v>431</v>
      </c>
    </row>
    <row r="715" hidden="1" spans="1:11">
      <c r="A715" t="s">
        <v>319</v>
      </c>
      <c r="B715" s="8">
        <v>252600113</v>
      </c>
      <c r="C715" s="9">
        <v>45757</v>
      </c>
      <c r="D715" s="8" t="s">
        <v>39</v>
      </c>
      <c r="E715" s="10">
        <v>200000</v>
      </c>
      <c r="F715" s="8">
        <v>0.022</v>
      </c>
      <c r="G715" s="11">
        <v>45905</v>
      </c>
      <c r="H715" s="12">
        <f t="shared" si="11"/>
        <v>4400</v>
      </c>
      <c r="I715" s="10" t="s">
        <v>10</v>
      </c>
      <c r="J715" s="13">
        <v>45840</v>
      </c>
      <c r="K715" t="s">
        <v>431</v>
      </c>
    </row>
    <row r="716" hidden="1" spans="1:11">
      <c r="A716" t="s">
        <v>319</v>
      </c>
      <c r="B716" s="8">
        <v>252600113</v>
      </c>
      <c r="C716" s="9">
        <v>45757</v>
      </c>
      <c r="D716" s="8" t="s">
        <v>39</v>
      </c>
      <c r="E716" s="10">
        <v>200000</v>
      </c>
      <c r="F716" s="8">
        <v>0.022</v>
      </c>
      <c r="G716" s="11">
        <v>45905</v>
      </c>
      <c r="H716" s="12">
        <f t="shared" si="11"/>
        <v>4400</v>
      </c>
      <c r="I716" s="10" t="s">
        <v>10</v>
      </c>
      <c r="J716" s="13">
        <v>45840</v>
      </c>
      <c r="K716" t="s">
        <v>431</v>
      </c>
    </row>
    <row r="717" hidden="1" spans="1:11">
      <c r="A717" t="s">
        <v>319</v>
      </c>
      <c r="B717" s="8">
        <v>252600113</v>
      </c>
      <c r="C717" s="9">
        <v>45757</v>
      </c>
      <c r="D717" s="8" t="s">
        <v>39</v>
      </c>
      <c r="E717" s="10">
        <v>200000</v>
      </c>
      <c r="F717" s="8">
        <v>0.022</v>
      </c>
      <c r="G717" s="11">
        <v>45905</v>
      </c>
      <c r="H717" s="12">
        <f t="shared" si="11"/>
        <v>4400</v>
      </c>
      <c r="I717" s="10" t="s">
        <v>10</v>
      </c>
      <c r="J717" s="13">
        <v>45840</v>
      </c>
      <c r="K717" t="s">
        <v>431</v>
      </c>
    </row>
    <row r="718" hidden="1" spans="1:11">
      <c r="A718" t="s">
        <v>319</v>
      </c>
      <c r="B718" s="8">
        <v>252600113</v>
      </c>
      <c r="C718" s="9">
        <v>45757</v>
      </c>
      <c r="D718" s="8" t="s">
        <v>39</v>
      </c>
      <c r="E718" s="10">
        <v>200000</v>
      </c>
      <c r="F718" s="8">
        <v>0.022</v>
      </c>
      <c r="G718" s="11">
        <v>45905</v>
      </c>
      <c r="H718" s="12">
        <f t="shared" si="11"/>
        <v>4400</v>
      </c>
      <c r="I718" s="10" t="s">
        <v>10</v>
      </c>
      <c r="J718" s="13">
        <v>45840</v>
      </c>
      <c r="K718" t="s">
        <v>431</v>
      </c>
    </row>
    <row r="719" hidden="1" spans="1:11">
      <c r="A719" t="s">
        <v>319</v>
      </c>
      <c r="B719" s="8">
        <v>252600113</v>
      </c>
      <c r="C719" s="9">
        <v>45757</v>
      </c>
      <c r="D719" s="8" t="s">
        <v>39</v>
      </c>
      <c r="E719" s="10">
        <v>200000</v>
      </c>
      <c r="F719" s="8">
        <v>0.022</v>
      </c>
      <c r="G719" s="11">
        <v>45905</v>
      </c>
      <c r="H719" s="12">
        <f t="shared" si="11"/>
        <v>4400</v>
      </c>
      <c r="I719" s="10" t="s">
        <v>10</v>
      </c>
      <c r="J719" s="13">
        <v>45840</v>
      </c>
      <c r="K719" t="s">
        <v>431</v>
      </c>
    </row>
    <row r="720" hidden="1" spans="1:11">
      <c r="A720" t="s">
        <v>319</v>
      </c>
      <c r="B720" s="8">
        <v>252600113</v>
      </c>
      <c r="C720" s="9">
        <v>45757</v>
      </c>
      <c r="D720" s="8" t="s">
        <v>426</v>
      </c>
      <c r="E720" s="10">
        <v>120000</v>
      </c>
      <c r="F720" s="8">
        <v>0.032</v>
      </c>
      <c r="G720" s="11">
        <v>45905</v>
      </c>
      <c r="H720" s="12">
        <f t="shared" si="11"/>
        <v>3840</v>
      </c>
      <c r="I720" s="10" t="s">
        <v>10</v>
      </c>
      <c r="J720" s="13">
        <v>45842</v>
      </c>
      <c r="K720" t="s">
        <v>431</v>
      </c>
    </row>
    <row r="721" hidden="1" spans="1:11">
      <c r="A721" t="s">
        <v>319</v>
      </c>
      <c r="B721" s="8">
        <v>252600114</v>
      </c>
      <c r="C721" s="9">
        <v>45757</v>
      </c>
      <c r="D721" s="8" t="s">
        <v>39</v>
      </c>
      <c r="E721" s="10">
        <v>200000</v>
      </c>
      <c r="F721" s="8">
        <v>0.022</v>
      </c>
      <c r="G721" s="11">
        <v>45874</v>
      </c>
      <c r="H721" s="12">
        <f t="shared" si="11"/>
        <v>4400</v>
      </c>
      <c r="I721" s="10" t="s">
        <v>10</v>
      </c>
      <c r="J721" s="13">
        <v>45855</v>
      </c>
      <c r="K721" t="s">
        <v>431</v>
      </c>
    </row>
    <row r="722" hidden="1" spans="1:11">
      <c r="A722" t="s">
        <v>319</v>
      </c>
      <c r="B722" s="8">
        <v>252600114</v>
      </c>
      <c r="C722" s="9">
        <v>45757</v>
      </c>
      <c r="D722" s="8" t="s">
        <v>39</v>
      </c>
      <c r="E722" s="10">
        <v>200000</v>
      </c>
      <c r="F722" s="8">
        <v>0.022</v>
      </c>
      <c r="G722" s="11">
        <v>45874</v>
      </c>
      <c r="H722" s="12">
        <f t="shared" si="11"/>
        <v>4400</v>
      </c>
      <c r="I722" s="10" t="s">
        <v>10</v>
      </c>
      <c r="J722" s="13">
        <v>45855</v>
      </c>
      <c r="K722" t="s">
        <v>431</v>
      </c>
    </row>
    <row r="723" hidden="1" spans="1:11">
      <c r="A723" t="s">
        <v>319</v>
      </c>
      <c r="B723" s="8">
        <v>252600114</v>
      </c>
      <c r="C723" s="9">
        <v>45757</v>
      </c>
      <c r="D723" s="8" t="s">
        <v>39</v>
      </c>
      <c r="E723" s="10">
        <v>200000</v>
      </c>
      <c r="F723" s="8">
        <v>0.022</v>
      </c>
      <c r="G723" s="11">
        <v>45874</v>
      </c>
      <c r="H723" s="12">
        <f t="shared" si="11"/>
        <v>4400</v>
      </c>
      <c r="I723" s="10" t="s">
        <v>10</v>
      </c>
      <c r="J723" s="13">
        <v>45855</v>
      </c>
      <c r="K723" t="s">
        <v>431</v>
      </c>
    </row>
    <row r="724" hidden="1" spans="1:11">
      <c r="A724" t="s">
        <v>319</v>
      </c>
      <c r="B724" s="8">
        <v>252600114</v>
      </c>
      <c r="C724" s="9">
        <v>45757</v>
      </c>
      <c r="D724" s="8" t="s">
        <v>39</v>
      </c>
      <c r="E724" s="10">
        <v>200000</v>
      </c>
      <c r="F724" s="8">
        <v>0.022</v>
      </c>
      <c r="G724" s="11">
        <v>45874</v>
      </c>
      <c r="H724" s="12">
        <f t="shared" si="11"/>
        <v>4400</v>
      </c>
      <c r="I724" s="10" t="s">
        <v>10</v>
      </c>
      <c r="J724" s="13">
        <v>45855</v>
      </c>
      <c r="K724" t="s">
        <v>431</v>
      </c>
    </row>
    <row r="725" hidden="1" spans="1:11">
      <c r="A725" t="s">
        <v>319</v>
      </c>
      <c r="B725" s="8">
        <v>252600114</v>
      </c>
      <c r="C725" s="9">
        <v>45757</v>
      </c>
      <c r="D725" s="8" t="s">
        <v>39</v>
      </c>
      <c r="E725" s="10">
        <v>200000</v>
      </c>
      <c r="F725" s="8">
        <v>0.022</v>
      </c>
      <c r="G725" s="11">
        <v>45874</v>
      </c>
      <c r="H725" s="12">
        <f t="shared" si="11"/>
        <v>4400</v>
      </c>
      <c r="I725" s="10" t="s">
        <v>10</v>
      </c>
      <c r="J725" s="13">
        <v>45855</v>
      </c>
      <c r="K725" t="s">
        <v>431</v>
      </c>
    </row>
    <row r="726" hidden="1" spans="1:11">
      <c r="A726" t="s">
        <v>319</v>
      </c>
      <c r="B726" s="8">
        <v>252600114</v>
      </c>
      <c r="C726" s="9">
        <v>45757</v>
      </c>
      <c r="D726" s="8" t="s">
        <v>39</v>
      </c>
      <c r="E726" s="10">
        <v>200000</v>
      </c>
      <c r="F726" s="8">
        <v>0.022</v>
      </c>
      <c r="G726" s="11">
        <v>45874</v>
      </c>
      <c r="H726" s="12">
        <f t="shared" si="11"/>
        <v>4400</v>
      </c>
      <c r="I726" s="10" t="s">
        <v>10</v>
      </c>
      <c r="J726" s="13">
        <v>45855</v>
      </c>
      <c r="K726" t="s">
        <v>431</v>
      </c>
    </row>
    <row r="727" hidden="1" spans="1:11">
      <c r="A727" t="s">
        <v>319</v>
      </c>
      <c r="B727" s="8">
        <v>252600114</v>
      </c>
      <c r="C727" s="9">
        <v>45757</v>
      </c>
      <c r="D727" s="8" t="s">
        <v>426</v>
      </c>
      <c r="E727" s="10">
        <v>200000</v>
      </c>
      <c r="F727" s="8">
        <v>0.032</v>
      </c>
      <c r="G727" s="11">
        <v>45874</v>
      </c>
      <c r="H727" s="12">
        <f t="shared" si="11"/>
        <v>6400</v>
      </c>
      <c r="I727" s="10" t="s">
        <v>10</v>
      </c>
      <c r="J727" s="13">
        <v>45856</v>
      </c>
      <c r="K727" t="s">
        <v>431</v>
      </c>
    </row>
    <row r="728" hidden="1" spans="1:11">
      <c r="A728" t="s">
        <v>319</v>
      </c>
      <c r="B728" s="8">
        <v>252600114</v>
      </c>
      <c r="C728" s="9">
        <v>45757</v>
      </c>
      <c r="D728" s="8" t="s">
        <v>426</v>
      </c>
      <c r="E728" s="10">
        <v>200000</v>
      </c>
      <c r="F728" s="8">
        <v>0.032</v>
      </c>
      <c r="G728" s="11">
        <v>45874</v>
      </c>
      <c r="H728" s="12">
        <f t="shared" si="11"/>
        <v>6400</v>
      </c>
      <c r="I728" s="10" t="s">
        <v>10</v>
      </c>
      <c r="J728" s="13">
        <v>45856</v>
      </c>
      <c r="K728" t="s">
        <v>431</v>
      </c>
    </row>
    <row r="729" hidden="1" spans="1:11">
      <c r="A729" t="s">
        <v>319</v>
      </c>
      <c r="B729" s="8">
        <v>252600114</v>
      </c>
      <c r="C729" s="9">
        <v>45757</v>
      </c>
      <c r="D729" s="8" t="s">
        <v>425</v>
      </c>
      <c r="E729" s="10">
        <v>20000</v>
      </c>
      <c r="F729" s="8">
        <v>0.07</v>
      </c>
      <c r="G729" s="11">
        <v>45874</v>
      </c>
      <c r="H729" s="12">
        <f t="shared" si="11"/>
        <v>1400</v>
      </c>
      <c r="I729" s="10" t="s">
        <v>10</v>
      </c>
      <c r="J729" s="13">
        <v>45855</v>
      </c>
      <c r="K729" t="s">
        <v>431</v>
      </c>
    </row>
    <row r="730" hidden="1" spans="1:11">
      <c r="A730" t="s">
        <v>319</v>
      </c>
      <c r="B730" s="8">
        <v>252600114</v>
      </c>
      <c r="C730" s="9">
        <v>45757</v>
      </c>
      <c r="D730" s="8" t="s">
        <v>426</v>
      </c>
      <c r="E730" s="10">
        <v>120000</v>
      </c>
      <c r="F730" s="8">
        <v>0.032</v>
      </c>
      <c r="G730" s="11">
        <v>45874</v>
      </c>
      <c r="H730" s="12">
        <f t="shared" si="11"/>
        <v>3840</v>
      </c>
      <c r="I730" s="10" t="s">
        <v>10</v>
      </c>
      <c r="J730" s="13">
        <v>45856</v>
      </c>
      <c r="K730" t="s">
        <v>431</v>
      </c>
    </row>
    <row r="731" hidden="1" spans="1:11">
      <c r="A731" t="s">
        <v>319</v>
      </c>
      <c r="B731" s="8">
        <v>252600127</v>
      </c>
      <c r="C731" s="9">
        <v>45758</v>
      </c>
      <c r="D731" s="8" t="s">
        <v>181</v>
      </c>
      <c r="E731" s="10">
        <v>40000</v>
      </c>
      <c r="F731" s="8">
        <v>0.0243</v>
      </c>
      <c r="G731" s="11">
        <v>45799</v>
      </c>
      <c r="H731" s="12">
        <f t="shared" si="11"/>
        <v>972</v>
      </c>
      <c r="I731" s="10" t="s">
        <v>10</v>
      </c>
      <c r="J731" s="13">
        <v>45789</v>
      </c>
      <c r="K731" t="s">
        <v>493</v>
      </c>
    </row>
    <row r="732" hidden="1" spans="1:11">
      <c r="A732" t="s">
        <v>319</v>
      </c>
      <c r="B732" s="8">
        <v>252600162</v>
      </c>
      <c r="C732" s="9">
        <v>45761</v>
      </c>
      <c r="D732" s="8" t="s">
        <v>162</v>
      </c>
      <c r="E732" s="10">
        <v>200000</v>
      </c>
      <c r="F732" s="8">
        <v>0.05</v>
      </c>
      <c r="G732" s="11">
        <v>45830</v>
      </c>
      <c r="H732" s="12">
        <f t="shared" si="11"/>
        <v>10000</v>
      </c>
      <c r="I732" s="10" t="s">
        <v>10</v>
      </c>
      <c r="J732" s="13">
        <v>45776</v>
      </c>
      <c r="K732" t="s">
        <v>377</v>
      </c>
    </row>
    <row r="733" hidden="1" spans="1:11">
      <c r="A733" t="s">
        <v>319</v>
      </c>
      <c r="B733" s="8">
        <v>252600162</v>
      </c>
      <c r="C733" s="9">
        <v>45761</v>
      </c>
      <c r="D733" s="8" t="s">
        <v>502</v>
      </c>
      <c r="E733" s="10">
        <v>60000</v>
      </c>
      <c r="F733" s="8">
        <v>0.1</v>
      </c>
      <c r="G733" s="11">
        <v>45799</v>
      </c>
      <c r="H733" s="12">
        <f t="shared" si="11"/>
        <v>6000</v>
      </c>
      <c r="I733" s="10" t="s">
        <v>10</v>
      </c>
      <c r="J733" s="13">
        <v>45776</v>
      </c>
      <c r="K733" t="s">
        <v>377</v>
      </c>
    </row>
    <row r="734" hidden="1" spans="1:11">
      <c r="A734" t="s">
        <v>319</v>
      </c>
      <c r="B734" s="8">
        <v>252600162</v>
      </c>
      <c r="C734" s="9">
        <v>45761</v>
      </c>
      <c r="D734" s="8" t="s">
        <v>502</v>
      </c>
      <c r="E734" s="10">
        <v>60000</v>
      </c>
      <c r="F734" s="8">
        <v>0.1</v>
      </c>
      <c r="G734" s="11">
        <v>45830</v>
      </c>
      <c r="H734" s="12">
        <f t="shared" si="11"/>
        <v>6000</v>
      </c>
      <c r="I734" s="10" t="s">
        <v>10</v>
      </c>
      <c r="J734" s="13">
        <v>45776</v>
      </c>
      <c r="K734" t="s">
        <v>377</v>
      </c>
    </row>
    <row r="735" hidden="1" spans="1:11">
      <c r="A735" t="s">
        <v>319</v>
      </c>
      <c r="B735" s="8">
        <v>252600162</v>
      </c>
      <c r="C735" s="9">
        <v>45761</v>
      </c>
      <c r="D735" s="8" t="s">
        <v>509</v>
      </c>
      <c r="E735" s="10">
        <v>20000</v>
      </c>
      <c r="F735" s="8">
        <v>0.16</v>
      </c>
      <c r="G735" s="11">
        <v>45830</v>
      </c>
      <c r="H735" s="12">
        <f t="shared" si="11"/>
        <v>3200</v>
      </c>
      <c r="I735" s="10" t="s">
        <v>10</v>
      </c>
      <c r="J735" s="13">
        <v>45783</v>
      </c>
      <c r="K735" t="s">
        <v>377</v>
      </c>
    </row>
    <row r="736" hidden="1" spans="1:11">
      <c r="A736" t="s">
        <v>319</v>
      </c>
      <c r="B736" s="8">
        <v>252600162</v>
      </c>
      <c r="C736" s="9">
        <v>45761</v>
      </c>
      <c r="D736" s="8" t="s">
        <v>50</v>
      </c>
      <c r="E736" s="10">
        <v>150000</v>
      </c>
      <c r="F736" s="8">
        <v>0.08</v>
      </c>
      <c r="G736" s="11">
        <v>45799</v>
      </c>
      <c r="H736" s="12">
        <f t="shared" si="11"/>
        <v>12000</v>
      </c>
      <c r="I736" s="10" t="s">
        <v>10</v>
      </c>
      <c r="J736" s="13">
        <v>45776</v>
      </c>
      <c r="K736" t="s">
        <v>377</v>
      </c>
    </row>
    <row r="737" hidden="1" spans="1:11">
      <c r="A737" t="s">
        <v>319</v>
      </c>
      <c r="B737" s="8">
        <v>252600162</v>
      </c>
      <c r="C737" s="9">
        <v>45761</v>
      </c>
      <c r="D737" s="8" t="s">
        <v>50</v>
      </c>
      <c r="E737" s="10">
        <v>150000</v>
      </c>
      <c r="F737" s="8">
        <v>0.08</v>
      </c>
      <c r="G737" s="11">
        <v>45830</v>
      </c>
      <c r="H737" s="12">
        <f t="shared" si="11"/>
        <v>12000</v>
      </c>
      <c r="I737" s="10" t="s">
        <v>10</v>
      </c>
      <c r="J737" s="13">
        <v>45776</v>
      </c>
      <c r="K737" t="s">
        <v>377</v>
      </c>
    </row>
    <row r="738" hidden="1" spans="1:11">
      <c r="A738" t="s">
        <v>319</v>
      </c>
      <c r="B738" s="8">
        <v>252600163</v>
      </c>
      <c r="C738" s="9">
        <v>45761</v>
      </c>
      <c r="D738" s="8" t="s">
        <v>111</v>
      </c>
      <c r="E738" s="10">
        <v>100000</v>
      </c>
      <c r="F738" s="8">
        <v>0.045</v>
      </c>
      <c r="G738" s="11">
        <v>45830</v>
      </c>
      <c r="H738" s="12">
        <f t="shared" si="11"/>
        <v>4500</v>
      </c>
      <c r="I738" s="10" t="s">
        <v>10</v>
      </c>
      <c r="J738" s="13">
        <v>45776</v>
      </c>
      <c r="K738" t="s">
        <v>377</v>
      </c>
    </row>
    <row r="739" hidden="1" spans="1:11">
      <c r="A739" t="s">
        <v>319</v>
      </c>
      <c r="B739" s="8">
        <v>252600163</v>
      </c>
      <c r="C739" s="9">
        <v>45761</v>
      </c>
      <c r="D739" s="8" t="s">
        <v>487</v>
      </c>
      <c r="E739" s="10">
        <v>32000</v>
      </c>
      <c r="F739" s="8">
        <v>0.015</v>
      </c>
      <c r="G739" s="11">
        <v>45830</v>
      </c>
      <c r="H739" s="12">
        <f t="shared" si="11"/>
        <v>480</v>
      </c>
      <c r="I739" s="10" t="s">
        <v>10</v>
      </c>
      <c r="J739" s="13">
        <v>45776</v>
      </c>
      <c r="K739" t="s">
        <v>377</v>
      </c>
    </row>
    <row r="740" hidden="1" spans="1:11">
      <c r="A740" t="s">
        <v>319</v>
      </c>
      <c r="B740" s="8">
        <v>252600163</v>
      </c>
      <c r="C740" s="9">
        <v>45761</v>
      </c>
      <c r="D740" s="8" t="s">
        <v>40</v>
      </c>
      <c r="E740" s="10">
        <v>50000</v>
      </c>
      <c r="F740" s="8">
        <v>0.035</v>
      </c>
      <c r="G740" s="11">
        <v>45830</v>
      </c>
      <c r="H740" s="12">
        <f t="shared" si="11"/>
        <v>1750</v>
      </c>
      <c r="I740" s="10" t="s">
        <v>10</v>
      </c>
      <c r="J740" s="13">
        <v>45783</v>
      </c>
      <c r="K740" t="s">
        <v>377</v>
      </c>
    </row>
    <row r="741" hidden="1" spans="1:11">
      <c r="A741" t="s">
        <v>319</v>
      </c>
      <c r="B741" s="8">
        <v>252600163</v>
      </c>
      <c r="C741" s="9">
        <v>45761</v>
      </c>
      <c r="D741" s="8" t="s">
        <v>511</v>
      </c>
      <c r="E741" s="10">
        <v>40000</v>
      </c>
      <c r="F741" s="8">
        <v>0.041</v>
      </c>
      <c r="G741" s="11">
        <v>45828</v>
      </c>
      <c r="H741" s="12">
        <f t="shared" si="11"/>
        <v>1640</v>
      </c>
      <c r="I741" s="10" t="s">
        <v>10</v>
      </c>
      <c r="J741" s="13">
        <v>45776</v>
      </c>
      <c r="K741" t="s">
        <v>377</v>
      </c>
    </row>
    <row r="742" hidden="1" spans="1:11">
      <c r="A742" t="s">
        <v>319</v>
      </c>
      <c r="B742" s="8">
        <v>252600163</v>
      </c>
      <c r="C742" s="9">
        <v>45761</v>
      </c>
      <c r="D742" s="8" t="s">
        <v>226</v>
      </c>
      <c r="E742" s="10">
        <v>80000</v>
      </c>
      <c r="F742" s="8">
        <v>0.07</v>
      </c>
      <c r="G742" s="11">
        <v>45828</v>
      </c>
      <c r="H742" s="12">
        <f t="shared" si="11"/>
        <v>5600</v>
      </c>
      <c r="I742" s="10" t="s">
        <v>10</v>
      </c>
      <c r="J742" s="13">
        <v>45783</v>
      </c>
      <c r="K742" t="s">
        <v>377</v>
      </c>
    </row>
    <row r="743" hidden="1" spans="1:11">
      <c r="A743" t="s">
        <v>319</v>
      </c>
      <c r="B743" s="8">
        <v>252600163</v>
      </c>
      <c r="C743" s="9">
        <v>45761</v>
      </c>
      <c r="D743" s="8" t="s">
        <v>183</v>
      </c>
      <c r="E743" s="10">
        <v>10000</v>
      </c>
      <c r="F743" s="8">
        <v>0.5</v>
      </c>
      <c r="G743" s="11">
        <v>45830</v>
      </c>
      <c r="H743" s="12">
        <f t="shared" si="11"/>
        <v>5000</v>
      </c>
      <c r="I743" s="10" t="s">
        <v>10</v>
      </c>
      <c r="J743" s="13">
        <v>45776</v>
      </c>
      <c r="K743" t="s">
        <v>377</v>
      </c>
    </row>
    <row r="744" hidden="1" spans="1:11">
      <c r="A744" t="s">
        <v>319</v>
      </c>
      <c r="B744" s="8">
        <v>252600164</v>
      </c>
      <c r="C744" s="9">
        <v>45761</v>
      </c>
      <c r="D744" s="8" t="s">
        <v>42</v>
      </c>
      <c r="E744" s="10">
        <v>60000</v>
      </c>
      <c r="F744" s="8">
        <v>0.065</v>
      </c>
      <c r="G744" s="11">
        <v>45860</v>
      </c>
      <c r="H744" s="12">
        <f t="shared" si="11"/>
        <v>3900</v>
      </c>
      <c r="I744" s="10" t="s">
        <v>10</v>
      </c>
      <c r="J744" s="9">
        <v>45827</v>
      </c>
      <c r="K744" t="s">
        <v>377</v>
      </c>
    </row>
    <row r="745" hidden="1" spans="1:11">
      <c r="A745" t="s">
        <v>319</v>
      </c>
      <c r="B745" s="8">
        <v>252600164</v>
      </c>
      <c r="C745" s="9">
        <v>45761</v>
      </c>
      <c r="D745" s="8" t="s">
        <v>111</v>
      </c>
      <c r="E745" s="10">
        <v>100000</v>
      </c>
      <c r="F745" s="8">
        <v>0.045</v>
      </c>
      <c r="G745" s="11">
        <v>45860</v>
      </c>
      <c r="H745" s="12">
        <f t="shared" si="11"/>
        <v>4500</v>
      </c>
      <c r="I745" s="10" t="s">
        <v>10</v>
      </c>
      <c r="J745" s="9">
        <v>45827</v>
      </c>
      <c r="K745" t="s">
        <v>377</v>
      </c>
    </row>
    <row r="746" hidden="1" spans="1:11">
      <c r="A746" t="s">
        <v>319</v>
      </c>
      <c r="B746" s="8">
        <v>252600164</v>
      </c>
      <c r="C746" s="9">
        <v>45761</v>
      </c>
      <c r="D746" s="8" t="s">
        <v>487</v>
      </c>
      <c r="E746" s="10">
        <v>32000</v>
      </c>
      <c r="F746" s="8">
        <v>0.015</v>
      </c>
      <c r="G746" s="11">
        <v>45860</v>
      </c>
      <c r="H746" s="12">
        <f t="shared" si="11"/>
        <v>480</v>
      </c>
      <c r="I746" s="10" t="s">
        <v>10</v>
      </c>
      <c r="J746" s="9">
        <v>45827</v>
      </c>
      <c r="K746" t="s">
        <v>377</v>
      </c>
    </row>
    <row r="747" hidden="1" spans="1:11">
      <c r="A747" t="s">
        <v>319</v>
      </c>
      <c r="B747" s="8">
        <v>252600164</v>
      </c>
      <c r="C747" s="9">
        <v>45761</v>
      </c>
      <c r="D747" s="8" t="s">
        <v>502</v>
      </c>
      <c r="E747" s="10">
        <v>60000</v>
      </c>
      <c r="F747" s="8">
        <v>0.1</v>
      </c>
      <c r="G747" s="11">
        <v>45891</v>
      </c>
      <c r="H747" s="12">
        <f t="shared" si="11"/>
        <v>6000</v>
      </c>
      <c r="I747" s="10" t="s">
        <v>10</v>
      </c>
      <c r="J747" s="9">
        <v>45827</v>
      </c>
      <c r="K747" t="s">
        <v>377</v>
      </c>
    </row>
    <row r="748" hidden="1" spans="1:11">
      <c r="A748" t="s">
        <v>319</v>
      </c>
      <c r="B748" s="8">
        <v>252600164</v>
      </c>
      <c r="C748" s="9">
        <v>45761</v>
      </c>
      <c r="D748" s="8" t="s">
        <v>487</v>
      </c>
      <c r="E748" s="10">
        <v>48000</v>
      </c>
      <c r="F748" s="8">
        <v>0.015</v>
      </c>
      <c r="G748" s="11">
        <v>45891</v>
      </c>
      <c r="H748" s="12">
        <f t="shared" si="11"/>
        <v>720</v>
      </c>
      <c r="I748" s="10" t="s">
        <v>10</v>
      </c>
      <c r="J748" s="9">
        <v>45827</v>
      </c>
      <c r="K748" t="s">
        <v>377</v>
      </c>
    </row>
    <row r="749" hidden="1" spans="1:11">
      <c r="A749" t="s">
        <v>319</v>
      </c>
      <c r="B749" s="8">
        <v>252600164</v>
      </c>
      <c r="C749" s="9">
        <v>45761</v>
      </c>
      <c r="D749" s="8" t="s">
        <v>50</v>
      </c>
      <c r="E749" s="10">
        <v>150000</v>
      </c>
      <c r="F749" s="8">
        <v>0.08</v>
      </c>
      <c r="G749" s="11">
        <v>45860</v>
      </c>
      <c r="H749" s="12">
        <f t="shared" si="11"/>
        <v>12000</v>
      </c>
      <c r="I749" s="10" t="s">
        <v>10</v>
      </c>
      <c r="J749" s="9">
        <v>45827</v>
      </c>
      <c r="K749" t="s">
        <v>377</v>
      </c>
    </row>
    <row r="750" hidden="1" spans="1:11">
      <c r="A750" t="s">
        <v>319</v>
      </c>
      <c r="B750" s="8">
        <v>252600164</v>
      </c>
      <c r="C750" s="9">
        <v>45761</v>
      </c>
      <c r="D750" s="8" t="s">
        <v>511</v>
      </c>
      <c r="E750" s="10">
        <v>40000</v>
      </c>
      <c r="F750" s="8">
        <v>0.041</v>
      </c>
      <c r="G750" s="11">
        <v>45860</v>
      </c>
      <c r="H750" s="12">
        <f t="shared" si="11"/>
        <v>1640</v>
      </c>
      <c r="I750" s="10" t="s">
        <v>10</v>
      </c>
      <c r="J750" s="9">
        <v>45827</v>
      </c>
      <c r="K750" t="s">
        <v>377</v>
      </c>
    </row>
    <row r="751" hidden="1" spans="1:11">
      <c r="A751" t="s">
        <v>319</v>
      </c>
      <c r="B751" s="8">
        <v>252600165</v>
      </c>
      <c r="C751" s="9">
        <v>45761</v>
      </c>
      <c r="D751" s="8" t="s">
        <v>38</v>
      </c>
      <c r="E751" s="10">
        <v>40000</v>
      </c>
      <c r="F751" s="8">
        <v>0.01</v>
      </c>
      <c r="G751" s="11">
        <v>45952</v>
      </c>
      <c r="H751" s="12">
        <f t="shared" si="11"/>
        <v>400</v>
      </c>
      <c r="I751" s="10" t="s">
        <v>10</v>
      </c>
      <c r="J751" s="9">
        <v>45827</v>
      </c>
      <c r="K751" t="s">
        <v>377</v>
      </c>
    </row>
    <row r="752" hidden="1" spans="1:11">
      <c r="A752" t="s">
        <v>319</v>
      </c>
      <c r="B752" s="8">
        <v>252600165</v>
      </c>
      <c r="C752" s="9">
        <v>45761</v>
      </c>
      <c r="D752" s="8" t="s">
        <v>42</v>
      </c>
      <c r="E752" s="10">
        <v>60000</v>
      </c>
      <c r="F752" s="8">
        <v>0.065</v>
      </c>
      <c r="G752" s="11">
        <v>45922</v>
      </c>
      <c r="H752" s="12">
        <f t="shared" si="11"/>
        <v>3900</v>
      </c>
      <c r="I752" s="10" t="s">
        <v>10</v>
      </c>
      <c r="J752" s="9">
        <v>45827</v>
      </c>
      <c r="K752" t="s">
        <v>377</v>
      </c>
    </row>
    <row r="753" hidden="1" spans="1:11">
      <c r="A753" t="s">
        <v>319</v>
      </c>
      <c r="B753" s="8">
        <v>252600165</v>
      </c>
      <c r="C753" s="9">
        <v>45761</v>
      </c>
      <c r="D753" s="8" t="s">
        <v>46</v>
      </c>
      <c r="E753" s="10">
        <v>80000</v>
      </c>
      <c r="F753" s="8">
        <v>0.02</v>
      </c>
      <c r="G753" s="11">
        <v>45952</v>
      </c>
      <c r="H753" s="12">
        <f t="shared" si="11"/>
        <v>1600</v>
      </c>
      <c r="I753" s="10" t="s">
        <v>10</v>
      </c>
      <c r="J753" s="9">
        <v>45827</v>
      </c>
      <c r="K753" t="s">
        <v>377</v>
      </c>
    </row>
    <row r="754" hidden="1" spans="1:11">
      <c r="A754" t="s">
        <v>319</v>
      </c>
      <c r="B754" s="8">
        <v>252600165</v>
      </c>
      <c r="C754" s="9">
        <v>45761</v>
      </c>
      <c r="D754" s="8" t="s">
        <v>183</v>
      </c>
      <c r="E754" s="10">
        <v>10000</v>
      </c>
      <c r="F754" s="8">
        <v>0.5</v>
      </c>
      <c r="G754" s="11">
        <v>45922</v>
      </c>
      <c r="H754" s="12">
        <f t="shared" si="11"/>
        <v>5000</v>
      </c>
      <c r="I754" s="10" t="s">
        <v>10</v>
      </c>
      <c r="J754" s="9">
        <v>45827</v>
      </c>
      <c r="K754" t="s">
        <v>377</v>
      </c>
    </row>
    <row r="755" hidden="1" spans="1:11">
      <c r="A755" t="s">
        <v>319</v>
      </c>
      <c r="B755" s="8">
        <v>252600165</v>
      </c>
      <c r="C755" s="9">
        <v>45761</v>
      </c>
      <c r="D755" s="8" t="s">
        <v>111</v>
      </c>
      <c r="E755" s="10">
        <v>100000</v>
      </c>
      <c r="F755" s="8">
        <v>0.045</v>
      </c>
      <c r="G755" s="11">
        <v>45922</v>
      </c>
      <c r="H755" s="12">
        <f t="shared" si="11"/>
        <v>4500</v>
      </c>
      <c r="I755" s="10" t="s">
        <v>10</v>
      </c>
      <c r="J755" s="9">
        <v>45827</v>
      </c>
      <c r="K755" t="s">
        <v>377</v>
      </c>
    </row>
    <row r="756" hidden="1" spans="1:11">
      <c r="A756" t="s">
        <v>319</v>
      </c>
      <c r="B756" s="8">
        <v>252600165</v>
      </c>
      <c r="C756" s="9">
        <v>45761</v>
      </c>
      <c r="D756" s="8" t="s">
        <v>162</v>
      </c>
      <c r="E756" s="10">
        <v>200000</v>
      </c>
      <c r="F756" s="8">
        <v>0.05</v>
      </c>
      <c r="G756" s="11">
        <v>45922</v>
      </c>
      <c r="H756" s="12">
        <f t="shared" si="11"/>
        <v>10000</v>
      </c>
      <c r="I756" s="10" t="s">
        <v>10</v>
      </c>
      <c r="J756" s="9">
        <v>45827</v>
      </c>
      <c r="K756" t="s">
        <v>377</v>
      </c>
    </row>
    <row r="757" hidden="1" spans="1:11">
      <c r="A757" t="s">
        <v>319</v>
      </c>
      <c r="B757" s="8">
        <v>252600165</v>
      </c>
      <c r="C757" s="9">
        <v>45761</v>
      </c>
      <c r="D757" s="8" t="s">
        <v>226</v>
      </c>
      <c r="E757" s="10">
        <v>30000</v>
      </c>
      <c r="F757" s="8">
        <v>0.065</v>
      </c>
      <c r="G757" s="11">
        <v>45922</v>
      </c>
      <c r="H757" s="12">
        <f t="shared" si="11"/>
        <v>1950</v>
      </c>
      <c r="I757" s="10" t="s">
        <v>10</v>
      </c>
      <c r="J757" s="13">
        <v>45835</v>
      </c>
      <c r="K757" t="s">
        <v>377</v>
      </c>
    </row>
    <row r="758" hidden="1" spans="1:11">
      <c r="A758" t="s">
        <v>319</v>
      </c>
      <c r="B758" s="8">
        <v>252600182</v>
      </c>
      <c r="C758" s="9">
        <v>45763</v>
      </c>
      <c r="D758" s="8" t="s">
        <v>100</v>
      </c>
      <c r="E758" s="10">
        <v>20000</v>
      </c>
      <c r="F758" s="8">
        <v>0.0224</v>
      </c>
      <c r="G758" s="11">
        <v>45782</v>
      </c>
      <c r="H758" s="12">
        <f t="shared" si="11"/>
        <v>448</v>
      </c>
      <c r="I758" s="10" t="s">
        <v>10</v>
      </c>
      <c r="J758" s="13">
        <v>45783</v>
      </c>
    </row>
    <row r="759" hidden="1" spans="1:11">
      <c r="A759" t="s">
        <v>319</v>
      </c>
      <c r="B759" s="8">
        <v>252600182</v>
      </c>
      <c r="C759" s="9">
        <v>45763</v>
      </c>
      <c r="D759" s="8" t="s">
        <v>515</v>
      </c>
      <c r="E759" s="10">
        <v>20000</v>
      </c>
      <c r="F759" s="8">
        <v>0.0238</v>
      </c>
      <c r="G759" s="11">
        <v>45782</v>
      </c>
      <c r="H759" s="12">
        <f t="shared" si="11"/>
        <v>476</v>
      </c>
      <c r="I759" s="10" t="s">
        <v>10</v>
      </c>
      <c r="J759" s="13">
        <v>45776</v>
      </c>
    </row>
    <row r="760" hidden="1" spans="1:11">
      <c r="A760" t="s">
        <v>319</v>
      </c>
      <c r="B760" s="8">
        <v>252600182</v>
      </c>
      <c r="C760" s="9">
        <v>45763</v>
      </c>
      <c r="D760" s="8" t="s">
        <v>31</v>
      </c>
      <c r="E760" s="10">
        <v>200000</v>
      </c>
      <c r="F760" s="8">
        <v>0.024</v>
      </c>
      <c r="G760" s="11">
        <v>45782</v>
      </c>
      <c r="H760" s="12">
        <f t="shared" si="11"/>
        <v>4800</v>
      </c>
      <c r="I760" s="10" t="s">
        <v>10</v>
      </c>
      <c r="J760" s="13">
        <v>45783</v>
      </c>
    </row>
    <row r="761" hidden="1" spans="1:11">
      <c r="A761" t="s">
        <v>319</v>
      </c>
      <c r="B761" s="8">
        <v>252600182</v>
      </c>
      <c r="C761" s="9">
        <v>45763</v>
      </c>
      <c r="D761" s="8" t="s">
        <v>31</v>
      </c>
      <c r="E761" s="10">
        <v>100000</v>
      </c>
      <c r="F761" s="8">
        <v>0.024</v>
      </c>
      <c r="G761" s="11">
        <v>45782</v>
      </c>
      <c r="H761" s="12">
        <f t="shared" si="11"/>
        <v>2400</v>
      </c>
      <c r="I761" s="10" t="s">
        <v>10</v>
      </c>
      <c r="J761" s="13">
        <v>45783</v>
      </c>
    </row>
    <row r="762" hidden="1" spans="1:11">
      <c r="A762" t="s">
        <v>319</v>
      </c>
      <c r="B762" s="8">
        <v>252600182</v>
      </c>
      <c r="C762" s="9">
        <v>45763</v>
      </c>
      <c r="D762" s="8" t="s">
        <v>31</v>
      </c>
      <c r="E762" s="10">
        <v>200000</v>
      </c>
      <c r="F762" s="8">
        <v>0.024</v>
      </c>
      <c r="G762" s="11">
        <v>45813</v>
      </c>
      <c r="H762" s="12">
        <f t="shared" si="11"/>
        <v>4800</v>
      </c>
      <c r="I762" s="10" t="s">
        <v>10</v>
      </c>
      <c r="J762" s="13">
        <v>45783</v>
      </c>
    </row>
    <row r="763" hidden="1" spans="1:11">
      <c r="A763" t="s">
        <v>319</v>
      </c>
      <c r="B763" s="8">
        <v>252600182</v>
      </c>
      <c r="C763" s="9">
        <v>45763</v>
      </c>
      <c r="D763" s="8" t="s">
        <v>31</v>
      </c>
      <c r="E763" s="10">
        <v>200000</v>
      </c>
      <c r="F763" s="8">
        <v>0.024</v>
      </c>
      <c r="G763" s="11">
        <v>45813</v>
      </c>
      <c r="H763" s="12">
        <f t="shared" si="11"/>
        <v>4800</v>
      </c>
      <c r="I763" s="10" t="s">
        <v>10</v>
      </c>
      <c r="J763" s="13">
        <v>45783</v>
      </c>
    </row>
    <row r="764" hidden="1" spans="1:11">
      <c r="A764" t="s">
        <v>319</v>
      </c>
      <c r="B764" s="8">
        <v>252600182</v>
      </c>
      <c r="C764" s="9">
        <v>45763</v>
      </c>
      <c r="D764" s="8" t="s">
        <v>31</v>
      </c>
      <c r="E764" s="10">
        <v>200000</v>
      </c>
      <c r="F764" s="8">
        <v>0.024</v>
      </c>
      <c r="G764" s="11">
        <v>45813</v>
      </c>
      <c r="H764" s="12">
        <f t="shared" si="11"/>
        <v>4800</v>
      </c>
      <c r="I764" s="10" t="s">
        <v>10</v>
      </c>
      <c r="J764" s="13">
        <v>45783</v>
      </c>
    </row>
    <row r="765" hidden="1" spans="1:11">
      <c r="A765" t="s">
        <v>319</v>
      </c>
      <c r="B765" s="8">
        <v>252600182</v>
      </c>
      <c r="C765" s="9">
        <v>45763</v>
      </c>
      <c r="D765" s="8" t="s">
        <v>31</v>
      </c>
      <c r="E765" s="10">
        <v>100000</v>
      </c>
      <c r="F765" s="8">
        <v>0.024</v>
      </c>
      <c r="G765" s="11">
        <v>45813</v>
      </c>
      <c r="H765" s="12">
        <f t="shared" si="11"/>
        <v>2400</v>
      </c>
      <c r="I765" s="10" t="s">
        <v>10</v>
      </c>
      <c r="J765" s="13">
        <v>45783</v>
      </c>
    </row>
    <row r="766" hidden="1" spans="1:11">
      <c r="A766" t="s">
        <v>319</v>
      </c>
      <c r="B766" s="8">
        <v>252600182</v>
      </c>
      <c r="C766" s="9">
        <v>45763</v>
      </c>
      <c r="D766" s="8" t="s">
        <v>78</v>
      </c>
      <c r="E766" s="10">
        <v>60000</v>
      </c>
      <c r="F766" s="8">
        <v>0.016</v>
      </c>
      <c r="G766" s="11">
        <v>45782</v>
      </c>
      <c r="H766" s="12">
        <f t="shared" si="11"/>
        <v>960</v>
      </c>
      <c r="I766" s="10" t="s">
        <v>10</v>
      </c>
      <c r="J766" s="13">
        <v>45783</v>
      </c>
    </row>
    <row r="767" hidden="1" spans="1:11">
      <c r="A767" t="s">
        <v>319</v>
      </c>
      <c r="B767" s="8">
        <v>252600182</v>
      </c>
      <c r="C767" s="9">
        <v>45763</v>
      </c>
      <c r="D767" s="8" t="s">
        <v>78</v>
      </c>
      <c r="E767" s="10">
        <v>60000</v>
      </c>
      <c r="F767" s="8">
        <v>0.016</v>
      </c>
      <c r="G767" s="11">
        <v>45813</v>
      </c>
      <c r="H767" s="12">
        <f t="shared" si="11"/>
        <v>960</v>
      </c>
      <c r="I767" s="10" t="s">
        <v>10</v>
      </c>
      <c r="J767" s="13">
        <v>45783</v>
      </c>
    </row>
    <row r="768" hidden="1" spans="1:11">
      <c r="A768" t="s">
        <v>319</v>
      </c>
      <c r="B768" s="8">
        <v>252600182</v>
      </c>
      <c r="C768" s="9">
        <v>45763</v>
      </c>
      <c r="D768" s="8" t="s">
        <v>181</v>
      </c>
      <c r="E768" s="10">
        <v>20000</v>
      </c>
      <c r="F768" s="8">
        <v>0.0243</v>
      </c>
      <c r="G768" s="11">
        <v>45782</v>
      </c>
      <c r="H768" s="12">
        <f t="shared" si="11"/>
        <v>486</v>
      </c>
      <c r="I768" s="10" t="s">
        <v>10</v>
      </c>
      <c r="J768" s="13">
        <v>45783</v>
      </c>
    </row>
    <row r="769" hidden="1" spans="1:10">
      <c r="A769" t="s">
        <v>319</v>
      </c>
      <c r="B769" s="8">
        <v>252600182</v>
      </c>
      <c r="C769" s="9">
        <v>45763</v>
      </c>
      <c r="D769" s="8" t="s">
        <v>33</v>
      </c>
      <c r="E769" s="10">
        <v>200000</v>
      </c>
      <c r="F769" s="8">
        <v>0.018</v>
      </c>
      <c r="G769" s="11">
        <v>45813</v>
      </c>
      <c r="H769" s="12">
        <f t="shared" si="11"/>
        <v>3600</v>
      </c>
      <c r="I769" s="10" t="s">
        <v>10</v>
      </c>
      <c r="J769" s="13">
        <v>45783</v>
      </c>
    </row>
    <row r="770" hidden="1" spans="1:10">
      <c r="A770" t="s">
        <v>319</v>
      </c>
      <c r="B770" s="8">
        <v>252600182</v>
      </c>
      <c r="C770" s="9">
        <v>45763</v>
      </c>
      <c r="D770" s="8" t="s">
        <v>33</v>
      </c>
      <c r="E770" s="10">
        <v>200000</v>
      </c>
      <c r="F770" s="8">
        <v>0.018</v>
      </c>
      <c r="G770" s="11">
        <v>45813</v>
      </c>
      <c r="H770" s="12">
        <f t="shared" ref="H770:H833" si="12">E770*F770</f>
        <v>3600</v>
      </c>
      <c r="I770" s="10" t="s">
        <v>10</v>
      </c>
      <c r="J770" s="13">
        <v>45783</v>
      </c>
    </row>
    <row r="771" hidden="1" spans="1:10">
      <c r="A771" t="s">
        <v>319</v>
      </c>
      <c r="B771" s="8">
        <v>252600182</v>
      </c>
      <c r="C771" s="9">
        <v>45763</v>
      </c>
      <c r="D771" s="8" t="s">
        <v>33</v>
      </c>
      <c r="E771" s="10">
        <v>200000</v>
      </c>
      <c r="F771" s="8">
        <v>0.018</v>
      </c>
      <c r="G771" s="11">
        <v>45813</v>
      </c>
      <c r="H771" s="12">
        <f t="shared" si="12"/>
        <v>3600</v>
      </c>
      <c r="I771" s="10" t="s">
        <v>10</v>
      </c>
      <c r="J771" s="13">
        <v>45783</v>
      </c>
    </row>
    <row r="772" hidden="1" spans="1:10">
      <c r="A772" t="s">
        <v>319</v>
      </c>
      <c r="B772" s="8">
        <v>252600182</v>
      </c>
      <c r="C772" s="9">
        <v>45763</v>
      </c>
      <c r="D772" s="8" t="s">
        <v>33</v>
      </c>
      <c r="E772" s="10">
        <v>200000</v>
      </c>
      <c r="F772" s="8">
        <v>0.018</v>
      </c>
      <c r="G772" s="11">
        <v>45813</v>
      </c>
      <c r="H772" s="12">
        <f t="shared" si="12"/>
        <v>3600</v>
      </c>
      <c r="I772" s="10" t="s">
        <v>10</v>
      </c>
      <c r="J772" s="13">
        <v>45783</v>
      </c>
    </row>
    <row r="773" hidden="1" spans="1:10">
      <c r="A773" t="s">
        <v>319</v>
      </c>
      <c r="B773" s="8">
        <v>252600183</v>
      </c>
      <c r="C773" s="9">
        <v>45763</v>
      </c>
      <c r="D773" s="8" t="s">
        <v>11</v>
      </c>
      <c r="E773" s="10">
        <v>100000</v>
      </c>
      <c r="F773" s="8">
        <v>0.032</v>
      </c>
      <c r="G773" s="11">
        <v>45843</v>
      </c>
      <c r="H773" s="12">
        <f t="shared" si="12"/>
        <v>3200</v>
      </c>
      <c r="I773" s="10" t="s">
        <v>10</v>
      </c>
      <c r="J773" s="13">
        <v>45812</v>
      </c>
    </row>
    <row r="774" hidden="1" spans="1:10">
      <c r="A774" t="s">
        <v>319</v>
      </c>
      <c r="B774" s="8">
        <v>252600183</v>
      </c>
      <c r="C774" s="9">
        <v>45763</v>
      </c>
      <c r="D774" s="8" t="s">
        <v>29</v>
      </c>
      <c r="E774" s="10">
        <v>200000</v>
      </c>
      <c r="F774" s="8">
        <v>0.0216</v>
      </c>
      <c r="G774" s="11">
        <v>45843</v>
      </c>
      <c r="H774" s="12">
        <f t="shared" si="12"/>
        <v>4320</v>
      </c>
      <c r="I774" s="10" t="s">
        <v>10</v>
      </c>
      <c r="J774" s="13">
        <v>45812</v>
      </c>
    </row>
    <row r="775" hidden="1" spans="1:10">
      <c r="A775" t="s">
        <v>319</v>
      </c>
      <c r="B775" s="8">
        <v>252600183</v>
      </c>
      <c r="C775" s="9">
        <v>45763</v>
      </c>
      <c r="D775" s="8" t="s">
        <v>29</v>
      </c>
      <c r="E775" s="10">
        <v>200000</v>
      </c>
      <c r="F775" s="8">
        <v>0.0216</v>
      </c>
      <c r="G775" s="11">
        <v>45843</v>
      </c>
      <c r="H775" s="12">
        <f t="shared" si="12"/>
        <v>4320</v>
      </c>
      <c r="I775" s="10" t="s">
        <v>10</v>
      </c>
      <c r="J775" s="13">
        <v>45812</v>
      </c>
    </row>
    <row r="776" hidden="1" spans="1:10">
      <c r="A776" t="s">
        <v>319</v>
      </c>
      <c r="B776" s="8">
        <v>252600183</v>
      </c>
      <c r="C776" s="9">
        <v>45763</v>
      </c>
      <c r="D776" s="8" t="s">
        <v>29</v>
      </c>
      <c r="E776" s="10">
        <v>200000</v>
      </c>
      <c r="F776" s="8">
        <v>0.0216</v>
      </c>
      <c r="G776" s="11">
        <v>45843</v>
      </c>
      <c r="H776" s="12">
        <f t="shared" si="12"/>
        <v>4320</v>
      </c>
      <c r="I776" s="10" t="s">
        <v>10</v>
      </c>
      <c r="J776" s="13">
        <v>45812</v>
      </c>
    </row>
    <row r="777" hidden="1" spans="1:10">
      <c r="A777" t="s">
        <v>319</v>
      </c>
      <c r="B777" s="8">
        <v>252600183</v>
      </c>
      <c r="C777" s="9">
        <v>45763</v>
      </c>
      <c r="D777" s="8" t="s">
        <v>29</v>
      </c>
      <c r="E777" s="10">
        <v>200000</v>
      </c>
      <c r="F777" s="8">
        <v>0.0216</v>
      </c>
      <c r="G777" s="11">
        <v>45843</v>
      </c>
      <c r="H777" s="12">
        <f t="shared" si="12"/>
        <v>4320</v>
      </c>
      <c r="I777" s="10" t="s">
        <v>10</v>
      </c>
      <c r="J777" s="13">
        <v>45812</v>
      </c>
    </row>
    <row r="778" hidden="1" spans="1:10">
      <c r="A778" t="s">
        <v>319</v>
      </c>
      <c r="B778" s="8">
        <v>252600183</v>
      </c>
      <c r="C778" s="9">
        <v>45763</v>
      </c>
      <c r="D778" s="8" t="s">
        <v>29</v>
      </c>
      <c r="E778" s="10">
        <v>200000</v>
      </c>
      <c r="F778" s="8">
        <v>0.0216</v>
      </c>
      <c r="G778" s="11">
        <v>45843</v>
      </c>
      <c r="H778" s="12">
        <f t="shared" si="12"/>
        <v>4320</v>
      </c>
      <c r="I778" s="10" t="s">
        <v>10</v>
      </c>
      <c r="J778" s="13">
        <v>45812</v>
      </c>
    </row>
    <row r="779" hidden="1" spans="1:10">
      <c r="A779" t="s">
        <v>319</v>
      </c>
      <c r="B779" s="8">
        <v>252600183</v>
      </c>
      <c r="C779" s="9">
        <v>45763</v>
      </c>
      <c r="D779" s="8" t="s">
        <v>29</v>
      </c>
      <c r="E779" s="10">
        <v>200000</v>
      </c>
      <c r="F779" s="8">
        <v>0.0216</v>
      </c>
      <c r="G779" s="11">
        <v>45843</v>
      </c>
      <c r="H779" s="12">
        <f t="shared" si="12"/>
        <v>4320</v>
      </c>
      <c r="I779" s="10" t="s">
        <v>10</v>
      </c>
      <c r="J779" s="13">
        <v>45812</v>
      </c>
    </row>
    <row r="780" hidden="1" spans="1:10">
      <c r="A780" t="s">
        <v>319</v>
      </c>
      <c r="B780" s="8">
        <v>252600183</v>
      </c>
      <c r="C780" s="9">
        <v>45763</v>
      </c>
      <c r="D780" s="8" t="s">
        <v>29</v>
      </c>
      <c r="E780" s="10">
        <v>200000</v>
      </c>
      <c r="F780" s="8">
        <v>0.0216</v>
      </c>
      <c r="G780" s="11">
        <v>45843</v>
      </c>
      <c r="H780" s="12">
        <f t="shared" si="12"/>
        <v>4320</v>
      </c>
      <c r="I780" s="10" t="s">
        <v>10</v>
      </c>
      <c r="J780" s="13">
        <v>45812</v>
      </c>
    </row>
    <row r="781" hidden="1" spans="1:10">
      <c r="A781" t="s">
        <v>319</v>
      </c>
      <c r="B781" s="8">
        <v>252600183</v>
      </c>
      <c r="C781" s="9">
        <v>45763</v>
      </c>
      <c r="D781" s="8" t="s">
        <v>29</v>
      </c>
      <c r="E781" s="10">
        <v>200000</v>
      </c>
      <c r="F781" s="8">
        <v>0.0216</v>
      </c>
      <c r="G781" s="11">
        <v>45843</v>
      </c>
      <c r="H781" s="12">
        <f t="shared" si="12"/>
        <v>4320</v>
      </c>
      <c r="I781" s="10" t="s">
        <v>10</v>
      </c>
      <c r="J781" s="13">
        <v>45812</v>
      </c>
    </row>
    <row r="782" hidden="1" spans="1:10">
      <c r="A782" t="s">
        <v>319</v>
      </c>
      <c r="B782" s="8">
        <v>252600183</v>
      </c>
      <c r="C782" s="9">
        <v>45763</v>
      </c>
      <c r="D782" s="8" t="s">
        <v>29</v>
      </c>
      <c r="E782" s="10">
        <v>200000</v>
      </c>
      <c r="F782" s="8">
        <v>0.0216</v>
      </c>
      <c r="G782" s="11">
        <v>45843</v>
      </c>
      <c r="H782" s="12">
        <f t="shared" si="12"/>
        <v>4320</v>
      </c>
      <c r="I782" s="10" t="s">
        <v>10</v>
      </c>
      <c r="J782" s="13">
        <v>45812</v>
      </c>
    </row>
    <row r="783" hidden="1" spans="1:10">
      <c r="A783" t="s">
        <v>319</v>
      </c>
      <c r="B783" s="8">
        <v>252600183</v>
      </c>
      <c r="C783" s="9">
        <v>45763</v>
      </c>
      <c r="D783" s="8" t="s">
        <v>29</v>
      </c>
      <c r="E783" s="10">
        <v>200000</v>
      </c>
      <c r="F783" s="8">
        <v>0.0216</v>
      </c>
      <c r="G783" s="11">
        <v>45843</v>
      </c>
      <c r="H783" s="12">
        <f t="shared" si="12"/>
        <v>4320</v>
      </c>
      <c r="I783" s="10" t="s">
        <v>10</v>
      </c>
      <c r="J783" s="13">
        <v>45812</v>
      </c>
    </row>
    <row r="784" hidden="1" spans="1:10">
      <c r="A784" t="s">
        <v>319</v>
      </c>
      <c r="B784" s="8">
        <v>252600184</v>
      </c>
      <c r="C784" s="9">
        <v>45763</v>
      </c>
      <c r="D784" s="8" t="s">
        <v>31</v>
      </c>
      <c r="E784" s="10">
        <v>200000</v>
      </c>
      <c r="F784" s="8">
        <v>0.024</v>
      </c>
      <c r="G784" s="11">
        <v>45843</v>
      </c>
      <c r="H784" s="12">
        <f t="shared" si="12"/>
        <v>4800</v>
      </c>
      <c r="I784" s="10" t="s">
        <v>10</v>
      </c>
      <c r="J784" s="13">
        <v>45810</v>
      </c>
    </row>
    <row r="785" hidden="1" spans="1:11">
      <c r="A785" t="s">
        <v>319</v>
      </c>
      <c r="B785" s="8">
        <v>252600184</v>
      </c>
      <c r="C785" s="9">
        <v>45763</v>
      </c>
      <c r="D785" s="8" t="s">
        <v>31</v>
      </c>
      <c r="E785" s="10">
        <v>200000</v>
      </c>
      <c r="F785" s="8">
        <v>0.024</v>
      </c>
      <c r="G785" s="11">
        <v>45843</v>
      </c>
      <c r="H785" s="12">
        <f t="shared" si="12"/>
        <v>4800</v>
      </c>
      <c r="I785" s="10" t="s">
        <v>10</v>
      </c>
      <c r="J785" s="13">
        <v>45810</v>
      </c>
    </row>
    <row r="786" hidden="1" spans="1:11">
      <c r="A786" t="s">
        <v>319</v>
      </c>
      <c r="B786" s="8">
        <v>252600184</v>
      </c>
      <c r="C786" s="9">
        <v>45763</v>
      </c>
      <c r="D786" s="8" t="s">
        <v>31</v>
      </c>
      <c r="E786" s="10">
        <v>200000</v>
      </c>
      <c r="F786" s="8">
        <v>0.024</v>
      </c>
      <c r="G786" s="11">
        <v>45843</v>
      </c>
      <c r="H786" s="12">
        <f t="shared" si="12"/>
        <v>4800</v>
      </c>
      <c r="I786" s="10" t="s">
        <v>10</v>
      </c>
      <c r="J786" s="13">
        <v>45810</v>
      </c>
    </row>
    <row r="787" hidden="1" spans="1:11">
      <c r="A787" t="s">
        <v>319</v>
      </c>
      <c r="B787" s="8">
        <v>252600184</v>
      </c>
      <c r="C787" s="9">
        <v>45763</v>
      </c>
      <c r="D787" s="8" t="s">
        <v>78</v>
      </c>
      <c r="E787" s="10">
        <v>60000</v>
      </c>
      <c r="F787" s="8">
        <v>0.016</v>
      </c>
      <c r="G787" s="11">
        <v>45843</v>
      </c>
      <c r="H787" s="12">
        <f t="shared" si="12"/>
        <v>960</v>
      </c>
      <c r="I787" s="10" t="s">
        <v>10</v>
      </c>
      <c r="J787" s="13">
        <v>45810</v>
      </c>
    </row>
    <row r="788" hidden="1" spans="1:11">
      <c r="A788" t="s">
        <v>319</v>
      </c>
      <c r="B788" s="8">
        <v>252600184</v>
      </c>
      <c r="C788" s="9">
        <v>45763</v>
      </c>
      <c r="D788" s="8" t="s">
        <v>33</v>
      </c>
      <c r="E788" s="10">
        <v>200000</v>
      </c>
      <c r="F788" s="8">
        <v>0.018</v>
      </c>
      <c r="G788" s="11">
        <v>45843</v>
      </c>
      <c r="H788" s="12">
        <f t="shared" si="12"/>
        <v>3600</v>
      </c>
      <c r="I788" s="10" t="s">
        <v>10</v>
      </c>
      <c r="J788" s="13">
        <v>45810</v>
      </c>
    </row>
    <row r="789" hidden="1" spans="1:11">
      <c r="A789" t="s">
        <v>319</v>
      </c>
      <c r="B789" s="8">
        <v>252600184</v>
      </c>
      <c r="C789" s="9">
        <v>45763</v>
      </c>
      <c r="D789" s="8" t="s">
        <v>33</v>
      </c>
      <c r="E789" s="10">
        <v>200000</v>
      </c>
      <c r="F789" s="8">
        <v>0.018</v>
      </c>
      <c r="G789" s="11">
        <v>45843</v>
      </c>
      <c r="H789" s="12">
        <f t="shared" si="12"/>
        <v>3600</v>
      </c>
      <c r="I789" s="10" t="s">
        <v>10</v>
      </c>
      <c r="J789" s="13">
        <v>45810</v>
      </c>
    </row>
    <row r="790" hidden="1" spans="1:11">
      <c r="A790" t="s">
        <v>319</v>
      </c>
      <c r="B790" s="8">
        <v>252600185</v>
      </c>
      <c r="C790" s="9">
        <v>45763</v>
      </c>
      <c r="D790" s="8" t="s">
        <v>11</v>
      </c>
      <c r="E790" s="10">
        <v>160000</v>
      </c>
      <c r="F790" s="8">
        <v>0.032</v>
      </c>
      <c r="G790" s="11">
        <v>45874</v>
      </c>
      <c r="H790" s="12">
        <f t="shared" si="12"/>
        <v>5120</v>
      </c>
      <c r="I790" s="10" t="s">
        <v>10</v>
      </c>
      <c r="J790" s="13">
        <v>45856</v>
      </c>
      <c r="K790" t="s">
        <v>467</v>
      </c>
    </row>
    <row r="791" hidden="1" spans="1:11">
      <c r="A791" t="s">
        <v>319</v>
      </c>
      <c r="B791" s="8">
        <v>252600185</v>
      </c>
      <c r="C791" s="9">
        <v>45763</v>
      </c>
      <c r="D791" s="8" t="s">
        <v>29</v>
      </c>
      <c r="E791" s="10">
        <v>200000</v>
      </c>
      <c r="F791" s="8">
        <v>0.0216</v>
      </c>
      <c r="G791" s="11">
        <v>45874</v>
      </c>
      <c r="H791" s="12">
        <f t="shared" si="12"/>
        <v>4320</v>
      </c>
      <c r="I791" s="10" t="s">
        <v>10</v>
      </c>
      <c r="J791" s="13">
        <v>45856</v>
      </c>
      <c r="K791" t="s">
        <v>467</v>
      </c>
    </row>
    <row r="792" hidden="1" spans="1:11">
      <c r="A792" t="s">
        <v>319</v>
      </c>
      <c r="B792" s="8">
        <v>252600185</v>
      </c>
      <c r="C792" s="9">
        <v>45763</v>
      </c>
      <c r="D792" s="8" t="s">
        <v>29</v>
      </c>
      <c r="E792" s="10">
        <v>200000</v>
      </c>
      <c r="F792" s="8">
        <v>0.0216</v>
      </c>
      <c r="G792" s="11">
        <v>45874</v>
      </c>
      <c r="H792" s="12">
        <f t="shared" si="12"/>
        <v>4320</v>
      </c>
      <c r="I792" s="10" t="s">
        <v>10</v>
      </c>
      <c r="J792" s="13">
        <v>45856</v>
      </c>
      <c r="K792" t="s">
        <v>467</v>
      </c>
    </row>
    <row r="793" hidden="1" spans="1:11">
      <c r="A793" t="s">
        <v>319</v>
      </c>
      <c r="B793" s="8">
        <v>252600185</v>
      </c>
      <c r="C793" s="9">
        <v>45763</v>
      </c>
      <c r="D793" s="8" t="s">
        <v>29</v>
      </c>
      <c r="E793" s="10">
        <v>200000</v>
      </c>
      <c r="F793" s="8">
        <v>0.0216</v>
      </c>
      <c r="G793" s="11">
        <v>45874</v>
      </c>
      <c r="H793" s="12">
        <f t="shared" si="12"/>
        <v>4320</v>
      </c>
      <c r="I793" s="10" t="s">
        <v>10</v>
      </c>
      <c r="J793" s="13">
        <v>45856</v>
      </c>
      <c r="K793" t="s">
        <v>467</v>
      </c>
    </row>
    <row r="794" hidden="1" spans="1:11">
      <c r="A794" t="s">
        <v>319</v>
      </c>
      <c r="B794" s="8">
        <v>252600185</v>
      </c>
      <c r="C794" s="9">
        <v>45763</v>
      </c>
      <c r="D794" s="8" t="s">
        <v>29</v>
      </c>
      <c r="E794" s="10">
        <v>200000</v>
      </c>
      <c r="F794" s="8">
        <v>0.0216</v>
      </c>
      <c r="G794" s="11">
        <v>45874</v>
      </c>
      <c r="H794" s="12">
        <f t="shared" si="12"/>
        <v>4320</v>
      </c>
      <c r="I794" s="10" t="s">
        <v>10</v>
      </c>
      <c r="J794" s="13">
        <v>45856</v>
      </c>
      <c r="K794" t="s">
        <v>467</v>
      </c>
    </row>
    <row r="795" hidden="1" spans="1:11">
      <c r="A795" t="s">
        <v>319</v>
      </c>
      <c r="B795" s="8">
        <v>252600185</v>
      </c>
      <c r="C795" s="9">
        <v>45763</v>
      </c>
      <c r="D795" s="8" t="s">
        <v>29</v>
      </c>
      <c r="E795" s="10">
        <v>200000</v>
      </c>
      <c r="F795" s="8">
        <v>0.0216</v>
      </c>
      <c r="G795" s="11">
        <v>45874</v>
      </c>
      <c r="H795" s="12">
        <f t="shared" si="12"/>
        <v>4320</v>
      </c>
      <c r="I795" s="10" t="s">
        <v>10</v>
      </c>
      <c r="J795" s="13">
        <v>45856</v>
      </c>
      <c r="K795" t="s">
        <v>467</v>
      </c>
    </row>
    <row r="796" hidden="1" spans="1:11">
      <c r="A796" t="s">
        <v>319</v>
      </c>
      <c r="B796" s="8">
        <v>252600185</v>
      </c>
      <c r="C796" s="9">
        <v>45763</v>
      </c>
      <c r="D796" s="8" t="s">
        <v>29</v>
      </c>
      <c r="E796" s="10">
        <v>200000</v>
      </c>
      <c r="F796" s="8">
        <v>0.0216</v>
      </c>
      <c r="G796" s="11">
        <v>45874</v>
      </c>
      <c r="H796" s="12">
        <f t="shared" si="12"/>
        <v>4320</v>
      </c>
      <c r="I796" s="10" t="s">
        <v>10</v>
      </c>
      <c r="J796" s="13">
        <v>45856</v>
      </c>
      <c r="K796" t="s">
        <v>467</v>
      </c>
    </row>
    <row r="797" hidden="1" spans="1:11">
      <c r="A797" t="s">
        <v>319</v>
      </c>
      <c r="B797" s="8">
        <v>252600185</v>
      </c>
      <c r="C797" s="9">
        <v>45763</v>
      </c>
      <c r="D797" s="8" t="s">
        <v>29</v>
      </c>
      <c r="E797" s="10">
        <v>200000</v>
      </c>
      <c r="F797" s="8">
        <v>0.0216</v>
      </c>
      <c r="G797" s="11">
        <v>45874</v>
      </c>
      <c r="H797" s="12">
        <f t="shared" si="12"/>
        <v>4320</v>
      </c>
      <c r="I797" s="10" t="s">
        <v>10</v>
      </c>
      <c r="J797" s="13">
        <v>45856</v>
      </c>
      <c r="K797" t="s">
        <v>467</v>
      </c>
    </row>
    <row r="798" hidden="1" spans="1:11">
      <c r="A798" t="s">
        <v>319</v>
      </c>
      <c r="B798" s="8">
        <v>252600185</v>
      </c>
      <c r="C798" s="9">
        <v>45763</v>
      </c>
      <c r="D798" s="8" t="s">
        <v>29</v>
      </c>
      <c r="E798" s="10">
        <v>200000</v>
      </c>
      <c r="F798" s="8">
        <v>0.0216</v>
      </c>
      <c r="G798" s="11">
        <v>45874</v>
      </c>
      <c r="H798" s="12">
        <f t="shared" si="12"/>
        <v>4320</v>
      </c>
      <c r="I798" s="10" t="s">
        <v>10</v>
      </c>
      <c r="J798" s="13">
        <v>45856</v>
      </c>
      <c r="K798" t="s">
        <v>467</v>
      </c>
    </row>
    <row r="799" hidden="1" spans="1:11">
      <c r="A799" t="s">
        <v>319</v>
      </c>
      <c r="B799" s="8">
        <v>252600185</v>
      </c>
      <c r="C799" s="9">
        <v>45763</v>
      </c>
      <c r="D799" s="8" t="s">
        <v>29</v>
      </c>
      <c r="E799" s="10">
        <v>200000</v>
      </c>
      <c r="F799" s="8">
        <v>0.0216</v>
      </c>
      <c r="G799" s="11">
        <v>45874</v>
      </c>
      <c r="H799" s="12">
        <f t="shared" si="12"/>
        <v>4320</v>
      </c>
      <c r="I799" s="10" t="s">
        <v>10</v>
      </c>
      <c r="J799" s="13">
        <v>45856</v>
      </c>
      <c r="K799" t="s">
        <v>467</v>
      </c>
    </row>
    <row r="800" hidden="1" spans="1:11">
      <c r="A800" t="s">
        <v>319</v>
      </c>
      <c r="B800" s="8">
        <v>252600186</v>
      </c>
      <c r="C800" s="9">
        <v>45763</v>
      </c>
      <c r="D800" s="8" t="s">
        <v>29</v>
      </c>
      <c r="E800" s="10">
        <v>200000</v>
      </c>
      <c r="F800" s="8">
        <v>0.0216</v>
      </c>
      <c r="G800" s="11">
        <v>45874</v>
      </c>
      <c r="H800" s="12">
        <f t="shared" si="12"/>
        <v>4320</v>
      </c>
      <c r="I800" s="10" t="s">
        <v>10</v>
      </c>
      <c r="J800" s="13">
        <v>45856</v>
      </c>
      <c r="K800" t="s">
        <v>467</v>
      </c>
    </row>
    <row r="801" hidden="1" spans="1:11">
      <c r="A801" t="s">
        <v>319</v>
      </c>
      <c r="B801" s="8">
        <v>252600186</v>
      </c>
      <c r="C801" s="9">
        <v>45763</v>
      </c>
      <c r="D801" s="8" t="s">
        <v>31</v>
      </c>
      <c r="E801" s="10">
        <v>200000</v>
      </c>
      <c r="F801" s="8">
        <v>0.024</v>
      </c>
      <c r="G801" s="11">
        <v>45874</v>
      </c>
      <c r="H801" s="12">
        <f t="shared" si="12"/>
        <v>4800</v>
      </c>
      <c r="I801" s="10" t="s">
        <v>10</v>
      </c>
      <c r="J801" s="13">
        <v>45856</v>
      </c>
      <c r="K801" t="s">
        <v>467</v>
      </c>
    </row>
    <row r="802" hidden="1" spans="1:11">
      <c r="A802" t="s">
        <v>319</v>
      </c>
      <c r="B802" s="8">
        <v>252600186</v>
      </c>
      <c r="C802" s="9">
        <v>45763</v>
      </c>
      <c r="D802" s="8" t="s">
        <v>31</v>
      </c>
      <c r="E802" s="10">
        <v>200000</v>
      </c>
      <c r="F802" s="8">
        <v>0.024</v>
      </c>
      <c r="G802" s="11">
        <v>45874</v>
      </c>
      <c r="H802" s="12">
        <f t="shared" si="12"/>
        <v>4800</v>
      </c>
      <c r="I802" s="10" t="s">
        <v>10</v>
      </c>
      <c r="J802" s="13">
        <v>45856</v>
      </c>
      <c r="K802" t="s">
        <v>467</v>
      </c>
    </row>
    <row r="803" hidden="1" spans="1:11">
      <c r="A803" t="s">
        <v>319</v>
      </c>
      <c r="B803" s="8">
        <v>252600186</v>
      </c>
      <c r="C803" s="9">
        <v>45763</v>
      </c>
      <c r="D803" s="8" t="s">
        <v>31</v>
      </c>
      <c r="E803" s="10">
        <v>200000</v>
      </c>
      <c r="F803" s="8">
        <v>0.024</v>
      </c>
      <c r="G803" s="11">
        <v>45874</v>
      </c>
      <c r="H803" s="12">
        <f t="shared" si="12"/>
        <v>4800</v>
      </c>
      <c r="I803" s="10" t="s">
        <v>10</v>
      </c>
      <c r="J803" s="13">
        <v>45856</v>
      </c>
      <c r="K803" t="s">
        <v>467</v>
      </c>
    </row>
    <row r="804" hidden="1" spans="1:11">
      <c r="A804" t="s">
        <v>319</v>
      </c>
      <c r="B804" s="8">
        <v>252600186</v>
      </c>
      <c r="C804" s="9">
        <v>45763</v>
      </c>
      <c r="D804" s="8" t="s">
        <v>58</v>
      </c>
      <c r="E804" s="10">
        <v>200000</v>
      </c>
      <c r="F804" s="8">
        <v>0.014</v>
      </c>
      <c r="G804" s="11">
        <v>45874</v>
      </c>
      <c r="H804" s="12">
        <f t="shared" si="12"/>
        <v>2800</v>
      </c>
      <c r="I804" s="10" t="s">
        <v>10</v>
      </c>
      <c r="J804" s="13">
        <v>45856</v>
      </c>
      <c r="K804" t="s">
        <v>467</v>
      </c>
    </row>
    <row r="805" hidden="1" spans="1:11">
      <c r="A805" t="s">
        <v>319</v>
      </c>
      <c r="B805" s="8">
        <v>252600186</v>
      </c>
      <c r="C805" s="9">
        <v>45763</v>
      </c>
      <c r="D805" s="8" t="s">
        <v>58</v>
      </c>
      <c r="E805" s="10">
        <v>200000</v>
      </c>
      <c r="F805" s="8">
        <v>0.014</v>
      </c>
      <c r="G805" s="11">
        <v>45874</v>
      </c>
      <c r="H805" s="12">
        <f t="shared" si="12"/>
        <v>2800</v>
      </c>
      <c r="I805" s="10" t="s">
        <v>10</v>
      </c>
      <c r="J805" s="13">
        <v>45856</v>
      </c>
      <c r="K805" t="s">
        <v>467</v>
      </c>
    </row>
    <row r="806" hidden="1" spans="1:11">
      <c r="A806" t="s">
        <v>319</v>
      </c>
      <c r="B806" s="8">
        <v>252600186</v>
      </c>
      <c r="C806" s="9">
        <v>45763</v>
      </c>
      <c r="D806" s="8" t="s">
        <v>58</v>
      </c>
      <c r="E806" s="10">
        <v>100000</v>
      </c>
      <c r="F806" s="8">
        <v>0.014</v>
      </c>
      <c r="G806" s="11">
        <v>45874</v>
      </c>
      <c r="H806" s="12">
        <f t="shared" si="12"/>
        <v>1400</v>
      </c>
      <c r="I806" s="10" t="s">
        <v>10</v>
      </c>
      <c r="J806" s="13">
        <v>45856</v>
      </c>
      <c r="K806" t="s">
        <v>467</v>
      </c>
    </row>
    <row r="807" hidden="1" spans="1:11">
      <c r="A807" t="s">
        <v>319</v>
      </c>
      <c r="B807" s="8">
        <v>252600186</v>
      </c>
      <c r="C807" s="9">
        <v>45763</v>
      </c>
      <c r="D807" s="8" t="s">
        <v>33</v>
      </c>
      <c r="E807" s="10">
        <v>200000</v>
      </c>
      <c r="F807" s="8">
        <v>0.018</v>
      </c>
      <c r="G807" s="11">
        <v>45874</v>
      </c>
      <c r="H807" s="12">
        <f t="shared" si="12"/>
        <v>3600</v>
      </c>
      <c r="I807" s="10" t="s">
        <v>10</v>
      </c>
      <c r="J807" s="13">
        <v>45856</v>
      </c>
      <c r="K807" t="s">
        <v>467</v>
      </c>
    </row>
    <row r="808" hidden="1" spans="1:11">
      <c r="A808" t="s">
        <v>319</v>
      </c>
      <c r="B808" s="8">
        <v>252600186</v>
      </c>
      <c r="C808" s="9">
        <v>45763</v>
      </c>
      <c r="D808" s="8" t="s">
        <v>33</v>
      </c>
      <c r="E808" s="10">
        <v>200000</v>
      </c>
      <c r="F808" s="8">
        <v>0.018</v>
      </c>
      <c r="G808" s="11">
        <v>45874</v>
      </c>
      <c r="H808" s="12">
        <f t="shared" si="12"/>
        <v>3600</v>
      </c>
      <c r="I808" s="10" t="s">
        <v>10</v>
      </c>
      <c r="J808" s="13">
        <v>45856</v>
      </c>
      <c r="K808" t="s">
        <v>467</v>
      </c>
    </row>
    <row r="809" hidden="1" spans="1:11">
      <c r="A809" t="s">
        <v>319</v>
      </c>
      <c r="B809" s="8">
        <v>252600186</v>
      </c>
      <c r="C809" s="9">
        <v>45763</v>
      </c>
      <c r="D809" s="8" t="s">
        <v>33</v>
      </c>
      <c r="E809" s="10">
        <v>100000</v>
      </c>
      <c r="F809" s="8">
        <v>0.018</v>
      </c>
      <c r="G809" s="11">
        <v>45874</v>
      </c>
      <c r="H809" s="12">
        <f t="shared" si="12"/>
        <v>1800</v>
      </c>
      <c r="I809" s="10" t="s">
        <v>10</v>
      </c>
      <c r="J809" s="13">
        <v>45856</v>
      </c>
      <c r="K809" t="s">
        <v>467</v>
      </c>
    </row>
    <row r="810" hidden="1" spans="1:11">
      <c r="A810" t="s">
        <v>319</v>
      </c>
      <c r="B810" s="8">
        <v>252600187</v>
      </c>
      <c r="C810" s="9">
        <v>45763</v>
      </c>
      <c r="D810" s="8" t="s">
        <v>11</v>
      </c>
      <c r="E810" s="10">
        <v>160000</v>
      </c>
      <c r="F810" s="8">
        <v>0.032</v>
      </c>
      <c r="G810" s="11">
        <v>45935</v>
      </c>
      <c r="H810" s="12">
        <f t="shared" si="12"/>
        <v>5120</v>
      </c>
      <c r="I810" s="10" t="s">
        <v>10</v>
      </c>
      <c r="J810" s="13">
        <v>45883</v>
      </c>
    </row>
    <row r="811" hidden="1" spans="1:11">
      <c r="A811" t="s">
        <v>319</v>
      </c>
      <c r="B811" s="8">
        <v>252600187</v>
      </c>
      <c r="C811" s="9">
        <v>45763</v>
      </c>
      <c r="D811" s="8" t="s">
        <v>29</v>
      </c>
      <c r="E811" s="10">
        <v>200000</v>
      </c>
      <c r="F811" s="8">
        <v>0.0216</v>
      </c>
      <c r="G811" s="11">
        <v>45935</v>
      </c>
      <c r="H811" s="12">
        <f t="shared" si="12"/>
        <v>4320</v>
      </c>
      <c r="I811" s="10" t="s">
        <v>10</v>
      </c>
      <c r="J811" s="13">
        <v>45883</v>
      </c>
    </row>
    <row r="812" hidden="1" spans="1:11">
      <c r="A812" t="s">
        <v>319</v>
      </c>
      <c r="B812" s="8">
        <v>252600187</v>
      </c>
      <c r="C812" s="9">
        <v>45763</v>
      </c>
      <c r="D812" s="8" t="s">
        <v>29</v>
      </c>
      <c r="E812" s="10">
        <v>200000</v>
      </c>
      <c r="F812" s="8">
        <v>0.0216</v>
      </c>
      <c r="G812" s="11">
        <v>45935</v>
      </c>
      <c r="H812" s="12">
        <f t="shared" si="12"/>
        <v>4320</v>
      </c>
      <c r="I812" s="10" t="s">
        <v>10</v>
      </c>
      <c r="J812" s="13">
        <v>45883</v>
      </c>
    </row>
    <row r="813" hidden="1" spans="1:11">
      <c r="A813" t="s">
        <v>319</v>
      </c>
      <c r="B813" s="8">
        <v>252600187</v>
      </c>
      <c r="C813" s="9">
        <v>45763</v>
      </c>
      <c r="D813" s="8" t="s">
        <v>29</v>
      </c>
      <c r="E813" s="10">
        <v>200000</v>
      </c>
      <c r="F813" s="8">
        <v>0.0216</v>
      </c>
      <c r="G813" s="11">
        <v>45935</v>
      </c>
      <c r="H813" s="12">
        <f t="shared" si="12"/>
        <v>4320</v>
      </c>
      <c r="I813" s="10" t="s">
        <v>10</v>
      </c>
      <c r="J813" s="13">
        <v>45883</v>
      </c>
    </row>
    <row r="814" hidden="1" spans="1:11">
      <c r="A814" t="s">
        <v>319</v>
      </c>
      <c r="B814" s="8">
        <v>252600187</v>
      </c>
      <c r="C814" s="9">
        <v>45763</v>
      </c>
      <c r="D814" s="8" t="s">
        <v>29</v>
      </c>
      <c r="E814" s="10">
        <v>200000</v>
      </c>
      <c r="F814" s="8">
        <v>0.0216</v>
      </c>
      <c r="G814" s="11">
        <v>45935</v>
      </c>
      <c r="H814" s="12">
        <f t="shared" si="12"/>
        <v>4320</v>
      </c>
      <c r="I814" s="10" t="s">
        <v>10</v>
      </c>
      <c r="J814" s="13">
        <v>45883</v>
      </c>
    </row>
    <row r="815" hidden="1" spans="1:11">
      <c r="A815" t="s">
        <v>319</v>
      </c>
      <c r="B815" s="8">
        <v>252600187</v>
      </c>
      <c r="C815" s="9">
        <v>45763</v>
      </c>
      <c r="D815" s="8" t="s">
        <v>29</v>
      </c>
      <c r="E815" s="10">
        <v>200000</v>
      </c>
      <c r="F815" s="8">
        <v>0.0216</v>
      </c>
      <c r="G815" s="11">
        <v>45935</v>
      </c>
      <c r="H815" s="12">
        <f t="shared" si="12"/>
        <v>4320</v>
      </c>
      <c r="I815" s="10" t="s">
        <v>10</v>
      </c>
      <c r="J815" s="13">
        <v>45883</v>
      </c>
    </row>
    <row r="816" hidden="1" spans="1:11">
      <c r="A816" t="s">
        <v>319</v>
      </c>
      <c r="B816" s="8">
        <v>252600187</v>
      </c>
      <c r="C816" s="9">
        <v>45763</v>
      </c>
      <c r="D816" s="8" t="s">
        <v>29</v>
      </c>
      <c r="E816" s="10">
        <v>200000</v>
      </c>
      <c r="F816" s="8">
        <v>0.0216</v>
      </c>
      <c r="G816" s="11">
        <v>45935</v>
      </c>
      <c r="H816" s="12">
        <f t="shared" si="12"/>
        <v>4320</v>
      </c>
      <c r="I816" s="10" t="s">
        <v>10</v>
      </c>
      <c r="J816" s="13">
        <v>45883</v>
      </c>
    </row>
    <row r="817" hidden="1" spans="1:10">
      <c r="A817" t="s">
        <v>319</v>
      </c>
      <c r="B817" s="8">
        <v>252600187</v>
      </c>
      <c r="C817" s="9">
        <v>45763</v>
      </c>
      <c r="D817" s="8" t="s">
        <v>29</v>
      </c>
      <c r="E817" s="10">
        <v>200000</v>
      </c>
      <c r="F817" s="8">
        <v>0.0216</v>
      </c>
      <c r="G817" s="11">
        <v>45935</v>
      </c>
      <c r="H817" s="12">
        <f t="shared" si="12"/>
        <v>4320</v>
      </c>
      <c r="I817" s="10" t="s">
        <v>10</v>
      </c>
      <c r="J817" s="13">
        <v>45883</v>
      </c>
    </row>
    <row r="818" hidden="1" spans="1:10">
      <c r="A818" t="s">
        <v>319</v>
      </c>
      <c r="B818" s="8">
        <v>252600187</v>
      </c>
      <c r="C818" s="9">
        <v>45763</v>
      </c>
      <c r="D818" s="8" t="s">
        <v>29</v>
      </c>
      <c r="E818" s="10">
        <v>200000</v>
      </c>
      <c r="F818" s="8">
        <v>0.0216</v>
      </c>
      <c r="G818" s="11">
        <v>45935</v>
      </c>
      <c r="H818" s="12">
        <f t="shared" si="12"/>
        <v>4320</v>
      </c>
      <c r="I818" s="10" t="s">
        <v>10</v>
      </c>
      <c r="J818" s="13">
        <v>45883</v>
      </c>
    </row>
    <row r="819" hidden="1" spans="1:10">
      <c r="A819" t="s">
        <v>319</v>
      </c>
      <c r="B819" s="8">
        <v>252600187</v>
      </c>
      <c r="C819" s="9">
        <v>45763</v>
      </c>
      <c r="D819" s="8" t="s">
        <v>29</v>
      </c>
      <c r="E819" s="10">
        <v>200000</v>
      </c>
      <c r="F819" s="8">
        <v>0.0216</v>
      </c>
      <c r="G819" s="11">
        <v>45935</v>
      </c>
      <c r="H819" s="12">
        <f t="shared" si="12"/>
        <v>4320</v>
      </c>
      <c r="I819" s="10" t="s">
        <v>10</v>
      </c>
      <c r="J819" s="13">
        <v>45883</v>
      </c>
    </row>
    <row r="820" hidden="1" spans="1:10">
      <c r="A820" t="s">
        <v>319</v>
      </c>
      <c r="B820" s="8">
        <v>252600188</v>
      </c>
      <c r="C820" s="9">
        <v>45763</v>
      </c>
      <c r="D820" s="8" t="s">
        <v>29</v>
      </c>
      <c r="E820" s="10">
        <v>200000</v>
      </c>
      <c r="F820" s="8">
        <v>0.0216</v>
      </c>
      <c r="G820" s="11">
        <v>45935</v>
      </c>
      <c r="H820" s="12">
        <f t="shared" si="12"/>
        <v>4320</v>
      </c>
      <c r="I820" s="10" t="s">
        <v>10</v>
      </c>
      <c r="J820" s="13">
        <v>45883</v>
      </c>
    </row>
    <row r="821" hidden="1" spans="1:10">
      <c r="A821" t="s">
        <v>319</v>
      </c>
      <c r="B821" s="8">
        <v>252600188</v>
      </c>
      <c r="C821" s="9">
        <v>45763</v>
      </c>
      <c r="D821" s="8" t="s">
        <v>31</v>
      </c>
      <c r="E821" s="10">
        <v>200000</v>
      </c>
      <c r="F821" s="8">
        <v>0.024</v>
      </c>
      <c r="G821" s="11">
        <v>45935</v>
      </c>
      <c r="H821" s="12">
        <f t="shared" si="12"/>
        <v>4800</v>
      </c>
      <c r="I821" s="10" t="s">
        <v>10</v>
      </c>
      <c r="J821" s="13">
        <v>45883</v>
      </c>
    </row>
    <row r="822" hidden="1" spans="1:10">
      <c r="A822" t="s">
        <v>319</v>
      </c>
      <c r="B822" s="8">
        <v>252600188</v>
      </c>
      <c r="C822" s="9">
        <v>45763</v>
      </c>
      <c r="D822" s="8" t="s">
        <v>31</v>
      </c>
      <c r="E822" s="10">
        <v>200000</v>
      </c>
      <c r="F822" s="8">
        <v>0.024</v>
      </c>
      <c r="G822" s="11">
        <v>45935</v>
      </c>
      <c r="H822" s="12">
        <f t="shared" si="12"/>
        <v>4800</v>
      </c>
      <c r="I822" s="10" t="s">
        <v>10</v>
      </c>
      <c r="J822" s="13">
        <v>45883</v>
      </c>
    </row>
    <row r="823" hidden="1" spans="1:10">
      <c r="A823" t="s">
        <v>319</v>
      </c>
      <c r="B823" s="8">
        <v>252600188</v>
      </c>
      <c r="C823" s="9">
        <v>45763</v>
      </c>
      <c r="D823" s="8" t="s">
        <v>31</v>
      </c>
      <c r="E823" s="10">
        <v>200000</v>
      </c>
      <c r="F823" s="8">
        <v>0.024</v>
      </c>
      <c r="G823" s="11">
        <v>45935</v>
      </c>
      <c r="H823" s="12">
        <f t="shared" si="12"/>
        <v>4800</v>
      </c>
      <c r="I823" s="10" t="s">
        <v>10</v>
      </c>
      <c r="J823" s="13">
        <v>45883</v>
      </c>
    </row>
    <row r="824" hidden="1" spans="1:10">
      <c r="A824" t="s">
        <v>319</v>
      </c>
      <c r="B824" s="8">
        <v>252600188</v>
      </c>
      <c r="C824" s="9">
        <v>45763</v>
      </c>
      <c r="D824" s="8" t="s">
        <v>32</v>
      </c>
      <c r="E824" s="10">
        <v>200000</v>
      </c>
      <c r="F824" s="8">
        <v>0.014</v>
      </c>
      <c r="G824" s="11">
        <v>45935</v>
      </c>
      <c r="H824" s="12">
        <f t="shared" si="12"/>
        <v>2800</v>
      </c>
      <c r="I824" s="10" t="s">
        <v>10</v>
      </c>
      <c r="J824" s="13">
        <v>45883</v>
      </c>
    </row>
    <row r="825" hidden="1" spans="1:10">
      <c r="A825" t="s">
        <v>319</v>
      </c>
      <c r="B825" s="8">
        <v>252600188</v>
      </c>
      <c r="C825" s="9">
        <v>45763</v>
      </c>
      <c r="D825" s="8" t="s">
        <v>58</v>
      </c>
      <c r="E825" s="10">
        <v>200000</v>
      </c>
      <c r="F825" s="8">
        <v>0.014</v>
      </c>
      <c r="G825" s="11">
        <v>45935</v>
      </c>
      <c r="H825" s="12">
        <f t="shared" si="12"/>
        <v>2800</v>
      </c>
      <c r="I825" s="10" t="s">
        <v>10</v>
      </c>
      <c r="J825" s="13">
        <v>45883</v>
      </c>
    </row>
    <row r="826" hidden="1" spans="1:10">
      <c r="A826" t="s">
        <v>319</v>
      </c>
      <c r="B826" s="8">
        <v>252600188</v>
      </c>
      <c r="C826" s="9">
        <v>45763</v>
      </c>
      <c r="D826" s="8" t="s">
        <v>58</v>
      </c>
      <c r="E826" s="10">
        <v>200000</v>
      </c>
      <c r="F826" s="8">
        <v>0.014</v>
      </c>
      <c r="G826" s="11">
        <v>45935</v>
      </c>
      <c r="H826" s="12">
        <f t="shared" si="12"/>
        <v>2800</v>
      </c>
      <c r="I826" s="10" t="s">
        <v>10</v>
      </c>
      <c r="J826" s="13">
        <v>45883</v>
      </c>
    </row>
    <row r="827" hidden="1" spans="1:10">
      <c r="A827" t="s">
        <v>319</v>
      </c>
      <c r="B827" s="8">
        <v>252600188</v>
      </c>
      <c r="C827" s="9">
        <v>45763</v>
      </c>
      <c r="D827" s="8" t="s">
        <v>58</v>
      </c>
      <c r="E827" s="10">
        <v>100000</v>
      </c>
      <c r="F827" s="8">
        <v>0.014</v>
      </c>
      <c r="G827" s="11">
        <v>45935</v>
      </c>
      <c r="H827" s="12">
        <f t="shared" si="12"/>
        <v>1400</v>
      </c>
      <c r="I827" s="10" t="s">
        <v>10</v>
      </c>
      <c r="J827" s="13">
        <v>45883</v>
      </c>
    </row>
    <row r="828" hidden="1" spans="1:10">
      <c r="A828" t="s">
        <v>319</v>
      </c>
      <c r="B828" s="8">
        <v>252600188</v>
      </c>
      <c r="C828" s="9">
        <v>45763</v>
      </c>
      <c r="D828" s="8" t="s">
        <v>33</v>
      </c>
      <c r="E828" s="10">
        <v>200000</v>
      </c>
      <c r="F828" s="8">
        <v>0.018</v>
      </c>
      <c r="G828" s="11">
        <v>45935</v>
      </c>
      <c r="H828" s="12">
        <f t="shared" si="12"/>
        <v>3600</v>
      </c>
      <c r="I828" s="10" t="s">
        <v>10</v>
      </c>
      <c r="J828" s="13">
        <v>45883</v>
      </c>
    </row>
    <row r="829" hidden="1" spans="1:10">
      <c r="A829" t="s">
        <v>319</v>
      </c>
      <c r="B829" s="8">
        <v>252600188</v>
      </c>
      <c r="C829" s="9">
        <v>45763</v>
      </c>
      <c r="D829" s="8" t="s">
        <v>33</v>
      </c>
      <c r="E829" s="10">
        <v>200000</v>
      </c>
      <c r="F829" s="8">
        <v>0.018</v>
      </c>
      <c r="G829" s="11">
        <v>45935</v>
      </c>
      <c r="H829" s="12">
        <f t="shared" si="12"/>
        <v>3600</v>
      </c>
      <c r="I829" s="10" t="s">
        <v>10</v>
      </c>
      <c r="J829" s="13">
        <v>45883</v>
      </c>
    </row>
    <row r="830" hidden="1" spans="1:10">
      <c r="A830" t="s">
        <v>319</v>
      </c>
      <c r="B830" s="8">
        <v>252600188</v>
      </c>
      <c r="C830" s="9">
        <v>45763</v>
      </c>
      <c r="D830" s="8" t="s">
        <v>33</v>
      </c>
      <c r="E830" s="10">
        <v>100000</v>
      </c>
      <c r="F830" s="8">
        <v>0.018</v>
      </c>
      <c r="G830" s="11">
        <v>45935</v>
      </c>
      <c r="H830" s="12">
        <f t="shared" si="12"/>
        <v>1800</v>
      </c>
      <c r="I830" s="10" t="s">
        <v>10</v>
      </c>
      <c r="J830" s="13">
        <v>45883</v>
      </c>
    </row>
    <row r="831" hidden="1" spans="1:10">
      <c r="A831" t="s">
        <v>319</v>
      </c>
      <c r="B831" s="8">
        <v>252600189</v>
      </c>
      <c r="C831" s="9">
        <v>45763</v>
      </c>
      <c r="D831" s="8" t="s">
        <v>100</v>
      </c>
      <c r="E831" s="10">
        <v>20000</v>
      </c>
      <c r="F831" s="8">
        <v>0.0224</v>
      </c>
      <c r="G831" s="11">
        <v>45782</v>
      </c>
      <c r="H831" s="12">
        <f t="shared" si="12"/>
        <v>448</v>
      </c>
      <c r="I831" s="10" t="s">
        <v>10</v>
      </c>
      <c r="J831" s="13">
        <v>45789</v>
      </c>
    </row>
    <row r="832" hidden="1" spans="1:10">
      <c r="A832" t="s">
        <v>319</v>
      </c>
      <c r="B832" s="8">
        <v>252600189</v>
      </c>
      <c r="C832" s="9">
        <v>45763</v>
      </c>
      <c r="D832" s="8" t="s">
        <v>29</v>
      </c>
      <c r="E832" s="10">
        <v>20000</v>
      </c>
      <c r="F832" s="8">
        <v>0.0216</v>
      </c>
      <c r="G832" s="11">
        <v>45782</v>
      </c>
      <c r="H832" s="12">
        <f t="shared" si="12"/>
        <v>432</v>
      </c>
      <c r="I832" s="10" t="s">
        <v>10</v>
      </c>
      <c r="J832" s="13">
        <v>45789</v>
      </c>
    </row>
    <row r="833" hidden="1" spans="1:10">
      <c r="A833" t="s">
        <v>319</v>
      </c>
      <c r="B833" s="8">
        <v>252600189</v>
      </c>
      <c r="C833" s="9">
        <v>45763</v>
      </c>
      <c r="D833" s="8" t="s">
        <v>78</v>
      </c>
      <c r="E833" s="10">
        <v>60000</v>
      </c>
      <c r="F833" s="8">
        <v>0.016</v>
      </c>
      <c r="G833" s="11">
        <v>45782</v>
      </c>
      <c r="H833" s="12">
        <f t="shared" si="12"/>
        <v>960</v>
      </c>
      <c r="I833" s="10" t="s">
        <v>10</v>
      </c>
      <c r="J833" s="13">
        <v>45789</v>
      </c>
    </row>
    <row r="834" hidden="1" spans="1:10">
      <c r="A834" t="s">
        <v>319</v>
      </c>
      <c r="B834" s="8">
        <v>252600189</v>
      </c>
      <c r="C834" s="9">
        <v>45763</v>
      </c>
      <c r="D834" s="8" t="s">
        <v>78</v>
      </c>
      <c r="E834" s="10">
        <v>60000</v>
      </c>
      <c r="F834" s="8">
        <v>0.016</v>
      </c>
      <c r="G834" s="11">
        <v>45813</v>
      </c>
      <c r="H834" s="12">
        <f t="shared" ref="H834:H897" si="13">E834*F834</f>
        <v>960</v>
      </c>
      <c r="I834" s="10" t="s">
        <v>10</v>
      </c>
      <c r="J834" s="13">
        <v>45789</v>
      </c>
    </row>
    <row r="835" hidden="1" spans="1:10">
      <c r="A835" t="s">
        <v>319</v>
      </c>
      <c r="B835" s="8">
        <v>252600190</v>
      </c>
      <c r="C835" s="9">
        <v>45763</v>
      </c>
      <c r="D835" s="8" t="s">
        <v>33</v>
      </c>
      <c r="E835" s="10">
        <v>100000</v>
      </c>
      <c r="F835" s="8">
        <v>0.018</v>
      </c>
      <c r="G835" s="11">
        <v>45874</v>
      </c>
      <c r="H835" s="12">
        <f t="shared" si="13"/>
        <v>1800</v>
      </c>
      <c r="I835" s="10" t="s">
        <v>10</v>
      </c>
      <c r="J835" s="13">
        <v>45877</v>
      </c>
    </row>
    <row r="836" hidden="1" spans="1:10">
      <c r="A836" t="s">
        <v>319</v>
      </c>
      <c r="B836" s="8">
        <v>252600190</v>
      </c>
      <c r="C836" s="9">
        <v>45763</v>
      </c>
      <c r="D836" s="8" t="s">
        <v>33</v>
      </c>
      <c r="E836" s="10">
        <v>100000</v>
      </c>
      <c r="F836" s="8">
        <v>0.018</v>
      </c>
      <c r="G836" s="11">
        <v>45935</v>
      </c>
      <c r="H836" s="12">
        <f t="shared" si="13"/>
        <v>1800</v>
      </c>
      <c r="I836" s="10" t="s">
        <v>10</v>
      </c>
      <c r="J836" s="13">
        <v>45877</v>
      </c>
    </row>
    <row r="837" hidden="1" spans="1:10">
      <c r="A837" t="s">
        <v>319</v>
      </c>
      <c r="B837" s="8">
        <v>252600191</v>
      </c>
      <c r="C837" s="9">
        <v>45763</v>
      </c>
      <c r="D837" s="8" t="s">
        <v>100</v>
      </c>
      <c r="E837" s="10">
        <v>120000</v>
      </c>
      <c r="F837" s="8">
        <v>0.0224</v>
      </c>
      <c r="G837" s="11">
        <v>45782</v>
      </c>
      <c r="H837" s="12">
        <f t="shared" si="13"/>
        <v>2688</v>
      </c>
      <c r="I837" s="10" t="s">
        <v>10</v>
      </c>
      <c r="J837" s="13">
        <v>45789</v>
      </c>
    </row>
    <row r="838" hidden="1" spans="1:10">
      <c r="A838" t="s">
        <v>319</v>
      </c>
      <c r="B838" s="8">
        <v>252600191</v>
      </c>
      <c r="C838" s="9">
        <v>45763</v>
      </c>
      <c r="D838" s="8" t="s">
        <v>100</v>
      </c>
      <c r="E838" s="10">
        <v>40000</v>
      </c>
      <c r="F838" s="8">
        <v>0.0224</v>
      </c>
      <c r="G838" s="11">
        <v>45813</v>
      </c>
      <c r="H838" s="12">
        <f t="shared" si="13"/>
        <v>896</v>
      </c>
      <c r="I838" s="10" t="s">
        <v>10</v>
      </c>
      <c r="J838" s="13">
        <v>45789</v>
      </c>
    </row>
    <row r="839" hidden="1" spans="1:10">
      <c r="A839" t="s">
        <v>319</v>
      </c>
      <c r="B839" s="8">
        <v>252600191</v>
      </c>
      <c r="C839" s="9">
        <v>45763</v>
      </c>
      <c r="D839" s="8" t="s">
        <v>29</v>
      </c>
      <c r="E839" s="10">
        <v>60000</v>
      </c>
      <c r="F839" s="8">
        <v>0.0216</v>
      </c>
      <c r="G839" s="11">
        <v>45782</v>
      </c>
      <c r="H839" s="12">
        <f t="shared" si="13"/>
        <v>1296</v>
      </c>
      <c r="I839" s="10" t="s">
        <v>10</v>
      </c>
      <c r="J839" s="13">
        <v>45789</v>
      </c>
    </row>
    <row r="840" hidden="1" spans="1:10">
      <c r="A840" t="s">
        <v>319</v>
      </c>
      <c r="B840" s="8">
        <v>252600191</v>
      </c>
      <c r="C840" s="9">
        <v>45763</v>
      </c>
      <c r="D840" s="8" t="s">
        <v>29</v>
      </c>
      <c r="E840" s="10">
        <v>60000</v>
      </c>
      <c r="F840" s="8">
        <v>0.0216</v>
      </c>
      <c r="G840" s="11">
        <v>45813</v>
      </c>
      <c r="H840" s="12">
        <f t="shared" si="13"/>
        <v>1296</v>
      </c>
      <c r="I840" s="10" t="s">
        <v>10</v>
      </c>
      <c r="J840" s="13">
        <v>45789</v>
      </c>
    </row>
    <row r="841" hidden="1" spans="1:10">
      <c r="A841" t="s">
        <v>319</v>
      </c>
      <c r="B841" s="8">
        <v>252600191</v>
      </c>
      <c r="C841" s="9">
        <v>45763</v>
      </c>
      <c r="D841" s="8" t="s">
        <v>31</v>
      </c>
      <c r="E841" s="10">
        <v>200000</v>
      </c>
      <c r="F841" s="8">
        <v>0.024</v>
      </c>
      <c r="G841" s="11">
        <v>45782</v>
      </c>
      <c r="H841" s="12">
        <f t="shared" si="13"/>
        <v>4800</v>
      </c>
      <c r="I841" s="10" t="s">
        <v>10</v>
      </c>
      <c r="J841" s="13">
        <v>45789</v>
      </c>
    </row>
    <row r="842" hidden="1" spans="1:10">
      <c r="A842" t="s">
        <v>319</v>
      </c>
      <c r="B842" s="8">
        <v>252600191</v>
      </c>
      <c r="C842" s="9">
        <v>45763</v>
      </c>
      <c r="D842" s="8" t="s">
        <v>31</v>
      </c>
      <c r="E842" s="10">
        <v>100000</v>
      </c>
      <c r="F842" s="8">
        <v>0.024</v>
      </c>
      <c r="G842" s="11">
        <v>45782</v>
      </c>
      <c r="H842" s="12">
        <f t="shared" si="13"/>
        <v>2400</v>
      </c>
      <c r="I842" s="10" t="s">
        <v>10</v>
      </c>
      <c r="J842" s="13">
        <v>45789</v>
      </c>
    </row>
    <row r="843" hidden="1" spans="1:10">
      <c r="A843" t="s">
        <v>319</v>
      </c>
      <c r="B843" s="8">
        <v>252600191</v>
      </c>
      <c r="C843" s="9">
        <v>45763</v>
      </c>
      <c r="D843" s="8" t="s">
        <v>31</v>
      </c>
      <c r="E843" s="10">
        <v>200000</v>
      </c>
      <c r="F843" s="8">
        <v>0.024</v>
      </c>
      <c r="G843" s="11">
        <v>45813</v>
      </c>
      <c r="H843" s="12">
        <f t="shared" si="13"/>
        <v>4800</v>
      </c>
      <c r="I843" s="10" t="s">
        <v>10</v>
      </c>
      <c r="J843" s="13">
        <v>45789</v>
      </c>
    </row>
    <row r="844" hidden="1" spans="1:10">
      <c r="A844" t="s">
        <v>319</v>
      </c>
      <c r="B844" s="8">
        <v>252600191</v>
      </c>
      <c r="C844" s="9">
        <v>45763</v>
      </c>
      <c r="D844" s="8" t="s">
        <v>31</v>
      </c>
      <c r="E844" s="10">
        <v>100000</v>
      </c>
      <c r="F844" s="8">
        <v>0.024</v>
      </c>
      <c r="G844" s="11">
        <v>45813</v>
      </c>
      <c r="H844" s="12">
        <f t="shared" si="13"/>
        <v>2400</v>
      </c>
      <c r="I844" s="10" t="s">
        <v>10</v>
      </c>
      <c r="J844" s="13">
        <v>45789</v>
      </c>
    </row>
    <row r="845" hidden="1" spans="1:10">
      <c r="A845" t="s">
        <v>319</v>
      </c>
      <c r="B845" s="8">
        <v>252600191</v>
      </c>
      <c r="C845" s="9">
        <v>45763</v>
      </c>
      <c r="D845" s="8" t="s">
        <v>32</v>
      </c>
      <c r="E845" s="10">
        <v>20000</v>
      </c>
      <c r="F845" s="8">
        <v>0.014</v>
      </c>
      <c r="G845" s="11">
        <v>45782</v>
      </c>
      <c r="H845" s="12">
        <f t="shared" si="13"/>
        <v>280</v>
      </c>
      <c r="I845" s="10" t="s">
        <v>10</v>
      </c>
      <c r="J845" s="13">
        <v>45789</v>
      </c>
    </row>
    <row r="846" hidden="1" spans="1:10">
      <c r="A846" t="s">
        <v>319</v>
      </c>
      <c r="B846" s="8">
        <v>252600191</v>
      </c>
      <c r="C846" s="9">
        <v>45763</v>
      </c>
      <c r="D846" s="8" t="s">
        <v>32</v>
      </c>
      <c r="E846" s="10">
        <v>20000</v>
      </c>
      <c r="F846" s="8">
        <v>0.014</v>
      </c>
      <c r="G846" s="11">
        <v>45813</v>
      </c>
      <c r="H846" s="12">
        <f t="shared" si="13"/>
        <v>280</v>
      </c>
      <c r="I846" s="10" t="s">
        <v>10</v>
      </c>
      <c r="J846" s="13">
        <v>45789</v>
      </c>
    </row>
    <row r="847" hidden="1" spans="1:10">
      <c r="A847" t="s">
        <v>319</v>
      </c>
      <c r="B847" s="8">
        <v>252600191</v>
      </c>
      <c r="C847" s="9">
        <v>45763</v>
      </c>
      <c r="D847" s="8" t="s">
        <v>78</v>
      </c>
      <c r="E847" s="10">
        <v>100000</v>
      </c>
      <c r="F847" s="8">
        <v>0.016</v>
      </c>
      <c r="G847" s="11">
        <v>45782</v>
      </c>
      <c r="H847" s="12">
        <f t="shared" si="13"/>
        <v>1600</v>
      </c>
      <c r="I847" s="10" t="s">
        <v>10</v>
      </c>
      <c r="J847" s="13">
        <v>45789</v>
      </c>
    </row>
    <row r="848" hidden="1" spans="1:10">
      <c r="A848" t="s">
        <v>319</v>
      </c>
      <c r="B848" s="8">
        <v>252600191</v>
      </c>
      <c r="C848" s="9">
        <v>45763</v>
      </c>
      <c r="D848" s="8" t="s">
        <v>78</v>
      </c>
      <c r="E848" s="10">
        <v>100000</v>
      </c>
      <c r="F848" s="8">
        <v>0.016</v>
      </c>
      <c r="G848" s="11">
        <v>45813</v>
      </c>
      <c r="H848" s="12">
        <f t="shared" si="13"/>
        <v>1600</v>
      </c>
      <c r="I848" s="10" t="s">
        <v>10</v>
      </c>
      <c r="J848" s="13">
        <v>45789</v>
      </c>
    </row>
    <row r="849" hidden="1" spans="1:10">
      <c r="A849" t="s">
        <v>319</v>
      </c>
      <c r="B849" s="8">
        <v>252600191</v>
      </c>
      <c r="C849" s="9">
        <v>45763</v>
      </c>
      <c r="D849" s="8" t="s">
        <v>181</v>
      </c>
      <c r="E849" s="10">
        <v>200000</v>
      </c>
      <c r="F849" s="8">
        <v>0.0243</v>
      </c>
      <c r="G849" s="11">
        <v>45782</v>
      </c>
      <c r="H849" s="12">
        <f t="shared" si="13"/>
        <v>4860</v>
      </c>
      <c r="I849" s="10" t="s">
        <v>10</v>
      </c>
      <c r="J849" s="13">
        <v>45789</v>
      </c>
    </row>
    <row r="850" hidden="1" spans="1:10">
      <c r="A850" t="s">
        <v>319</v>
      </c>
      <c r="B850" s="8">
        <v>252600191</v>
      </c>
      <c r="C850" s="9">
        <v>45763</v>
      </c>
      <c r="D850" s="8" t="s">
        <v>181</v>
      </c>
      <c r="E850" s="10">
        <v>100000</v>
      </c>
      <c r="F850" s="8">
        <v>0.0243</v>
      </c>
      <c r="G850" s="11">
        <v>45813</v>
      </c>
      <c r="H850" s="12">
        <f t="shared" si="13"/>
        <v>2430</v>
      </c>
      <c r="I850" s="10" t="s">
        <v>10</v>
      </c>
      <c r="J850" s="13">
        <v>45789</v>
      </c>
    </row>
    <row r="851" hidden="1" spans="1:10">
      <c r="A851" t="s">
        <v>319</v>
      </c>
      <c r="B851" s="8">
        <v>252600191</v>
      </c>
      <c r="C851" s="9">
        <v>45763</v>
      </c>
      <c r="D851" s="8" t="s">
        <v>58</v>
      </c>
      <c r="E851" s="10">
        <v>40000</v>
      </c>
      <c r="F851" s="8">
        <v>0.014</v>
      </c>
      <c r="G851" s="11">
        <v>45782</v>
      </c>
      <c r="H851" s="12">
        <f t="shared" si="13"/>
        <v>560</v>
      </c>
      <c r="I851" s="10" t="s">
        <v>10</v>
      </c>
      <c r="J851" s="13">
        <v>45789</v>
      </c>
    </row>
    <row r="852" hidden="1" spans="1:10">
      <c r="A852" t="s">
        <v>319</v>
      </c>
      <c r="B852" s="8">
        <v>252600191</v>
      </c>
      <c r="C852" s="9">
        <v>45763</v>
      </c>
      <c r="D852" s="8" t="s">
        <v>58</v>
      </c>
      <c r="E852" s="10">
        <v>20000</v>
      </c>
      <c r="F852" s="8">
        <v>0.014</v>
      </c>
      <c r="G852" s="11">
        <v>45813</v>
      </c>
      <c r="H852" s="12">
        <f t="shared" si="13"/>
        <v>280</v>
      </c>
      <c r="I852" s="10" t="s">
        <v>10</v>
      </c>
      <c r="J852" s="13">
        <v>45789</v>
      </c>
    </row>
    <row r="853" hidden="1" spans="1:10">
      <c r="A853" t="s">
        <v>319</v>
      </c>
      <c r="B853" s="8">
        <v>252600191</v>
      </c>
      <c r="C853" s="9">
        <v>45763</v>
      </c>
      <c r="D853" s="8" t="s">
        <v>315</v>
      </c>
      <c r="E853" s="10">
        <v>20000</v>
      </c>
      <c r="F853" s="8">
        <v>0.0522</v>
      </c>
      <c r="G853" s="11">
        <v>45782</v>
      </c>
      <c r="H853" s="12">
        <f t="shared" si="13"/>
        <v>1044</v>
      </c>
      <c r="I853" s="10" t="s">
        <v>10</v>
      </c>
      <c r="J853" s="13">
        <v>45789</v>
      </c>
    </row>
    <row r="854" hidden="1" spans="1:10">
      <c r="A854" t="s">
        <v>319</v>
      </c>
      <c r="B854" s="8">
        <v>252600191</v>
      </c>
      <c r="C854" s="9">
        <v>45763</v>
      </c>
      <c r="D854" s="8" t="s">
        <v>315</v>
      </c>
      <c r="E854" s="10">
        <v>20000</v>
      </c>
      <c r="F854" s="8">
        <v>0.0522</v>
      </c>
      <c r="G854" s="11">
        <v>45813</v>
      </c>
      <c r="H854" s="12">
        <f t="shared" si="13"/>
        <v>1044</v>
      </c>
      <c r="I854" s="10" t="s">
        <v>10</v>
      </c>
      <c r="J854" s="13">
        <v>45789</v>
      </c>
    </row>
    <row r="855" hidden="1" spans="1:10">
      <c r="A855" t="s">
        <v>319</v>
      </c>
      <c r="B855" s="8">
        <v>252600191</v>
      </c>
      <c r="C855" s="9">
        <v>45763</v>
      </c>
      <c r="D855" s="8" t="s">
        <v>468</v>
      </c>
      <c r="E855" s="10">
        <v>30000</v>
      </c>
      <c r="F855" s="8">
        <v>0.028</v>
      </c>
      <c r="G855" s="11">
        <v>45782</v>
      </c>
      <c r="H855" s="12">
        <f t="shared" si="13"/>
        <v>840</v>
      </c>
      <c r="I855" s="10" t="s">
        <v>10</v>
      </c>
      <c r="J855" s="13">
        <v>45789</v>
      </c>
    </row>
    <row r="856" hidden="1" spans="1:10">
      <c r="A856" t="s">
        <v>319</v>
      </c>
      <c r="B856" s="8">
        <v>252600191</v>
      </c>
      <c r="C856" s="9">
        <v>45763</v>
      </c>
      <c r="D856" s="8" t="s">
        <v>468</v>
      </c>
      <c r="E856" s="10">
        <v>20000</v>
      </c>
      <c r="F856" s="8">
        <v>0.028</v>
      </c>
      <c r="G856" s="11">
        <v>45813</v>
      </c>
      <c r="H856" s="12">
        <f t="shared" si="13"/>
        <v>560</v>
      </c>
      <c r="I856" s="10" t="s">
        <v>10</v>
      </c>
      <c r="J856" s="13">
        <v>45789</v>
      </c>
    </row>
    <row r="857" hidden="1" spans="1:10">
      <c r="A857" t="s">
        <v>319</v>
      </c>
      <c r="B857" s="8">
        <v>252600192</v>
      </c>
      <c r="C857" s="9">
        <v>45763</v>
      </c>
      <c r="D857" s="8" t="s">
        <v>16</v>
      </c>
      <c r="E857" s="10">
        <v>60000</v>
      </c>
      <c r="F857" s="8">
        <v>0.0292</v>
      </c>
      <c r="G857" s="11">
        <v>45782</v>
      </c>
      <c r="H857" s="12">
        <f t="shared" si="13"/>
        <v>1752</v>
      </c>
      <c r="I857" s="10" t="s">
        <v>10</v>
      </c>
      <c r="J857" s="13">
        <v>45778</v>
      </c>
    </row>
    <row r="858" hidden="1" spans="1:10">
      <c r="A858" t="s">
        <v>319</v>
      </c>
      <c r="B858" s="8">
        <v>252600193</v>
      </c>
      <c r="C858" s="9">
        <v>45763</v>
      </c>
      <c r="D858" s="8" t="s">
        <v>426</v>
      </c>
      <c r="E858" s="10">
        <v>200000</v>
      </c>
      <c r="F858" s="8">
        <v>0.032</v>
      </c>
      <c r="G858" s="11">
        <v>45843</v>
      </c>
      <c r="H858" s="12">
        <f t="shared" si="13"/>
        <v>6400</v>
      </c>
      <c r="I858" s="10" t="s">
        <v>10</v>
      </c>
      <c r="J858" s="13">
        <v>45812</v>
      </c>
    </row>
    <row r="859" hidden="1" spans="1:10">
      <c r="A859" t="s">
        <v>319</v>
      </c>
      <c r="B859" s="8">
        <v>252600193</v>
      </c>
      <c r="C859" s="9">
        <v>45763</v>
      </c>
      <c r="D859" s="8" t="s">
        <v>426</v>
      </c>
      <c r="E859" s="10">
        <v>200000</v>
      </c>
      <c r="F859" s="8">
        <v>0.032</v>
      </c>
      <c r="G859" s="11">
        <v>45843</v>
      </c>
      <c r="H859" s="12">
        <f t="shared" si="13"/>
        <v>6400</v>
      </c>
      <c r="I859" s="10" t="s">
        <v>10</v>
      </c>
      <c r="J859" s="13">
        <v>45812</v>
      </c>
    </row>
    <row r="860" hidden="1" spans="1:10">
      <c r="A860" t="s">
        <v>319</v>
      </c>
      <c r="B860" s="8">
        <v>252600193</v>
      </c>
      <c r="C860" s="9">
        <v>45763</v>
      </c>
      <c r="D860" s="8" t="s">
        <v>426</v>
      </c>
      <c r="E860" s="10">
        <v>200000</v>
      </c>
      <c r="F860" s="8">
        <v>0.032</v>
      </c>
      <c r="G860" s="11">
        <v>45843</v>
      </c>
      <c r="H860" s="12">
        <f t="shared" si="13"/>
        <v>6400</v>
      </c>
      <c r="I860" s="10" t="s">
        <v>10</v>
      </c>
      <c r="J860" s="13">
        <v>45812</v>
      </c>
    </row>
    <row r="861" hidden="1" spans="1:10">
      <c r="A861" t="s">
        <v>319</v>
      </c>
      <c r="B861" s="8">
        <v>252600193</v>
      </c>
      <c r="C861" s="9">
        <v>45763</v>
      </c>
      <c r="D861" s="8" t="s">
        <v>426</v>
      </c>
      <c r="E861" s="10">
        <v>200000</v>
      </c>
      <c r="F861" s="8">
        <v>0.032</v>
      </c>
      <c r="G861" s="11">
        <v>45843</v>
      </c>
      <c r="H861" s="12">
        <f t="shared" si="13"/>
        <v>6400</v>
      </c>
      <c r="I861" s="10" t="s">
        <v>10</v>
      </c>
      <c r="J861" s="13">
        <v>45812</v>
      </c>
    </row>
    <row r="862" hidden="1" spans="1:10">
      <c r="A862" t="s">
        <v>319</v>
      </c>
      <c r="B862" s="8">
        <v>252600193</v>
      </c>
      <c r="C862" s="9">
        <v>45763</v>
      </c>
      <c r="D862" s="8" t="s">
        <v>425</v>
      </c>
      <c r="E862" s="10">
        <v>140000</v>
      </c>
      <c r="F862" s="8">
        <v>0.07</v>
      </c>
      <c r="G862" s="11">
        <v>45843</v>
      </c>
      <c r="H862" s="12">
        <f t="shared" si="13"/>
        <v>9800</v>
      </c>
      <c r="I862" s="10" t="s">
        <v>10</v>
      </c>
      <c r="J862" s="13">
        <v>45806</v>
      </c>
    </row>
    <row r="863" hidden="1" spans="1:10">
      <c r="A863" t="s">
        <v>319</v>
      </c>
      <c r="B863" s="8">
        <v>252600194</v>
      </c>
      <c r="C863" s="9">
        <v>45763</v>
      </c>
      <c r="D863" s="8" t="s">
        <v>426</v>
      </c>
      <c r="E863" s="10">
        <v>200000</v>
      </c>
      <c r="F863" s="8">
        <v>0.032</v>
      </c>
      <c r="G863" s="11">
        <v>45874</v>
      </c>
      <c r="H863" s="12">
        <f t="shared" si="13"/>
        <v>6400</v>
      </c>
      <c r="I863" s="10" t="s">
        <v>10</v>
      </c>
      <c r="J863" s="13">
        <v>45855</v>
      </c>
    </row>
    <row r="864" hidden="1" spans="1:10">
      <c r="A864" t="s">
        <v>319</v>
      </c>
      <c r="B864" s="8">
        <v>252600194</v>
      </c>
      <c r="C864" s="9">
        <v>45763</v>
      </c>
      <c r="D864" s="8" t="s">
        <v>426</v>
      </c>
      <c r="E864" s="10">
        <v>200000</v>
      </c>
      <c r="F864" s="8">
        <v>0.032</v>
      </c>
      <c r="G864" s="11">
        <v>45874</v>
      </c>
      <c r="H864" s="12">
        <f t="shared" si="13"/>
        <v>6400</v>
      </c>
      <c r="I864" s="10" t="s">
        <v>10</v>
      </c>
      <c r="J864" s="13">
        <v>45855</v>
      </c>
    </row>
    <row r="865" hidden="1" spans="1:10">
      <c r="A865" t="s">
        <v>319</v>
      </c>
      <c r="B865" s="8">
        <v>252600194</v>
      </c>
      <c r="C865" s="9">
        <v>45763</v>
      </c>
      <c r="D865" s="8" t="s">
        <v>426</v>
      </c>
      <c r="E865" s="10">
        <v>200000</v>
      </c>
      <c r="F865" s="8">
        <v>0.032</v>
      </c>
      <c r="G865" s="11">
        <v>45874</v>
      </c>
      <c r="H865" s="12">
        <f t="shared" si="13"/>
        <v>6400</v>
      </c>
      <c r="I865" s="10" t="s">
        <v>10</v>
      </c>
      <c r="J865" s="13">
        <v>45855</v>
      </c>
    </row>
    <row r="866" hidden="1" spans="1:10">
      <c r="A866" t="s">
        <v>319</v>
      </c>
      <c r="B866" s="8">
        <v>252600194</v>
      </c>
      <c r="C866" s="9">
        <v>45763</v>
      </c>
      <c r="D866" s="8" t="s">
        <v>426</v>
      </c>
      <c r="E866" s="10">
        <v>200000</v>
      </c>
      <c r="F866" s="8">
        <v>0.032</v>
      </c>
      <c r="G866" s="11">
        <v>45874</v>
      </c>
      <c r="H866" s="12">
        <f t="shared" si="13"/>
        <v>6400</v>
      </c>
      <c r="I866" s="10" t="s">
        <v>10</v>
      </c>
      <c r="J866" s="13">
        <v>45855</v>
      </c>
    </row>
    <row r="867" hidden="1" spans="1:10">
      <c r="A867" t="s">
        <v>319</v>
      </c>
      <c r="B867" s="8">
        <v>252600194</v>
      </c>
      <c r="C867" s="9">
        <v>45763</v>
      </c>
      <c r="D867" s="8" t="s">
        <v>425</v>
      </c>
      <c r="E867" s="10">
        <v>120000</v>
      </c>
      <c r="F867" s="8">
        <v>0.07</v>
      </c>
      <c r="G867" s="11">
        <v>45874</v>
      </c>
      <c r="H867" s="12">
        <f t="shared" si="13"/>
        <v>8400</v>
      </c>
      <c r="I867" s="10" t="s">
        <v>10</v>
      </c>
      <c r="J867" s="13">
        <v>45854</v>
      </c>
    </row>
    <row r="868" hidden="1" spans="1:10">
      <c r="A868" t="s">
        <v>319</v>
      </c>
      <c r="B868" s="8">
        <v>252600195</v>
      </c>
      <c r="C868" s="9">
        <v>45763</v>
      </c>
      <c r="D868" s="8" t="s">
        <v>426</v>
      </c>
      <c r="E868" s="10">
        <v>200000</v>
      </c>
      <c r="F868" s="8">
        <v>0.032</v>
      </c>
      <c r="G868" s="11">
        <v>45782</v>
      </c>
      <c r="H868" s="12">
        <f t="shared" si="13"/>
        <v>6400</v>
      </c>
      <c r="I868" s="10" t="s">
        <v>10</v>
      </c>
      <c r="J868" s="13">
        <v>45812</v>
      </c>
    </row>
    <row r="869" hidden="1" spans="1:10">
      <c r="A869" t="s">
        <v>319</v>
      </c>
      <c r="B869" s="8">
        <v>252600195</v>
      </c>
      <c r="C869" s="9">
        <v>45763</v>
      </c>
      <c r="D869" s="8" t="s">
        <v>426</v>
      </c>
      <c r="E869" s="10">
        <v>200000</v>
      </c>
      <c r="F869" s="8">
        <v>0.032</v>
      </c>
      <c r="G869" s="11">
        <v>45782</v>
      </c>
      <c r="H869" s="12">
        <f t="shared" si="13"/>
        <v>6400</v>
      </c>
      <c r="I869" s="10" t="s">
        <v>10</v>
      </c>
      <c r="J869" s="13">
        <v>45812</v>
      </c>
    </row>
    <row r="870" hidden="1" spans="1:10">
      <c r="A870" t="s">
        <v>319</v>
      </c>
      <c r="B870" s="8">
        <v>252600195</v>
      </c>
      <c r="C870" s="9">
        <v>45763</v>
      </c>
      <c r="D870" s="8" t="s">
        <v>426</v>
      </c>
      <c r="E870" s="10">
        <v>200000</v>
      </c>
      <c r="F870" s="8">
        <v>0.032</v>
      </c>
      <c r="G870" s="11">
        <v>45813</v>
      </c>
      <c r="H870" s="12">
        <f t="shared" si="13"/>
        <v>6400</v>
      </c>
      <c r="I870" s="10" t="s">
        <v>10</v>
      </c>
      <c r="J870" s="13">
        <v>45812</v>
      </c>
    </row>
    <row r="871" hidden="1" spans="1:10">
      <c r="A871" t="s">
        <v>319</v>
      </c>
      <c r="B871" s="8">
        <v>252600195</v>
      </c>
      <c r="C871" s="9">
        <v>45763</v>
      </c>
      <c r="D871" s="8" t="s">
        <v>426</v>
      </c>
      <c r="E871" s="10">
        <v>200000</v>
      </c>
      <c r="F871" s="8">
        <v>0.032</v>
      </c>
      <c r="G871" s="11">
        <v>45813</v>
      </c>
      <c r="H871" s="12">
        <f t="shared" si="13"/>
        <v>6400</v>
      </c>
      <c r="I871" s="10" t="s">
        <v>10</v>
      </c>
      <c r="J871" s="13">
        <v>45812</v>
      </c>
    </row>
    <row r="872" hidden="1" spans="1:10">
      <c r="A872" t="s">
        <v>319</v>
      </c>
      <c r="B872" s="8">
        <v>252600196</v>
      </c>
      <c r="C872" s="9">
        <v>45763</v>
      </c>
      <c r="D872" s="8" t="s">
        <v>426</v>
      </c>
      <c r="E872" s="10">
        <v>200000</v>
      </c>
      <c r="F872" s="8">
        <v>0.032</v>
      </c>
      <c r="G872" s="11">
        <v>45843</v>
      </c>
      <c r="H872" s="12">
        <f t="shared" si="13"/>
        <v>6400</v>
      </c>
      <c r="I872" s="10" t="s">
        <v>10</v>
      </c>
      <c r="J872" s="13">
        <v>45855</v>
      </c>
    </row>
    <row r="873" hidden="1" spans="1:10">
      <c r="A873" t="s">
        <v>319</v>
      </c>
      <c r="B873" s="8">
        <v>252600196</v>
      </c>
      <c r="C873" s="9">
        <v>45763</v>
      </c>
      <c r="D873" s="8" t="s">
        <v>426</v>
      </c>
      <c r="E873" s="10">
        <v>200000</v>
      </c>
      <c r="F873" s="8">
        <v>0.032</v>
      </c>
      <c r="G873" s="11">
        <v>45843</v>
      </c>
      <c r="H873" s="12">
        <f t="shared" si="13"/>
        <v>6400</v>
      </c>
      <c r="I873" s="10" t="s">
        <v>10</v>
      </c>
      <c r="J873" s="13">
        <v>45855</v>
      </c>
    </row>
    <row r="874" hidden="1" spans="1:10">
      <c r="A874" t="s">
        <v>319</v>
      </c>
      <c r="B874" s="8">
        <v>252600196</v>
      </c>
      <c r="C874" s="9">
        <v>45763</v>
      </c>
      <c r="D874" s="8" t="s">
        <v>426</v>
      </c>
      <c r="E874" s="10">
        <v>200000</v>
      </c>
      <c r="F874" s="8">
        <v>0.032</v>
      </c>
      <c r="G874" s="11">
        <v>45874</v>
      </c>
      <c r="H874" s="12">
        <f t="shared" si="13"/>
        <v>6400</v>
      </c>
      <c r="I874" s="10" t="s">
        <v>10</v>
      </c>
      <c r="J874" s="13">
        <v>45855</v>
      </c>
    </row>
    <row r="875" hidden="1" spans="1:10">
      <c r="A875" t="s">
        <v>319</v>
      </c>
      <c r="B875" s="8">
        <v>252600196</v>
      </c>
      <c r="C875" s="9">
        <v>45763</v>
      </c>
      <c r="D875" s="8" t="s">
        <v>426</v>
      </c>
      <c r="E875" s="10">
        <v>200000</v>
      </c>
      <c r="F875" s="8">
        <v>0.032</v>
      </c>
      <c r="G875" s="11">
        <v>45874</v>
      </c>
      <c r="H875" s="12">
        <f t="shared" si="13"/>
        <v>6400</v>
      </c>
      <c r="I875" s="10" t="s">
        <v>10</v>
      </c>
      <c r="J875" s="13">
        <v>45855</v>
      </c>
    </row>
    <row r="876" hidden="1" spans="1:10">
      <c r="A876" t="s">
        <v>319</v>
      </c>
      <c r="B876" s="8">
        <v>252600197</v>
      </c>
      <c r="C876" s="9">
        <v>45763</v>
      </c>
      <c r="D876" s="8" t="s">
        <v>426</v>
      </c>
      <c r="E876" s="10">
        <v>200000</v>
      </c>
      <c r="F876" s="8">
        <v>0.032</v>
      </c>
      <c r="G876" s="11">
        <v>45935</v>
      </c>
      <c r="H876" s="12">
        <f t="shared" si="13"/>
        <v>6400</v>
      </c>
      <c r="I876" s="10" t="s">
        <v>10</v>
      </c>
      <c r="J876" s="13">
        <v>45883</v>
      </c>
    </row>
    <row r="877" hidden="1" spans="1:10">
      <c r="A877" t="s">
        <v>319</v>
      </c>
      <c r="B877" s="8">
        <v>252600197</v>
      </c>
      <c r="C877" s="9">
        <v>45763</v>
      </c>
      <c r="D877" s="8" t="s">
        <v>426</v>
      </c>
      <c r="E877" s="10">
        <v>200000</v>
      </c>
      <c r="F877" s="8">
        <v>0.032</v>
      </c>
      <c r="G877" s="11">
        <v>45935</v>
      </c>
      <c r="H877" s="12">
        <f t="shared" si="13"/>
        <v>6400</v>
      </c>
      <c r="I877" s="10" t="s">
        <v>10</v>
      </c>
      <c r="J877" s="13">
        <v>45883</v>
      </c>
    </row>
    <row r="878" hidden="1" spans="1:10">
      <c r="A878" t="s">
        <v>319</v>
      </c>
      <c r="B878" s="8">
        <v>252600198</v>
      </c>
      <c r="C878" s="9">
        <v>45763</v>
      </c>
      <c r="D878" s="8" t="s">
        <v>426</v>
      </c>
      <c r="E878" s="10">
        <v>200000</v>
      </c>
      <c r="F878" s="8">
        <v>0.032</v>
      </c>
      <c r="G878" s="11">
        <v>45843</v>
      </c>
      <c r="H878" s="12">
        <f t="shared" si="13"/>
        <v>6400</v>
      </c>
      <c r="I878" s="10" t="s">
        <v>10</v>
      </c>
      <c r="J878" s="13">
        <v>45842</v>
      </c>
    </row>
    <row r="879" hidden="1" spans="1:10">
      <c r="A879" t="s">
        <v>319</v>
      </c>
      <c r="B879" s="8">
        <v>252600198</v>
      </c>
      <c r="C879" s="9">
        <v>45763</v>
      </c>
      <c r="D879" s="8" t="s">
        <v>426</v>
      </c>
      <c r="E879" s="10">
        <v>200000</v>
      </c>
      <c r="F879" s="8">
        <v>0.032</v>
      </c>
      <c r="G879" s="11">
        <v>45843</v>
      </c>
      <c r="H879" s="12">
        <f t="shared" si="13"/>
        <v>6400</v>
      </c>
      <c r="I879" s="10" t="s">
        <v>10</v>
      </c>
      <c r="J879" s="13">
        <v>45842</v>
      </c>
    </row>
    <row r="880" hidden="1" spans="1:10">
      <c r="A880" t="s">
        <v>319</v>
      </c>
      <c r="B880" s="8">
        <v>252600198</v>
      </c>
      <c r="C880" s="9">
        <v>45763</v>
      </c>
      <c r="D880" s="8" t="s">
        <v>426</v>
      </c>
      <c r="E880" s="10">
        <v>100000</v>
      </c>
      <c r="F880" s="8">
        <v>0.032</v>
      </c>
      <c r="G880" s="11">
        <v>45843</v>
      </c>
      <c r="H880" s="12">
        <f t="shared" si="13"/>
        <v>3200</v>
      </c>
      <c r="I880" s="10" t="s">
        <v>10</v>
      </c>
      <c r="J880" s="13">
        <v>45842</v>
      </c>
    </row>
    <row r="881" hidden="1" spans="1:10">
      <c r="A881" t="s">
        <v>319</v>
      </c>
      <c r="B881" s="8">
        <v>252600198</v>
      </c>
      <c r="C881" s="9">
        <v>45763</v>
      </c>
      <c r="D881" s="8" t="s">
        <v>426</v>
      </c>
      <c r="E881" s="10">
        <v>200000</v>
      </c>
      <c r="F881" s="8">
        <v>0.032</v>
      </c>
      <c r="G881" s="11">
        <v>45874</v>
      </c>
      <c r="H881" s="12">
        <f t="shared" si="13"/>
        <v>6400</v>
      </c>
      <c r="I881" s="10" t="s">
        <v>10</v>
      </c>
      <c r="J881" s="13">
        <v>45842</v>
      </c>
    </row>
    <row r="882" hidden="1" spans="1:10">
      <c r="A882" t="s">
        <v>319</v>
      </c>
      <c r="B882" s="8">
        <v>252600198</v>
      </c>
      <c r="C882" s="9">
        <v>45763</v>
      </c>
      <c r="D882" s="8" t="s">
        <v>426</v>
      </c>
      <c r="E882" s="10">
        <v>200000</v>
      </c>
      <c r="F882" s="8">
        <v>0.032</v>
      </c>
      <c r="G882" s="11">
        <v>45874</v>
      </c>
      <c r="H882" s="12">
        <f t="shared" si="13"/>
        <v>6400</v>
      </c>
      <c r="I882" s="10" t="s">
        <v>10</v>
      </c>
      <c r="J882" s="13">
        <v>45842</v>
      </c>
    </row>
    <row r="883" hidden="1" spans="1:10">
      <c r="A883" t="s">
        <v>319</v>
      </c>
      <c r="B883" s="8">
        <v>252600198</v>
      </c>
      <c r="C883" s="9">
        <v>45763</v>
      </c>
      <c r="D883" s="8" t="s">
        <v>426</v>
      </c>
      <c r="E883" s="10">
        <v>100000</v>
      </c>
      <c r="F883" s="8">
        <v>0.032</v>
      </c>
      <c r="G883" s="11">
        <v>45874</v>
      </c>
      <c r="H883" s="12">
        <f t="shared" si="13"/>
        <v>3200</v>
      </c>
      <c r="I883" s="10" t="s">
        <v>10</v>
      </c>
      <c r="J883" s="13">
        <v>45842</v>
      </c>
    </row>
    <row r="884" hidden="1" spans="1:10">
      <c r="A884" t="s">
        <v>319</v>
      </c>
      <c r="B884" s="8">
        <v>252600199</v>
      </c>
      <c r="C884" s="9">
        <v>45763</v>
      </c>
      <c r="D884" s="8" t="s">
        <v>426</v>
      </c>
      <c r="E884" s="10">
        <v>200000</v>
      </c>
      <c r="F884" s="8">
        <v>0.032</v>
      </c>
      <c r="G884" s="11">
        <v>45935</v>
      </c>
      <c r="H884" s="12">
        <f t="shared" si="13"/>
        <v>6400</v>
      </c>
      <c r="I884" s="10" t="s">
        <v>10</v>
      </c>
      <c r="J884" s="13">
        <v>45883</v>
      </c>
    </row>
    <row r="885" hidden="1" spans="1:10">
      <c r="A885" t="s">
        <v>319</v>
      </c>
      <c r="B885" s="8">
        <v>252600199</v>
      </c>
      <c r="C885" s="9">
        <v>45763</v>
      </c>
      <c r="D885" s="8" t="s">
        <v>426</v>
      </c>
      <c r="E885" s="10">
        <v>200000</v>
      </c>
      <c r="F885" s="8">
        <v>0.032</v>
      </c>
      <c r="G885" s="11">
        <v>45935</v>
      </c>
      <c r="H885" s="12">
        <f t="shared" si="13"/>
        <v>6400</v>
      </c>
      <c r="I885" s="10" t="s">
        <v>10</v>
      </c>
      <c r="J885" s="13">
        <v>45883</v>
      </c>
    </row>
    <row r="886" hidden="1" spans="1:10">
      <c r="A886" t="s">
        <v>319</v>
      </c>
      <c r="B886" s="8">
        <v>252600199</v>
      </c>
      <c r="C886" s="9">
        <v>45763</v>
      </c>
      <c r="D886" s="8" t="s">
        <v>426</v>
      </c>
      <c r="E886" s="10">
        <v>100000</v>
      </c>
      <c r="F886" s="8">
        <v>0.032</v>
      </c>
      <c r="G886" s="11">
        <v>45935</v>
      </c>
      <c r="H886" s="12">
        <f t="shared" si="13"/>
        <v>3200</v>
      </c>
      <c r="I886" s="10" t="s">
        <v>10</v>
      </c>
      <c r="J886" s="13">
        <v>45883</v>
      </c>
    </row>
    <row r="887" hidden="1" spans="1:10">
      <c r="A887" t="s">
        <v>319</v>
      </c>
      <c r="B887" s="8">
        <v>252600200</v>
      </c>
      <c r="C887" s="9">
        <v>45763</v>
      </c>
      <c r="D887" s="8" t="s">
        <v>30</v>
      </c>
      <c r="E887" s="10">
        <v>200000</v>
      </c>
      <c r="F887" s="8">
        <v>0.026</v>
      </c>
      <c r="G887" s="11">
        <v>45843</v>
      </c>
      <c r="H887" s="12">
        <f t="shared" si="13"/>
        <v>5200</v>
      </c>
      <c r="I887" s="10" t="s">
        <v>10</v>
      </c>
      <c r="J887" s="13">
        <v>45783</v>
      </c>
    </row>
    <row r="888" hidden="1" spans="1:10">
      <c r="A888" t="s">
        <v>319</v>
      </c>
      <c r="B888" s="8">
        <v>252600200</v>
      </c>
      <c r="C888" s="9">
        <v>45763</v>
      </c>
      <c r="D888" s="8" t="s">
        <v>30</v>
      </c>
      <c r="E888" s="10">
        <v>200000</v>
      </c>
      <c r="F888" s="8">
        <v>0.026</v>
      </c>
      <c r="G888" s="11">
        <v>45843</v>
      </c>
      <c r="H888" s="12">
        <f t="shared" si="13"/>
        <v>5200</v>
      </c>
      <c r="I888" s="10" t="s">
        <v>10</v>
      </c>
      <c r="J888" s="13">
        <v>45783</v>
      </c>
    </row>
    <row r="889" hidden="1" spans="1:10">
      <c r="A889" t="s">
        <v>319</v>
      </c>
      <c r="B889" s="8">
        <v>252600200</v>
      </c>
      <c r="C889" s="9">
        <v>45763</v>
      </c>
      <c r="D889" s="8" t="s">
        <v>30</v>
      </c>
      <c r="E889" s="10">
        <v>100000</v>
      </c>
      <c r="F889" s="8">
        <v>0.026</v>
      </c>
      <c r="G889" s="11">
        <v>45843</v>
      </c>
      <c r="H889" s="12">
        <f t="shared" si="13"/>
        <v>2600</v>
      </c>
      <c r="I889" s="10" t="s">
        <v>10</v>
      </c>
      <c r="J889" s="13">
        <v>45783</v>
      </c>
    </row>
    <row r="890" hidden="1" spans="1:10">
      <c r="A890" t="s">
        <v>319</v>
      </c>
      <c r="B890" s="8">
        <v>252600200</v>
      </c>
      <c r="C890" s="9">
        <v>45763</v>
      </c>
      <c r="D890" s="8" t="s">
        <v>30</v>
      </c>
      <c r="E890" s="10">
        <v>200000</v>
      </c>
      <c r="F890" s="8">
        <v>0.026</v>
      </c>
      <c r="G890" s="11">
        <v>45874</v>
      </c>
      <c r="H890" s="12">
        <f t="shared" si="13"/>
        <v>5200</v>
      </c>
      <c r="I890" s="10" t="s">
        <v>10</v>
      </c>
      <c r="J890" s="13">
        <v>45783</v>
      </c>
    </row>
    <row r="891" hidden="1" spans="1:10">
      <c r="A891" t="s">
        <v>319</v>
      </c>
      <c r="B891" s="8">
        <v>252600200</v>
      </c>
      <c r="C891" s="9">
        <v>45763</v>
      </c>
      <c r="D891" s="8" t="s">
        <v>30</v>
      </c>
      <c r="E891" s="10">
        <v>200000</v>
      </c>
      <c r="F891" s="8">
        <v>0.026</v>
      </c>
      <c r="G891" s="11">
        <v>45874</v>
      </c>
      <c r="H891" s="12">
        <f t="shared" si="13"/>
        <v>5200</v>
      </c>
      <c r="I891" s="10" t="s">
        <v>10</v>
      </c>
      <c r="J891" s="13">
        <v>45783</v>
      </c>
    </row>
    <row r="892" hidden="1" spans="1:10">
      <c r="A892" t="s">
        <v>319</v>
      </c>
      <c r="B892" s="8">
        <v>252600200</v>
      </c>
      <c r="C892" s="9">
        <v>45763</v>
      </c>
      <c r="D892" s="8" t="s">
        <v>30</v>
      </c>
      <c r="E892" s="10">
        <v>100000</v>
      </c>
      <c r="F892" s="8">
        <v>0.026</v>
      </c>
      <c r="G892" s="11">
        <v>45874</v>
      </c>
      <c r="H892" s="12">
        <f t="shared" si="13"/>
        <v>2600</v>
      </c>
      <c r="I892" s="10" t="s">
        <v>10</v>
      </c>
      <c r="J892" s="13">
        <v>45783</v>
      </c>
    </row>
    <row r="893" hidden="1" spans="1:10">
      <c r="A893" t="s">
        <v>319</v>
      </c>
      <c r="B893" s="8">
        <v>252600201</v>
      </c>
      <c r="C893" s="9">
        <v>45763</v>
      </c>
      <c r="D893" s="8" t="s">
        <v>30</v>
      </c>
      <c r="E893" s="10">
        <v>200000</v>
      </c>
      <c r="F893" s="8">
        <v>0.026</v>
      </c>
      <c r="G893" s="11">
        <v>45935</v>
      </c>
      <c r="H893" s="12">
        <f t="shared" si="13"/>
        <v>5200</v>
      </c>
      <c r="I893" s="10" t="s">
        <v>10</v>
      </c>
      <c r="J893" s="13">
        <v>45783</v>
      </c>
    </row>
    <row r="894" hidden="1" spans="1:10">
      <c r="A894" t="s">
        <v>319</v>
      </c>
      <c r="B894" s="8">
        <v>252600201</v>
      </c>
      <c r="C894" s="9">
        <v>45763</v>
      </c>
      <c r="D894" s="8" t="s">
        <v>30</v>
      </c>
      <c r="E894" s="10">
        <v>200000</v>
      </c>
      <c r="F894" s="8">
        <v>0.026</v>
      </c>
      <c r="G894" s="11">
        <v>45935</v>
      </c>
      <c r="H894" s="12">
        <f t="shared" si="13"/>
        <v>5200</v>
      </c>
      <c r="I894" s="10" t="s">
        <v>10</v>
      </c>
      <c r="J894" s="13">
        <v>45783</v>
      </c>
    </row>
    <row r="895" hidden="1" spans="1:10">
      <c r="A895" t="s">
        <v>319</v>
      </c>
      <c r="B895" s="8">
        <v>252600201</v>
      </c>
      <c r="C895" s="9">
        <v>45763</v>
      </c>
      <c r="D895" s="8" t="s">
        <v>30</v>
      </c>
      <c r="E895" s="10">
        <v>100000</v>
      </c>
      <c r="F895" s="8">
        <v>0.026</v>
      </c>
      <c r="G895" s="11">
        <v>45935</v>
      </c>
      <c r="H895" s="12">
        <f t="shared" si="13"/>
        <v>2600</v>
      </c>
      <c r="I895" s="10" t="s">
        <v>10</v>
      </c>
      <c r="J895" s="13">
        <v>45783</v>
      </c>
    </row>
    <row r="896" hidden="1" spans="1:10">
      <c r="A896" t="s">
        <v>319</v>
      </c>
      <c r="B896" s="8">
        <v>252600202</v>
      </c>
      <c r="C896" s="9">
        <v>45763</v>
      </c>
      <c r="D896" s="8" t="s">
        <v>163</v>
      </c>
      <c r="E896" s="10">
        <v>192000</v>
      </c>
      <c r="F896" s="8">
        <v>0.0025</v>
      </c>
      <c r="G896" s="11">
        <v>45843</v>
      </c>
      <c r="H896" s="12">
        <f t="shared" si="13"/>
        <v>480</v>
      </c>
      <c r="I896" s="10" t="s">
        <v>10</v>
      </c>
      <c r="J896" s="13">
        <v>45785</v>
      </c>
    </row>
    <row r="897" hidden="1" spans="1:11">
      <c r="A897" t="s">
        <v>319</v>
      </c>
      <c r="B897" s="8">
        <v>252600202</v>
      </c>
      <c r="C897" s="9">
        <v>45763</v>
      </c>
      <c r="D897" s="8" t="s">
        <v>163</v>
      </c>
      <c r="E897" s="10">
        <v>96000</v>
      </c>
      <c r="F897" s="8">
        <v>0.0025</v>
      </c>
      <c r="G897" s="11">
        <v>45843</v>
      </c>
      <c r="H897" s="12">
        <f t="shared" si="13"/>
        <v>240</v>
      </c>
      <c r="I897" s="10" t="s">
        <v>10</v>
      </c>
      <c r="J897" s="13">
        <v>45785</v>
      </c>
    </row>
    <row r="898" hidden="1" spans="1:11">
      <c r="A898" t="s">
        <v>319</v>
      </c>
      <c r="B898" s="8">
        <v>252600202</v>
      </c>
      <c r="C898" s="9">
        <v>45763</v>
      </c>
      <c r="D898" s="8" t="s">
        <v>163</v>
      </c>
      <c r="E898" s="10">
        <v>192000</v>
      </c>
      <c r="F898" s="8">
        <v>0.0025</v>
      </c>
      <c r="G898" s="11">
        <v>45874</v>
      </c>
      <c r="H898" s="12">
        <f t="shared" ref="H898:H961" si="14">E898*F898</f>
        <v>480</v>
      </c>
      <c r="I898" s="10" t="s">
        <v>10</v>
      </c>
      <c r="J898" s="13">
        <v>45785</v>
      </c>
    </row>
    <row r="899" hidden="1" spans="1:11">
      <c r="A899" t="s">
        <v>319</v>
      </c>
      <c r="B899" s="8">
        <v>252600202</v>
      </c>
      <c r="C899" s="9">
        <v>45763</v>
      </c>
      <c r="D899" s="8" t="s">
        <v>163</v>
      </c>
      <c r="E899" s="10">
        <v>112000</v>
      </c>
      <c r="F899" s="8">
        <v>0.0025</v>
      </c>
      <c r="G899" s="11">
        <v>45874</v>
      </c>
      <c r="H899" s="12">
        <f t="shared" si="14"/>
        <v>280</v>
      </c>
      <c r="I899" s="10" t="s">
        <v>10</v>
      </c>
      <c r="J899" s="13">
        <v>45785</v>
      </c>
    </row>
    <row r="900" hidden="1" spans="1:11">
      <c r="A900" t="s">
        <v>319</v>
      </c>
      <c r="B900" s="8">
        <v>252600203</v>
      </c>
      <c r="C900" s="9">
        <v>45764</v>
      </c>
      <c r="D900" s="8" t="s">
        <v>163</v>
      </c>
      <c r="E900" s="10">
        <v>192000</v>
      </c>
      <c r="F900" s="8">
        <v>0.0025</v>
      </c>
      <c r="G900" s="11">
        <v>45935</v>
      </c>
      <c r="H900" s="12">
        <f t="shared" si="14"/>
        <v>480</v>
      </c>
      <c r="I900" s="10" t="s">
        <v>10</v>
      </c>
      <c r="J900" s="13">
        <v>45902</v>
      </c>
      <c r="K900" t="s">
        <v>535</v>
      </c>
    </row>
    <row r="901" hidden="1" spans="1:11">
      <c r="A901" t="s">
        <v>319</v>
      </c>
      <c r="B901" s="8">
        <v>252600203</v>
      </c>
      <c r="C901" s="9">
        <v>45764</v>
      </c>
      <c r="D901" s="8" t="s">
        <v>163</v>
      </c>
      <c r="E901" s="10">
        <v>112000</v>
      </c>
      <c r="F901" s="8">
        <v>0.0025</v>
      </c>
      <c r="G901" s="11">
        <v>45935</v>
      </c>
      <c r="H901" s="12">
        <f t="shared" si="14"/>
        <v>280</v>
      </c>
      <c r="I901" s="10" t="s">
        <v>10</v>
      </c>
      <c r="J901" s="13">
        <v>45902</v>
      </c>
      <c r="K901" t="s">
        <v>535</v>
      </c>
    </row>
    <row r="902" hidden="1" spans="1:11">
      <c r="A902" t="s">
        <v>319</v>
      </c>
      <c r="B902" s="8">
        <v>252600204</v>
      </c>
      <c r="C902" s="9">
        <v>45763</v>
      </c>
      <c r="D902" s="8" t="s">
        <v>426</v>
      </c>
      <c r="E902" s="10">
        <v>200000</v>
      </c>
      <c r="F902" s="8">
        <v>0.032</v>
      </c>
      <c r="G902" s="11">
        <v>45874</v>
      </c>
      <c r="H902" s="12">
        <f t="shared" si="14"/>
        <v>6400</v>
      </c>
      <c r="I902" s="10" t="s">
        <v>10</v>
      </c>
      <c r="J902" s="13">
        <v>45877</v>
      </c>
    </row>
    <row r="903" hidden="1" spans="1:11">
      <c r="A903" t="s">
        <v>319</v>
      </c>
      <c r="B903" s="8">
        <v>252600204</v>
      </c>
      <c r="C903" s="9">
        <v>45763</v>
      </c>
      <c r="D903" s="8" t="s">
        <v>426</v>
      </c>
      <c r="E903" s="10">
        <v>200000</v>
      </c>
      <c r="F903" s="8">
        <v>0.032</v>
      </c>
      <c r="G903" s="11">
        <v>45874</v>
      </c>
      <c r="H903" s="12">
        <f t="shared" si="14"/>
        <v>6400</v>
      </c>
      <c r="I903" s="10" t="s">
        <v>10</v>
      </c>
      <c r="J903" s="13">
        <v>45877</v>
      </c>
    </row>
    <row r="904" hidden="1" spans="1:11">
      <c r="A904" t="s">
        <v>319</v>
      </c>
      <c r="B904" s="8">
        <v>252600204</v>
      </c>
      <c r="C904" s="9">
        <v>45763</v>
      </c>
      <c r="D904" s="8" t="s">
        <v>426</v>
      </c>
      <c r="E904" s="10">
        <v>200000</v>
      </c>
      <c r="F904" s="8">
        <v>0.032</v>
      </c>
      <c r="G904" s="11">
        <v>45935</v>
      </c>
      <c r="H904" s="12">
        <f t="shared" si="14"/>
        <v>6400</v>
      </c>
      <c r="I904" s="10" t="s">
        <v>10</v>
      </c>
      <c r="J904" s="13">
        <v>45877</v>
      </c>
    </row>
    <row r="905" hidden="1" spans="1:11">
      <c r="A905" t="s">
        <v>319</v>
      </c>
      <c r="B905" s="8">
        <v>252600204</v>
      </c>
      <c r="C905" s="9">
        <v>45763</v>
      </c>
      <c r="D905" s="8" t="s">
        <v>426</v>
      </c>
      <c r="E905" s="10">
        <v>200000</v>
      </c>
      <c r="F905" s="8">
        <v>0.032</v>
      </c>
      <c r="G905" s="11">
        <v>45935</v>
      </c>
      <c r="H905" s="12">
        <f t="shared" si="14"/>
        <v>6400</v>
      </c>
      <c r="I905" s="10" t="s">
        <v>10</v>
      </c>
      <c r="J905" s="13">
        <v>45877</v>
      </c>
    </row>
    <row r="906" hidden="1" spans="1:11">
      <c r="A906" t="s">
        <v>319</v>
      </c>
      <c r="B906" s="8">
        <v>252600204</v>
      </c>
      <c r="C906" s="9">
        <v>45763</v>
      </c>
      <c r="D906" s="8" t="s">
        <v>426</v>
      </c>
      <c r="E906" s="10">
        <v>120000</v>
      </c>
      <c r="F906" s="8">
        <v>0.032</v>
      </c>
      <c r="G906" s="11">
        <v>45874</v>
      </c>
      <c r="H906" s="12">
        <f t="shared" si="14"/>
        <v>3840</v>
      </c>
      <c r="I906" s="10" t="s">
        <v>10</v>
      </c>
      <c r="J906" s="13">
        <v>45877</v>
      </c>
    </row>
    <row r="907" hidden="1" spans="1:11">
      <c r="A907" t="s">
        <v>319</v>
      </c>
      <c r="B907" s="8">
        <v>252600204</v>
      </c>
      <c r="C907" s="9">
        <v>45763</v>
      </c>
      <c r="D907" s="8" t="s">
        <v>426</v>
      </c>
      <c r="E907" s="10">
        <v>120000</v>
      </c>
      <c r="F907" s="8">
        <v>0.032</v>
      </c>
      <c r="G907" s="11">
        <v>45935</v>
      </c>
      <c r="H907" s="12">
        <f t="shared" si="14"/>
        <v>3840</v>
      </c>
      <c r="I907" s="10" t="s">
        <v>10</v>
      </c>
      <c r="J907" s="13">
        <v>45877</v>
      </c>
    </row>
    <row r="908" hidden="1" spans="1:11">
      <c r="A908" t="s">
        <v>319</v>
      </c>
      <c r="B908" s="8">
        <v>252600205</v>
      </c>
      <c r="C908" s="9">
        <v>45763</v>
      </c>
      <c r="D908" s="8" t="s">
        <v>426</v>
      </c>
      <c r="E908" s="10">
        <v>120000</v>
      </c>
      <c r="F908" s="8">
        <v>0.032</v>
      </c>
      <c r="G908" s="11">
        <v>45813</v>
      </c>
      <c r="H908" s="12">
        <f t="shared" si="14"/>
        <v>3840</v>
      </c>
      <c r="I908" s="10" t="s">
        <v>10</v>
      </c>
      <c r="J908" s="13">
        <v>45855</v>
      </c>
    </row>
    <row r="909" hidden="1" spans="1:11">
      <c r="A909" t="s">
        <v>319</v>
      </c>
      <c r="B909" s="8">
        <v>252600205</v>
      </c>
      <c r="C909" s="9">
        <v>45763</v>
      </c>
      <c r="D909" s="8" t="s">
        <v>426</v>
      </c>
      <c r="E909" s="10">
        <v>120000</v>
      </c>
      <c r="F909" s="8">
        <v>0.032</v>
      </c>
      <c r="G909" s="11">
        <v>45843</v>
      </c>
      <c r="H909" s="12">
        <f t="shared" si="14"/>
        <v>3840</v>
      </c>
      <c r="I909" s="10" t="s">
        <v>10</v>
      </c>
      <c r="J909" s="13">
        <v>45855</v>
      </c>
    </row>
    <row r="910" hidden="1" spans="1:11">
      <c r="A910" t="s">
        <v>319</v>
      </c>
      <c r="B910" s="8">
        <v>252600206</v>
      </c>
      <c r="C910" s="9">
        <v>45763</v>
      </c>
      <c r="D910" s="8" t="s">
        <v>30</v>
      </c>
      <c r="E910" s="10">
        <v>20000</v>
      </c>
      <c r="F910" s="8">
        <v>0.026</v>
      </c>
      <c r="G910" s="11">
        <v>45782</v>
      </c>
      <c r="H910" s="12">
        <f t="shared" si="14"/>
        <v>520</v>
      </c>
      <c r="I910" s="10" t="s">
        <v>10</v>
      </c>
      <c r="J910" s="13">
        <v>45797</v>
      </c>
    </row>
    <row r="911" hidden="1" spans="1:11">
      <c r="A911" t="s">
        <v>319</v>
      </c>
      <c r="B911" s="8">
        <v>252600206</v>
      </c>
      <c r="C911" s="9">
        <v>45763</v>
      </c>
      <c r="D911" s="8" t="s">
        <v>246</v>
      </c>
      <c r="E911" s="10">
        <v>20000</v>
      </c>
      <c r="F911" s="8">
        <v>0.07</v>
      </c>
      <c r="G911" s="11">
        <v>45843</v>
      </c>
      <c r="H911" s="12">
        <f t="shared" si="14"/>
        <v>1400</v>
      </c>
      <c r="I911" s="10" t="s">
        <v>10</v>
      </c>
      <c r="J911" s="13">
        <v>45797</v>
      </c>
    </row>
    <row r="912" hidden="1" spans="1:11">
      <c r="A912" t="s">
        <v>319</v>
      </c>
      <c r="B912" s="8">
        <v>252600206</v>
      </c>
      <c r="C912" s="9">
        <v>45763</v>
      </c>
      <c r="D912" s="8" t="s">
        <v>67</v>
      </c>
      <c r="E912" s="10">
        <v>100000</v>
      </c>
      <c r="F912" s="8">
        <v>0.028</v>
      </c>
      <c r="G912" s="11">
        <v>45843</v>
      </c>
      <c r="H912" s="12">
        <f t="shared" si="14"/>
        <v>2800</v>
      </c>
      <c r="I912" s="10" t="s">
        <v>10</v>
      </c>
      <c r="J912" s="13">
        <v>45797</v>
      </c>
    </row>
    <row r="913" hidden="1" spans="1:11">
      <c r="A913" t="s">
        <v>319</v>
      </c>
      <c r="B913" s="8">
        <v>252600206</v>
      </c>
      <c r="C913" s="9">
        <v>45763</v>
      </c>
      <c r="D913" s="8" t="s">
        <v>103</v>
      </c>
      <c r="E913" s="10">
        <v>80000</v>
      </c>
      <c r="F913" s="8">
        <v>0.028</v>
      </c>
      <c r="G913" s="11">
        <v>45843</v>
      </c>
      <c r="H913" s="12">
        <f t="shared" si="14"/>
        <v>2240</v>
      </c>
      <c r="I913" s="10" t="s">
        <v>10</v>
      </c>
      <c r="J913" s="13">
        <v>45797</v>
      </c>
    </row>
    <row r="914" hidden="1" spans="1:11">
      <c r="A914" t="s">
        <v>319</v>
      </c>
      <c r="B914" s="8">
        <v>252600206</v>
      </c>
      <c r="C914" s="9">
        <v>45763</v>
      </c>
      <c r="D914" s="8" t="s">
        <v>36</v>
      </c>
      <c r="E914" s="10">
        <v>126000</v>
      </c>
      <c r="F914" s="8">
        <v>0.00656</v>
      </c>
      <c r="G914" s="11">
        <v>45843</v>
      </c>
      <c r="H914" s="12">
        <f t="shared" si="14"/>
        <v>826.56</v>
      </c>
      <c r="I914" s="10" t="s">
        <v>10</v>
      </c>
      <c r="J914" s="13">
        <v>45797</v>
      </c>
    </row>
    <row r="915" hidden="1" spans="1:11">
      <c r="A915" t="s">
        <v>319</v>
      </c>
      <c r="B915" s="8">
        <v>252600207</v>
      </c>
      <c r="C915" s="9">
        <v>45763</v>
      </c>
      <c r="D915" s="8" t="s">
        <v>16</v>
      </c>
      <c r="E915" s="10">
        <v>200000</v>
      </c>
      <c r="F915" s="8">
        <v>0.0292</v>
      </c>
      <c r="G915" s="11">
        <v>45874</v>
      </c>
      <c r="H915" s="12">
        <f t="shared" si="14"/>
        <v>5840</v>
      </c>
      <c r="I915" s="10" t="s">
        <v>10</v>
      </c>
      <c r="J915" s="13">
        <v>45855</v>
      </c>
      <c r="K915" t="s">
        <v>405</v>
      </c>
    </row>
    <row r="916" hidden="1" spans="1:11">
      <c r="A916" t="s">
        <v>319</v>
      </c>
      <c r="B916" s="8">
        <v>252600207</v>
      </c>
      <c r="C916" s="9">
        <v>45763</v>
      </c>
      <c r="D916" s="8" t="s">
        <v>67</v>
      </c>
      <c r="E916" s="10">
        <v>100000</v>
      </c>
      <c r="F916" s="8">
        <v>0.028</v>
      </c>
      <c r="G916" s="11">
        <v>45874</v>
      </c>
      <c r="H916" s="12">
        <f t="shared" si="14"/>
        <v>2800</v>
      </c>
      <c r="I916" s="10" t="s">
        <v>10</v>
      </c>
      <c r="J916" s="13">
        <v>45855</v>
      </c>
      <c r="K916" t="s">
        <v>405</v>
      </c>
    </row>
    <row r="917" hidden="1" spans="1:11">
      <c r="A917" t="s">
        <v>319</v>
      </c>
      <c r="B917" s="8">
        <v>252600207</v>
      </c>
      <c r="C917" s="9">
        <v>45763</v>
      </c>
      <c r="D917" s="8" t="s">
        <v>103</v>
      </c>
      <c r="E917" s="10">
        <v>40000</v>
      </c>
      <c r="F917" s="8">
        <v>0.028</v>
      </c>
      <c r="G917" s="11">
        <v>45874</v>
      </c>
      <c r="H917" s="12">
        <f t="shared" si="14"/>
        <v>1120</v>
      </c>
      <c r="I917" s="10" t="s">
        <v>10</v>
      </c>
      <c r="J917" s="13">
        <v>45855</v>
      </c>
      <c r="K917" t="s">
        <v>405</v>
      </c>
    </row>
    <row r="918" hidden="1" spans="1:11">
      <c r="A918" t="s">
        <v>319</v>
      </c>
      <c r="B918" s="8">
        <v>252600207</v>
      </c>
      <c r="C918" s="9">
        <v>45763</v>
      </c>
      <c r="D918" s="8" t="s">
        <v>36</v>
      </c>
      <c r="E918" s="10">
        <v>126000</v>
      </c>
      <c r="F918" s="8">
        <v>0.00656</v>
      </c>
      <c r="G918" s="11">
        <v>45874</v>
      </c>
      <c r="H918" s="12">
        <f t="shared" si="14"/>
        <v>826.56</v>
      </c>
      <c r="I918" s="10" t="s">
        <v>10</v>
      </c>
      <c r="J918" s="13">
        <v>45856</v>
      </c>
      <c r="K918" t="s">
        <v>405</v>
      </c>
    </row>
    <row r="919" hidden="1" spans="1:11">
      <c r="A919" t="s">
        <v>319</v>
      </c>
      <c r="B919" s="8">
        <v>252600207</v>
      </c>
      <c r="C919" s="9">
        <v>45763</v>
      </c>
      <c r="D919" s="8" t="s">
        <v>16</v>
      </c>
      <c r="E919" s="10">
        <v>200000</v>
      </c>
      <c r="F919" s="8">
        <v>0.0292</v>
      </c>
      <c r="G919" s="11">
        <v>45905</v>
      </c>
      <c r="H919" s="12">
        <f t="shared" si="14"/>
        <v>5840</v>
      </c>
      <c r="I919" s="10" t="s">
        <v>10</v>
      </c>
      <c r="J919" s="13">
        <v>45855</v>
      </c>
      <c r="K919" t="s">
        <v>405</v>
      </c>
    </row>
    <row r="920" hidden="1" spans="1:11">
      <c r="A920" t="s">
        <v>319</v>
      </c>
      <c r="B920" s="8">
        <v>252600207</v>
      </c>
      <c r="C920" s="9">
        <v>45763</v>
      </c>
      <c r="D920" s="8" t="s">
        <v>67</v>
      </c>
      <c r="E920" s="10">
        <v>60000</v>
      </c>
      <c r="F920" s="8">
        <v>0.028</v>
      </c>
      <c r="G920" s="11">
        <v>45905</v>
      </c>
      <c r="H920" s="12">
        <f t="shared" si="14"/>
        <v>1680</v>
      </c>
      <c r="I920" s="10" t="s">
        <v>10</v>
      </c>
      <c r="J920" s="13">
        <v>45855</v>
      </c>
      <c r="K920" t="s">
        <v>405</v>
      </c>
    </row>
    <row r="921" hidden="1" spans="1:11">
      <c r="A921" t="s">
        <v>319</v>
      </c>
      <c r="B921" s="8">
        <v>252600207</v>
      </c>
      <c r="C921" s="9">
        <v>45763</v>
      </c>
      <c r="D921" s="8" t="s">
        <v>103</v>
      </c>
      <c r="E921" s="10">
        <v>40000</v>
      </c>
      <c r="F921" s="8">
        <v>0.028</v>
      </c>
      <c r="G921" s="11">
        <v>45905</v>
      </c>
      <c r="H921" s="12">
        <f t="shared" si="14"/>
        <v>1120</v>
      </c>
      <c r="I921" s="10" t="s">
        <v>10</v>
      </c>
      <c r="J921" s="13">
        <v>45855</v>
      </c>
      <c r="K921" t="s">
        <v>405</v>
      </c>
    </row>
    <row r="922" hidden="1" spans="1:11">
      <c r="A922" t="s">
        <v>319</v>
      </c>
      <c r="B922" s="8">
        <v>252600207</v>
      </c>
      <c r="C922" s="9">
        <v>45763</v>
      </c>
      <c r="D922" s="8" t="s">
        <v>104</v>
      </c>
      <c r="E922" s="10">
        <v>100000</v>
      </c>
      <c r="F922" s="8">
        <v>0.028</v>
      </c>
      <c r="G922" s="11">
        <v>45905</v>
      </c>
      <c r="H922" s="12">
        <f t="shared" si="14"/>
        <v>2800</v>
      </c>
      <c r="I922" s="10" t="s">
        <v>10</v>
      </c>
      <c r="J922" s="13">
        <v>45855</v>
      </c>
      <c r="K922" t="s">
        <v>405</v>
      </c>
    </row>
    <row r="923" hidden="1" spans="1:11">
      <c r="A923" t="s">
        <v>319</v>
      </c>
      <c r="B923" s="8">
        <v>252600207</v>
      </c>
      <c r="C923" s="9">
        <v>45763</v>
      </c>
      <c r="D923" s="8" t="s">
        <v>36</v>
      </c>
      <c r="E923" s="10">
        <v>126000</v>
      </c>
      <c r="F923" s="8">
        <v>0.00656</v>
      </c>
      <c r="G923" s="11">
        <v>45905</v>
      </c>
      <c r="H923" s="12">
        <f t="shared" si="14"/>
        <v>826.56</v>
      </c>
      <c r="I923" s="10" t="s">
        <v>10</v>
      </c>
      <c r="J923" s="13">
        <v>45856</v>
      </c>
      <c r="K923" t="s">
        <v>405</v>
      </c>
    </row>
    <row r="924" hidden="1" spans="1:11">
      <c r="A924" t="s">
        <v>319</v>
      </c>
      <c r="B924" s="8">
        <v>252600208</v>
      </c>
      <c r="C924" s="9">
        <v>45763</v>
      </c>
      <c r="D924" s="8" t="s">
        <v>11</v>
      </c>
      <c r="E924" s="10">
        <v>200000</v>
      </c>
      <c r="F924" s="8">
        <v>0.032</v>
      </c>
      <c r="G924" s="11">
        <v>45782</v>
      </c>
      <c r="H924" s="12">
        <f t="shared" si="14"/>
        <v>6400</v>
      </c>
      <c r="I924" s="10" t="s">
        <v>10</v>
      </c>
      <c r="J924" s="13">
        <v>45789</v>
      </c>
    </row>
    <row r="925" hidden="1" spans="1:11">
      <c r="A925" t="s">
        <v>319</v>
      </c>
      <c r="B925" s="8">
        <v>252600208</v>
      </c>
      <c r="C925" s="9">
        <v>45763</v>
      </c>
      <c r="D925" s="8" t="s">
        <v>11</v>
      </c>
      <c r="E925" s="10">
        <v>200000</v>
      </c>
      <c r="F925" s="8">
        <v>0.032</v>
      </c>
      <c r="G925" s="11">
        <v>45813</v>
      </c>
      <c r="H925" s="12">
        <f t="shared" si="14"/>
        <v>6400</v>
      </c>
      <c r="I925" s="10" t="s">
        <v>10</v>
      </c>
      <c r="J925" s="13">
        <v>45789</v>
      </c>
    </row>
    <row r="926" hidden="1" spans="1:11">
      <c r="A926" t="s">
        <v>319</v>
      </c>
      <c r="B926" s="8">
        <v>252600208</v>
      </c>
      <c r="C926" s="9">
        <v>45763</v>
      </c>
      <c r="D926" s="8" t="s">
        <v>31</v>
      </c>
      <c r="E926" s="10">
        <v>160000</v>
      </c>
      <c r="F926" s="8">
        <v>0.024</v>
      </c>
      <c r="G926" s="11">
        <v>45782</v>
      </c>
      <c r="H926" s="12">
        <f t="shared" si="14"/>
        <v>3840</v>
      </c>
      <c r="I926" s="10" t="s">
        <v>10</v>
      </c>
      <c r="J926" s="13">
        <v>45789</v>
      </c>
    </row>
    <row r="927" hidden="1" spans="1:11">
      <c r="A927" t="s">
        <v>319</v>
      </c>
      <c r="B927" s="8">
        <v>252600208</v>
      </c>
      <c r="C927" s="9">
        <v>45763</v>
      </c>
      <c r="D927" s="8" t="s">
        <v>31</v>
      </c>
      <c r="E927" s="10">
        <v>140000</v>
      </c>
      <c r="F927" s="8">
        <v>0.024</v>
      </c>
      <c r="G927" s="11">
        <v>45813</v>
      </c>
      <c r="H927" s="12">
        <f t="shared" si="14"/>
        <v>3360</v>
      </c>
      <c r="I927" s="10" t="s">
        <v>10</v>
      </c>
      <c r="J927" s="13">
        <v>45789</v>
      </c>
    </row>
    <row r="928" hidden="1" spans="1:11">
      <c r="A928" t="s">
        <v>319</v>
      </c>
      <c r="B928" s="8">
        <v>252600208</v>
      </c>
      <c r="C928" s="9">
        <v>45763</v>
      </c>
      <c r="D928" s="8" t="s">
        <v>78</v>
      </c>
      <c r="E928" s="10">
        <v>100000</v>
      </c>
      <c r="F928" s="8">
        <v>0.016</v>
      </c>
      <c r="G928" s="11">
        <v>45782</v>
      </c>
      <c r="H928" s="12">
        <f t="shared" si="14"/>
        <v>1600</v>
      </c>
      <c r="I928" s="10" t="s">
        <v>10</v>
      </c>
      <c r="J928" s="13">
        <v>45789</v>
      </c>
    </row>
    <row r="929" hidden="1" spans="1:10">
      <c r="A929" t="s">
        <v>319</v>
      </c>
      <c r="B929" s="8">
        <v>252600208</v>
      </c>
      <c r="C929" s="9">
        <v>45763</v>
      </c>
      <c r="D929" s="8" t="s">
        <v>78</v>
      </c>
      <c r="E929" s="10">
        <v>100000</v>
      </c>
      <c r="F929" s="8">
        <v>0.016</v>
      </c>
      <c r="G929" s="11">
        <v>45813</v>
      </c>
      <c r="H929" s="12">
        <f t="shared" si="14"/>
        <v>1600</v>
      </c>
      <c r="I929" s="10" t="s">
        <v>10</v>
      </c>
      <c r="J929" s="13">
        <v>45789</v>
      </c>
    </row>
    <row r="930" hidden="1" spans="1:10">
      <c r="A930" t="s">
        <v>319</v>
      </c>
      <c r="B930" s="8">
        <v>252600208</v>
      </c>
      <c r="C930" s="9">
        <v>45763</v>
      </c>
      <c r="D930" s="8" t="s">
        <v>33</v>
      </c>
      <c r="E930" s="10">
        <v>60000</v>
      </c>
      <c r="F930" s="8">
        <v>0.018</v>
      </c>
      <c r="G930" s="11">
        <v>45782</v>
      </c>
      <c r="H930" s="12">
        <f t="shared" si="14"/>
        <v>1080</v>
      </c>
      <c r="I930" s="10" t="s">
        <v>10</v>
      </c>
      <c r="J930" s="13">
        <v>45789</v>
      </c>
    </row>
    <row r="931" hidden="1" spans="1:10">
      <c r="A931" t="s">
        <v>319</v>
      </c>
      <c r="B931" s="8">
        <v>252600208</v>
      </c>
      <c r="C931" s="9">
        <v>45763</v>
      </c>
      <c r="D931" s="8" t="s">
        <v>33</v>
      </c>
      <c r="E931" s="10">
        <v>140000</v>
      </c>
      <c r="F931" s="8">
        <v>0.018</v>
      </c>
      <c r="G931" s="11">
        <v>45813</v>
      </c>
      <c r="H931" s="12">
        <f t="shared" si="14"/>
        <v>2520</v>
      </c>
      <c r="I931" s="10" t="s">
        <v>10</v>
      </c>
      <c r="J931" s="13">
        <v>45789</v>
      </c>
    </row>
    <row r="932" hidden="1" spans="1:10">
      <c r="A932" t="s">
        <v>319</v>
      </c>
      <c r="B932" s="8">
        <v>252600208</v>
      </c>
      <c r="C932" s="9">
        <v>45763</v>
      </c>
      <c r="D932" s="8" t="s">
        <v>282</v>
      </c>
      <c r="E932" s="10">
        <v>200000</v>
      </c>
      <c r="F932" s="8">
        <v>0.0304</v>
      </c>
      <c r="G932" s="11">
        <v>45782</v>
      </c>
      <c r="H932" s="12">
        <f t="shared" si="14"/>
        <v>6080</v>
      </c>
      <c r="I932" s="10" t="s">
        <v>10</v>
      </c>
      <c r="J932" s="13">
        <v>45789</v>
      </c>
    </row>
    <row r="933" hidden="1" spans="1:10">
      <c r="A933" t="s">
        <v>319</v>
      </c>
      <c r="B933" s="8">
        <v>252600208</v>
      </c>
      <c r="C933" s="9">
        <v>45763</v>
      </c>
      <c r="D933" s="8" t="s">
        <v>282</v>
      </c>
      <c r="E933" s="10">
        <v>100000</v>
      </c>
      <c r="F933" s="8">
        <v>0.0304</v>
      </c>
      <c r="G933" s="11">
        <v>45782</v>
      </c>
      <c r="H933" s="12">
        <f t="shared" si="14"/>
        <v>3040</v>
      </c>
      <c r="I933" s="10" t="s">
        <v>10</v>
      </c>
      <c r="J933" s="13">
        <v>45789</v>
      </c>
    </row>
    <row r="934" hidden="1" spans="1:10">
      <c r="A934" t="s">
        <v>319</v>
      </c>
      <c r="B934" s="8">
        <v>252600208</v>
      </c>
      <c r="C934" s="9">
        <v>45763</v>
      </c>
      <c r="D934" s="8" t="s">
        <v>282</v>
      </c>
      <c r="E934" s="10">
        <v>200000</v>
      </c>
      <c r="F934" s="8">
        <v>0.0304</v>
      </c>
      <c r="G934" s="11">
        <v>45813</v>
      </c>
      <c r="H934" s="12">
        <f t="shared" si="14"/>
        <v>6080</v>
      </c>
      <c r="I934" s="10" t="s">
        <v>10</v>
      </c>
      <c r="J934" s="13">
        <v>45789</v>
      </c>
    </row>
    <row r="935" hidden="1" spans="1:10">
      <c r="A935" t="s">
        <v>319</v>
      </c>
      <c r="B935" s="8">
        <v>252600208</v>
      </c>
      <c r="C935" s="9">
        <v>45763</v>
      </c>
      <c r="D935" s="8" t="s">
        <v>282</v>
      </c>
      <c r="E935" s="10">
        <v>100000</v>
      </c>
      <c r="F935" s="8">
        <v>0.0304</v>
      </c>
      <c r="G935" s="11">
        <v>45813</v>
      </c>
      <c r="H935" s="12">
        <f t="shared" si="14"/>
        <v>3040</v>
      </c>
      <c r="I935" s="10" t="s">
        <v>10</v>
      </c>
      <c r="J935" s="13">
        <v>45789</v>
      </c>
    </row>
    <row r="936" hidden="1" spans="1:10">
      <c r="A936" t="s">
        <v>319</v>
      </c>
      <c r="B936" s="8">
        <v>252600209</v>
      </c>
      <c r="C936" s="9">
        <v>45763</v>
      </c>
      <c r="D936" s="8" t="s">
        <v>100</v>
      </c>
      <c r="E936" s="10">
        <v>40000</v>
      </c>
      <c r="F936" s="8">
        <v>0.0224</v>
      </c>
      <c r="G936" s="11">
        <v>45843</v>
      </c>
      <c r="H936" s="12">
        <f t="shared" si="14"/>
        <v>896</v>
      </c>
      <c r="I936" s="10" t="s">
        <v>10</v>
      </c>
      <c r="J936" s="13">
        <v>45842</v>
      </c>
    </row>
    <row r="937" hidden="1" spans="1:10">
      <c r="A937" t="s">
        <v>319</v>
      </c>
      <c r="B937" s="8">
        <v>252600209</v>
      </c>
      <c r="C937" s="9">
        <v>45763</v>
      </c>
      <c r="D937" s="8" t="s">
        <v>100</v>
      </c>
      <c r="E937" s="10">
        <v>40000</v>
      </c>
      <c r="F937" s="8">
        <v>0.0224</v>
      </c>
      <c r="G937" s="11">
        <v>45874</v>
      </c>
      <c r="H937" s="12">
        <f t="shared" si="14"/>
        <v>896</v>
      </c>
      <c r="I937" s="10" t="s">
        <v>10</v>
      </c>
      <c r="J937" s="13">
        <v>45842</v>
      </c>
    </row>
    <row r="938" hidden="1" spans="1:10">
      <c r="A938" t="s">
        <v>319</v>
      </c>
      <c r="B938" s="8">
        <v>252600209</v>
      </c>
      <c r="C938" s="9">
        <v>45763</v>
      </c>
      <c r="D938" s="8" t="s">
        <v>31</v>
      </c>
      <c r="E938" s="10">
        <v>200000</v>
      </c>
      <c r="F938" s="8">
        <v>0.024</v>
      </c>
      <c r="G938" s="11">
        <v>45843</v>
      </c>
      <c r="H938" s="12">
        <f t="shared" si="14"/>
        <v>4800</v>
      </c>
      <c r="I938" s="10" t="s">
        <v>10</v>
      </c>
      <c r="J938" s="13">
        <v>45842</v>
      </c>
    </row>
    <row r="939" hidden="1" spans="1:10">
      <c r="A939" t="s">
        <v>319</v>
      </c>
      <c r="B939" s="8">
        <v>252600209</v>
      </c>
      <c r="C939" s="9">
        <v>45763</v>
      </c>
      <c r="D939" s="8" t="s">
        <v>31</v>
      </c>
      <c r="E939" s="10">
        <v>200000</v>
      </c>
      <c r="F939" s="8">
        <v>0.024</v>
      </c>
      <c r="G939" s="11">
        <v>45874</v>
      </c>
      <c r="H939" s="12">
        <f t="shared" si="14"/>
        <v>4800</v>
      </c>
      <c r="I939" s="10" t="s">
        <v>10</v>
      </c>
      <c r="J939" s="13">
        <v>45842</v>
      </c>
    </row>
    <row r="940" hidden="1" spans="1:10">
      <c r="A940" t="s">
        <v>319</v>
      </c>
      <c r="B940" s="8">
        <v>252600209</v>
      </c>
      <c r="C940" s="9">
        <v>45763</v>
      </c>
      <c r="D940" s="8" t="s">
        <v>78</v>
      </c>
      <c r="E940" s="10">
        <v>100000</v>
      </c>
      <c r="F940" s="8">
        <v>0.016</v>
      </c>
      <c r="G940" s="11">
        <v>45843</v>
      </c>
      <c r="H940" s="12">
        <f t="shared" si="14"/>
        <v>1600</v>
      </c>
      <c r="I940" s="10" t="s">
        <v>10</v>
      </c>
      <c r="J940" s="13">
        <v>45842</v>
      </c>
    </row>
    <row r="941" hidden="1" spans="1:10">
      <c r="A941" t="s">
        <v>319</v>
      </c>
      <c r="B941" s="8">
        <v>252600209</v>
      </c>
      <c r="C941" s="9">
        <v>45763</v>
      </c>
      <c r="D941" s="8" t="s">
        <v>78</v>
      </c>
      <c r="E941" s="10">
        <v>100000</v>
      </c>
      <c r="F941" s="8">
        <v>0.016</v>
      </c>
      <c r="G941" s="11">
        <v>45874</v>
      </c>
      <c r="H941" s="12">
        <f t="shared" si="14"/>
        <v>1600</v>
      </c>
      <c r="I941" s="10" t="s">
        <v>10</v>
      </c>
      <c r="J941" s="13">
        <v>45842</v>
      </c>
    </row>
    <row r="942" hidden="1" spans="1:10">
      <c r="A942" t="s">
        <v>319</v>
      </c>
      <c r="B942" s="8">
        <v>252600209</v>
      </c>
      <c r="C942" s="9">
        <v>45763</v>
      </c>
      <c r="D942" s="8" t="s">
        <v>181</v>
      </c>
      <c r="E942" s="10">
        <v>100000</v>
      </c>
      <c r="F942" s="8">
        <v>0.0243</v>
      </c>
      <c r="G942" s="11">
        <v>45843</v>
      </c>
      <c r="H942" s="12">
        <f t="shared" si="14"/>
        <v>2430</v>
      </c>
      <c r="I942" s="10" t="s">
        <v>10</v>
      </c>
      <c r="J942" s="13">
        <v>45842</v>
      </c>
    </row>
    <row r="943" hidden="1" spans="1:10">
      <c r="A943" t="s">
        <v>319</v>
      </c>
      <c r="B943" s="8">
        <v>252600209</v>
      </c>
      <c r="C943" s="9">
        <v>45763</v>
      </c>
      <c r="D943" s="8" t="s">
        <v>181</v>
      </c>
      <c r="E943" s="10">
        <v>100000</v>
      </c>
      <c r="F943" s="8">
        <v>0.0243</v>
      </c>
      <c r="G943" s="11">
        <v>45874</v>
      </c>
      <c r="H943" s="12">
        <f t="shared" si="14"/>
        <v>2430</v>
      </c>
      <c r="I943" s="10" t="s">
        <v>10</v>
      </c>
      <c r="J943" s="13">
        <v>45842</v>
      </c>
    </row>
    <row r="944" hidden="1" spans="1:10">
      <c r="A944" t="s">
        <v>319</v>
      </c>
      <c r="B944" s="8">
        <v>252600209</v>
      </c>
      <c r="C944" s="9">
        <v>45763</v>
      </c>
      <c r="D944" s="8" t="s">
        <v>33</v>
      </c>
      <c r="E944" s="10">
        <v>20000</v>
      </c>
      <c r="F944" s="8">
        <v>0.018</v>
      </c>
      <c r="G944" s="11">
        <v>45843</v>
      </c>
      <c r="H944" s="12">
        <f t="shared" si="14"/>
        <v>360</v>
      </c>
      <c r="I944" s="10" t="s">
        <v>10</v>
      </c>
      <c r="J944" s="13">
        <v>45842</v>
      </c>
    </row>
    <row r="945" hidden="1" spans="1:10">
      <c r="A945" t="s">
        <v>319</v>
      </c>
      <c r="B945" s="8">
        <v>252600209</v>
      </c>
      <c r="C945" s="9">
        <v>45763</v>
      </c>
      <c r="D945" s="8" t="s">
        <v>33</v>
      </c>
      <c r="E945" s="10">
        <v>60000</v>
      </c>
      <c r="F945" s="8">
        <v>0.018</v>
      </c>
      <c r="G945" s="11">
        <v>45874</v>
      </c>
      <c r="H945" s="12">
        <f t="shared" si="14"/>
        <v>1080</v>
      </c>
      <c r="I945" s="10" t="s">
        <v>10</v>
      </c>
      <c r="J945" s="13">
        <v>45842</v>
      </c>
    </row>
    <row r="946" hidden="1" spans="1:10">
      <c r="A946" t="s">
        <v>319</v>
      </c>
      <c r="B946" s="8">
        <v>252600209</v>
      </c>
      <c r="C946" s="9">
        <v>45763</v>
      </c>
      <c r="D946" s="8" t="s">
        <v>468</v>
      </c>
      <c r="E946" s="10">
        <v>20000</v>
      </c>
      <c r="F946" s="8">
        <v>0.028</v>
      </c>
      <c r="G946" s="11">
        <v>45843</v>
      </c>
      <c r="H946" s="12">
        <f t="shared" si="14"/>
        <v>560</v>
      </c>
      <c r="I946" s="10" t="s">
        <v>10</v>
      </c>
      <c r="J946" s="13">
        <v>45842</v>
      </c>
    </row>
    <row r="947" hidden="1" spans="1:10">
      <c r="A947" t="s">
        <v>319</v>
      </c>
      <c r="B947" s="8">
        <v>252600210</v>
      </c>
      <c r="C947" s="9">
        <v>45763</v>
      </c>
      <c r="D947" s="8" t="s">
        <v>31</v>
      </c>
      <c r="E947" s="10">
        <v>200000</v>
      </c>
      <c r="F947" s="8">
        <v>0.024</v>
      </c>
      <c r="G947" s="11">
        <v>45769</v>
      </c>
      <c r="H947" s="12">
        <f t="shared" si="14"/>
        <v>4800</v>
      </c>
      <c r="I947" s="10" t="s">
        <v>10</v>
      </c>
      <c r="J947" s="13">
        <v>45789</v>
      </c>
    </row>
    <row r="948" hidden="1" spans="1:10">
      <c r="A948" t="s">
        <v>319</v>
      </c>
      <c r="B948" s="8">
        <v>252600210</v>
      </c>
      <c r="C948" s="9">
        <v>45763</v>
      </c>
      <c r="D948" s="8" t="s">
        <v>31</v>
      </c>
      <c r="E948" s="10">
        <v>160000</v>
      </c>
      <c r="F948" s="8">
        <v>0.024</v>
      </c>
      <c r="G948" s="11">
        <v>45769</v>
      </c>
      <c r="H948" s="12">
        <f t="shared" si="14"/>
        <v>3840</v>
      </c>
      <c r="I948" s="10" t="s">
        <v>10</v>
      </c>
      <c r="J948" s="13">
        <v>45789</v>
      </c>
    </row>
    <row r="949" hidden="1" spans="1:10">
      <c r="A949" t="s">
        <v>319</v>
      </c>
      <c r="B949" s="8">
        <v>252600210</v>
      </c>
      <c r="C949" s="9">
        <v>45763</v>
      </c>
      <c r="D949" s="8" t="s">
        <v>31</v>
      </c>
      <c r="E949" s="10">
        <v>200000</v>
      </c>
      <c r="F949" s="8">
        <v>0.024</v>
      </c>
      <c r="G949" s="11">
        <v>45782</v>
      </c>
      <c r="H949" s="12">
        <f t="shared" si="14"/>
        <v>4800</v>
      </c>
      <c r="I949" s="10" t="s">
        <v>10</v>
      </c>
      <c r="J949" s="13">
        <v>45789</v>
      </c>
    </row>
    <row r="950" hidden="1" spans="1:10">
      <c r="A950" t="s">
        <v>319</v>
      </c>
      <c r="B950" s="8">
        <v>252600210</v>
      </c>
      <c r="C950" s="9">
        <v>45763</v>
      </c>
      <c r="D950" s="8" t="s">
        <v>31</v>
      </c>
      <c r="E950" s="10">
        <v>100000</v>
      </c>
      <c r="F950" s="8">
        <v>0.024</v>
      </c>
      <c r="G950" s="11">
        <v>45782</v>
      </c>
      <c r="H950" s="12">
        <f t="shared" si="14"/>
        <v>2400</v>
      </c>
      <c r="I950" s="10" t="s">
        <v>10</v>
      </c>
      <c r="J950" s="13">
        <v>45789</v>
      </c>
    </row>
    <row r="951" hidden="1" spans="1:10">
      <c r="A951" t="s">
        <v>319</v>
      </c>
      <c r="B951" s="8">
        <v>252600210</v>
      </c>
      <c r="C951" s="9">
        <v>45763</v>
      </c>
      <c r="D951" s="8" t="s">
        <v>33</v>
      </c>
      <c r="E951" s="10">
        <v>20000</v>
      </c>
      <c r="F951" s="8">
        <v>0.018</v>
      </c>
      <c r="G951" s="11">
        <v>45782</v>
      </c>
      <c r="H951" s="12">
        <f t="shared" si="14"/>
        <v>360</v>
      </c>
      <c r="I951" s="10" t="s">
        <v>10</v>
      </c>
      <c r="J951" s="13">
        <v>45789</v>
      </c>
    </row>
    <row r="952" hidden="1" spans="1:10">
      <c r="A952" t="s">
        <v>319</v>
      </c>
      <c r="B952" s="8">
        <v>252600210</v>
      </c>
      <c r="C952" s="9">
        <v>45763</v>
      </c>
      <c r="D952" s="8" t="s">
        <v>36</v>
      </c>
      <c r="E952" s="10">
        <v>126000</v>
      </c>
      <c r="F952" s="8">
        <v>0.00656</v>
      </c>
      <c r="G952" s="11">
        <v>45782</v>
      </c>
      <c r="H952" s="12">
        <f t="shared" si="14"/>
        <v>826.56</v>
      </c>
      <c r="I952" s="10" t="s">
        <v>10</v>
      </c>
      <c r="J952" s="13">
        <v>45789</v>
      </c>
    </row>
    <row r="953" hidden="1" spans="1:10">
      <c r="A953" t="s">
        <v>319</v>
      </c>
      <c r="B953" s="8">
        <v>252600211</v>
      </c>
      <c r="C953" s="9">
        <v>45763</v>
      </c>
      <c r="D953" s="8" t="s">
        <v>29</v>
      </c>
      <c r="E953" s="10">
        <v>100000</v>
      </c>
      <c r="F953" s="8">
        <v>0.0216</v>
      </c>
      <c r="G953" s="11">
        <v>45813</v>
      </c>
      <c r="H953" s="12">
        <f t="shared" si="14"/>
        <v>2160</v>
      </c>
      <c r="I953" s="10" t="s">
        <v>10</v>
      </c>
      <c r="J953" s="13">
        <v>45810</v>
      </c>
    </row>
    <row r="954" hidden="1" spans="1:10">
      <c r="A954" t="s">
        <v>319</v>
      </c>
      <c r="B954" s="8">
        <v>252600211</v>
      </c>
      <c r="C954" s="9">
        <v>45763</v>
      </c>
      <c r="D954" s="8" t="s">
        <v>29</v>
      </c>
      <c r="E954" s="10">
        <v>100000</v>
      </c>
      <c r="F954" s="8">
        <v>0.0216</v>
      </c>
      <c r="G954" s="11">
        <v>45843</v>
      </c>
      <c r="H954" s="12">
        <f t="shared" si="14"/>
        <v>2160</v>
      </c>
      <c r="I954" s="10" t="s">
        <v>10</v>
      </c>
      <c r="J954" s="13">
        <v>45810</v>
      </c>
    </row>
    <row r="955" hidden="1" spans="1:10">
      <c r="A955" t="s">
        <v>319</v>
      </c>
      <c r="B955" s="8">
        <v>252600211</v>
      </c>
      <c r="C955" s="9">
        <v>45763</v>
      </c>
      <c r="D955" s="8" t="s">
        <v>31</v>
      </c>
      <c r="E955" s="10">
        <v>200000</v>
      </c>
      <c r="F955" s="8">
        <v>0.024</v>
      </c>
      <c r="G955" s="11">
        <v>45843</v>
      </c>
      <c r="H955" s="12">
        <f t="shared" si="14"/>
        <v>4800</v>
      </c>
      <c r="I955" s="10" t="s">
        <v>10</v>
      </c>
      <c r="J955" s="13">
        <v>45810</v>
      </c>
    </row>
    <row r="956" hidden="1" spans="1:10">
      <c r="A956" t="s">
        <v>319</v>
      </c>
      <c r="B956" s="8">
        <v>252600211</v>
      </c>
      <c r="C956" s="9">
        <v>45763</v>
      </c>
      <c r="D956" s="8" t="s">
        <v>31</v>
      </c>
      <c r="E956" s="10">
        <v>40000</v>
      </c>
      <c r="F956" s="8">
        <v>0.024</v>
      </c>
      <c r="G956" s="11">
        <v>45843</v>
      </c>
      <c r="H956" s="12">
        <f t="shared" si="14"/>
        <v>960</v>
      </c>
      <c r="I956" s="10" t="s">
        <v>10</v>
      </c>
      <c r="J956" s="13">
        <v>45810</v>
      </c>
    </row>
    <row r="957" hidden="1" spans="1:10">
      <c r="A957" t="s">
        <v>319</v>
      </c>
      <c r="B957" s="8">
        <v>252600211</v>
      </c>
      <c r="C957" s="9">
        <v>45763</v>
      </c>
      <c r="D957" s="8" t="s">
        <v>32</v>
      </c>
      <c r="E957" s="10">
        <v>100000</v>
      </c>
      <c r="F957" s="8">
        <v>0.014</v>
      </c>
      <c r="G957" s="11">
        <v>45813</v>
      </c>
      <c r="H957" s="12">
        <f t="shared" si="14"/>
        <v>1400</v>
      </c>
      <c r="I957" s="10" t="s">
        <v>10</v>
      </c>
      <c r="J957" s="13">
        <v>45810</v>
      </c>
    </row>
    <row r="958" hidden="1" spans="1:10">
      <c r="A958" t="s">
        <v>319</v>
      </c>
      <c r="B958" s="8">
        <v>252600211</v>
      </c>
      <c r="C958" s="9">
        <v>45763</v>
      </c>
      <c r="D958" s="8" t="s">
        <v>32</v>
      </c>
      <c r="E958" s="10">
        <v>100000</v>
      </c>
      <c r="F958" s="8">
        <v>0.014</v>
      </c>
      <c r="G958" s="11">
        <v>45843</v>
      </c>
      <c r="H958" s="12">
        <f t="shared" si="14"/>
        <v>1400</v>
      </c>
      <c r="I958" s="10" t="s">
        <v>10</v>
      </c>
      <c r="J958" s="13">
        <v>45810</v>
      </c>
    </row>
    <row r="959" hidden="1" spans="1:10">
      <c r="A959" t="s">
        <v>319</v>
      </c>
      <c r="B959" s="8">
        <v>252600211</v>
      </c>
      <c r="C959" s="9">
        <v>45763</v>
      </c>
      <c r="D959" s="8" t="s">
        <v>181</v>
      </c>
      <c r="E959" s="10">
        <v>80000</v>
      </c>
      <c r="F959" s="8">
        <v>0.0243</v>
      </c>
      <c r="G959" s="11">
        <v>45813</v>
      </c>
      <c r="H959" s="12">
        <f t="shared" si="14"/>
        <v>1944</v>
      </c>
      <c r="I959" s="10" t="s">
        <v>10</v>
      </c>
      <c r="J959" s="13">
        <v>45810</v>
      </c>
    </row>
    <row r="960" hidden="1" spans="1:10">
      <c r="A960" t="s">
        <v>319</v>
      </c>
      <c r="B960" s="8">
        <v>252600211</v>
      </c>
      <c r="C960" s="9">
        <v>45763</v>
      </c>
      <c r="D960" s="8" t="s">
        <v>181</v>
      </c>
      <c r="E960" s="10">
        <v>60000</v>
      </c>
      <c r="F960" s="8">
        <v>0.0243</v>
      </c>
      <c r="G960" s="11">
        <v>45843</v>
      </c>
      <c r="H960" s="12">
        <f t="shared" si="14"/>
        <v>1458</v>
      </c>
      <c r="I960" s="10" t="s">
        <v>10</v>
      </c>
      <c r="J960" s="13">
        <v>45810</v>
      </c>
    </row>
    <row r="961" hidden="1" spans="1:10">
      <c r="A961" t="s">
        <v>319</v>
      </c>
      <c r="B961" s="8">
        <v>252600211</v>
      </c>
      <c r="C961" s="9">
        <v>45763</v>
      </c>
      <c r="D961" s="8" t="s">
        <v>34</v>
      </c>
      <c r="E961" s="10">
        <v>60000</v>
      </c>
      <c r="F961" s="8">
        <v>0.0368</v>
      </c>
      <c r="G961" s="11">
        <v>45843</v>
      </c>
      <c r="H961" s="12">
        <f t="shared" si="14"/>
        <v>2208</v>
      </c>
      <c r="I961" s="10" t="s">
        <v>10</v>
      </c>
      <c r="J961" s="13">
        <v>45810</v>
      </c>
    </row>
    <row r="962" hidden="1" spans="1:10">
      <c r="A962" t="s">
        <v>319</v>
      </c>
      <c r="B962" s="8">
        <v>252600211</v>
      </c>
      <c r="C962" s="9">
        <v>45763</v>
      </c>
      <c r="D962" s="8" t="s">
        <v>36</v>
      </c>
      <c r="E962" s="10">
        <v>126000</v>
      </c>
      <c r="F962" s="8">
        <v>0.00656</v>
      </c>
      <c r="G962" s="11">
        <v>45813</v>
      </c>
      <c r="H962" s="12">
        <f t="shared" ref="H962:H1025" si="15">E962*F962</f>
        <v>826.56</v>
      </c>
      <c r="I962" s="10" t="s">
        <v>10</v>
      </c>
      <c r="J962" s="13">
        <v>45810</v>
      </c>
    </row>
    <row r="963" hidden="1" spans="1:10">
      <c r="A963" t="s">
        <v>319</v>
      </c>
      <c r="B963" s="8">
        <v>252600211</v>
      </c>
      <c r="C963" s="9">
        <v>45763</v>
      </c>
      <c r="D963" s="8" t="s">
        <v>36</v>
      </c>
      <c r="E963" s="10">
        <v>126000</v>
      </c>
      <c r="F963" s="8">
        <v>0.00656</v>
      </c>
      <c r="G963" s="11">
        <v>45843</v>
      </c>
      <c r="H963" s="12">
        <f t="shared" si="15"/>
        <v>826.56</v>
      </c>
      <c r="I963" s="10" t="s">
        <v>10</v>
      </c>
      <c r="J963" s="13">
        <v>45810</v>
      </c>
    </row>
    <row r="964" hidden="1" spans="1:10">
      <c r="A964" t="s">
        <v>319</v>
      </c>
      <c r="B964" s="8">
        <v>252600212</v>
      </c>
      <c r="C964" s="9">
        <v>45763</v>
      </c>
      <c r="D964" s="8" t="s">
        <v>100</v>
      </c>
      <c r="E964" s="10">
        <v>60000</v>
      </c>
      <c r="F964" s="8">
        <v>0.0224</v>
      </c>
      <c r="G964" s="11">
        <v>45874</v>
      </c>
      <c r="H964" s="12">
        <f t="shared" si="15"/>
        <v>1344</v>
      </c>
      <c r="I964" s="10" t="s">
        <v>10</v>
      </c>
      <c r="J964" s="13">
        <v>45877</v>
      </c>
    </row>
    <row r="965" hidden="1" spans="1:10">
      <c r="A965" t="s">
        <v>319</v>
      </c>
      <c r="B965" s="8">
        <v>252600212</v>
      </c>
      <c r="C965" s="9">
        <v>45763</v>
      </c>
      <c r="D965" s="8" t="s">
        <v>100</v>
      </c>
      <c r="E965" s="10">
        <v>60000</v>
      </c>
      <c r="F965" s="8">
        <v>0.0224</v>
      </c>
      <c r="G965" s="11">
        <v>45935</v>
      </c>
      <c r="H965" s="12">
        <f t="shared" si="15"/>
        <v>1344</v>
      </c>
      <c r="I965" s="10" t="s">
        <v>10</v>
      </c>
      <c r="J965" s="13">
        <v>45877</v>
      </c>
    </row>
    <row r="966" hidden="1" spans="1:10">
      <c r="A966" t="s">
        <v>319</v>
      </c>
      <c r="B966" s="8">
        <v>252600212</v>
      </c>
      <c r="C966" s="9">
        <v>45763</v>
      </c>
      <c r="D966" s="8" t="s">
        <v>29</v>
      </c>
      <c r="E966" s="10">
        <v>100000</v>
      </c>
      <c r="F966" s="8">
        <v>0.0216</v>
      </c>
      <c r="G966" s="11">
        <v>45874</v>
      </c>
      <c r="H966" s="12">
        <f t="shared" si="15"/>
        <v>2160</v>
      </c>
      <c r="I966" s="10" t="s">
        <v>10</v>
      </c>
      <c r="J966" s="13">
        <v>45877</v>
      </c>
    </row>
    <row r="967" hidden="1" spans="1:10">
      <c r="A967" t="s">
        <v>319</v>
      </c>
      <c r="B967" s="8">
        <v>252600212</v>
      </c>
      <c r="C967" s="9">
        <v>45763</v>
      </c>
      <c r="D967" s="8" t="s">
        <v>29</v>
      </c>
      <c r="E967" s="10">
        <v>100000</v>
      </c>
      <c r="F967" s="8">
        <v>0.0216</v>
      </c>
      <c r="G967" s="11">
        <v>45935</v>
      </c>
      <c r="H967" s="12">
        <f t="shared" si="15"/>
        <v>2160</v>
      </c>
      <c r="I967" s="10" t="s">
        <v>10</v>
      </c>
      <c r="J967" s="13">
        <v>45877</v>
      </c>
    </row>
    <row r="968" hidden="1" spans="1:10">
      <c r="A968" t="s">
        <v>319</v>
      </c>
      <c r="B968" s="8">
        <v>252600212</v>
      </c>
      <c r="C968" s="9">
        <v>45763</v>
      </c>
      <c r="D968" s="8" t="s">
        <v>31</v>
      </c>
      <c r="E968" s="10">
        <v>200000</v>
      </c>
      <c r="F968" s="8">
        <v>0.024</v>
      </c>
      <c r="G968" s="11">
        <v>45874</v>
      </c>
      <c r="H968" s="12">
        <f t="shared" si="15"/>
        <v>4800</v>
      </c>
      <c r="I968" s="10" t="s">
        <v>10</v>
      </c>
      <c r="J968" s="13">
        <v>45877</v>
      </c>
    </row>
    <row r="969" hidden="1" spans="1:10">
      <c r="A969" t="s">
        <v>319</v>
      </c>
      <c r="B969" s="8">
        <v>252600212</v>
      </c>
      <c r="C969" s="9">
        <v>45763</v>
      </c>
      <c r="D969" s="8" t="s">
        <v>32</v>
      </c>
      <c r="E969" s="10">
        <v>100000</v>
      </c>
      <c r="F969" s="8">
        <v>0.014</v>
      </c>
      <c r="G969" s="11">
        <v>45874</v>
      </c>
      <c r="H969" s="12">
        <f t="shared" si="15"/>
        <v>1400</v>
      </c>
      <c r="I969" s="10" t="s">
        <v>10</v>
      </c>
      <c r="J969" s="13">
        <v>45877</v>
      </c>
    </row>
    <row r="970" hidden="1" spans="1:10">
      <c r="A970" t="s">
        <v>319</v>
      </c>
      <c r="B970" s="8">
        <v>252600212</v>
      </c>
      <c r="C970" s="9">
        <v>45763</v>
      </c>
      <c r="D970" s="8" t="s">
        <v>32</v>
      </c>
      <c r="E970" s="10">
        <v>100000</v>
      </c>
      <c r="F970" s="8">
        <v>0.014</v>
      </c>
      <c r="G970" s="11">
        <v>45935</v>
      </c>
      <c r="H970" s="12">
        <f t="shared" si="15"/>
        <v>1400</v>
      </c>
      <c r="I970" s="10" t="s">
        <v>10</v>
      </c>
      <c r="J970" s="13">
        <v>45877</v>
      </c>
    </row>
    <row r="971" hidden="1" spans="1:10">
      <c r="A971" t="s">
        <v>319</v>
      </c>
      <c r="B971" s="8">
        <v>252600212</v>
      </c>
      <c r="C971" s="9">
        <v>45763</v>
      </c>
      <c r="D971" s="8" t="s">
        <v>181</v>
      </c>
      <c r="E971" s="10">
        <v>80000</v>
      </c>
      <c r="F971" s="8">
        <v>0.0243</v>
      </c>
      <c r="G971" s="11">
        <v>45874</v>
      </c>
      <c r="H971" s="12">
        <f t="shared" si="15"/>
        <v>1944</v>
      </c>
      <c r="I971" s="10" t="s">
        <v>10</v>
      </c>
      <c r="J971" s="13">
        <v>45877</v>
      </c>
    </row>
    <row r="972" hidden="1" spans="1:10">
      <c r="A972" t="s">
        <v>319</v>
      </c>
      <c r="B972" s="8">
        <v>252600212</v>
      </c>
      <c r="C972" s="9">
        <v>45763</v>
      </c>
      <c r="D972" s="8" t="s">
        <v>181</v>
      </c>
      <c r="E972" s="10">
        <v>60000</v>
      </c>
      <c r="F972" s="8">
        <v>0.0243</v>
      </c>
      <c r="G972" s="11">
        <v>45935</v>
      </c>
      <c r="H972" s="12">
        <f t="shared" si="15"/>
        <v>1458</v>
      </c>
      <c r="I972" s="10" t="s">
        <v>10</v>
      </c>
      <c r="J972" s="13">
        <v>45877</v>
      </c>
    </row>
    <row r="973" hidden="1" spans="1:10">
      <c r="A973" t="s">
        <v>319</v>
      </c>
      <c r="B973" s="8">
        <v>252600212</v>
      </c>
      <c r="C973" s="9">
        <v>45763</v>
      </c>
      <c r="D973" s="8" t="s">
        <v>58</v>
      </c>
      <c r="E973" s="10">
        <v>200000</v>
      </c>
      <c r="F973" s="8">
        <v>0.014</v>
      </c>
      <c r="G973" s="11">
        <v>45935</v>
      </c>
      <c r="H973" s="12">
        <f t="shared" si="15"/>
        <v>2800</v>
      </c>
      <c r="I973" s="10" t="s">
        <v>10</v>
      </c>
      <c r="J973" s="13">
        <v>45877</v>
      </c>
    </row>
    <row r="974" hidden="1" spans="1:10">
      <c r="A974" t="s">
        <v>319</v>
      </c>
      <c r="B974" s="8">
        <v>252600212</v>
      </c>
      <c r="C974" s="9">
        <v>45763</v>
      </c>
      <c r="D974" s="8" t="s">
        <v>34</v>
      </c>
      <c r="E974" s="10">
        <v>60000</v>
      </c>
      <c r="F974" s="8">
        <v>0.0368</v>
      </c>
      <c r="G974" s="11">
        <v>45874</v>
      </c>
      <c r="H974" s="12">
        <f t="shared" si="15"/>
        <v>2208</v>
      </c>
      <c r="I974" s="10" t="s">
        <v>10</v>
      </c>
      <c r="J974" s="13">
        <v>45877</v>
      </c>
    </row>
    <row r="975" hidden="1" spans="1:10">
      <c r="A975" t="s">
        <v>319</v>
      </c>
      <c r="B975" s="8">
        <v>252600212</v>
      </c>
      <c r="C975" s="9">
        <v>45763</v>
      </c>
      <c r="D975" s="8" t="s">
        <v>34</v>
      </c>
      <c r="E975" s="10">
        <v>60000</v>
      </c>
      <c r="F975" s="8">
        <v>0.0368</v>
      </c>
      <c r="G975" s="11">
        <v>45935</v>
      </c>
      <c r="H975" s="12">
        <f t="shared" si="15"/>
        <v>2208</v>
      </c>
      <c r="I975" s="10" t="s">
        <v>10</v>
      </c>
      <c r="J975" s="13">
        <v>45877</v>
      </c>
    </row>
    <row r="976" hidden="1" spans="1:10">
      <c r="A976" t="s">
        <v>319</v>
      </c>
      <c r="B976" s="8">
        <v>252600212</v>
      </c>
      <c r="C976" s="9">
        <v>45763</v>
      </c>
      <c r="D976" s="8" t="s">
        <v>36</v>
      </c>
      <c r="E976" s="10">
        <v>126000</v>
      </c>
      <c r="F976" s="8">
        <v>0.00656</v>
      </c>
      <c r="G976" s="11">
        <v>45874</v>
      </c>
      <c r="H976" s="12">
        <f t="shared" si="15"/>
        <v>826.56</v>
      </c>
      <c r="I976" s="10" t="s">
        <v>10</v>
      </c>
      <c r="J976" s="13">
        <v>45877</v>
      </c>
    </row>
    <row r="977" hidden="1" spans="1:11">
      <c r="A977" t="s">
        <v>319</v>
      </c>
      <c r="B977" s="8">
        <v>252600212</v>
      </c>
      <c r="C977" s="9">
        <v>45763</v>
      </c>
      <c r="D977" s="8" t="s">
        <v>36</v>
      </c>
      <c r="E977" s="10">
        <v>105000</v>
      </c>
      <c r="F977" s="8">
        <v>0.00656</v>
      </c>
      <c r="G977" s="11">
        <v>45935</v>
      </c>
      <c r="H977" s="12">
        <f t="shared" si="15"/>
        <v>688.8</v>
      </c>
      <c r="I977" s="10" t="s">
        <v>10</v>
      </c>
      <c r="J977" s="13">
        <v>45877</v>
      </c>
    </row>
    <row r="978" hidden="1" spans="1:11">
      <c r="A978" t="s">
        <v>319</v>
      </c>
      <c r="B978" s="8">
        <v>252600230</v>
      </c>
      <c r="C978" s="9">
        <v>45765</v>
      </c>
      <c r="D978" s="8" t="s">
        <v>427</v>
      </c>
      <c r="E978" s="10">
        <v>100000</v>
      </c>
      <c r="F978" s="8">
        <v>0.05</v>
      </c>
      <c r="G978" s="11">
        <v>45799</v>
      </c>
      <c r="H978" s="12">
        <f t="shared" si="15"/>
        <v>5000</v>
      </c>
      <c r="I978" s="10" t="s">
        <v>10</v>
      </c>
      <c r="J978" s="13">
        <v>45796</v>
      </c>
      <c r="K978" t="s">
        <v>377</v>
      </c>
    </row>
    <row r="979" hidden="1" spans="1:11">
      <c r="A979" t="s">
        <v>319</v>
      </c>
      <c r="B979" s="8">
        <v>252600230</v>
      </c>
      <c r="C979" s="9">
        <v>45765</v>
      </c>
      <c r="D979" s="8" t="s">
        <v>497</v>
      </c>
      <c r="E979" s="10">
        <v>10000</v>
      </c>
      <c r="F979" s="8">
        <v>0.17</v>
      </c>
      <c r="G979" s="11">
        <v>45799</v>
      </c>
      <c r="H979" s="12">
        <f t="shared" si="15"/>
        <v>1700</v>
      </c>
      <c r="I979" s="10" t="s">
        <v>10</v>
      </c>
      <c r="J979" s="13">
        <v>45796</v>
      </c>
      <c r="K979" t="s">
        <v>377</v>
      </c>
    </row>
    <row r="980" hidden="1" spans="1:11">
      <c r="A980" t="s">
        <v>319</v>
      </c>
      <c r="B980" s="8">
        <v>252600230</v>
      </c>
      <c r="C980" s="9">
        <v>45765</v>
      </c>
      <c r="D980" s="8" t="s">
        <v>427</v>
      </c>
      <c r="E980" s="10">
        <v>250000</v>
      </c>
      <c r="F980" s="8">
        <v>0.05</v>
      </c>
      <c r="G980" s="11">
        <v>45830</v>
      </c>
      <c r="H980" s="12">
        <f t="shared" si="15"/>
        <v>12500</v>
      </c>
      <c r="I980" s="10" t="s">
        <v>10</v>
      </c>
      <c r="J980" s="13">
        <v>45796</v>
      </c>
      <c r="K980" t="s">
        <v>377</v>
      </c>
    </row>
    <row r="981" hidden="1" spans="1:11">
      <c r="A981" t="s">
        <v>319</v>
      </c>
      <c r="B981" s="8">
        <v>252600230</v>
      </c>
      <c r="C981" s="9">
        <v>45765</v>
      </c>
      <c r="D981" s="8" t="s">
        <v>427</v>
      </c>
      <c r="E981" s="10">
        <v>250000</v>
      </c>
      <c r="F981" s="8">
        <v>0.05</v>
      </c>
      <c r="G981" s="11">
        <v>45830</v>
      </c>
      <c r="H981" s="12">
        <f t="shared" si="15"/>
        <v>12500</v>
      </c>
      <c r="I981" s="10" t="s">
        <v>10</v>
      </c>
      <c r="J981" s="13">
        <v>45796</v>
      </c>
      <c r="K981" t="s">
        <v>377</v>
      </c>
    </row>
    <row r="982" hidden="1" spans="1:11">
      <c r="A982" t="s">
        <v>319</v>
      </c>
      <c r="B982" s="8">
        <v>252600231</v>
      </c>
      <c r="C982" s="9">
        <v>45765</v>
      </c>
      <c r="D982" s="8" t="s">
        <v>427</v>
      </c>
      <c r="E982" s="10">
        <v>250000</v>
      </c>
      <c r="F982" s="8">
        <v>0.05</v>
      </c>
      <c r="G982" s="11">
        <v>45860</v>
      </c>
      <c r="H982" s="12">
        <f t="shared" si="15"/>
        <v>12500</v>
      </c>
      <c r="I982" s="10" t="s">
        <v>10</v>
      </c>
      <c r="J982" s="13">
        <v>45799</v>
      </c>
      <c r="K982" t="s">
        <v>377</v>
      </c>
    </row>
    <row r="983" hidden="1" spans="1:11">
      <c r="A983" t="s">
        <v>319</v>
      </c>
      <c r="B983" s="8">
        <v>252600231</v>
      </c>
      <c r="C983" s="9">
        <v>45765</v>
      </c>
      <c r="D983" s="8" t="s">
        <v>427</v>
      </c>
      <c r="E983" s="10">
        <v>250000</v>
      </c>
      <c r="F983" s="8">
        <v>0.05</v>
      </c>
      <c r="G983" s="11">
        <v>45860</v>
      </c>
      <c r="H983" s="12">
        <f t="shared" si="15"/>
        <v>12500</v>
      </c>
      <c r="I983" s="10" t="s">
        <v>10</v>
      </c>
      <c r="J983" s="13">
        <v>45799</v>
      </c>
      <c r="K983" t="s">
        <v>377</v>
      </c>
    </row>
    <row r="984" hidden="1" spans="1:11">
      <c r="A984" t="s">
        <v>319</v>
      </c>
      <c r="B984" s="8">
        <v>252600240</v>
      </c>
      <c r="C984" s="9">
        <v>45769</v>
      </c>
      <c r="D984" s="8" t="s">
        <v>30</v>
      </c>
      <c r="E984" s="10">
        <v>100000</v>
      </c>
      <c r="F984" s="8">
        <v>0.026</v>
      </c>
      <c r="G984" s="11">
        <v>45769</v>
      </c>
      <c r="H984" s="12">
        <f t="shared" si="15"/>
        <v>2600</v>
      </c>
      <c r="I984" s="10" t="s">
        <v>10</v>
      </c>
      <c r="J984" s="13">
        <v>45797</v>
      </c>
    </row>
    <row r="985" hidden="1" spans="1:11">
      <c r="A985" t="s">
        <v>319</v>
      </c>
      <c r="B985" s="8">
        <v>252600240</v>
      </c>
      <c r="C985" s="9">
        <v>45769</v>
      </c>
      <c r="D985" s="8" t="s">
        <v>30</v>
      </c>
      <c r="E985" s="10">
        <v>100000</v>
      </c>
      <c r="F985" s="8">
        <v>0.026</v>
      </c>
      <c r="G985" s="11">
        <v>45830</v>
      </c>
      <c r="H985" s="12">
        <f t="shared" si="15"/>
        <v>2600</v>
      </c>
      <c r="I985" s="10" t="s">
        <v>10</v>
      </c>
      <c r="J985" s="13">
        <v>45797</v>
      </c>
    </row>
    <row r="986" hidden="1" spans="1:11">
      <c r="A986" t="s">
        <v>319</v>
      </c>
      <c r="B986" s="8">
        <v>252600241</v>
      </c>
      <c r="C986" s="9">
        <v>45769</v>
      </c>
      <c r="D986" s="8" t="s">
        <v>30</v>
      </c>
      <c r="E986" s="10">
        <v>60000</v>
      </c>
      <c r="F986" s="8">
        <v>0.026</v>
      </c>
      <c r="G986" s="11">
        <v>45860</v>
      </c>
      <c r="H986" s="12">
        <f t="shared" si="15"/>
        <v>1560</v>
      </c>
      <c r="I986" s="10" t="s">
        <v>10</v>
      </c>
      <c r="J986" s="13">
        <v>45842</v>
      </c>
    </row>
    <row r="987" hidden="1" spans="1:11">
      <c r="A987" t="s">
        <v>319</v>
      </c>
      <c r="B987" s="8">
        <v>252600241</v>
      </c>
      <c r="C987" s="9">
        <v>45769</v>
      </c>
      <c r="D987" s="8" t="s">
        <v>30</v>
      </c>
      <c r="E987" s="10">
        <v>60000</v>
      </c>
      <c r="F987" s="8">
        <v>0.026</v>
      </c>
      <c r="G987" s="11">
        <v>45891</v>
      </c>
      <c r="H987" s="12">
        <f t="shared" si="15"/>
        <v>1560</v>
      </c>
      <c r="I987" s="10" t="s">
        <v>10</v>
      </c>
      <c r="J987" s="13">
        <v>45842</v>
      </c>
    </row>
    <row r="988" hidden="1" spans="1:11">
      <c r="A988" t="s">
        <v>319</v>
      </c>
      <c r="B988" s="8">
        <v>252600242</v>
      </c>
      <c r="C988" s="9">
        <v>45769</v>
      </c>
      <c r="D988" s="8" t="s">
        <v>30</v>
      </c>
      <c r="E988" s="10">
        <v>60000</v>
      </c>
      <c r="F988" s="8">
        <v>0.026</v>
      </c>
      <c r="G988" s="11">
        <v>45983</v>
      </c>
      <c r="H988" s="12">
        <f t="shared" si="15"/>
        <v>1560</v>
      </c>
      <c r="I988" s="10" t="s">
        <v>10</v>
      </c>
      <c r="J988" s="13">
        <v>45842</v>
      </c>
    </row>
    <row r="989" hidden="1" spans="1:11">
      <c r="A989" t="s">
        <v>319</v>
      </c>
      <c r="B989" s="8">
        <v>252600261</v>
      </c>
      <c r="C989" s="9">
        <v>45769</v>
      </c>
      <c r="D989" s="8" t="s">
        <v>38</v>
      </c>
      <c r="E989" s="10">
        <v>200000</v>
      </c>
      <c r="F989" s="8">
        <v>0.01</v>
      </c>
      <c r="G989" s="11">
        <v>45782</v>
      </c>
      <c r="H989" s="12">
        <f t="shared" si="15"/>
        <v>2000</v>
      </c>
      <c r="I989" s="10" t="s">
        <v>10</v>
      </c>
      <c r="J989" s="13">
        <v>45902</v>
      </c>
      <c r="K989" t="s">
        <v>536</v>
      </c>
    </row>
    <row r="990" hidden="1" spans="1:11">
      <c r="A990" t="s">
        <v>319</v>
      </c>
      <c r="B990" s="8">
        <v>252600261</v>
      </c>
      <c r="C990" s="9">
        <v>45769</v>
      </c>
      <c r="D990" s="8" t="s">
        <v>38</v>
      </c>
      <c r="E990" s="10">
        <v>200000</v>
      </c>
      <c r="F990" s="8">
        <v>0.01</v>
      </c>
      <c r="G990" s="11">
        <v>45782</v>
      </c>
      <c r="H990" s="12">
        <f t="shared" si="15"/>
        <v>2000</v>
      </c>
      <c r="I990" s="10" t="s">
        <v>10</v>
      </c>
      <c r="J990" s="13">
        <v>45902</v>
      </c>
      <c r="K990" t="s">
        <v>536</v>
      </c>
    </row>
    <row r="991" hidden="1" spans="1:11">
      <c r="A991" t="s">
        <v>319</v>
      </c>
      <c r="B991" s="8">
        <v>252600261</v>
      </c>
      <c r="C991" s="9">
        <v>45769</v>
      </c>
      <c r="D991" s="8" t="s">
        <v>38</v>
      </c>
      <c r="E991" s="10">
        <v>200000</v>
      </c>
      <c r="F991" s="8">
        <v>0.01</v>
      </c>
      <c r="G991" s="11">
        <v>45782</v>
      </c>
      <c r="H991" s="12">
        <f t="shared" si="15"/>
        <v>2000</v>
      </c>
      <c r="I991" s="10" t="s">
        <v>10</v>
      </c>
      <c r="J991" s="13">
        <v>45902</v>
      </c>
      <c r="K991" t="s">
        <v>536</v>
      </c>
    </row>
    <row r="992" hidden="1" spans="1:11">
      <c r="A992" t="s">
        <v>319</v>
      </c>
      <c r="B992" s="8">
        <v>252600261</v>
      </c>
      <c r="C992" s="9">
        <v>45769</v>
      </c>
      <c r="D992" s="8" t="s">
        <v>38</v>
      </c>
      <c r="E992" s="10">
        <v>200000</v>
      </c>
      <c r="F992" s="8">
        <v>0.01</v>
      </c>
      <c r="G992" s="11">
        <v>45813</v>
      </c>
      <c r="H992" s="12">
        <f t="shared" si="15"/>
        <v>2000</v>
      </c>
      <c r="I992" s="10" t="s">
        <v>10</v>
      </c>
      <c r="J992" s="13">
        <v>45902</v>
      </c>
      <c r="K992" t="s">
        <v>536</v>
      </c>
    </row>
    <row r="993" hidden="1" spans="1:11">
      <c r="A993" t="s">
        <v>319</v>
      </c>
      <c r="B993" s="8">
        <v>252600261</v>
      </c>
      <c r="C993" s="9">
        <v>45769</v>
      </c>
      <c r="D993" s="8" t="s">
        <v>38</v>
      </c>
      <c r="E993" s="10">
        <v>200000</v>
      </c>
      <c r="F993" s="8">
        <v>0.01</v>
      </c>
      <c r="G993" s="11">
        <v>45813</v>
      </c>
      <c r="H993" s="12">
        <f t="shared" si="15"/>
        <v>2000</v>
      </c>
      <c r="I993" s="10" t="s">
        <v>10</v>
      </c>
      <c r="J993" s="13">
        <v>45902</v>
      </c>
      <c r="K993" t="s">
        <v>536</v>
      </c>
    </row>
    <row r="994" hidden="1" spans="1:11">
      <c r="A994" t="s">
        <v>319</v>
      </c>
      <c r="B994" s="8">
        <v>252600261</v>
      </c>
      <c r="C994" s="9">
        <v>45769</v>
      </c>
      <c r="D994" s="8" t="s">
        <v>38</v>
      </c>
      <c r="E994" s="10">
        <v>200000</v>
      </c>
      <c r="F994" s="8">
        <v>0.01</v>
      </c>
      <c r="G994" s="11">
        <v>45813</v>
      </c>
      <c r="H994" s="12">
        <f t="shared" si="15"/>
        <v>2000</v>
      </c>
      <c r="I994" s="10" t="s">
        <v>10</v>
      </c>
      <c r="J994" s="13">
        <v>45902</v>
      </c>
      <c r="K994" t="s">
        <v>536</v>
      </c>
    </row>
    <row r="995" hidden="1" spans="1:11">
      <c r="A995" t="s">
        <v>319</v>
      </c>
      <c r="B995" s="8">
        <v>252600266</v>
      </c>
      <c r="C995" s="9">
        <v>45769</v>
      </c>
      <c r="D995" s="8" t="s">
        <v>163</v>
      </c>
      <c r="E995" s="10">
        <v>112000</v>
      </c>
      <c r="F995" s="8">
        <v>0.0025</v>
      </c>
      <c r="G995" s="11">
        <v>45782</v>
      </c>
      <c r="H995" s="12">
        <f t="shared" si="15"/>
        <v>280</v>
      </c>
      <c r="I995" s="10" t="s">
        <v>10</v>
      </c>
      <c r="J995" s="13">
        <v>45902</v>
      </c>
      <c r="K995" t="s">
        <v>536</v>
      </c>
    </row>
    <row r="996" hidden="1" spans="1:11">
      <c r="A996" t="s">
        <v>319</v>
      </c>
      <c r="B996" s="8">
        <v>252600266</v>
      </c>
      <c r="C996" s="9">
        <v>45769</v>
      </c>
      <c r="D996" s="8" t="s">
        <v>163</v>
      </c>
      <c r="E996" s="10">
        <v>96000</v>
      </c>
      <c r="F996" s="8">
        <v>0.0025</v>
      </c>
      <c r="G996" s="11">
        <v>45813</v>
      </c>
      <c r="H996" s="12">
        <f t="shared" si="15"/>
        <v>240</v>
      </c>
      <c r="I996" s="10" t="s">
        <v>10</v>
      </c>
      <c r="J996" s="13">
        <v>45902</v>
      </c>
      <c r="K996" t="s">
        <v>536</v>
      </c>
    </row>
    <row r="997" hidden="1" spans="1:11">
      <c r="A997" t="s">
        <v>319</v>
      </c>
      <c r="B997" s="8">
        <v>252500267</v>
      </c>
      <c r="C997" s="9">
        <v>45769</v>
      </c>
      <c r="D997" s="8" t="s">
        <v>163</v>
      </c>
      <c r="E997" s="10">
        <v>112000</v>
      </c>
      <c r="F997" s="8">
        <v>0.0025</v>
      </c>
      <c r="G997" s="11">
        <v>45920</v>
      </c>
      <c r="H997" s="12">
        <f t="shared" si="15"/>
        <v>280</v>
      </c>
      <c r="I997" s="10" t="s">
        <v>10</v>
      </c>
      <c r="J997" s="13">
        <v>45904</v>
      </c>
      <c r="K997" t="s">
        <v>536</v>
      </c>
    </row>
    <row r="998" hidden="1" spans="1:11">
      <c r="A998" t="s">
        <v>319</v>
      </c>
      <c r="B998" s="8">
        <v>252500267</v>
      </c>
      <c r="C998" s="9">
        <v>45769</v>
      </c>
      <c r="D998" s="8" t="s">
        <v>163</v>
      </c>
      <c r="E998" s="10">
        <v>96000</v>
      </c>
      <c r="F998" s="8">
        <v>0.0025</v>
      </c>
      <c r="G998" s="11">
        <v>45920</v>
      </c>
      <c r="H998" s="12">
        <f t="shared" si="15"/>
        <v>240</v>
      </c>
      <c r="I998" s="10" t="s">
        <v>10</v>
      </c>
      <c r="J998" s="13">
        <v>45904</v>
      </c>
      <c r="K998" t="s">
        <v>536</v>
      </c>
    </row>
    <row r="999" hidden="1" spans="1:11">
      <c r="A999" t="s">
        <v>319</v>
      </c>
      <c r="B999" s="8">
        <v>252600279</v>
      </c>
      <c r="C999" s="9">
        <v>45770</v>
      </c>
      <c r="D999" s="8" t="s">
        <v>356</v>
      </c>
      <c r="E999" s="10">
        <v>250000</v>
      </c>
      <c r="F999" s="8">
        <v>0.007</v>
      </c>
      <c r="G999" s="11">
        <v>45782</v>
      </c>
      <c r="H999" s="12">
        <f t="shared" si="15"/>
        <v>1750</v>
      </c>
      <c r="I999" s="10" t="s">
        <v>10</v>
      </c>
      <c r="J999" s="15" t="s">
        <v>537</v>
      </c>
    </row>
    <row r="1000" hidden="1" spans="1:11">
      <c r="A1000" t="s">
        <v>319</v>
      </c>
      <c r="B1000" s="8">
        <v>252600279</v>
      </c>
      <c r="C1000" s="9">
        <v>45770</v>
      </c>
      <c r="D1000" s="8" t="s">
        <v>356</v>
      </c>
      <c r="E1000" s="10">
        <v>250000</v>
      </c>
      <c r="F1000" s="8">
        <v>0.007</v>
      </c>
      <c r="G1000" s="11">
        <v>45782</v>
      </c>
      <c r="H1000" s="12">
        <f t="shared" si="15"/>
        <v>1750</v>
      </c>
      <c r="I1000" s="10" t="s">
        <v>10</v>
      </c>
      <c r="J1000" s="15" t="s">
        <v>537</v>
      </c>
    </row>
    <row r="1001" hidden="1" spans="1:11">
      <c r="A1001" t="s">
        <v>319</v>
      </c>
      <c r="B1001" s="14">
        <v>252600279</v>
      </c>
      <c r="C1001" s="13">
        <v>45770</v>
      </c>
      <c r="D1001" s="14" t="s">
        <v>538</v>
      </c>
      <c r="E1001" s="15">
        <v>200000</v>
      </c>
      <c r="F1001" s="14">
        <v>0.015</v>
      </c>
      <c r="G1001" s="16">
        <v>45782</v>
      </c>
      <c r="H1001" s="17">
        <f t="shared" si="15"/>
        <v>3000</v>
      </c>
      <c r="I1001" s="15" t="s">
        <v>10</v>
      </c>
      <c r="J1001" s="15" t="s">
        <v>501</v>
      </c>
    </row>
    <row r="1002" hidden="1" spans="1:11">
      <c r="A1002" t="s">
        <v>319</v>
      </c>
      <c r="B1002" s="14">
        <v>252600279</v>
      </c>
      <c r="C1002" s="13">
        <v>45770</v>
      </c>
      <c r="D1002" s="14" t="s">
        <v>538</v>
      </c>
      <c r="E1002" s="15">
        <v>200000</v>
      </c>
      <c r="F1002" s="14">
        <v>0.015</v>
      </c>
      <c r="G1002" s="16">
        <v>45782</v>
      </c>
      <c r="H1002" s="17">
        <f t="shared" si="15"/>
        <v>3000</v>
      </c>
      <c r="I1002" s="15" t="s">
        <v>10</v>
      </c>
      <c r="J1002" s="15" t="s">
        <v>501</v>
      </c>
    </row>
    <row r="1003" hidden="1" spans="1:11">
      <c r="A1003" t="s">
        <v>319</v>
      </c>
      <c r="B1003" s="8">
        <v>252600280</v>
      </c>
      <c r="C1003" s="9">
        <v>45770</v>
      </c>
      <c r="D1003" s="8" t="s">
        <v>356</v>
      </c>
      <c r="E1003" s="10">
        <v>250000</v>
      </c>
      <c r="F1003" s="8">
        <v>0.007</v>
      </c>
      <c r="G1003" s="11">
        <v>45843</v>
      </c>
      <c r="H1003" s="12">
        <f t="shared" si="15"/>
        <v>1750</v>
      </c>
      <c r="I1003" s="10" t="s">
        <v>10</v>
      </c>
      <c r="J1003" s="15" t="s">
        <v>537</v>
      </c>
    </row>
    <row r="1004" hidden="1" spans="1:11">
      <c r="A1004" t="s">
        <v>319</v>
      </c>
      <c r="B1004" s="8">
        <v>252600280</v>
      </c>
      <c r="C1004" s="9">
        <v>45770</v>
      </c>
      <c r="D1004" s="8" t="s">
        <v>356</v>
      </c>
      <c r="E1004" s="10">
        <v>250000</v>
      </c>
      <c r="F1004" s="8">
        <v>0.007</v>
      </c>
      <c r="G1004" s="11">
        <v>45843</v>
      </c>
      <c r="H1004" s="12">
        <f t="shared" si="15"/>
        <v>1750</v>
      </c>
      <c r="I1004" s="10" t="s">
        <v>10</v>
      </c>
      <c r="J1004" s="15" t="s">
        <v>537</v>
      </c>
    </row>
    <row r="1005" hidden="1" spans="1:11">
      <c r="A1005" t="s">
        <v>319</v>
      </c>
      <c r="B1005" s="14">
        <v>252600280</v>
      </c>
      <c r="C1005" s="13">
        <v>45770</v>
      </c>
      <c r="D1005" s="14" t="s">
        <v>504</v>
      </c>
      <c r="E1005" s="15">
        <v>199500</v>
      </c>
      <c r="F1005" s="14">
        <v>0.017</v>
      </c>
      <c r="G1005" s="16">
        <v>45813</v>
      </c>
      <c r="H1005" s="17">
        <f t="shared" si="15"/>
        <v>3391.5</v>
      </c>
      <c r="I1005" s="15" t="s">
        <v>10</v>
      </c>
      <c r="J1005" s="15" t="s">
        <v>501</v>
      </c>
    </row>
    <row r="1006" hidden="1" spans="1:11">
      <c r="A1006" t="s">
        <v>319</v>
      </c>
      <c r="B1006" s="14">
        <v>252600280</v>
      </c>
      <c r="C1006" s="13">
        <v>45770</v>
      </c>
      <c r="D1006" s="14" t="s">
        <v>504</v>
      </c>
      <c r="E1006" s="15">
        <v>199500</v>
      </c>
      <c r="F1006" s="14">
        <v>0.017</v>
      </c>
      <c r="G1006" s="16">
        <v>45843</v>
      </c>
      <c r="H1006" s="17">
        <f t="shared" si="15"/>
        <v>3391.5</v>
      </c>
      <c r="I1006" s="15" t="s">
        <v>10</v>
      </c>
      <c r="J1006" s="15" t="s">
        <v>501</v>
      </c>
    </row>
    <row r="1007" hidden="1" spans="1:11">
      <c r="A1007" t="s">
        <v>319</v>
      </c>
      <c r="B1007" s="14">
        <v>252600280</v>
      </c>
      <c r="C1007" s="13">
        <v>45770</v>
      </c>
      <c r="D1007" s="14" t="s">
        <v>406</v>
      </c>
      <c r="E1007" s="15">
        <v>100000</v>
      </c>
      <c r="F1007" s="14">
        <v>0.075</v>
      </c>
      <c r="G1007" s="16">
        <v>45843</v>
      </c>
      <c r="H1007" s="17">
        <f t="shared" si="15"/>
        <v>7500</v>
      </c>
      <c r="I1007" s="15" t="s">
        <v>10</v>
      </c>
      <c r="J1007" s="15" t="s">
        <v>501</v>
      </c>
    </row>
    <row r="1008" hidden="1" spans="1:11">
      <c r="A1008" t="s">
        <v>319</v>
      </c>
      <c r="B1008" s="14">
        <v>252600280</v>
      </c>
      <c r="C1008" s="13">
        <v>45770</v>
      </c>
      <c r="D1008" s="14" t="s">
        <v>538</v>
      </c>
      <c r="E1008" s="15">
        <v>200000</v>
      </c>
      <c r="F1008" s="14">
        <v>0.015</v>
      </c>
      <c r="G1008" s="16">
        <v>45843</v>
      </c>
      <c r="H1008" s="17">
        <f t="shared" si="15"/>
        <v>3000</v>
      </c>
      <c r="I1008" s="15" t="s">
        <v>10</v>
      </c>
      <c r="J1008" s="15" t="s">
        <v>501</v>
      </c>
    </row>
    <row r="1009" hidden="1" spans="1:11">
      <c r="A1009" t="s">
        <v>319</v>
      </c>
      <c r="B1009" s="14">
        <v>252600281</v>
      </c>
      <c r="C1009" s="13">
        <v>45770</v>
      </c>
      <c r="D1009" s="14" t="s">
        <v>504</v>
      </c>
      <c r="E1009" s="15">
        <v>199500</v>
      </c>
      <c r="F1009" s="14">
        <v>0.017</v>
      </c>
      <c r="G1009" s="16">
        <v>45905</v>
      </c>
      <c r="H1009" s="17">
        <f t="shared" si="15"/>
        <v>3391.5</v>
      </c>
      <c r="I1009" s="15" t="s">
        <v>10</v>
      </c>
      <c r="J1009" s="15" t="s">
        <v>501</v>
      </c>
    </row>
    <row r="1010" hidden="1" spans="1:11">
      <c r="A1010" t="s">
        <v>319</v>
      </c>
      <c r="B1010" s="14">
        <v>252600281</v>
      </c>
      <c r="C1010" s="13">
        <v>45770</v>
      </c>
      <c r="D1010" s="14" t="s">
        <v>504</v>
      </c>
      <c r="E1010" s="15">
        <v>199500</v>
      </c>
      <c r="F1010" s="14">
        <v>0.017</v>
      </c>
      <c r="G1010" s="16">
        <v>45935</v>
      </c>
      <c r="H1010" s="17">
        <f t="shared" si="15"/>
        <v>3391.5</v>
      </c>
      <c r="I1010" s="15" t="s">
        <v>10</v>
      </c>
      <c r="J1010" s="15" t="s">
        <v>501</v>
      </c>
    </row>
    <row r="1011" hidden="1" spans="1:11">
      <c r="A1011" t="s">
        <v>319</v>
      </c>
      <c r="B1011" s="14">
        <v>252600281</v>
      </c>
      <c r="C1011" s="13">
        <v>45770</v>
      </c>
      <c r="D1011" s="14" t="s">
        <v>406</v>
      </c>
      <c r="E1011" s="15">
        <v>100000</v>
      </c>
      <c r="F1011" s="14">
        <v>0.075</v>
      </c>
      <c r="G1011" s="16">
        <v>45905</v>
      </c>
      <c r="H1011" s="17">
        <f t="shared" si="15"/>
        <v>7500</v>
      </c>
      <c r="I1011" s="15" t="s">
        <v>10</v>
      </c>
      <c r="J1011" s="15" t="s">
        <v>501</v>
      </c>
    </row>
    <row r="1012" hidden="1" spans="1:11">
      <c r="A1012" t="s">
        <v>319</v>
      </c>
      <c r="B1012" s="14">
        <v>252600281</v>
      </c>
      <c r="C1012" s="13">
        <v>45770</v>
      </c>
      <c r="D1012" s="14" t="s">
        <v>538</v>
      </c>
      <c r="E1012" s="15">
        <v>200000</v>
      </c>
      <c r="F1012" s="14">
        <v>0.015</v>
      </c>
      <c r="G1012" s="16">
        <v>45905</v>
      </c>
      <c r="H1012" s="17">
        <f t="shared" si="15"/>
        <v>3000</v>
      </c>
      <c r="I1012" s="15" t="s">
        <v>10</v>
      </c>
      <c r="J1012" s="15" t="s">
        <v>501</v>
      </c>
    </row>
    <row r="1013" hidden="1" spans="1:11">
      <c r="A1013" t="s">
        <v>319</v>
      </c>
      <c r="B1013" s="14">
        <v>252600282</v>
      </c>
      <c r="C1013" s="13">
        <v>45770</v>
      </c>
      <c r="D1013" s="14" t="s">
        <v>504</v>
      </c>
      <c r="E1013" s="15">
        <v>199500</v>
      </c>
      <c r="F1013" s="14">
        <v>0.017</v>
      </c>
      <c r="G1013" s="16">
        <v>45996</v>
      </c>
      <c r="H1013" s="17">
        <f t="shared" si="15"/>
        <v>3391.5</v>
      </c>
      <c r="I1013" s="15" t="s">
        <v>10</v>
      </c>
      <c r="J1013" s="15" t="s">
        <v>501</v>
      </c>
    </row>
    <row r="1014" hidden="1" spans="1:11">
      <c r="A1014" t="s">
        <v>319</v>
      </c>
      <c r="B1014" s="14">
        <v>252600282</v>
      </c>
      <c r="C1014" s="13">
        <v>45770</v>
      </c>
      <c r="D1014" s="14" t="s">
        <v>538</v>
      </c>
      <c r="E1014" s="15">
        <v>200000</v>
      </c>
      <c r="F1014" s="14">
        <v>0.015</v>
      </c>
      <c r="G1014" s="16">
        <v>45966</v>
      </c>
      <c r="H1014" s="17">
        <f t="shared" si="15"/>
        <v>3000</v>
      </c>
      <c r="I1014" s="15" t="s">
        <v>10</v>
      </c>
      <c r="J1014" s="15" t="s">
        <v>501</v>
      </c>
    </row>
    <row r="1015" hidden="1" spans="1:11">
      <c r="A1015" t="s">
        <v>319</v>
      </c>
      <c r="B1015" s="8">
        <v>252600299</v>
      </c>
      <c r="C1015" s="9">
        <v>45771</v>
      </c>
      <c r="D1015" s="8" t="s">
        <v>30</v>
      </c>
      <c r="E1015" s="10">
        <v>20000</v>
      </c>
      <c r="F1015" s="8">
        <v>0.026</v>
      </c>
      <c r="G1015" s="11">
        <v>45915</v>
      </c>
      <c r="H1015" s="12">
        <f t="shared" si="15"/>
        <v>520</v>
      </c>
      <c r="I1015" s="10" t="s">
        <v>10</v>
      </c>
      <c r="J1015" s="13">
        <v>45902</v>
      </c>
      <c r="K1015" t="s">
        <v>431</v>
      </c>
    </row>
    <row r="1016" hidden="1" spans="1:11">
      <c r="A1016" t="s">
        <v>319</v>
      </c>
      <c r="B1016" s="8">
        <v>252600331</v>
      </c>
      <c r="C1016" s="9">
        <v>45772</v>
      </c>
      <c r="D1016" s="8" t="s">
        <v>226</v>
      </c>
      <c r="E1016" s="10">
        <v>300000</v>
      </c>
      <c r="F1016" s="8">
        <v>0.065</v>
      </c>
      <c r="G1016" s="11">
        <v>45782</v>
      </c>
      <c r="H1016" s="12">
        <f t="shared" si="15"/>
        <v>19500</v>
      </c>
      <c r="I1016" s="10" t="s">
        <v>10</v>
      </c>
      <c r="J1016" s="13">
        <v>45797</v>
      </c>
      <c r="K1016" t="s">
        <v>337</v>
      </c>
    </row>
    <row r="1017" hidden="1" spans="1:11">
      <c r="A1017" t="s">
        <v>319</v>
      </c>
      <c r="B1017" s="8">
        <v>252600331</v>
      </c>
      <c r="C1017" s="9">
        <v>45772</v>
      </c>
      <c r="D1017" s="8" t="s">
        <v>226</v>
      </c>
      <c r="E1017" s="10">
        <v>300000</v>
      </c>
      <c r="F1017" s="8">
        <v>0.065</v>
      </c>
      <c r="G1017" s="11">
        <v>45782</v>
      </c>
      <c r="H1017" s="12">
        <f t="shared" si="15"/>
        <v>19500</v>
      </c>
      <c r="I1017" s="10" t="s">
        <v>10</v>
      </c>
      <c r="J1017" s="13">
        <v>45797</v>
      </c>
      <c r="K1017" t="s">
        <v>337</v>
      </c>
    </row>
    <row r="1018" hidden="1" spans="1:11">
      <c r="A1018" t="s">
        <v>319</v>
      </c>
      <c r="B1018" s="8">
        <v>252600331</v>
      </c>
      <c r="C1018" s="9">
        <v>45772</v>
      </c>
      <c r="D1018" s="8" t="s">
        <v>40</v>
      </c>
      <c r="E1018" s="10">
        <v>200000</v>
      </c>
      <c r="F1018" s="8">
        <v>0.035</v>
      </c>
      <c r="G1018" s="11">
        <v>45782</v>
      </c>
      <c r="H1018" s="12">
        <f t="shared" si="15"/>
        <v>7000</v>
      </c>
      <c r="I1018" s="10" t="s">
        <v>10</v>
      </c>
      <c r="J1018" s="13">
        <v>45797</v>
      </c>
      <c r="K1018" t="s">
        <v>337</v>
      </c>
    </row>
    <row r="1019" hidden="1" spans="1:11">
      <c r="A1019" t="s">
        <v>319</v>
      </c>
      <c r="B1019" s="8">
        <v>252600331</v>
      </c>
      <c r="C1019" s="9">
        <v>45772</v>
      </c>
      <c r="D1019" s="8" t="s">
        <v>246</v>
      </c>
      <c r="E1019" s="10">
        <v>20000</v>
      </c>
      <c r="F1019" s="8">
        <v>0.07</v>
      </c>
      <c r="G1019" s="11">
        <v>45830</v>
      </c>
      <c r="H1019" s="12">
        <f t="shared" si="15"/>
        <v>1400</v>
      </c>
      <c r="I1019" s="10" t="s">
        <v>10</v>
      </c>
      <c r="J1019" s="13">
        <v>45797</v>
      </c>
      <c r="K1019" t="s">
        <v>337</v>
      </c>
    </row>
    <row r="1020" hidden="1" spans="1:11">
      <c r="A1020" t="s">
        <v>319</v>
      </c>
      <c r="B1020" s="8">
        <v>252600331</v>
      </c>
      <c r="C1020" s="9">
        <v>45772</v>
      </c>
      <c r="D1020" s="8" t="s">
        <v>220</v>
      </c>
      <c r="E1020" s="10">
        <v>70000</v>
      </c>
      <c r="F1020" s="8">
        <v>0.0115</v>
      </c>
      <c r="G1020" s="11">
        <v>45830</v>
      </c>
      <c r="H1020" s="12">
        <f t="shared" si="15"/>
        <v>805</v>
      </c>
      <c r="I1020" s="10" t="s">
        <v>10</v>
      </c>
      <c r="J1020" s="13">
        <v>45799</v>
      </c>
      <c r="K1020" t="s">
        <v>337</v>
      </c>
    </row>
    <row r="1021" hidden="1" spans="1:11">
      <c r="A1021" t="s">
        <v>319</v>
      </c>
      <c r="B1021" s="8">
        <v>252600332</v>
      </c>
      <c r="C1021" s="9">
        <v>45772</v>
      </c>
      <c r="D1021" s="8" t="s">
        <v>226</v>
      </c>
      <c r="E1021" s="10">
        <v>300000</v>
      </c>
      <c r="F1021" s="8">
        <v>0.065</v>
      </c>
      <c r="G1021" s="11">
        <v>45830</v>
      </c>
      <c r="H1021" s="12">
        <f t="shared" si="15"/>
        <v>19500</v>
      </c>
      <c r="I1021" s="10" t="s">
        <v>10</v>
      </c>
      <c r="J1021" s="13">
        <v>45810</v>
      </c>
      <c r="K1021" t="s">
        <v>337</v>
      </c>
    </row>
    <row r="1022" hidden="1" spans="1:11">
      <c r="A1022" t="s">
        <v>319</v>
      </c>
      <c r="B1022" s="8">
        <v>252600332</v>
      </c>
      <c r="C1022" s="9">
        <v>45772</v>
      </c>
      <c r="D1022" s="8" t="s">
        <v>40</v>
      </c>
      <c r="E1022" s="10">
        <v>200000</v>
      </c>
      <c r="F1022" s="8">
        <v>0.035</v>
      </c>
      <c r="G1022" s="11">
        <v>45830</v>
      </c>
      <c r="H1022" s="12">
        <f t="shared" si="15"/>
        <v>7000</v>
      </c>
      <c r="I1022" s="10" t="s">
        <v>10</v>
      </c>
      <c r="J1022" s="13">
        <v>45810</v>
      </c>
      <c r="K1022" t="s">
        <v>337</v>
      </c>
    </row>
    <row r="1023" hidden="1" spans="1:11">
      <c r="A1023" t="s">
        <v>319</v>
      </c>
      <c r="B1023" s="8">
        <v>252600332</v>
      </c>
      <c r="C1023" s="66">
        <v>45772</v>
      </c>
      <c r="D1023" s="8" t="s">
        <v>246</v>
      </c>
      <c r="E1023" s="67">
        <v>20000</v>
      </c>
      <c r="F1023" s="8">
        <v>0.07</v>
      </c>
      <c r="G1023" s="11">
        <v>45858</v>
      </c>
      <c r="H1023" s="68">
        <f t="shared" si="15"/>
        <v>1400</v>
      </c>
      <c r="I1023" s="67" t="s">
        <v>10</v>
      </c>
      <c r="J1023" s="13">
        <v>45800</v>
      </c>
      <c r="K1023" t="s">
        <v>337</v>
      </c>
    </row>
    <row r="1024" hidden="1" spans="1:11">
      <c r="A1024" t="s">
        <v>319</v>
      </c>
      <c r="B1024" s="8">
        <v>252600332</v>
      </c>
      <c r="C1024" s="9">
        <v>45772</v>
      </c>
      <c r="D1024" s="8" t="s">
        <v>220</v>
      </c>
      <c r="E1024" s="10">
        <v>80000</v>
      </c>
      <c r="F1024" s="8">
        <v>0.0115</v>
      </c>
      <c r="G1024" s="11">
        <v>45858</v>
      </c>
      <c r="H1024" s="12">
        <f t="shared" si="15"/>
        <v>920</v>
      </c>
      <c r="I1024" s="10" t="s">
        <v>10</v>
      </c>
      <c r="J1024" s="13">
        <v>45811</v>
      </c>
      <c r="K1024" t="s">
        <v>337</v>
      </c>
    </row>
    <row r="1025" hidden="1" spans="1:11">
      <c r="A1025" t="s">
        <v>319</v>
      </c>
      <c r="B1025" s="8">
        <v>252600332</v>
      </c>
      <c r="C1025" s="9">
        <v>45772</v>
      </c>
      <c r="D1025" s="8" t="s">
        <v>39</v>
      </c>
      <c r="E1025" s="10">
        <v>600000</v>
      </c>
      <c r="F1025" s="8">
        <v>0.022</v>
      </c>
      <c r="G1025" s="11">
        <v>45858</v>
      </c>
      <c r="H1025" s="12">
        <f t="shared" si="15"/>
        <v>13200</v>
      </c>
      <c r="I1025" s="67" t="s">
        <v>10</v>
      </c>
      <c r="J1025" s="13">
        <v>45800</v>
      </c>
      <c r="K1025" t="s">
        <v>337</v>
      </c>
    </row>
    <row r="1026" hidden="1" spans="1:11">
      <c r="A1026" t="s">
        <v>319</v>
      </c>
      <c r="B1026" s="8">
        <v>252600332</v>
      </c>
      <c r="C1026" s="9">
        <v>45772</v>
      </c>
      <c r="D1026" s="8" t="s">
        <v>40</v>
      </c>
      <c r="E1026" s="10">
        <v>200000</v>
      </c>
      <c r="F1026" s="8">
        <v>0.035</v>
      </c>
      <c r="G1026" s="11">
        <v>45858</v>
      </c>
      <c r="H1026" s="12">
        <f t="shared" ref="H1026:H1089" si="16">E1026*F1026</f>
        <v>7000</v>
      </c>
      <c r="I1026" s="10" t="s">
        <v>10</v>
      </c>
      <c r="J1026" s="13">
        <v>45810</v>
      </c>
      <c r="K1026" t="s">
        <v>337</v>
      </c>
    </row>
    <row r="1027" hidden="1" spans="1:11">
      <c r="A1027" t="s">
        <v>319</v>
      </c>
      <c r="B1027" s="8">
        <v>252600333</v>
      </c>
      <c r="C1027" s="9">
        <v>45772</v>
      </c>
      <c r="D1027" s="8" t="s">
        <v>42</v>
      </c>
      <c r="E1027" s="10">
        <v>150000</v>
      </c>
      <c r="F1027" s="8">
        <v>0.065</v>
      </c>
      <c r="G1027" s="11">
        <v>45858</v>
      </c>
      <c r="H1027" s="12">
        <f t="shared" si="16"/>
        <v>9750</v>
      </c>
      <c r="I1027" s="10" t="s">
        <v>10</v>
      </c>
      <c r="J1027" s="13">
        <v>45806</v>
      </c>
      <c r="K1027" t="s">
        <v>337</v>
      </c>
    </row>
    <row r="1028" hidden="1" spans="1:11">
      <c r="A1028" t="s">
        <v>319</v>
      </c>
      <c r="B1028" s="8">
        <v>252600333</v>
      </c>
      <c r="C1028" s="9">
        <v>45772</v>
      </c>
      <c r="D1028" s="8" t="s">
        <v>42</v>
      </c>
      <c r="E1028" s="10">
        <v>150000</v>
      </c>
      <c r="F1028" s="8">
        <v>0.065</v>
      </c>
      <c r="G1028" s="11">
        <v>45889</v>
      </c>
      <c r="H1028" s="12">
        <f t="shared" si="16"/>
        <v>9750</v>
      </c>
      <c r="I1028" s="10" t="s">
        <v>10</v>
      </c>
      <c r="J1028" s="13">
        <v>45806</v>
      </c>
      <c r="K1028" t="s">
        <v>337</v>
      </c>
    </row>
    <row r="1029" hidden="1" spans="1:11">
      <c r="A1029" t="s">
        <v>319</v>
      </c>
      <c r="B1029" s="8">
        <v>252600333</v>
      </c>
      <c r="C1029" s="9">
        <v>45772</v>
      </c>
      <c r="D1029" s="8" t="s">
        <v>39</v>
      </c>
      <c r="E1029" s="10">
        <v>600000</v>
      </c>
      <c r="F1029" s="8">
        <v>0.022</v>
      </c>
      <c r="G1029" s="11">
        <v>45889</v>
      </c>
      <c r="H1029" s="12">
        <f t="shared" si="16"/>
        <v>13200</v>
      </c>
      <c r="I1029" s="10" t="s">
        <v>10</v>
      </c>
      <c r="J1029" s="13">
        <v>45806</v>
      </c>
      <c r="K1029" t="s">
        <v>337</v>
      </c>
    </row>
    <row r="1030" hidden="1" spans="1:11">
      <c r="A1030" t="s">
        <v>319</v>
      </c>
      <c r="B1030" s="8">
        <v>252600333</v>
      </c>
      <c r="C1030" s="9">
        <v>45772</v>
      </c>
      <c r="D1030" s="8" t="s">
        <v>226</v>
      </c>
      <c r="E1030" s="10">
        <v>300000</v>
      </c>
      <c r="F1030" s="8">
        <v>0.065</v>
      </c>
      <c r="G1030" s="11">
        <v>45860</v>
      </c>
      <c r="H1030" s="12">
        <f t="shared" si="16"/>
        <v>19500</v>
      </c>
      <c r="I1030" s="10" t="s">
        <v>10</v>
      </c>
      <c r="J1030" s="13">
        <v>45812</v>
      </c>
      <c r="K1030" t="s">
        <v>337</v>
      </c>
    </row>
    <row r="1031" hidden="1" spans="1:11">
      <c r="B1031" s="14">
        <v>252600334</v>
      </c>
      <c r="C1031" s="13">
        <v>45772</v>
      </c>
      <c r="D1031" s="14" t="s">
        <v>246</v>
      </c>
      <c r="E1031" s="15">
        <v>12000</v>
      </c>
      <c r="F1031" s="14">
        <v>0.07</v>
      </c>
      <c r="G1031" s="16">
        <v>45952</v>
      </c>
      <c r="H1031" s="17">
        <f t="shared" si="16"/>
        <v>840</v>
      </c>
      <c r="I1031" s="15" t="s">
        <v>317</v>
      </c>
      <c r="J1031" s="15" t="s">
        <v>360</v>
      </c>
      <c r="K1031" t="s">
        <v>337</v>
      </c>
    </row>
    <row r="1032" hidden="1" spans="1:11">
      <c r="A1032" t="s">
        <v>319</v>
      </c>
      <c r="B1032" s="64">
        <v>252600334</v>
      </c>
      <c r="C1032" s="65">
        <v>45772</v>
      </c>
      <c r="D1032" s="64" t="s">
        <v>40</v>
      </c>
      <c r="E1032" s="77">
        <v>200000</v>
      </c>
      <c r="F1032" s="64">
        <v>0.035</v>
      </c>
      <c r="G1032" s="78">
        <v>45952</v>
      </c>
      <c r="H1032" s="79">
        <f t="shared" si="16"/>
        <v>7000</v>
      </c>
      <c r="I1032" s="10" t="s">
        <v>10</v>
      </c>
      <c r="J1032" s="13">
        <v>45902</v>
      </c>
      <c r="K1032" t="s">
        <v>337</v>
      </c>
    </row>
    <row r="1033" hidden="1" spans="1:11">
      <c r="A1033" t="s">
        <v>319</v>
      </c>
      <c r="B1033" s="8">
        <v>252600334</v>
      </c>
      <c r="C1033" s="66">
        <v>45772</v>
      </c>
      <c r="D1033" s="8" t="s">
        <v>220</v>
      </c>
      <c r="E1033" s="67">
        <v>70000</v>
      </c>
      <c r="F1033" s="8">
        <v>0.0115</v>
      </c>
      <c r="G1033" s="11">
        <v>45922</v>
      </c>
      <c r="H1033" s="68">
        <f t="shared" si="16"/>
        <v>805</v>
      </c>
      <c r="I1033" s="67" t="s">
        <v>10</v>
      </c>
      <c r="J1033" s="13">
        <v>45903</v>
      </c>
      <c r="K1033" t="s">
        <v>337</v>
      </c>
    </row>
    <row r="1034" hidden="1" spans="1:11">
      <c r="A1034" t="s">
        <v>319</v>
      </c>
      <c r="B1034" s="8">
        <v>252600338</v>
      </c>
      <c r="C1034" s="9">
        <v>45772</v>
      </c>
      <c r="D1034" s="8" t="s">
        <v>35</v>
      </c>
      <c r="E1034" s="10">
        <v>60000</v>
      </c>
      <c r="F1034" s="8">
        <v>0.05</v>
      </c>
      <c r="G1034" s="11">
        <v>45860</v>
      </c>
      <c r="H1034" s="12">
        <f t="shared" si="16"/>
        <v>3000</v>
      </c>
      <c r="I1034" s="10" t="s">
        <v>10</v>
      </c>
      <c r="J1034" s="13">
        <v>45796</v>
      </c>
      <c r="K1034" t="s">
        <v>486</v>
      </c>
    </row>
    <row r="1035" hidden="1" spans="1:11">
      <c r="A1035" t="s">
        <v>319</v>
      </c>
      <c r="B1035" s="8">
        <v>252600338</v>
      </c>
      <c r="C1035" s="9">
        <v>45772</v>
      </c>
      <c r="D1035" s="8" t="s">
        <v>35</v>
      </c>
      <c r="E1035" s="10">
        <v>60000</v>
      </c>
      <c r="F1035" s="8">
        <v>0.05</v>
      </c>
      <c r="G1035" s="11">
        <v>45891</v>
      </c>
      <c r="H1035" s="12">
        <f t="shared" si="16"/>
        <v>3000</v>
      </c>
      <c r="I1035" s="10" t="s">
        <v>10</v>
      </c>
      <c r="J1035" s="13">
        <v>45796</v>
      </c>
      <c r="K1035" t="s">
        <v>486</v>
      </c>
    </row>
    <row r="1036" hidden="1" spans="1:11">
      <c r="A1036" t="s">
        <v>319</v>
      </c>
      <c r="B1036" s="8">
        <v>252600338</v>
      </c>
      <c r="C1036" s="9">
        <v>45772</v>
      </c>
      <c r="D1036" s="8" t="s">
        <v>35</v>
      </c>
      <c r="E1036" s="10">
        <v>60000</v>
      </c>
      <c r="F1036" s="8">
        <v>0.05</v>
      </c>
      <c r="G1036" s="11">
        <v>45922</v>
      </c>
      <c r="H1036" s="12">
        <f t="shared" si="16"/>
        <v>3000</v>
      </c>
      <c r="I1036" s="10" t="s">
        <v>10</v>
      </c>
      <c r="J1036" s="13">
        <v>45796</v>
      </c>
      <c r="K1036" t="s">
        <v>486</v>
      </c>
    </row>
    <row r="1037" hidden="1" spans="1:11">
      <c r="A1037" t="s">
        <v>319</v>
      </c>
      <c r="B1037" s="8">
        <v>252600342</v>
      </c>
      <c r="C1037" s="9">
        <v>45772</v>
      </c>
      <c r="D1037" s="8" t="s">
        <v>47</v>
      </c>
      <c r="E1037" s="10">
        <v>120000</v>
      </c>
      <c r="F1037" s="8">
        <v>0.022</v>
      </c>
      <c r="G1037" s="11">
        <v>45799</v>
      </c>
      <c r="H1037" s="12">
        <f t="shared" si="16"/>
        <v>2640</v>
      </c>
      <c r="I1037" s="10" t="s">
        <v>10</v>
      </c>
      <c r="J1037" s="13">
        <v>45797</v>
      </c>
      <c r="K1037" t="s">
        <v>499</v>
      </c>
    </row>
    <row r="1038" hidden="1" spans="1:11">
      <c r="A1038" t="s">
        <v>319</v>
      </c>
      <c r="B1038" s="8">
        <v>252600342</v>
      </c>
      <c r="C1038" s="9">
        <v>45772</v>
      </c>
      <c r="D1038" s="8" t="s">
        <v>47</v>
      </c>
      <c r="E1038" s="10">
        <v>120000</v>
      </c>
      <c r="F1038" s="8">
        <v>0.022</v>
      </c>
      <c r="G1038" s="11">
        <v>45813</v>
      </c>
      <c r="H1038" s="12">
        <f t="shared" si="16"/>
        <v>2640</v>
      </c>
      <c r="I1038" s="10" t="s">
        <v>10</v>
      </c>
      <c r="J1038" s="13">
        <v>45797</v>
      </c>
      <c r="K1038" t="s">
        <v>499</v>
      </c>
    </row>
    <row r="1039" hidden="1" spans="1:11">
      <c r="A1039" t="s">
        <v>319</v>
      </c>
      <c r="B1039" s="8">
        <v>252600342</v>
      </c>
      <c r="C1039" s="9">
        <v>45772</v>
      </c>
      <c r="D1039" s="8" t="s">
        <v>46</v>
      </c>
      <c r="E1039" s="10">
        <v>100000</v>
      </c>
      <c r="F1039" s="8">
        <v>0.02</v>
      </c>
      <c r="G1039" s="11">
        <v>45813</v>
      </c>
      <c r="H1039" s="12">
        <f t="shared" si="16"/>
        <v>2000</v>
      </c>
      <c r="I1039" s="10" t="s">
        <v>10</v>
      </c>
      <c r="J1039" s="13">
        <v>45797</v>
      </c>
      <c r="K1039" t="s">
        <v>499</v>
      </c>
    </row>
    <row r="1040" hidden="1" spans="1:11">
      <c r="A1040" t="s">
        <v>319</v>
      </c>
      <c r="B1040" s="8">
        <v>252600342</v>
      </c>
      <c r="C1040" s="9">
        <v>45772</v>
      </c>
      <c r="D1040" s="8" t="s">
        <v>60</v>
      </c>
      <c r="E1040" s="10">
        <v>32000</v>
      </c>
      <c r="F1040" s="8">
        <v>0.006</v>
      </c>
      <c r="G1040" s="11">
        <v>45799</v>
      </c>
      <c r="H1040" s="12">
        <f t="shared" si="16"/>
        <v>192</v>
      </c>
      <c r="I1040" s="10" t="s">
        <v>10</v>
      </c>
      <c r="J1040" s="13">
        <v>45792</v>
      </c>
    </row>
    <row r="1041" hidden="1" spans="1:11">
      <c r="A1041" t="s">
        <v>319</v>
      </c>
      <c r="B1041" s="8">
        <v>252600342</v>
      </c>
      <c r="C1041" s="9">
        <v>45772</v>
      </c>
      <c r="D1041" s="8" t="s">
        <v>60</v>
      </c>
      <c r="E1041" s="10">
        <v>32000</v>
      </c>
      <c r="F1041" s="8">
        <v>0.006</v>
      </c>
      <c r="G1041" s="11">
        <v>45799</v>
      </c>
      <c r="H1041" s="12">
        <f t="shared" si="16"/>
        <v>192</v>
      </c>
      <c r="I1041" s="10" t="s">
        <v>10</v>
      </c>
      <c r="J1041" s="13">
        <v>45792</v>
      </c>
    </row>
    <row r="1042" hidden="1" spans="1:11">
      <c r="A1042" t="s">
        <v>319</v>
      </c>
      <c r="B1042" s="8">
        <v>252600343</v>
      </c>
      <c r="C1042" s="9">
        <v>45772</v>
      </c>
      <c r="D1042" s="8" t="s">
        <v>45</v>
      </c>
      <c r="E1042" s="10">
        <v>240000</v>
      </c>
      <c r="F1042" s="8">
        <v>0.024</v>
      </c>
      <c r="G1042" s="11">
        <v>45782</v>
      </c>
      <c r="H1042" s="12">
        <f t="shared" si="16"/>
        <v>5760</v>
      </c>
      <c r="I1042" s="10" t="s">
        <v>10</v>
      </c>
      <c r="J1042" s="13">
        <v>45796</v>
      </c>
      <c r="K1042" t="s">
        <v>534</v>
      </c>
    </row>
    <row r="1043" hidden="1" spans="1:11">
      <c r="A1043" t="s">
        <v>319</v>
      </c>
      <c r="B1043" s="8">
        <v>252600343</v>
      </c>
      <c r="C1043" s="9">
        <v>45772</v>
      </c>
      <c r="D1043" s="8" t="s">
        <v>45</v>
      </c>
      <c r="E1043" s="10">
        <v>240000</v>
      </c>
      <c r="F1043" s="8">
        <v>0.024</v>
      </c>
      <c r="G1043" s="11">
        <v>45782</v>
      </c>
      <c r="H1043" s="12">
        <f t="shared" si="16"/>
        <v>5760</v>
      </c>
      <c r="I1043" s="10" t="s">
        <v>10</v>
      </c>
      <c r="J1043" s="13">
        <v>45796</v>
      </c>
      <c r="K1043" t="s">
        <v>534</v>
      </c>
    </row>
    <row r="1044" hidden="1" spans="1:11">
      <c r="A1044" t="s">
        <v>319</v>
      </c>
      <c r="B1044" s="8">
        <v>252600343</v>
      </c>
      <c r="C1044" s="9">
        <v>45772</v>
      </c>
      <c r="D1044" s="8" t="s">
        <v>38</v>
      </c>
      <c r="E1044" s="10">
        <v>248000</v>
      </c>
      <c r="F1044" s="8">
        <v>0.01</v>
      </c>
      <c r="G1044" s="11">
        <v>45782</v>
      </c>
      <c r="H1044" s="12">
        <f t="shared" si="16"/>
        <v>2480</v>
      </c>
      <c r="I1044" s="10" t="s">
        <v>10</v>
      </c>
      <c r="J1044" s="13">
        <v>45796</v>
      </c>
      <c r="K1044" t="s">
        <v>534</v>
      </c>
    </row>
    <row r="1045" hidden="1" spans="1:11">
      <c r="A1045" t="s">
        <v>319</v>
      </c>
      <c r="B1045" s="8">
        <v>252600343</v>
      </c>
      <c r="C1045" s="9">
        <v>45772</v>
      </c>
      <c r="D1045" s="8" t="s">
        <v>48</v>
      </c>
      <c r="E1045" s="10">
        <v>208000</v>
      </c>
      <c r="F1045" s="8">
        <v>0.017</v>
      </c>
      <c r="G1045" s="11">
        <v>45782</v>
      </c>
      <c r="H1045" s="12">
        <f t="shared" si="16"/>
        <v>3536</v>
      </c>
      <c r="I1045" s="10" t="s">
        <v>10</v>
      </c>
      <c r="J1045" s="13">
        <v>45797</v>
      </c>
      <c r="K1045" t="s">
        <v>534</v>
      </c>
    </row>
    <row r="1046" hidden="1" spans="1:11">
      <c r="A1046" t="s">
        <v>319</v>
      </c>
      <c r="B1046" s="8">
        <v>252600343</v>
      </c>
      <c r="C1046" s="9">
        <v>45772</v>
      </c>
      <c r="D1046" s="8" t="s">
        <v>48</v>
      </c>
      <c r="E1046" s="10">
        <v>208000</v>
      </c>
      <c r="F1046" s="8">
        <v>0.017</v>
      </c>
      <c r="G1046" s="11">
        <v>45783</v>
      </c>
      <c r="H1046" s="12">
        <f t="shared" si="16"/>
        <v>3536</v>
      </c>
      <c r="I1046" s="10" t="s">
        <v>10</v>
      </c>
      <c r="J1046" s="13">
        <v>45797</v>
      </c>
      <c r="K1046" t="s">
        <v>534</v>
      </c>
    </row>
    <row r="1047" hidden="1" spans="1:11">
      <c r="A1047" t="s">
        <v>319</v>
      </c>
      <c r="B1047" s="8">
        <v>252600343</v>
      </c>
      <c r="C1047" s="9">
        <v>45772</v>
      </c>
      <c r="D1047" s="8" t="s">
        <v>45</v>
      </c>
      <c r="E1047" s="10">
        <v>240000</v>
      </c>
      <c r="F1047" s="8">
        <v>0.024</v>
      </c>
      <c r="G1047" s="11">
        <v>45813</v>
      </c>
      <c r="H1047" s="12">
        <f t="shared" si="16"/>
        <v>5760</v>
      </c>
      <c r="I1047" s="10" t="s">
        <v>10</v>
      </c>
      <c r="J1047" s="13">
        <v>45796</v>
      </c>
      <c r="K1047" t="s">
        <v>534</v>
      </c>
    </row>
    <row r="1048" hidden="1" spans="1:11">
      <c r="A1048" t="s">
        <v>319</v>
      </c>
      <c r="B1048" s="8">
        <v>252600343</v>
      </c>
      <c r="C1048" s="9">
        <v>45772</v>
      </c>
      <c r="D1048" s="8" t="s">
        <v>38</v>
      </c>
      <c r="E1048" s="10">
        <v>248000</v>
      </c>
      <c r="F1048" s="8">
        <v>0.01</v>
      </c>
      <c r="G1048" s="11">
        <v>45813</v>
      </c>
      <c r="H1048" s="12">
        <f t="shared" si="16"/>
        <v>2480</v>
      </c>
      <c r="I1048" s="10" t="s">
        <v>10</v>
      </c>
      <c r="J1048" s="13">
        <v>45796</v>
      </c>
      <c r="K1048" t="s">
        <v>534</v>
      </c>
    </row>
    <row r="1049" hidden="1" spans="1:11">
      <c r="A1049" t="s">
        <v>319</v>
      </c>
      <c r="B1049" s="8">
        <v>252600343</v>
      </c>
      <c r="C1049" s="9">
        <v>45772</v>
      </c>
      <c r="D1049" s="8" t="s">
        <v>38</v>
      </c>
      <c r="E1049" s="10">
        <v>248000</v>
      </c>
      <c r="F1049" s="8">
        <v>0.01</v>
      </c>
      <c r="G1049" s="11">
        <v>45813</v>
      </c>
      <c r="H1049" s="12">
        <f t="shared" si="16"/>
        <v>2480</v>
      </c>
      <c r="I1049" s="10" t="s">
        <v>10</v>
      </c>
      <c r="J1049" s="13">
        <v>45796</v>
      </c>
      <c r="K1049" t="s">
        <v>534</v>
      </c>
    </row>
    <row r="1050" hidden="1" spans="1:11">
      <c r="A1050" t="s">
        <v>319</v>
      </c>
      <c r="B1050" s="8">
        <v>252600343</v>
      </c>
      <c r="C1050" s="9">
        <v>45772</v>
      </c>
      <c r="D1050" s="8" t="s">
        <v>38</v>
      </c>
      <c r="E1050" s="10">
        <v>252000</v>
      </c>
      <c r="F1050" s="8">
        <v>0.01</v>
      </c>
      <c r="G1050" s="11">
        <v>45813</v>
      </c>
      <c r="H1050" s="12">
        <f t="shared" si="16"/>
        <v>2520</v>
      </c>
      <c r="I1050" s="10" t="s">
        <v>10</v>
      </c>
      <c r="J1050" s="13">
        <v>45796</v>
      </c>
      <c r="K1050" t="s">
        <v>534</v>
      </c>
    </row>
    <row r="1051" hidden="1" spans="1:11">
      <c r="A1051" t="s">
        <v>319</v>
      </c>
      <c r="B1051" s="8">
        <v>252600343</v>
      </c>
      <c r="C1051" s="9">
        <v>45772</v>
      </c>
      <c r="D1051" s="8" t="s">
        <v>38</v>
      </c>
      <c r="E1051" s="10">
        <v>252000</v>
      </c>
      <c r="F1051" s="8">
        <v>0.01</v>
      </c>
      <c r="G1051" s="11">
        <v>45813</v>
      </c>
      <c r="H1051" s="12">
        <f t="shared" si="16"/>
        <v>2520</v>
      </c>
      <c r="I1051" s="10" t="s">
        <v>10</v>
      </c>
      <c r="J1051" s="13">
        <v>45796</v>
      </c>
      <c r="K1051" t="s">
        <v>534</v>
      </c>
    </row>
    <row r="1052" hidden="1" spans="1:11">
      <c r="A1052" t="s">
        <v>319</v>
      </c>
      <c r="B1052" s="8">
        <v>252600343</v>
      </c>
      <c r="C1052" s="9">
        <v>45772</v>
      </c>
      <c r="D1052" s="8" t="s">
        <v>45</v>
      </c>
      <c r="E1052" s="10">
        <v>240000</v>
      </c>
      <c r="F1052" s="8">
        <v>0.024</v>
      </c>
      <c r="G1052" s="11">
        <v>45799</v>
      </c>
      <c r="H1052" s="12">
        <f t="shared" si="16"/>
        <v>5760</v>
      </c>
      <c r="I1052" s="10" t="s">
        <v>10</v>
      </c>
      <c r="J1052" s="13">
        <v>45796</v>
      </c>
      <c r="K1052" t="s">
        <v>534</v>
      </c>
    </row>
    <row r="1053" hidden="1" spans="1:11">
      <c r="A1053" t="s">
        <v>319</v>
      </c>
      <c r="B1053" s="8">
        <v>252600343</v>
      </c>
      <c r="C1053" s="9">
        <v>45772</v>
      </c>
      <c r="D1053" s="8" t="s">
        <v>45</v>
      </c>
      <c r="E1053" s="10">
        <v>240000</v>
      </c>
      <c r="F1053" s="8">
        <v>0.024</v>
      </c>
      <c r="G1053" s="11">
        <v>45799</v>
      </c>
      <c r="H1053" s="12">
        <f t="shared" si="16"/>
        <v>5760</v>
      </c>
      <c r="I1053" s="10" t="s">
        <v>10</v>
      </c>
      <c r="J1053" s="13">
        <v>45796</v>
      </c>
      <c r="K1053" t="s">
        <v>534</v>
      </c>
    </row>
    <row r="1054" hidden="1" spans="1:11">
      <c r="A1054" t="s">
        <v>319</v>
      </c>
      <c r="B1054" s="8">
        <v>252600343</v>
      </c>
      <c r="C1054" s="9">
        <v>45772</v>
      </c>
      <c r="D1054" s="8" t="s">
        <v>48</v>
      </c>
      <c r="E1054" s="10">
        <v>208000</v>
      </c>
      <c r="F1054" s="8">
        <v>0.017</v>
      </c>
      <c r="G1054" s="11">
        <v>45799</v>
      </c>
      <c r="H1054" s="12">
        <f t="shared" si="16"/>
        <v>3536</v>
      </c>
      <c r="I1054" s="10" t="s">
        <v>10</v>
      </c>
      <c r="J1054" s="13">
        <v>45797</v>
      </c>
      <c r="K1054" t="s">
        <v>534</v>
      </c>
    </row>
    <row r="1055" hidden="1" spans="1:11">
      <c r="A1055" t="s">
        <v>319</v>
      </c>
      <c r="B1055" s="8">
        <v>252600362</v>
      </c>
      <c r="C1055" s="9">
        <v>45772</v>
      </c>
      <c r="D1055" s="8" t="s">
        <v>30</v>
      </c>
      <c r="E1055" s="10">
        <v>80000</v>
      </c>
      <c r="F1055" s="8">
        <v>0.026</v>
      </c>
      <c r="G1055" s="11">
        <v>45830</v>
      </c>
      <c r="H1055" s="12">
        <f t="shared" si="16"/>
        <v>2080</v>
      </c>
      <c r="I1055" s="10" t="s">
        <v>10</v>
      </c>
      <c r="J1055" s="13">
        <v>45810</v>
      </c>
      <c r="K1055" t="s">
        <v>488</v>
      </c>
    </row>
    <row r="1056" hidden="1" spans="1:11">
      <c r="A1056" t="s">
        <v>319</v>
      </c>
      <c r="B1056" s="8">
        <v>252600362</v>
      </c>
      <c r="C1056" s="9">
        <v>45772</v>
      </c>
      <c r="D1056" s="8" t="s">
        <v>482</v>
      </c>
      <c r="E1056" s="10">
        <v>200000</v>
      </c>
      <c r="F1056" s="8">
        <v>0.02049</v>
      </c>
      <c r="G1056" s="11">
        <v>45830</v>
      </c>
      <c r="H1056" s="12">
        <f t="shared" si="16"/>
        <v>4098</v>
      </c>
      <c r="I1056" s="10" t="s">
        <v>10</v>
      </c>
      <c r="J1056" s="13">
        <v>45806</v>
      </c>
      <c r="K1056" t="s">
        <v>488</v>
      </c>
    </row>
    <row r="1057" hidden="1" spans="1:11">
      <c r="A1057" t="s">
        <v>319</v>
      </c>
      <c r="B1057" s="8">
        <v>252600362</v>
      </c>
      <c r="C1057" s="9">
        <v>45772</v>
      </c>
      <c r="D1057" s="8" t="s">
        <v>482</v>
      </c>
      <c r="E1057" s="10">
        <v>200000</v>
      </c>
      <c r="F1057" s="8">
        <v>0.02049</v>
      </c>
      <c r="G1057" s="11">
        <v>45830</v>
      </c>
      <c r="H1057" s="12">
        <f t="shared" si="16"/>
        <v>4098</v>
      </c>
      <c r="I1057" s="10" t="s">
        <v>10</v>
      </c>
      <c r="J1057" s="13">
        <v>45806</v>
      </c>
      <c r="K1057" t="s">
        <v>488</v>
      </c>
    </row>
    <row r="1058" hidden="1" spans="1:11">
      <c r="A1058" t="s">
        <v>319</v>
      </c>
      <c r="B1058" s="8">
        <v>252600362</v>
      </c>
      <c r="C1058" s="9">
        <v>45772</v>
      </c>
      <c r="D1058" s="8" t="s">
        <v>482</v>
      </c>
      <c r="E1058" s="10">
        <v>200000</v>
      </c>
      <c r="F1058" s="8">
        <v>0.02049</v>
      </c>
      <c r="G1058" s="11">
        <v>45830</v>
      </c>
      <c r="H1058" s="12">
        <f t="shared" si="16"/>
        <v>4098</v>
      </c>
      <c r="I1058" s="10" t="s">
        <v>10</v>
      </c>
      <c r="J1058" s="13">
        <v>45806</v>
      </c>
      <c r="K1058" t="s">
        <v>488</v>
      </c>
    </row>
    <row r="1059" hidden="1" spans="1:11">
      <c r="A1059" t="s">
        <v>319</v>
      </c>
      <c r="B1059" s="8">
        <v>252600362</v>
      </c>
      <c r="C1059" s="9">
        <v>45772</v>
      </c>
      <c r="D1059" s="8" t="s">
        <v>482</v>
      </c>
      <c r="E1059" s="10">
        <v>200000</v>
      </c>
      <c r="F1059" s="8">
        <v>0.02049</v>
      </c>
      <c r="G1059" s="11">
        <v>45860</v>
      </c>
      <c r="H1059" s="12">
        <f t="shared" si="16"/>
        <v>4098</v>
      </c>
      <c r="I1059" s="10" t="s">
        <v>10</v>
      </c>
      <c r="J1059" s="13">
        <v>45806</v>
      </c>
      <c r="K1059" t="s">
        <v>488</v>
      </c>
    </row>
    <row r="1060" hidden="1" spans="1:11">
      <c r="A1060" t="s">
        <v>319</v>
      </c>
      <c r="B1060" s="8">
        <v>252600362</v>
      </c>
      <c r="C1060" s="9">
        <v>45772</v>
      </c>
      <c r="D1060" s="8" t="s">
        <v>30</v>
      </c>
      <c r="E1060" s="10">
        <v>40000</v>
      </c>
      <c r="F1060" s="8">
        <v>0.026</v>
      </c>
      <c r="G1060" s="11">
        <v>45860</v>
      </c>
      <c r="H1060" s="12">
        <f t="shared" si="16"/>
        <v>1040</v>
      </c>
      <c r="I1060" s="10" t="s">
        <v>10</v>
      </c>
      <c r="J1060" s="13">
        <v>45810</v>
      </c>
      <c r="K1060" t="s">
        <v>488</v>
      </c>
    </row>
    <row r="1061" hidden="1" spans="1:11">
      <c r="A1061" t="s">
        <v>319</v>
      </c>
      <c r="B1061" s="8">
        <v>252600368</v>
      </c>
      <c r="C1061" s="9">
        <v>45772</v>
      </c>
      <c r="D1061" s="8" t="s">
        <v>482</v>
      </c>
      <c r="E1061" s="10">
        <v>200000</v>
      </c>
      <c r="F1061" s="8">
        <v>0.02049</v>
      </c>
      <c r="G1061" s="11">
        <v>45922</v>
      </c>
      <c r="H1061" s="12">
        <f t="shared" si="16"/>
        <v>4098</v>
      </c>
      <c r="I1061" s="10" t="s">
        <v>10</v>
      </c>
      <c r="J1061" s="13">
        <v>45841</v>
      </c>
      <c r="K1061" t="s">
        <v>488</v>
      </c>
    </row>
    <row r="1062" hidden="1" spans="1:11">
      <c r="A1062" t="s">
        <v>319</v>
      </c>
      <c r="B1062" s="8">
        <v>252600368</v>
      </c>
      <c r="C1062" s="9">
        <v>45772</v>
      </c>
      <c r="D1062" s="8" t="s">
        <v>30</v>
      </c>
      <c r="E1062" s="10">
        <v>200000</v>
      </c>
      <c r="F1062" s="8">
        <v>0.026</v>
      </c>
      <c r="G1062" s="11">
        <v>45922</v>
      </c>
      <c r="H1062" s="12">
        <f t="shared" si="16"/>
        <v>5200</v>
      </c>
      <c r="I1062" s="10" t="s">
        <v>10</v>
      </c>
      <c r="J1062" s="13">
        <v>45842</v>
      </c>
      <c r="K1062" t="s">
        <v>488</v>
      </c>
    </row>
    <row r="1063" hidden="1" spans="1:11">
      <c r="A1063" t="s">
        <v>319</v>
      </c>
      <c r="B1063" s="8">
        <v>252600369</v>
      </c>
      <c r="C1063" s="9">
        <v>45775</v>
      </c>
      <c r="D1063" s="8" t="s">
        <v>289</v>
      </c>
      <c r="E1063" s="10">
        <v>50000</v>
      </c>
      <c r="F1063" s="8">
        <v>0.033</v>
      </c>
      <c r="G1063" s="11">
        <v>45830</v>
      </c>
      <c r="H1063" s="12">
        <f t="shared" si="16"/>
        <v>1650</v>
      </c>
      <c r="I1063" s="10" t="s">
        <v>10</v>
      </c>
      <c r="J1063" s="13">
        <v>45778</v>
      </c>
      <c r="K1063" t="s">
        <v>488</v>
      </c>
    </row>
    <row r="1064" hidden="1" spans="1:11">
      <c r="A1064" t="s">
        <v>319</v>
      </c>
      <c r="B1064" s="8">
        <v>252600369</v>
      </c>
      <c r="C1064" s="9">
        <v>45775</v>
      </c>
      <c r="D1064" s="8" t="s">
        <v>539</v>
      </c>
      <c r="E1064" s="10">
        <v>24000</v>
      </c>
      <c r="F1064" s="8">
        <v>0.03</v>
      </c>
      <c r="G1064" s="11">
        <v>45830</v>
      </c>
      <c r="H1064" s="12">
        <f t="shared" si="16"/>
        <v>720</v>
      </c>
      <c r="I1064" s="10" t="s">
        <v>10</v>
      </c>
      <c r="J1064" s="13">
        <v>45778</v>
      </c>
      <c r="K1064" t="s">
        <v>488</v>
      </c>
    </row>
    <row r="1065" hidden="1" spans="1:11">
      <c r="A1065" t="s">
        <v>319</v>
      </c>
      <c r="B1065" s="8">
        <v>252600369</v>
      </c>
      <c r="C1065" s="9">
        <v>45775</v>
      </c>
      <c r="D1065" s="8" t="s">
        <v>539</v>
      </c>
      <c r="E1065" s="10">
        <v>20000</v>
      </c>
      <c r="F1065" s="8">
        <v>0.03</v>
      </c>
      <c r="G1065" s="11">
        <v>45860</v>
      </c>
      <c r="H1065" s="12">
        <f t="shared" si="16"/>
        <v>600</v>
      </c>
      <c r="I1065" s="10" t="s">
        <v>10</v>
      </c>
      <c r="J1065" s="13">
        <v>45778</v>
      </c>
      <c r="K1065" t="s">
        <v>488</v>
      </c>
    </row>
    <row r="1066" hidden="1" spans="1:11">
      <c r="A1066" t="s">
        <v>319</v>
      </c>
      <c r="B1066" s="8">
        <v>252600422</v>
      </c>
      <c r="C1066" s="9">
        <v>45775</v>
      </c>
      <c r="D1066" s="8" t="s">
        <v>30</v>
      </c>
      <c r="E1066" s="10">
        <v>80000</v>
      </c>
      <c r="F1066" s="8">
        <v>0.026</v>
      </c>
      <c r="G1066" s="11">
        <v>45830</v>
      </c>
      <c r="H1066" s="12">
        <f t="shared" si="16"/>
        <v>2080</v>
      </c>
      <c r="I1066" s="10" t="s">
        <v>10</v>
      </c>
      <c r="J1066" s="13">
        <v>45812</v>
      </c>
      <c r="K1066" t="s">
        <v>378</v>
      </c>
    </row>
    <row r="1067" hidden="1" spans="1:11">
      <c r="A1067" t="s">
        <v>319</v>
      </c>
      <c r="B1067" s="8">
        <v>252600425</v>
      </c>
      <c r="C1067" s="9">
        <v>45775</v>
      </c>
      <c r="D1067" s="8" t="s">
        <v>30</v>
      </c>
      <c r="E1067" s="10">
        <v>80000</v>
      </c>
      <c r="F1067" s="8">
        <v>0.026</v>
      </c>
      <c r="G1067" s="11">
        <v>45891</v>
      </c>
      <c r="H1067" s="12">
        <f t="shared" si="16"/>
        <v>2080</v>
      </c>
      <c r="I1067" s="10" t="s">
        <v>10</v>
      </c>
      <c r="J1067" s="13">
        <v>45842</v>
      </c>
      <c r="K1067" t="s">
        <v>378</v>
      </c>
    </row>
    <row r="1068" hidden="1" spans="1:11">
      <c r="A1068" t="s">
        <v>319</v>
      </c>
      <c r="B1068" s="8">
        <v>252600425</v>
      </c>
      <c r="C1068" s="9">
        <v>45775</v>
      </c>
      <c r="D1068" s="8" t="s">
        <v>30</v>
      </c>
      <c r="E1068" s="10">
        <v>50000</v>
      </c>
      <c r="F1068" s="8">
        <v>0.026</v>
      </c>
      <c r="G1068" s="11">
        <v>45860</v>
      </c>
      <c r="H1068" s="12">
        <f t="shared" si="16"/>
        <v>1300</v>
      </c>
      <c r="I1068" s="10" t="s">
        <v>10</v>
      </c>
      <c r="J1068" s="13">
        <v>45842</v>
      </c>
      <c r="K1068" t="s">
        <v>378</v>
      </c>
    </row>
    <row r="1069" hidden="1" spans="1:11">
      <c r="A1069" t="s">
        <v>319</v>
      </c>
      <c r="B1069" s="70">
        <v>252600576</v>
      </c>
      <c r="C1069" s="71">
        <v>45783</v>
      </c>
      <c r="D1069" s="70" t="s">
        <v>526</v>
      </c>
      <c r="E1069" s="72">
        <v>2000</v>
      </c>
      <c r="F1069" s="70">
        <v>0.03</v>
      </c>
      <c r="G1069" s="73">
        <v>45799</v>
      </c>
      <c r="H1069" s="74">
        <f t="shared" si="16"/>
        <v>60</v>
      </c>
      <c r="I1069" s="72" t="s">
        <v>51</v>
      </c>
      <c r="J1069" s="15"/>
      <c r="K1069" t="s">
        <v>405</v>
      </c>
    </row>
    <row r="1070" hidden="1" spans="1:11">
      <c r="A1070" t="s">
        <v>319</v>
      </c>
      <c r="B1070" s="70">
        <v>252600576</v>
      </c>
      <c r="C1070" s="71">
        <v>45783</v>
      </c>
      <c r="D1070" s="70" t="s">
        <v>527</v>
      </c>
      <c r="E1070" s="72">
        <v>4000</v>
      </c>
      <c r="F1070" s="70">
        <v>0.033</v>
      </c>
      <c r="G1070" s="73">
        <v>45799</v>
      </c>
      <c r="H1070" s="74">
        <f t="shared" si="16"/>
        <v>132</v>
      </c>
      <c r="I1070" s="72" t="s">
        <v>51</v>
      </c>
      <c r="J1070" s="15"/>
      <c r="K1070" t="s">
        <v>405</v>
      </c>
    </row>
    <row r="1071" hidden="1" spans="1:11">
      <c r="A1071" t="s">
        <v>319</v>
      </c>
      <c r="B1071" s="70">
        <v>252600579</v>
      </c>
      <c r="C1071" s="71">
        <v>45783</v>
      </c>
      <c r="D1071" s="70" t="s">
        <v>540</v>
      </c>
      <c r="E1071" s="72">
        <v>20000</v>
      </c>
      <c r="F1071" s="70">
        <v>0.0297</v>
      </c>
      <c r="G1071" s="73">
        <v>45799</v>
      </c>
      <c r="H1071" s="74">
        <f t="shared" si="16"/>
        <v>594</v>
      </c>
      <c r="I1071" s="72" t="s">
        <v>51</v>
      </c>
      <c r="J1071" s="15"/>
      <c r="K1071" t="s">
        <v>528</v>
      </c>
    </row>
    <row r="1072" hidden="1" spans="1:11">
      <c r="A1072" t="s">
        <v>319</v>
      </c>
      <c r="B1072" s="14">
        <v>252600583</v>
      </c>
      <c r="C1072" s="13">
        <v>45784</v>
      </c>
      <c r="D1072" s="14" t="s">
        <v>163</v>
      </c>
      <c r="E1072" s="15">
        <v>96000</v>
      </c>
      <c r="F1072" s="14">
        <v>0.0025</v>
      </c>
      <c r="G1072" s="16">
        <v>45799</v>
      </c>
      <c r="H1072" s="17">
        <f t="shared" si="16"/>
        <v>240</v>
      </c>
      <c r="I1072" s="15" t="s">
        <v>317</v>
      </c>
      <c r="J1072" s="15" t="s">
        <v>360</v>
      </c>
      <c r="K1072" t="s">
        <v>499</v>
      </c>
    </row>
    <row r="1073" hidden="1" spans="1:11">
      <c r="A1073" t="s">
        <v>319</v>
      </c>
      <c r="B1073" s="14">
        <v>252600583</v>
      </c>
      <c r="C1073" s="13">
        <v>45784</v>
      </c>
      <c r="D1073" s="14" t="s">
        <v>236</v>
      </c>
      <c r="E1073" s="15">
        <v>96000</v>
      </c>
      <c r="F1073" s="14">
        <v>0.005</v>
      </c>
      <c r="G1073" s="16">
        <v>45799</v>
      </c>
      <c r="H1073" s="17">
        <f t="shared" si="16"/>
        <v>480</v>
      </c>
      <c r="I1073" s="15" t="s">
        <v>317</v>
      </c>
      <c r="J1073" s="15" t="s">
        <v>360</v>
      </c>
      <c r="K1073" t="s">
        <v>499</v>
      </c>
    </row>
    <row r="1074" hidden="1" spans="1:11">
      <c r="A1074" t="s">
        <v>319</v>
      </c>
      <c r="B1074" s="8">
        <v>252600583</v>
      </c>
      <c r="C1074" s="9">
        <v>45784</v>
      </c>
      <c r="D1074" s="8" t="s">
        <v>511</v>
      </c>
      <c r="E1074" s="10">
        <v>48000</v>
      </c>
      <c r="F1074" s="8">
        <v>0.041</v>
      </c>
      <c r="G1074" s="11">
        <v>45799</v>
      </c>
      <c r="H1074" s="12">
        <f t="shared" si="16"/>
        <v>1968</v>
      </c>
      <c r="I1074" s="10" t="s">
        <v>10</v>
      </c>
      <c r="J1074" s="13">
        <v>45800</v>
      </c>
      <c r="K1074" t="s">
        <v>499</v>
      </c>
    </row>
    <row r="1075" hidden="1" spans="1:11">
      <c r="A1075" t="s">
        <v>319</v>
      </c>
      <c r="B1075" s="8">
        <v>252600583</v>
      </c>
      <c r="C1075" s="9">
        <v>45784</v>
      </c>
      <c r="D1075" s="8" t="s">
        <v>230</v>
      </c>
      <c r="E1075" s="10">
        <v>25000</v>
      </c>
      <c r="F1075" s="8">
        <v>0.0285</v>
      </c>
      <c r="G1075" s="11">
        <v>45799</v>
      </c>
      <c r="H1075" s="12">
        <f t="shared" si="16"/>
        <v>712.5</v>
      </c>
      <c r="I1075" s="10" t="s">
        <v>10</v>
      </c>
      <c r="J1075" s="13">
        <v>45800</v>
      </c>
      <c r="K1075" t="s">
        <v>499</v>
      </c>
    </row>
    <row r="1076" hidden="1" spans="1:11">
      <c r="A1076" t="s">
        <v>319</v>
      </c>
      <c r="B1076" s="8">
        <v>252600585</v>
      </c>
      <c r="C1076" s="9">
        <v>45784</v>
      </c>
      <c r="D1076" s="8" t="s">
        <v>226</v>
      </c>
      <c r="E1076" s="10">
        <v>150000</v>
      </c>
      <c r="F1076" s="8">
        <v>0.065</v>
      </c>
      <c r="G1076" s="11">
        <v>45860</v>
      </c>
      <c r="H1076" s="12">
        <f t="shared" si="16"/>
        <v>9750</v>
      </c>
      <c r="I1076" s="10" t="s">
        <v>10</v>
      </c>
      <c r="J1076" s="13">
        <v>45855</v>
      </c>
      <c r="K1076" t="s">
        <v>337</v>
      </c>
    </row>
    <row r="1077" hidden="1" spans="1:11">
      <c r="A1077" t="s">
        <v>319</v>
      </c>
      <c r="B1077" s="8">
        <v>252600585</v>
      </c>
      <c r="C1077" s="9">
        <v>45784</v>
      </c>
      <c r="D1077" s="8" t="s">
        <v>226</v>
      </c>
      <c r="E1077" s="10">
        <v>150000</v>
      </c>
      <c r="F1077" s="8">
        <v>0.065</v>
      </c>
      <c r="G1077" s="11">
        <v>45860</v>
      </c>
      <c r="H1077" s="12">
        <f t="shared" si="16"/>
        <v>9750</v>
      </c>
      <c r="I1077" s="10" t="s">
        <v>10</v>
      </c>
      <c r="J1077" s="13">
        <v>45855</v>
      </c>
      <c r="K1077" t="s">
        <v>337</v>
      </c>
    </row>
    <row r="1078" hidden="1" spans="1:11">
      <c r="A1078" t="s">
        <v>319</v>
      </c>
      <c r="B1078" s="8">
        <v>252600591</v>
      </c>
      <c r="C1078" s="9">
        <v>45784</v>
      </c>
      <c r="D1078" s="8" t="s">
        <v>45</v>
      </c>
      <c r="E1078" s="10">
        <v>200000</v>
      </c>
      <c r="F1078" s="8">
        <v>0.024</v>
      </c>
      <c r="G1078" s="11">
        <v>45891</v>
      </c>
      <c r="H1078" s="12">
        <f t="shared" si="16"/>
        <v>4800</v>
      </c>
      <c r="I1078" s="10" t="s">
        <v>10</v>
      </c>
      <c r="J1078" s="13">
        <v>45796</v>
      </c>
      <c r="K1078" t="s">
        <v>337</v>
      </c>
    </row>
    <row r="1079" hidden="1" spans="1:11">
      <c r="A1079" t="s">
        <v>319</v>
      </c>
      <c r="B1079" s="8">
        <v>252600591</v>
      </c>
      <c r="C1079" s="9">
        <v>45784</v>
      </c>
      <c r="D1079" s="8" t="s">
        <v>45</v>
      </c>
      <c r="E1079" s="10">
        <v>200000</v>
      </c>
      <c r="F1079" s="8">
        <v>0.024</v>
      </c>
      <c r="G1079" s="11">
        <v>45922</v>
      </c>
      <c r="H1079" s="12">
        <f t="shared" si="16"/>
        <v>4800</v>
      </c>
      <c r="I1079" s="10" t="s">
        <v>10</v>
      </c>
      <c r="J1079" s="13">
        <v>45796</v>
      </c>
      <c r="K1079" t="s">
        <v>337</v>
      </c>
    </row>
    <row r="1080" hidden="1" spans="1:11">
      <c r="A1080" t="s">
        <v>319</v>
      </c>
      <c r="B1080" s="8">
        <v>252600591</v>
      </c>
      <c r="C1080" s="9">
        <v>45784</v>
      </c>
      <c r="D1080" s="8" t="s">
        <v>45</v>
      </c>
      <c r="E1080" s="10">
        <v>200000</v>
      </c>
      <c r="F1080" s="8">
        <v>0.024</v>
      </c>
      <c r="G1080" s="11">
        <v>45952</v>
      </c>
      <c r="H1080" s="12">
        <f t="shared" si="16"/>
        <v>4800</v>
      </c>
      <c r="I1080" s="10" t="s">
        <v>10</v>
      </c>
      <c r="J1080" s="13">
        <v>45796</v>
      </c>
      <c r="K1080" t="s">
        <v>337</v>
      </c>
    </row>
    <row r="1081" hidden="1" spans="1:11">
      <c r="A1081" t="s">
        <v>319</v>
      </c>
      <c r="B1081" s="8">
        <v>252600592</v>
      </c>
      <c r="C1081" s="9">
        <v>45784</v>
      </c>
      <c r="D1081" s="8" t="s">
        <v>41</v>
      </c>
      <c r="E1081" s="10">
        <v>60000</v>
      </c>
      <c r="F1081" s="8">
        <v>0.285</v>
      </c>
      <c r="G1081" s="11">
        <v>45830</v>
      </c>
      <c r="H1081" s="12">
        <f t="shared" si="16"/>
        <v>17100</v>
      </c>
      <c r="I1081" s="10" t="s">
        <v>10</v>
      </c>
      <c r="J1081" s="13">
        <v>45805</v>
      </c>
      <c r="K1081" t="s">
        <v>337</v>
      </c>
    </row>
    <row r="1082" hidden="1" spans="1:11">
      <c r="A1082" t="s">
        <v>319</v>
      </c>
      <c r="B1082" s="8">
        <v>252600592</v>
      </c>
      <c r="C1082" s="9">
        <v>45784</v>
      </c>
      <c r="D1082" s="8" t="s">
        <v>41</v>
      </c>
      <c r="E1082" s="10">
        <v>60000</v>
      </c>
      <c r="F1082" s="8">
        <v>0.285</v>
      </c>
      <c r="G1082" s="11">
        <v>45860</v>
      </c>
      <c r="H1082" s="12">
        <f t="shared" si="16"/>
        <v>17100</v>
      </c>
      <c r="I1082" s="10" t="s">
        <v>10</v>
      </c>
      <c r="J1082" s="13">
        <v>45805</v>
      </c>
      <c r="K1082" t="s">
        <v>337</v>
      </c>
    </row>
    <row r="1083" hidden="1" spans="1:11">
      <c r="A1083" t="s">
        <v>319</v>
      </c>
      <c r="B1083" s="8">
        <v>252600592</v>
      </c>
      <c r="C1083" s="9">
        <v>45784</v>
      </c>
      <c r="D1083" s="8" t="s">
        <v>220</v>
      </c>
      <c r="E1083" s="10">
        <v>100000</v>
      </c>
      <c r="F1083" s="8">
        <v>0.0115</v>
      </c>
      <c r="G1083" s="11">
        <v>45891</v>
      </c>
      <c r="H1083" s="12">
        <f t="shared" si="16"/>
        <v>1150</v>
      </c>
      <c r="I1083" s="10" t="s">
        <v>10</v>
      </c>
      <c r="J1083" s="13">
        <v>45819</v>
      </c>
      <c r="K1083" t="s">
        <v>337</v>
      </c>
    </row>
    <row r="1084" hidden="1" spans="1:11">
      <c r="A1084" t="s">
        <v>319</v>
      </c>
      <c r="B1084" s="8">
        <v>252600592</v>
      </c>
      <c r="C1084" s="9">
        <v>45784</v>
      </c>
      <c r="D1084" s="8" t="s">
        <v>41</v>
      </c>
      <c r="E1084" s="10">
        <v>60000</v>
      </c>
      <c r="F1084" s="8">
        <v>0.285</v>
      </c>
      <c r="G1084" s="11">
        <v>45891</v>
      </c>
      <c r="H1084" s="12">
        <f t="shared" si="16"/>
        <v>17100</v>
      </c>
      <c r="I1084" s="10" t="s">
        <v>10</v>
      </c>
      <c r="J1084" s="13">
        <v>45805</v>
      </c>
      <c r="K1084" t="s">
        <v>337</v>
      </c>
    </row>
    <row r="1085" hidden="1" spans="1:11">
      <c r="A1085" t="s">
        <v>319</v>
      </c>
      <c r="B1085" s="8">
        <v>252600593</v>
      </c>
      <c r="C1085" s="9">
        <v>45784</v>
      </c>
      <c r="D1085" s="8" t="s">
        <v>220</v>
      </c>
      <c r="E1085" s="10">
        <v>100000</v>
      </c>
      <c r="F1085" s="8">
        <v>0.0115</v>
      </c>
      <c r="G1085" s="11">
        <v>45922</v>
      </c>
      <c r="H1085" s="12">
        <f t="shared" si="16"/>
        <v>1150</v>
      </c>
      <c r="I1085" s="10" t="s">
        <v>10</v>
      </c>
      <c r="J1085" s="13">
        <v>45887</v>
      </c>
      <c r="K1085" t="s">
        <v>337</v>
      </c>
    </row>
    <row r="1086" hidden="1" spans="1:11">
      <c r="A1086" t="s">
        <v>319</v>
      </c>
      <c r="B1086" s="8">
        <v>252600593</v>
      </c>
      <c r="C1086" s="9">
        <v>45784</v>
      </c>
      <c r="D1086" s="8" t="s">
        <v>39</v>
      </c>
      <c r="E1086" s="10">
        <v>200000</v>
      </c>
      <c r="F1086" s="8">
        <v>0.022</v>
      </c>
      <c r="G1086" s="11">
        <v>45922</v>
      </c>
      <c r="H1086" s="12">
        <f t="shared" si="16"/>
        <v>4400</v>
      </c>
      <c r="I1086" s="10" t="s">
        <v>10</v>
      </c>
      <c r="J1086" s="13">
        <v>45876</v>
      </c>
      <c r="K1086" t="s">
        <v>337</v>
      </c>
    </row>
    <row r="1087" hidden="1" spans="1:11">
      <c r="A1087" t="s">
        <v>319</v>
      </c>
      <c r="B1087" s="8">
        <v>252600593</v>
      </c>
      <c r="C1087" s="9">
        <v>45784</v>
      </c>
      <c r="D1087" s="8" t="s">
        <v>39</v>
      </c>
      <c r="E1087" s="10">
        <v>150000</v>
      </c>
      <c r="F1087" s="8">
        <v>0.022</v>
      </c>
      <c r="G1087" s="11">
        <v>45922</v>
      </c>
      <c r="H1087" s="12">
        <f t="shared" si="16"/>
        <v>3300</v>
      </c>
      <c r="I1087" s="10" t="s">
        <v>10</v>
      </c>
      <c r="J1087" s="13">
        <v>45876</v>
      </c>
      <c r="K1087" t="s">
        <v>337</v>
      </c>
    </row>
    <row r="1088" hidden="1" spans="1:11">
      <c r="A1088" t="s">
        <v>319</v>
      </c>
      <c r="B1088" s="8">
        <v>252600593</v>
      </c>
      <c r="C1088" s="9">
        <v>45784</v>
      </c>
      <c r="D1088" s="8" t="s">
        <v>226</v>
      </c>
      <c r="E1088" s="10">
        <v>150000</v>
      </c>
      <c r="F1088" s="8">
        <v>0.065</v>
      </c>
      <c r="G1088" s="11">
        <v>45922</v>
      </c>
      <c r="H1088" s="12">
        <f t="shared" si="16"/>
        <v>9750</v>
      </c>
      <c r="I1088" s="10" t="s">
        <v>10</v>
      </c>
      <c r="J1088" s="13">
        <v>45877</v>
      </c>
      <c r="K1088" t="s">
        <v>337</v>
      </c>
    </row>
    <row r="1089" hidden="1" spans="1:11">
      <c r="A1089" t="s">
        <v>319</v>
      </c>
      <c r="B1089" s="8">
        <v>252600593</v>
      </c>
      <c r="C1089" s="9">
        <v>45784</v>
      </c>
      <c r="D1089" s="8" t="s">
        <v>40</v>
      </c>
      <c r="E1089" s="10">
        <v>200000</v>
      </c>
      <c r="F1089" s="8">
        <v>0.035</v>
      </c>
      <c r="G1089" s="11">
        <v>45922</v>
      </c>
      <c r="H1089" s="12">
        <f t="shared" si="16"/>
        <v>7000</v>
      </c>
      <c r="I1089" s="10" t="s">
        <v>10</v>
      </c>
      <c r="J1089" s="13">
        <v>45877</v>
      </c>
      <c r="K1089" t="s">
        <v>337</v>
      </c>
    </row>
    <row r="1090" hidden="1" spans="1:11">
      <c r="A1090" t="s">
        <v>319</v>
      </c>
      <c r="B1090" s="8">
        <v>252600593</v>
      </c>
      <c r="C1090" s="9">
        <v>45784</v>
      </c>
      <c r="D1090" s="8" t="s">
        <v>41</v>
      </c>
      <c r="E1090" s="10">
        <v>30000</v>
      </c>
      <c r="F1090" s="8">
        <v>0.285</v>
      </c>
      <c r="G1090" s="11">
        <v>45922</v>
      </c>
      <c r="H1090" s="12">
        <f t="shared" ref="H1090:H1153" si="17">E1090*F1090</f>
        <v>8550</v>
      </c>
      <c r="I1090" s="10" t="s">
        <v>10</v>
      </c>
      <c r="J1090" s="13">
        <v>45876</v>
      </c>
      <c r="K1090" t="s">
        <v>337</v>
      </c>
    </row>
    <row r="1091" hidden="1" spans="1:11">
      <c r="A1091" t="s">
        <v>319</v>
      </c>
      <c r="B1091" s="8">
        <v>252600593</v>
      </c>
      <c r="C1091" s="9">
        <v>45784</v>
      </c>
      <c r="D1091" s="8" t="s">
        <v>39</v>
      </c>
      <c r="E1091" s="10">
        <v>200000</v>
      </c>
      <c r="F1091" s="8">
        <v>0.022</v>
      </c>
      <c r="G1091" s="11">
        <v>45952</v>
      </c>
      <c r="H1091" s="12">
        <f t="shared" si="17"/>
        <v>4400</v>
      </c>
      <c r="I1091" s="10" t="s">
        <v>10</v>
      </c>
      <c r="J1091" s="13">
        <v>45876</v>
      </c>
      <c r="K1091" t="s">
        <v>337</v>
      </c>
    </row>
    <row r="1092" hidden="1" spans="1:11">
      <c r="A1092" t="s">
        <v>319</v>
      </c>
      <c r="B1092" s="8">
        <v>252600593</v>
      </c>
      <c r="C1092" s="9">
        <v>45784</v>
      </c>
      <c r="D1092" s="8" t="s">
        <v>39</v>
      </c>
      <c r="E1092" s="10">
        <v>200000</v>
      </c>
      <c r="F1092" s="8">
        <v>0.022</v>
      </c>
      <c r="G1092" s="11">
        <v>45952</v>
      </c>
      <c r="H1092" s="12">
        <f t="shared" si="17"/>
        <v>4400</v>
      </c>
      <c r="I1092" s="10" t="s">
        <v>10</v>
      </c>
      <c r="J1092" s="13">
        <v>45876</v>
      </c>
      <c r="K1092" t="s">
        <v>337</v>
      </c>
    </row>
    <row r="1093" hidden="1" spans="1:11">
      <c r="A1093" t="s">
        <v>319</v>
      </c>
      <c r="B1093" s="8">
        <v>252600606</v>
      </c>
      <c r="C1093" s="9">
        <v>45786</v>
      </c>
      <c r="D1093" s="8" t="s">
        <v>370</v>
      </c>
      <c r="E1093" s="10">
        <v>24000</v>
      </c>
      <c r="F1093" s="8">
        <v>0.03</v>
      </c>
      <c r="G1093" s="11">
        <v>45799</v>
      </c>
      <c r="H1093" s="12">
        <f t="shared" si="17"/>
        <v>720</v>
      </c>
      <c r="I1093" s="10" t="s">
        <v>10</v>
      </c>
      <c r="J1093" s="15" t="s">
        <v>541</v>
      </c>
    </row>
    <row r="1094" hidden="1" spans="1:11">
      <c r="A1094" t="s">
        <v>319</v>
      </c>
      <c r="B1094" s="8">
        <v>252600606</v>
      </c>
      <c r="C1094" s="9">
        <v>45786</v>
      </c>
      <c r="D1094" s="8" t="s">
        <v>164</v>
      </c>
      <c r="E1094" s="10">
        <v>24000</v>
      </c>
      <c r="F1094" s="8">
        <v>0.0106</v>
      </c>
      <c r="G1094" s="11">
        <v>45799</v>
      </c>
      <c r="H1094" s="12">
        <f t="shared" si="17"/>
        <v>254.4</v>
      </c>
      <c r="I1094" s="10" t="s">
        <v>10</v>
      </c>
      <c r="J1094" s="15" t="s">
        <v>541</v>
      </c>
    </row>
    <row r="1095" hidden="1" spans="1:11">
      <c r="A1095" t="s">
        <v>319</v>
      </c>
      <c r="B1095" s="8">
        <v>252600629</v>
      </c>
      <c r="C1095" s="9">
        <v>45790</v>
      </c>
      <c r="D1095" s="8" t="s">
        <v>226</v>
      </c>
      <c r="E1095" s="10">
        <v>230000</v>
      </c>
      <c r="F1095" s="8">
        <v>0.065</v>
      </c>
      <c r="G1095" s="11">
        <v>45830</v>
      </c>
      <c r="H1095" s="12">
        <f t="shared" si="17"/>
        <v>14950</v>
      </c>
      <c r="I1095" s="10" t="s">
        <v>10</v>
      </c>
      <c r="J1095" s="13">
        <v>45797</v>
      </c>
      <c r="K1095" t="s">
        <v>486</v>
      </c>
    </row>
    <row r="1096" hidden="1" spans="1:11">
      <c r="A1096" t="s">
        <v>319</v>
      </c>
      <c r="B1096" s="8">
        <v>252600638</v>
      </c>
      <c r="C1096" s="9">
        <v>45790</v>
      </c>
      <c r="D1096" s="8" t="s">
        <v>542</v>
      </c>
      <c r="E1096" s="10">
        <v>21000</v>
      </c>
      <c r="F1096" s="8">
        <v>0.012</v>
      </c>
      <c r="G1096" s="11">
        <v>45801</v>
      </c>
      <c r="H1096" s="12">
        <f t="shared" si="17"/>
        <v>252</v>
      </c>
      <c r="I1096" s="10" t="s">
        <v>10</v>
      </c>
      <c r="J1096" s="13">
        <v>45818</v>
      </c>
      <c r="K1096" t="s">
        <v>469</v>
      </c>
    </row>
    <row r="1097" hidden="1" spans="1:11">
      <c r="A1097" t="s">
        <v>319</v>
      </c>
      <c r="B1097" s="8">
        <v>252600638</v>
      </c>
      <c r="C1097" s="9">
        <v>45790</v>
      </c>
      <c r="D1097" s="8" t="s">
        <v>542</v>
      </c>
      <c r="E1097" s="10">
        <v>21000</v>
      </c>
      <c r="F1097" s="8">
        <v>0.012</v>
      </c>
      <c r="G1097" s="11">
        <v>45884</v>
      </c>
      <c r="H1097" s="12">
        <f t="shared" si="17"/>
        <v>252</v>
      </c>
      <c r="I1097" s="10" t="s">
        <v>10</v>
      </c>
      <c r="J1097" s="13">
        <v>45818</v>
      </c>
      <c r="K1097" t="s">
        <v>469</v>
      </c>
    </row>
    <row r="1098" hidden="1" spans="1:11">
      <c r="A1098" t="s">
        <v>319</v>
      </c>
      <c r="B1098" s="8">
        <v>252600638</v>
      </c>
      <c r="C1098" s="9">
        <v>45790</v>
      </c>
      <c r="D1098" s="8" t="s">
        <v>543</v>
      </c>
      <c r="E1098" s="10">
        <v>21000</v>
      </c>
      <c r="F1098" s="8">
        <v>0.012</v>
      </c>
      <c r="G1098" s="11">
        <v>45801</v>
      </c>
      <c r="H1098" s="12">
        <f t="shared" si="17"/>
        <v>252</v>
      </c>
      <c r="I1098" s="10" t="s">
        <v>10</v>
      </c>
      <c r="J1098" s="13">
        <v>45818</v>
      </c>
      <c r="K1098" t="s">
        <v>469</v>
      </c>
    </row>
    <row r="1099" hidden="1" spans="1:11">
      <c r="A1099" t="s">
        <v>319</v>
      </c>
      <c r="B1099" s="8">
        <v>252600638</v>
      </c>
      <c r="C1099" s="9">
        <v>45790</v>
      </c>
      <c r="D1099" s="8" t="s">
        <v>543</v>
      </c>
      <c r="E1099" s="10">
        <v>21000</v>
      </c>
      <c r="F1099" s="8">
        <v>0.012</v>
      </c>
      <c r="G1099" s="11">
        <v>45884</v>
      </c>
      <c r="H1099" s="12">
        <f t="shared" si="17"/>
        <v>252</v>
      </c>
      <c r="I1099" s="10" t="s">
        <v>10</v>
      </c>
      <c r="J1099" s="13">
        <v>45818</v>
      </c>
      <c r="K1099" t="s">
        <v>469</v>
      </c>
    </row>
    <row r="1100" hidden="1" spans="1:11">
      <c r="A1100" t="s">
        <v>319</v>
      </c>
      <c r="B1100" s="8">
        <v>252600639</v>
      </c>
      <c r="C1100" s="9">
        <v>45790</v>
      </c>
      <c r="D1100" s="8" t="s">
        <v>542</v>
      </c>
      <c r="E1100" s="10">
        <v>21000</v>
      </c>
      <c r="F1100" s="8">
        <v>0.012</v>
      </c>
      <c r="G1100" s="11">
        <v>45796</v>
      </c>
      <c r="H1100" s="12">
        <f t="shared" si="17"/>
        <v>252</v>
      </c>
      <c r="I1100" s="10" t="s">
        <v>10</v>
      </c>
      <c r="J1100" s="13">
        <v>45796</v>
      </c>
      <c r="K1100" t="s">
        <v>469</v>
      </c>
    </row>
    <row r="1101" hidden="1" spans="1:11">
      <c r="A1101" t="s">
        <v>319</v>
      </c>
      <c r="B1101" s="8">
        <v>252600639</v>
      </c>
      <c r="C1101" s="9">
        <v>45790</v>
      </c>
      <c r="D1101" s="8" t="s">
        <v>543</v>
      </c>
      <c r="E1101" s="10">
        <v>21000</v>
      </c>
      <c r="F1101" s="8">
        <v>0.012</v>
      </c>
      <c r="G1101" s="11">
        <v>45796</v>
      </c>
      <c r="H1101" s="12">
        <f t="shared" si="17"/>
        <v>252</v>
      </c>
      <c r="I1101" s="10" t="s">
        <v>10</v>
      </c>
      <c r="J1101" s="13">
        <v>45796</v>
      </c>
      <c r="K1101" t="s">
        <v>469</v>
      </c>
    </row>
    <row r="1102" hidden="1" spans="1:11">
      <c r="A1102" t="s">
        <v>319</v>
      </c>
      <c r="B1102" s="8">
        <v>252600640</v>
      </c>
      <c r="C1102" s="9">
        <v>45790</v>
      </c>
      <c r="D1102" s="8" t="s">
        <v>427</v>
      </c>
      <c r="E1102" s="10">
        <v>250000</v>
      </c>
      <c r="F1102" s="8">
        <v>0.05</v>
      </c>
      <c r="G1102" s="11">
        <v>45860</v>
      </c>
      <c r="H1102" s="12">
        <f t="shared" si="17"/>
        <v>12500</v>
      </c>
      <c r="I1102" s="10" t="s">
        <v>10</v>
      </c>
      <c r="J1102" s="13">
        <v>45806</v>
      </c>
      <c r="K1102" t="s">
        <v>377</v>
      </c>
    </row>
    <row r="1103" hidden="1" spans="1:11">
      <c r="A1103" t="s">
        <v>319</v>
      </c>
      <c r="B1103" s="8">
        <v>252600640</v>
      </c>
      <c r="C1103" s="9">
        <v>45790</v>
      </c>
      <c r="D1103" s="8" t="s">
        <v>427</v>
      </c>
      <c r="E1103" s="10">
        <v>250000</v>
      </c>
      <c r="F1103" s="8">
        <v>0.05</v>
      </c>
      <c r="G1103" s="11">
        <v>45860</v>
      </c>
      <c r="H1103" s="12">
        <f t="shared" si="17"/>
        <v>12500</v>
      </c>
      <c r="I1103" s="10" t="s">
        <v>10</v>
      </c>
      <c r="J1103" s="13">
        <v>45806</v>
      </c>
      <c r="K1103" t="s">
        <v>377</v>
      </c>
    </row>
    <row r="1104" hidden="1" spans="1:11">
      <c r="A1104" t="s">
        <v>319</v>
      </c>
      <c r="B1104" s="8">
        <v>252600640</v>
      </c>
      <c r="C1104" s="9">
        <v>45790</v>
      </c>
      <c r="D1104" s="8" t="s">
        <v>105</v>
      </c>
      <c r="E1104" s="10">
        <v>40000</v>
      </c>
      <c r="F1104" s="8">
        <v>0.18</v>
      </c>
      <c r="G1104" s="11">
        <v>45891</v>
      </c>
      <c r="H1104" s="12">
        <f t="shared" si="17"/>
        <v>7200</v>
      </c>
      <c r="I1104" s="10" t="s">
        <v>10</v>
      </c>
      <c r="J1104" s="13">
        <v>45800</v>
      </c>
      <c r="K1104" t="s">
        <v>377</v>
      </c>
    </row>
    <row r="1105" hidden="1" spans="1:11">
      <c r="A1105" t="s">
        <v>319</v>
      </c>
      <c r="B1105" s="8">
        <v>252600640</v>
      </c>
      <c r="C1105" s="9">
        <v>45790</v>
      </c>
      <c r="D1105" s="8" t="s">
        <v>183</v>
      </c>
      <c r="E1105" s="10">
        <v>10000</v>
      </c>
      <c r="F1105" s="8">
        <v>0.5</v>
      </c>
      <c r="G1105" s="11">
        <v>45891</v>
      </c>
      <c r="H1105" s="12">
        <f t="shared" si="17"/>
        <v>5000</v>
      </c>
      <c r="I1105" s="10" t="s">
        <v>10</v>
      </c>
      <c r="J1105" s="13">
        <v>45800</v>
      </c>
      <c r="K1105" t="s">
        <v>377</v>
      </c>
    </row>
    <row r="1106" hidden="1" spans="1:11">
      <c r="A1106" t="s">
        <v>319</v>
      </c>
      <c r="B1106" s="8">
        <v>252600640</v>
      </c>
      <c r="C1106" s="9">
        <v>45790</v>
      </c>
      <c r="D1106" s="8" t="s">
        <v>509</v>
      </c>
      <c r="E1106" s="10">
        <v>20000</v>
      </c>
      <c r="F1106" s="8">
        <v>0.16</v>
      </c>
      <c r="G1106" s="11">
        <v>45891</v>
      </c>
      <c r="H1106" s="12">
        <f t="shared" si="17"/>
        <v>3200</v>
      </c>
      <c r="I1106" s="10" t="s">
        <v>10</v>
      </c>
      <c r="J1106" s="13">
        <v>45810</v>
      </c>
      <c r="K1106" t="s">
        <v>377</v>
      </c>
    </row>
    <row r="1107" hidden="1" spans="1:11">
      <c r="A1107" t="s">
        <v>319</v>
      </c>
      <c r="B1107" s="8">
        <v>252600640</v>
      </c>
      <c r="C1107" s="9">
        <v>45790</v>
      </c>
      <c r="D1107" s="8" t="s">
        <v>531</v>
      </c>
      <c r="E1107" s="10">
        <v>20000</v>
      </c>
      <c r="F1107" s="8">
        <v>0.15</v>
      </c>
      <c r="G1107" s="11">
        <v>45891</v>
      </c>
      <c r="H1107" s="12">
        <f t="shared" si="17"/>
        <v>3000</v>
      </c>
      <c r="I1107" s="10" t="s">
        <v>10</v>
      </c>
      <c r="J1107" s="13">
        <v>45810</v>
      </c>
      <c r="K1107" t="s">
        <v>377</v>
      </c>
    </row>
    <row r="1108" hidden="1" spans="1:11">
      <c r="A1108" t="s">
        <v>319</v>
      </c>
      <c r="B1108" s="8">
        <v>252600640</v>
      </c>
      <c r="C1108" s="9">
        <v>45790</v>
      </c>
      <c r="D1108" s="8" t="s">
        <v>226</v>
      </c>
      <c r="E1108" s="10">
        <v>80000</v>
      </c>
      <c r="F1108" s="8">
        <v>0.065</v>
      </c>
      <c r="G1108" s="11">
        <v>45891</v>
      </c>
      <c r="H1108" s="12">
        <f t="shared" si="17"/>
        <v>5200</v>
      </c>
      <c r="I1108" s="10" t="s">
        <v>10</v>
      </c>
      <c r="J1108" s="13">
        <v>45810</v>
      </c>
      <c r="K1108" t="s">
        <v>377</v>
      </c>
    </row>
    <row r="1109" hidden="1" spans="1:11">
      <c r="A1109" t="s">
        <v>319</v>
      </c>
      <c r="B1109" s="8">
        <v>252600641</v>
      </c>
      <c r="C1109" s="9">
        <v>45790</v>
      </c>
      <c r="D1109" s="8" t="s">
        <v>427</v>
      </c>
      <c r="E1109" s="10">
        <v>250000</v>
      </c>
      <c r="F1109" s="8">
        <v>0.05</v>
      </c>
      <c r="G1109" s="11">
        <v>45891</v>
      </c>
      <c r="H1109" s="12">
        <f t="shared" si="17"/>
        <v>12500</v>
      </c>
      <c r="I1109" s="10" t="s">
        <v>10</v>
      </c>
      <c r="J1109" s="13">
        <v>45835</v>
      </c>
      <c r="K1109" t="s">
        <v>377</v>
      </c>
    </row>
    <row r="1110" hidden="1" spans="1:11">
      <c r="A1110" t="s">
        <v>319</v>
      </c>
      <c r="B1110" s="8">
        <v>252600641</v>
      </c>
      <c r="C1110" s="9">
        <v>45790</v>
      </c>
      <c r="D1110" s="8" t="s">
        <v>427</v>
      </c>
      <c r="E1110" s="10">
        <v>250000</v>
      </c>
      <c r="F1110" s="8">
        <v>0.05</v>
      </c>
      <c r="G1110" s="11">
        <v>45891</v>
      </c>
      <c r="H1110" s="12">
        <f t="shared" si="17"/>
        <v>12500</v>
      </c>
      <c r="I1110" s="10" t="s">
        <v>10</v>
      </c>
      <c r="J1110" s="13">
        <v>45835</v>
      </c>
      <c r="K1110" t="s">
        <v>377</v>
      </c>
    </row>
    <row r="1111" hidden="1" spans="1:11">
      <c r="A1111" t="s">
        <v>319</v>
      </c>
      <c r="B1111" s="8">
        <v>252600641</v>
      </c>
      <c r="C1111" s="9">
        <v>45790</v>
      </c>
      <c r="D1111" s="8" t="s">
        <v>427</v>
      </c>
      <c r="E1111" s="10">
        <v>250000</v>
      </c>
      <c r="F1111" s="8">
        <v>0.05</v>
      </c>
      <c r="G1111" s="11">
        <v>45891</v>
      </c>
      <c r="H1111" s="12">
        <f t="shared" si="17"/>
        <v>12500</v>
      </c>
      <c r="I1111" s="10" t="s">
        <v>10</v>
      </c>
      <c r="J1111" s="13">
        <v>45835</v>
      </c>
      <c r="K1111" t="s">
        <v>377</v>
      </c>
    </row>
    <row r="1112" hidden="1" spans="1:11">
      <c r="A1112" t="s">
        <v>319</v>
      </c>
      <c r="B1112" s="8">
        <v>252600641</v>
      </c>
      <c r="C1112" s="9">
        <v>45790</v>
      </c>
      <c r="D1112" s="8" t="s">
        <v>427</v>
      </c>
      <c r="E1112" s="10">
        <v>250000</v>
      </c>
      <c r="F1112" s="8">
        <v>0.05</v>
      </c>
      <c r="G1112" s="11">
        <v>45891</v>
      </c>
      <c r="H1112" s="12">
        <f t="shared" si="17"/>
        <v>12500</v>
      </c>
      <c r="I1112" s="10" t="s">
        <v>10</v>
      </c>
      <c r="J1112" s="13">
        <v>45835</v>
      </c>
      <c r="K1112" t="s">
        <v>377</v>
      </c>
    </row>
    <row r="1113" hidden="1" spans="1:11">
      <c r="A1113" t="s">
        <v>319</v>
      </c>
      <c r="B1113" s="8">
        <v>252600642</v>
      </c>
      <c r="C1113" s="9">
        <v>45790</v>
      </c>
      <c r="D1113" s="8" t="s">
        <v>427</v>
      </c>
      <c r="E1113" s="10">
        <v>250000</v>
      </c>
      <c r="F1113" s="8">
        <v>0.05</v>
      </c>
      <c r="G1113" s="11">
        <v>45922</v>
      </c>
      <c r="H1113" s="12">
        <f t="shared" si="17"/>
        <v>12500</v>
      </c>
      <c r="I1113" s="10" t="s">
        <v>10</v>
      </c>
      <c r="J1113" s="13">
        <v>45876</v>
      </c>
      <c r="K1113" t="s">
        <v>377</v>
      </c>
    </row>
    <row r="1114" hidden="1" spans="1:11">
      <c r="A1114" t="s">
        <v>319</v>
      </c>
      <c r="B1114" s="8">
        <v>252600642</v>
      </c>
      <c r="C1114" s="9">
        <v>45790</v>
      </c>
      <c r="D1114" s="8" t="s">
        <v>427</v>
      </c>
      <c r="E1114" s="10">
        <v>250000</v>
      </c>
      <c r="F1114" s="8">
        <v>0.05</v>
      </c>
      <c r="G1114" s="11">
        <v>45922</v>
      </c>
      <c r="H1114" s="12">
        <f t="shared" si="17"/>
        <v>12500</v>
      </c>
      <c r="I1114" s="10" t="s">
        <v>10</v>
      </c>
      <c r="J1114" s="13">
        <v>45876</v>
      </c>
      <c r="K1114" t="s">
        <v>377</v>
      </c>
    </row>
    <row r="1115" hidden="1" spans="1:11">
      <c r="A1115" t="s">
        <v>319</v>
      </c>
      <c r="B1115" s="8">
        <v>252600642</v>
      </c>
      <c r="C1115" s="9">
        <v>45790</v>
      </c>
      <c r="D1115" s="8" t="s">
        <v>105</v>
      </c>
      <c r="E1115" s="10">
        <v>40000</v>
      </c>
      <c r="F1115" s="8">
        <v>0.18</v>
      </c>
      <c r="G1115" s="11">
        <v>45952</v>
      </c>
      <c r="H1115" s="12">
        <f t="shared" si="17"/>
        <v>7200</v>
      </c>
      <c r="I1115" s="10" t="s">
        <v>10</v>
      </c>
      <c r="J1115" s="13">
        <v>45876</v>
      </c>
      <c r="K1115" t="s">
        <v>377</v>
      </c>
    </row>
    <row r="1116" hidden="1" spans="1:11">
      <c r="A1116" t="s">
        <v>319</v>
      </c>
      <c r="B1116" s="8">
        <v>252600642</v>
      </c>
      <c r="C1116" s="9">
        <v>45790</v>
      </c>
      <c r="D1116" s="8" t="s">
        <v>509</v>
      </c>
      <c r="E1116" s="10">
        <v>20000</v>
      </c>
      <c r="F1116" s="8">
        <v>0.16</v>
      </c>
      <c r="G1116" s="11">
        <v>45952</v>
      </c>
      <c r="H1116" s="12">
        <f t="shared" si="17"/>
        <v>3200</v>
      </c>
      <c r="I1116" s="10" t="s">
        <v>10</v>
      </c>
      <c r="J1116" s="13">
        <v>45877</v>
      </c>
      <c r="K1116" t="s">
        <v>377</v>
      </c>
    </row>
    <row r="1117" hidden="1" spans="1:11">
      <c r="A1117" t="s">
        <v>319</v>
      </c>
      <c r="B1117" s="8">
        <v>252600642</v>
      </c>
      <c r="C1117" s="9">
        <v>45790</v>
      </c>
      <c r="D1117" s="8" t="s">
        <v>427</v>
      </c>
      <c r="E1117" s="10">
        <v>250000</v>
      </c>
      <c r="F1117" s="8">
        <v>0.05</v>
      </c>
      <c r="G1117" s="11">
        <v>46013</v>
      </c>
      <c r="H1117" s="12">
        <f t="shared" si="17"/>
        <v>12500</v>
      </c>
      <c r="I1117" s="10" t="s">
        <v>10</v>
      </c>
      <c r="J1117" s="13">
        <v>45876</v>
      </c>
      <c r="K1117" t="s">
        <v>377</v>
      </c>
    </row>
    <row r="1118" hidden="1" spans="1:11">
      <c r="A1118" t="s">
        <v>319</v>
      </c>
      <c r="B1118" s="8">
        <v>252600642</v>
      </c>
      <c r="C1118" s="9">
        <v>45790</v>
      </c>
      <c r="D1118" s="8" t="s">
        <v>427</v>
      </c>
      <c r="E1118" s="10">
        <v>250000</v>
      </c>
      <c r="F1118" s="8">
        <v>0.05</v>
      </c>
      <c r="G1118" s="11">
        <v>46013</v>
      </c>
      <c r="H1118" s="12">
        <f t="shared" si="17"/>
        <v>12500</v>
      </c>
      <c r="I1118" s="10" t="s">
        <v>10</v>
      </c>
      <c r="J1118" s="13">
        <v>45876</v>
      </c>
      <c r="K1118" t="s">
        <v>377</v>
      </c>
    </row>
    <row r="1119" hidden="1" spans="1:11">
      <c r="A1119" t="s">
        <v>319</v>
      </c>
      <c r="B1119" s="8">
        <v>252600657</v>
      </c>
      <c r="C1119" s="9">
        <v>45790</v>
      </c>
      <c r="D1119" s="8" t="s">
        <v>31</v>
      </c>
      <c r="E1119" s="10">
        <v>60000</v>
      </c>
      <c r="F1119" s="8">
        <v>0.024</v>
      </c>
      <c r="G1119" s="11">
        <v>45813</v>
      </c>
      <c r="H1119" s="12">
        <f t="shared" si="17"/>
        <v>1440</v>
      </c>
      <c r="I1119" s="10" t="s">
        <v>10</v>
      </c>
      <c r="J1119" s="13">
        <v>45855</v>
      </c>
      <c r="K1119" t="s">
        <v>535</v>
      </c>
    </row>
    <row r="1120" hidden="1" spans="1:11">
      <c r="A1120" t="s">
        <v>319</v>
      </c>
      <c r="B1120" s="8">
        <v>252600658</v>
      </c>
      <c r="C1120" s="9">
        <v>45791</v>
      </c>
      <c r="D1120" s="8" t="s">
        <v>30</v>
      </c>
      <c r="E1120" s="10">
        <v>100000</v>
      </c>
      <c r="F1120" s="8">
        <v>0.026</v>
      </c>
      <c r="G1120" s="11">
        <v>45891</v>
      </c>
      <c r="H1120" s="12">
        <f t="shared" si="17"/>
        <v>2600</v>
      </c>
      <c r="I1120" s="10" t="s">
        <v>10</v>
      </c>
      <c r="J1120" s="13">
        <v>45812</v>
      </c>
      <c r="K1120" t="s">
        <v>382</v>
      </c>
    </row>
    <row r="1121" hidden="1" spans="1:11">
      <c r="A1121" t="s">
        <v>319</v>
      </c>
      <c r="B1121" s="8">
        <v>252600658</v>
      </c>
      <c r="C1121" s="9">
        <v>45791</v>
      </c>
      <c r="D1121" s="8" t="s">
        <v>30</v>
      </c>
      <c r="E1121" s="10">
        <v>100000</v>
      </c>
      <c r="F1121" s="8">
        <v>0.026</v>
      </c>
      <c r="G1121" s="11">
        <v>45922</v>
      </c>
      <c r="H1121" s="12">
        <f t="shared" si="17"/>
        <v>2600</v>
      </c>
      <c r="I1121" s="10" t="s">
        <v>10</v>
      </c>
      <c r="J1121" s="13">
        <v>45812</v>
      </c>
      <c r="K1121" t="s">
        <v>382</v>
      </c>
    </row>
    <row r="1122" hidden="1" spans="1:11">
      <c r="B1122" s="14">
        <v>252600661</v>
      </c>
      <c r="C1122" s="13">
        <v>45791</v>
      </c>
      <c r="D1122" s="14" t="s">
        <v>356</v>
      </c>
      <c r="E1122" s="15">
        <v>250000</v>
      </c>
      <c r="F1122" s="14">
        <v>0.007</v>
      </c>
      <c r="G1122" s="16">
        <v>45799</v>
      </c>
      <c r="H1122" s="17">
        <f t="shared" si="17"/>
        <v>1750</v>
      </c>
      <c r="I1122" s="15" t="s">
        <v>317</v>
      </c>
      <c r="J1122" s="15" t="s">
        <v>501</v>
      </c>
    </row>
    <row r="1123" hidden="1" spans="1:11">
      <c r="B1123" s="14">
        <v>252600661</v>
      </c>
      <c r="C1123" s="13">
        <v>45791</v>
      </c>
      <c r="D1123" s="14" t="s">
        <v>356</v>
      </c>
      <c r="E1123" s="15">
        <v>250000</v>
      </c>
      <c r="F1123" s="14">
        <v>0.007</v>
      </c>
      <c r="G1123" s="16">
        <v>45799</v>
      </c>
      <c r="H1123" s="17">
        <f t="shared" si="17"/>
        <v>1750</v>
      </c>
      <c r="I1123" s="15" t="s">
        <v>317</v>
      </c>
      <c r="J1123" s="15" t="s">
        <v>501</v>
      </c>
    </row>
    <row r="1124" hidden="1" spans="1:11">
      <c r="B1124" s="14">
        <v>252600662</v>
      </c>
      <c r="C1124" s="13">
        <v>45791</v>
      </c>
      <c r="D1124" s="14" t="s">
        <v>544</v>
      </c>
      <c r="E1124" s="15">
        <v>21000</v>
      </c>
      <c r="F1124" s="14">
        <v>0.084</v>
      </c>
      <c r="G1124" s="16">
        <v>45860</v>
      </c>
      <c r="H1124" s="17">
        <f t="shared" si="17"/>
        <v>1764</v>
      </c>
      <c r="I1124" s="15" t="s">
        <v>317</v>
      </c>
      <c r="J1124" s="15" t="s">
        <v>501</v>
      </c>
    </row>
    <row r="1125" hidden="1" spans="1:11">
      <c r="A1125" t="s">
        <v>319</v>
      </c>
      <c r="B1125" s="70">
        <v>252600713</v>
      </c>
      <c r="C1125" s="71">
        <v>45793</v>
      </c>
      <c r="D1125" s="70" t="s">
        <v>525</v>
      </c>
      <c r="E1125" s="72">
        <v>6000</v>
      </c>
      <c r="F1125" s="70">
        <v>0.03</v>
      </c>
      <c r="G1125" s="73">
        <v>45799</v>
      </c>
      <c r="H1125" s="74">
        <f t="shared" si="17"/>
        <v>180</v>
      </c>
      <c r="I1125" s="72" t="s">
        <v>51</v>
      </c>
      <c r="J1125" s="15"/>
    </row>
    <row r="1126" hidden="1" spans="1:11">
      <c r="A1126" t="s">
        <v>319</v>
      </c>
      <c r="B1126" s="8">
        <v>252600720</v>
      </c>
      <c r="C1126" s="9">
        <v>45796</v>
      </c>
      <c r="D1126" s="8" t="s">
        <v>95</v>
      </c>
      <c r="E1126" s="10">
        <v>20040</v>
      </c>
      <c r="F1126" s="8">
        <v>0.063</v>
      </c>
      <c r="G1126" s="11">
        <v>45799</v>
      </c>
      <c r="H1126" s="12">
        <f t="shared" si="17"/>
        <v>1262.52</v>
      </c>
      <c r="I1126" s="10" t="s">
        <v>10</v>
      </c>
      <c r="J1126" s="13">
        <v>45817</v>
      </c>
    </row>
    <row r="1127" hidden="1" spans="1:11">
      <c r="A1127" t="s">
        <v>319</v>
      </c>
      <c r="B1127" s="8">
        <v>252600750</v>
      </c>
      <c r="C1127" s="9">
        <v>45798</v>
      </c>
      <c r="D1127" s="8" t="s">
        <v>545</v>
      </c>
      <c r="E1127" s="10">
        <v>24000</v>
      </c>
      <c r="F1127" s="8">
        <v>0.03</v>
      </c>
      <c r="G1127" s="11">
        <v>45799</v>
      </c>
      <c r="H1127" s="12">
        <f t="shared" si="17"/>
        <v>720</v>
      </c>
      <c r="I1127" s="10" t="s">
        <v>10</v>
      </c>
      <c r="J1127" s="13">
        <v>45798</v>
      </c>
      <c r="K1127" t="s">
        <v>546</v>
      </c>
    </row>
    <row r="1128" hidden="1" spans="1:11">
      <c r="A1128" t="s">
        <v>319</v>
      </c>
      <c r="B1128" s="8">
        <v>252600758</v>
      </c>
      <c r="C1128" s="9">
        <v>45798</v>
      </c>
      <c r="D1128" s="8" t="s">
        <v>226</v>
      </c>
      <c r="E1128" s="10">
        <v>200000</v>
      </c>
      <c r="F1128" s="8">
        <v>0.065</v>
      </c>
      <c r="G1128" s="11">
        <v>45891</v>
      </c>
      <c r="H1128" s="12">
        <f t="shared" si="17"/>
        <v>13000</v>
      </c>
      <c r="I1128" s="10" t="s">
        <v>10</v>
      </c>
      <c r="J1128" s="13">
        <v>45877</v>
      </c>
    </row>
    <row r="1129" hidden="1" spans="1:11">
      <c r="A1129" t="s">
        <v>319</v>
      </c>
      <c r="B1129" s="8">
        <v>252600758</v>
      </c>
      <c r="C1129" s="9">
        <v>45798</v>
      </c>
      <c r="D1129" s="8" t="s">
        <v>226</v>
      </c>
      <c r="E1129" s="10">
        <v>200000</v>
      </c>
      <c r="F1129" s="8">
        <v>0.065</v>
      </c>
      <c r="G1129" s="11">
        <v>45922</v>
      </c>
      <c r="H1129" s="12">
        <f t="shared" si="17"/>
        <v>13000</v>
      </c>
      <c r="I1129" s="10" t="s">
        <v>10</v>
      </c>
      <c r="J1129" s="13">
        <v>45877</v>
      </c>
    </row>
    <row r="1130" hidden="1" spans="1:11">
      <c r="A1130" t="s">
        <v>319</v>
      </c>
      <c r="B1130" s="8">
        <v>252600764</v>
      </c>
      <c r="C1130" s="9">
        <v>45798</v>
      </c>
      <c r="D1130" s="8" t="s">
        <v>30</v>
      </c>
      <c r="E1130" s="10">
        <v>100000</v>
      </c>
      <c r="F1130" s="8">
        <v>0.026</v>
      </c>
      <c r="G1130" s="11">
        <v>45891</v>
      </c>
      <c r="H1130" s="12">
        <f t="shared" si="17"/>
        <v>2600</v>
      </c>
      <c r="I1130" s="10" t="s">
        <v>10</v>
      </c>
      <c r="J1130" s="13">
        <v>45812</v>
      </c>
      <c r="K1130" t="s">
        <v>382</v>
      </c>
    </row>
    <row r="1131" hidden="1" spans="1:11">
      <c r="A1131" t="s">
        <v>319</v>
      </c>
      <c r="B1131" s="8">
        <v>252600764</v>
      </c>
      <c r="C1131" s="9">
        <v>45798</v>
      </c>
      <c r="D1131" s="8" t="s">
        <v>30</v>
      </c>
      <c r="E1131" s="10">
        <v>100000</v>
      </c>
      <c r="F1131" s="8">
        <v>0.026</v>
      </c>
      <c r="G1131" s="11">
        <v>45922</v>
      </c>
      <c r="H1131" s="12">
        <f t="shared" si="17"/>
        <v>2600</v>
      </c>
      <c r="I1131" s="10" t="s">
        <v>10</v>
      </c>
      <c r="J1131" s="13">
        <v>45812</v>
      </c>
      <c r="K1131" t="s">
        <v>382</v>
      </c>
    </row>
    <row r="1132" hidden="1" spans="1:11">
      <c r="A1132" t="s">
        <v>319</v>
      </c>
      <c r="B1132" s="8">
        <v>252600765</v>
      </c>
      <c r="C1132" s="9">
        <v>45798</v>
      </c>
      <c r="D1132" s="8" t="s">
        <v>303</v>
      </c>
      <c r="E1132" s="10">
        <v>30000</v>
      </c>
      <c r="F1132" s="8">
        <v>0.0205</v>
      </c>
      <c r="G1132" s="11">
        <v>45860</v>
      </c>
      <c r="H1132" s="12">
        <f t="shared" si="17"/>
        <v>615</v>
      </c>
      <c r="I1132" s="10" t="s">
        <v>10</v>
      </c>
      <c r="J1132" s="13">
        <v>45805</v>
      </c>
      <c r="K1132" t="s">
        <v>369</v>
      </c>
    </row>
    <row r="1133" hidden="1" spans="1:11">
      <c r="A1133" t="s">
        <v>319</v>
      </c>
      <c r="B1133" s="8">
        <v>252600765</v>
      </c>
      <c r="C1133" s="9">
        <v>45798</v>
      </c>
      <c r="D1133" s="8" t="s">
        <v>303</v>
      </c>
      <c r="E1133" s="10">
        <v>30000</v>
      </c>
      <c r="F1133" s="8">
        <v>0.0205</v>
      </c>
      <c r="G1133" s="11">
        <v>45891</v>
      </c>
      <c r="H1133" s="12">
        <f t="shared" si="17"/>
        <v>615</v>
      </c>
      <c r="I1133" s="10" t="s">
        <v>10</v>
      </c>
      <c r="J1133" s="13">
        <v>45805</v>
      </c>
      <c r="K1133" t="s">
        <v>369</v>
      </c>
    </row>
    <row r="1134" hidden="1" spans="1:11">
      <c r="A1134" t="s">
        <v>319</v>
      </c>
      <c r="B1134" s="8">
        <v>252600765</v>
      </c>
      <c r="C1134" s="9">
        <v>45798</v>
      </c>
      <c r="D1134" s="8" t="s">
        <v>539</v>
      </c>
      <c r="E1134" s="10">
        <v>30000</v>
      </c>
      <c r="F1134" s="8">
        <v>0.03</v>
      </c>
      <c r="G1134" s="11">
        <v>45860</v>
      </c>
      <c r="H1134" s="12">
        <f t="shared" si="17"/>
        <v>900</v>
      </c>
      <c r="I1134" s="10" t="s">
        <v>10</v>
      </c>
      <c r="J1134" s="13">
        <v>45805</v>
      </c>
      <c r="K1134" t="s">
        <v>369</v>
      </c>
    </row>
    <row r="1135" hidden="1" spans="1:11">
      <c r="A1135" t="s">
        <v>319</v>
      </c>
      <c r="B1135" s="8">
        <v>252600765</v>
      </c>
      <c r="C1135" s="9">
        <v>45798</v>
      </c>
      <c r="D1135" s="8" t="s">
        <v>539</v>
      </c>
      <c r="E1135" s="10">
        <v>30000</v>
      </c>
      <c r="F1135" s="8">
        <v>0.03</v>
      </c>
      <c r="G1135" s="11">
        <v>45891</v>
      </c>
      <c r="H1135" s="12">
        <f t="shared" si="17"/>
        <v>900</v>
      </c>
      <c r="I1135" s="10" t="s">
        <v>10</v>
      </c>
      <c r="J1135" s="13">
        <v>45805</v>
      </c>
      <c r="K1135" t="s">
        <v>369</v>
      </c>
    </row>
    <row r="1136" hidden="1" spans="1:11">
      <c r="A1136" t="s">
        <v>319</v>
      </c>
      <c r="B1136" s="8">
        <v>252600765</v>
      </c>
      <c r="C1136" s="9">
        <v>45798</v>
      </c>
      <c r="D1136" s="8" t="s">
        <v>289</v>
      </c>
      <c r="E1136" s="10">
        <v>30000</v>
      </c>
      <c r="F1136" s="8">
        <v>0.033</v>
      </c>
      <c r="G1136" s="11">
        <v>45860</v>
      </c>
      <c r="H1136" s="12">
        <f t="shared" si="17"/>
        <v>990</v>
      </c>
      <c r="I1136" s="10" t="s">
        <v>10</v>
      </c>
      <c r="J1136" s="13">
        <v>45805</v>
      </c>
      <c r="K1136" t="s">
        <v>369</v>
      </c>
    </row>
    <row r="1137" hidden="1" spans="1:11">
      <c r="A1137" t="s">
        <v>319</v>
      </c>
      <c r="B1137" s="8">
        <v>252600765</v>
      </c>
      <c r="C1137" s="9">
        <v>45798</v>
      </c>
      <c r="D1137" s="8" t="s">
        <v>289</v>
      </c>
      <c r="E1137" s="10">
        <v>60000</v>
      </c>
      <c r="F1137" s="8">
        <v>0.033</v>
      </c>
      <c r="G1137" s="11">
        <v>45891</v>
      </c>
      <c r="H1137" s="12">
        <f t="shared" si="17"/>
        <v>1980</v>
      </c>
      <c r="I1137" s="10" t="s">
        <v>10</v>
      </c>
      <c r="J1137" s="13">
        <v>45805</v>
      </c>
      <c r="K1137" t="s">
        <v>369</v>
      </c>
    </row>
    <row r="1138" hidden="1" spans="1:11">
      <c r="A1138" t="s">
        <v>319</v>
      </c>
      <c r="B1138" s="8">
        <v>252600765</v>
      </c>
      <c r="C1138" s="9">
        <v>45798</v>
      </c>
      <c r="D1138" s="8" t="s">
        <v>289</v>
      </c>
      <c r="E1138" s="10">
        <v>60000</v>
      </c>
      <c r="F1138" s="8">
        <v>0.033</v>
      </c>
      <c r="G1138" s="11">
        <v>45860</v>
      </c>
      <c r="H1138" s="12">
        <f t="shared" si="17"/>
        <v>1980</v>
      </c>
      <c r="I1138" s="10" t="s">
        <v>10</v>
      </c>
      <c r="J1138" s="13">
        <v>45805</v>
      </c>
      <c r="K1138" t="s">
        <v>369</v>
      </c>
    </row>
    <row r="1139" hidden="1" spans="1:11">
      <c r="A1139" t="s">
        <v>319</v>
      </c>
      <c r="B1139" s="8">
        <v>252600765</v>
      </c>
      <c r="C1139" s="9">
        <v>45798</v>
      </c>
      <c r="D1139" s="8" t="s">
        <v>289</v>
      </c>
      <c r="E1139" s="10">
        <v>60000</v>
      </c>
      <c r="F1139" s="8">
        <v>0.033</v>
      </c>
      <c r="G1139" s="11">
        <v>45891</v>
      </c>
      <c r="H1139" s="12">
        <f t="shared" si="17"/>
        <v>1980</v>
      </c>
      <c r="I1139" s="10" t="s">
        <v>10</v>
      </c>
      <c r="J1139" s="13">
        <v>45805</v>
      </c>
      <c r="K1139" t="s">
        <v>369</v>
      </c>
    </row>
    <row r="1140" hidden="1" spans="1:11">
      <c r="A1140" t="s">
        <v>319</v>
      </c>
      <c r="B1140" s="8">
        <v>252600765</v>
      </c>
      <c r="C1140" s="9">
        <v>45798</v>
      </c>
      <c r="D1140" s="8" t="s">
        <v>547</v>
      </c>
      <c r="E1140" s="10">
        <v>60000</v>
      </c>
      <c r="F1140" s="8">
        <v>0.03</v>
      </c>
      <c r="G1140" s="11">
        <v>45860</v>
      </c>
      <c r="H1140" s="12">
        <f t="shared" si="17"/>
        <v>1800</v>
      </c>
      <c r="I1140" s="10" t="s">
        <v>10</v>
      </c>
      <c r="J1140" s="13">
        <v>45805</v>
      </c>
      <c r="K1140" t="s">
        <v>369</v>
      </c>
    </row>
    <row r="1141" hidden="1" spans="1:11">
      <c r="A1141" t="s">
        <v>319</v>
      </c>
      <c r="B1141" s="8">
        <v>252600765</v>
      </c>
      <c r="C1141" s="9">
        <v>45798</v>
      </c>
      <c r="D1141" s="8" t="s">
        <v>547</v>
      </c>
      <c r="E1141" s="10">
        <v>60000</v>
      </c>
      <c r="F1141" s="8">
        <v>0.03</v>
      </c>
      <c r="G1141" s="11">
        <v>45891</v>
      </c>
      <c r="H1141" s="12">
        <f t="shared" si="17"/>
        <v>1800</v>
      </c>
      <c r="I1141" s="10" t="s">
        <v>10</v>
      </c>
      <c r="J1141" s="13">
        <v>45805</v>
      </c>
      <c r="K1141" t="s">
        <v>369</v>
      </c>
    </row>
    <row r="1142" hidden="1" spans="1:11">
      <c r="A1142" t="s">
        <v>319</v>
      </c>
      <c r="B1142" s="8">
        <v>252600766</v>
      </c>
      <c r="C1142" s="9">
        <v>45798</v>
      </c>
      <c r="D1142" s="8" t="s">
        <v>482</v>
      </c>
      <c r="E1142" s="10">
        <v>100000</v>
      </c>
      <c r="F1142" s="8">
        <v>0.02049</v>
      </c>
      <c r="G1142" s="11">
        <v>45922</v>
      </c>
      <c r="H1142" s="12">
        <f t="shared" si="17"/>
        <v>2049</v>
      </c>
      <c r="I1142" s="10" t="s">
        <v>10</v>
      </c>
      <c r="J1142" s="13">
        <v>45874</v>
      </c>
      <c r="K1142" t="s">
        <v>369</v>
      </c>
    </row>
    <row r="1143" hidden="1" spans="1:11">
      <c r="A1143" t="s">
        <v>319</v>
      </c>
      <c r="B1143" s="8">
        <v>252600767</v>
      </c>
      <c r="C1143" s="9">
        <v>45798</v>
      </c>
      <c r="D1143" s="8" t="s">
        <v>11</v>
      </c>
      <c r="E1143" s="10">
        <v>50000</v>
      </c>
      <c r="F1143" s="8">
        <v>0.032</v>
      </c>
      <c r="G1143" s="11">
        <v>45830</v>
      </c>
      <c r="H1143" s="12">
        <f t="shared" si="17"/>
        <v>1600</v>
      </c>
      <c r="I1143" s="10" t="s">
        <v>10</v>
      </c>
      <c r="J1143" s="13">
        <v>45855</v>
      </c>
      <c r="K1143" t="s">
        <v>378</v>
      </c>
    </row>
    <row r="1144" hidden="1" spans="1:11">
      <c r="A1144" t="s">
        <v>319</v>
      </c>
      <c r="B1144" s="8">
        <v>252600767</v>
      </c>
      <c r="C1144" s="9">
        <v>45798</v>
      </c>
      <c r="D1144" s="8" t="s">
        <v>11</v>
      </c>
      <c r="E1144" s="10">
        <v>50000</v>
      </c>
      <c r="F1144" s="8">
        <v>0.032</v>
      </c>
      <c r="G1144" s="11">
        <v>45860</v>
      </c>
      <c r="H1144" s="12">
        <f t="shared" si="17"/>
        <v>1600</v>
      </c>
      <c r="I1144" s="10" t="s">
        <v>10</v>
      </c>
      <c r="J1144" s="13">
        <v>45855</v>
      </c>
      <c r="K1144" t="s">
        <v>378</v>
      </c>
    </row>
    <row r="1145" hidden="1" spans="1:11">
      <c r="A1145" t="s">
        <v>319</v>
      </c>
      <c r="B1145" s="8">
        <v>252600767</v>
      </c>
      <c r="C1145" s="9">
        <v>45798</v>
      </c>
      <c r="D1145" s="8" t="s">
        <v>11</v>
      </c>
      <c r="E1145" s="10">
        <v>50000</v>
      </c>
      <c r="F1145" s="8">
        <v>0.032</v>
      </c>
      <c r="G1145" s="11">
        <v>45830</v>
      </c>
      <c r="H1145" s="12">
        <f t="shared" si="17"/>
        <v>1600</v>
      </c>
      <c r="I1145" s="10" t="s">
        <v>10</v>
      </c>
      <c r="J1145" s="13">
        <v>45855</v>
      </c>
    </row>
    <row r="1146" hidden="1" spans="1:11">
      <c r="A1146" t="s">
        <v>319</v>
      </c>
      <c r="B1146" s="8">
        <v>252600768</v>
      </c>
      <c r="C1146" s="9">
        <v>45798</v>
      </c>
      <c r="D1146" s="8" t="s">
        <v>411</v>
      </c>
      <c r="E1146" s="10">
        <v>450000</v>
      </c>
      <c r="F1146" s="8">
        <v>0.0072</v>
      </c>
      <c r="G1146" s="11">
        <v>45830</v>
      </c>
      <c r="H1146" s="12">
        <f t="shared" si="17"/>
        <v>3240</v>
      </c>
      <c r="I1146" s="10" t="s">
        <v>10</v>
      </c>
      <c r="J1146" s="15" t="s">
        <v>548</v>
      </c>
    </row>
    <row r="1147" hidden="1" spans="1:11">
      <c r="A1147" t="s">
        <v>319</v>
      </c>
      <c r="B1147" s="8">
        <v>252600768</v>
      </c>
      <c r="C1147" s="9">
        <v>45798</v>
      </c>
      <c r="D1147" s="8" t="s">
        <v>411</v>
      </c>
      <c r="E1147" s="10">
        <v>450000</v>
      </c>
      <c r="F1147" s="8">
        <v>0.0072</v>
      </c>
      <c r="G1147" s="11">
        <v>45830</v>
      </c>
      <c r="H1147" s="12">
        <f t="shared" si="17"/>
        <v>3240</v>
      </c>
      <c r="I1147" s="10" t="s">
        <v>10</v>
      </c>
      <c r="J1147" s="15" t="s">
        <v>548</v>
      </c>
    </row>
    <row r="1148" hidden="1" spans="1:11">
      <c r="A1148" t="s">
        <v>319</v>
      </c>
      <c r="B1148" s="8">
        <v>252600769</v>
      </c>
      <c r="C1148" s="9">
        <v>45798</v>
      </c>
      <c r="D1148" s="8" t="s">
        <v>411</v>
      </c>
      <c r="E1148" s="10">
        <v>378000</v>
      </c>
      <c r="F1148" s="8">
        <v>0.0072</v>
      </c>
      <c r="G1148" s="11">
        <v>45830</v>
      </c>
      <c r="H1148" s="12">
        <f t="shared" si="17"/>
        <v>2721.6</v>
      </c>
      <c r="I1148" s="10" t="s">
        <v>10</v>
      </c>
      <c r="J1148" s="15" t="s">
        <v>548</v>
      </c>
    </row>
    <row r="1149" hidden="1" spans="1:11">
      <c r="B1149" s="8">
        <v>252600771</v>
      </c>
      <c r="C1149" s="9">
        <v>45798</v>
      </c>
      <c r="D1149" s="8" t="s">
        <v>357</v>
      </c>
      <c r="E1149" s="10">
        <v>485000</v>
      </c>
      <c r="F1149" s="8">
        <v>0.0072</v>
      </c>
      <c r="G1149" s="11">
        <v>45830</v>
      </c>
      <c r="H1149" s="12">
        <f t="shared" si="17"/>
        <v>3492</v>
      </c>
      <c r="I1149" s="10" t="s">
        <v>10</v>
      </c>
      <c r="J1149" s="15" t="s">
        <v>548</v>
      </c>
    </row>
    <row r="1150" hidden="1" spans="1:11">
      <c r="A1150" t="s">
        <v>319</v>
      </c>
      <c r="B1150" s="8">
        <v>252600776</v>
      </c>
      <c r="C1150" s="9">
        <v>45798</v>
      </c>
      <c r="D1150" s="8" t="s">
        <v>370</v>
      </c>
      <c r="E1150" s="10">
        <v>24000</v>
      </c>
      <c r="F1150" s="8">
        <v>0.03</v>
      </c>
      <c r="G1150" s="11">
        <v>45813</v>
      </c>
      <c r="H1150" s="12">
        <f t="shared" si="17"/>
        <v>720</v>
      </c>
      <c r="I1150" s="10" t="s">
        <v>10</v>
      </c>
      <c r="J1150" s="13">
        <v>45811</v>
      </c>
    </row>
    <row r="1151" hidden="1" spans="1:11">
      <c r="A1151" t="s">
        <v>319</v>
      </c>
      <c r="B1151" s="8">
        <v>252600776</v>
      </c>
      <c r="C1151" s="9">
        <v>45798</v>
      </c>
      <c r="D1151" s="8" t="s">
        <v>164</v>
      </c>
      <c r="E1151" s="10">
        <v>24000</v>
      </c>
      <c r="F1151" s="8">
        <v>0.0106</v>
      </c>
      <c r="G1151" s="11">
        <v>45813</v>
      </c>
      <c r="H1151" s="12">
        <f t="shared" si="17"/>
        <v>254.4</v>
      </c>
      <c r="I1151" s="10" t="s">
        <v>10</v>
      </c>
      <c r="J1151" s="13">
        <v>45811</v>
      </c>
    </row>
    <row r="1152" hidden="1" spans="1:11">
      <c r="A1152" t="s">
        <v>319</v>
      </c>
      <c r="B1152" s="8">
        <v>252600805</v>
      </c>
      <c r="C1152" s="9">
        <v>45800</v>
      </c>
      <c r="D1152" s="8" t="s">
        <v>549</v>
      </c>
      <c r="E1152" s="10">
        <v>30000</v>
      </c>
      <c r="F1152" s="8">
        <v>0.22</v>
      </c>
      <c r="G1152" s="11">
        <v>45813</v>
      </c>
      <c r="H1152" s="12">
        <f t="shared" si="17"/>
        <v>6600</v>
      </c>
      <c r="I1152" s="10" t="s">
        <v>10</v>
      </c>
      <c r="J1152" s="13">
        <v>45804</v>
      </c>
    </row>
    <row r="1153" hidden="1" spans="1:11">
      <c r="A1153" t="s">
        <v>319</v>
      </c>
      <c r="B1153" s="70">
        <v>252600808</v>
      </c>
      <c r="C1153" s="71">
        <v>45800</v>
      </c>
      <c r="D1153" s="70" t="s">
        <v>550</v>
      </c>
      <c r="E1153" s="72">
        <v>1000</v>
      </c>
      <c r="F1153" s="70">
        <v>0.028</v>
      </c>
      <c r="G1153" s="73">
        <v>45813</v>
      </c>
      <c r="H1153" s="74">
        <f t="shared" si="17"/>
        <v>28</v>
      </c>
      <c r="I1153" s="72" t="s">
        <v>51</v>
      </c>
      <c r="J1153" s="15"/>
    </row>
    <row r="1154" hidden="1" spans="1:11">
      <c r="A1154" t="s">
        <v>319</v>
      </c>
      <c r="B1154" s="8">
        <v>252600809</v>
      </c>
      <c r="C1154" s="9">
        <v>45800</v>
      </c>
      <c r="D1154" s="8" t="s">
        <v>515</v>
      </c>
      <c r="E1154" s="10">
        <v>100000</v>
      </c>
      <c r="F1154" s="8">
        <v>0.0238</v>
      </c>
      <c r="G1154" s="11">
        <v>45813</v>
      </c>
      <c r="H1154" s="12">
        <f t="shared" ref="H1154:H1217" si="18">E1154*F1154</f>
        <v>2380</v>
      </c>
      <c r="I1154" s="10" t="s">
        <v>10</v>
      </c>
      <c r="J1154" s="13">
        <v>45818</v>
      </c>
    </row>
    <row r="1155" hidden="1" spans="1:11">
      <c r="A1155" t="s">
        <v>319</v>
      </c>
      <c r="B1155" s="8">
        <v>252600829</v>
      </c>
      <c r="C1155" s="9">
        <v>45804</v>
      </c>
      <c r="D1155" s="8" t="s">
        <v>30</v>
      </c>
      <c r="E1155" s="10">
        <v>100000</v>
      </c>
      <c r="F1155" s="8">
        <v>0.026</v>
      </c>
      <c r="G1155" s="11">
        <v>45891</v>
      </c>
      <c r="H1155" s="12">
        <f t="shared" si="18"/>
        <v>2600</v>
      </c>
      <c r="I1155" s="10" t="s">
        <v>10</v>
      </c>
      <c r="J1155" s="13">
        <v>45842</v>
      </c>
    </row>
    <row r="1156" hidden="1" spans="1:11">
      <c r="A1156" t="s">
        <v>319</v>
      </c>
      <c r="B1156" s="8">
        <v>252600829</v>
      </c>
      <c r="C1156" s="9">
        <v>45804</v>
      </c>
      <c r="D1156" s="8" t="s">
        <v>30</v>
      </c>
      <c r="E1156" s="10">
        <v>100000</v>
      </c>
      <c r="F1156" s="8">
        <v>0.026</v>
      </c>
      <c r="G1156" s="11">
        <v>45891</v>
      </c>
      <c r="H1156" s="12">
        <f t="shared" si="18"/>
        <v>2600</v>
      </c>
      <c r="I1156" s="10" t="s">
        <v>10</v>
      </c>
      <c r="J1156" s="13">
        <v>45842</v>
      </c>
    </row>
    <row r="1157" hidden="1" spans="1:11">
      <c r="A1157" t="s">
        <v>319</v>
      </c>
      <c r="B1157" s="8">
        <v>252600860</v>
      </c>
      <c r="C1157" s="9">
        <v>45806</v>
      </c>
      <c r="D1157" s="8" t="s">
        <v>286</v>
      </c>
      <c r="E1157" s="10">
        <v>24000</v>
      </c>
      <c r="F1157" s="8">
        <v>0.0235</v>
      </c>
      <c r="G1157" s="11">
        <v>45843</v>
      </c>
      <c r="H1157" s="12">
        <f t="shared" si="18"/>
        <v>564</v>
      </c>
      <c r="I1157" s="10" t="s">
        <v>10</v>
      </c>
      <c r="J1157" s="13">
        <v>45810</v>
      </c>
      <c r="K1157" t="s">
        <v>469</v>
      </c>
    </row>
    <row r="1158" hidden="1" spans="1:11">
      <c r="A1158" t="s">
        <v>319</v>
      </c>
      <c r="B1158" s="8">
        <v>252600860</v>
      </c>
      <c r="C1158" s="9">
        <v>45806</v>
      </c>
      <c r="D1158" s="8" t="s">
        <v>465</v>
      </c>
      <c r="E1158" s="10">
        <v>48000</v>
      </c>
      <c r="F1158" s="8">
        <v>0.018</v>
      </c>
      <c r="G1158" s="11">
        <v>45813</v>
      </c>
      <c r="H1158" s="12">
        <f t="shared" si="18"/>
        <v>864</v>
      </c>
      <c r="I1158" s="10" t="s">
        <v>10</v>
      </c>
      <c r="J1158" s="13">
        <v>45810</v>
      </c>
      <c r="K1158" t="s">
        <v>469</v>
      </c>
    </row>
    <row r="1159" hidden="1" spans="1:11">
      <c r="A1159" t="s">
        <v>319</v>
      </c>
      <c r="B1159" s="8">
        <v>252600861</v>
      </c>
      <c r="C1159" s="9">
        <v>45806</v>
      </c>
      <c r="D1159" s="8" t="s">
        <v>285</v>
      </c>
      <c r="E1159" s="10">
        <v>24000</v>
      </c>
      <c r="F1159" s="8">
        <v>0.02</v>
      </c>
      <c r="G1159" s="11">
        <v>45874</v>
      </c>
      <c r="H1159" s="12">
        <f t="shared" si="18"/>
        <v>480</v>
      </c>
      <c r="I1159" s="10" t="s">
        <v>10</v>
      </c>
      <c r="J1159" s="13">
        <v>45810</v>
      </c>
      <c r="K1159" t="s">
        <v>469</v>
      </c>
    </row>
    <row r="1160" hidden="1" spans="1:11">
      <c r="A1160" t="s">
        <v>319</v>
      </c>
      <c r="B1160" s="8">
        <v>252600861</v>
      </c>
      <c r="C1160" s="9">
        <v>45806</v>
      </c>
      <c r="D1160" s="8" t="s">
        <v>285</v>
      </c>
      <c r="E1160" s="10">
        <v>24000</v>
      </c>
      <c r="F1160" s="8">
        <v>0.02</v>
      </c>
      <c r="G1160" s="11">
        <v>45905</v>
      </c>
      <c r="H1160" s="12">
        <f t="shared" si="18"/>
        <v>480</v>
      </c>
      <c r="I1160" s="10" t="s">
        <v>10</v>
      </c>
      <c r="J1160" s="13">
        <v>45810</v>
      </c>
      <c r="K1160" t="s">
        <v>469</v>
      </c>
    </row>
    <row r="1161" hidden="1" spans="1:11">
      <c r="A1161" t="s">
        <v>319</v>
      </c>
      <c r="B1161" s="8">
        <v>252600861</v>
      </c>
      <c r="C1161" s="9">
        <v>45806</v>
      </c>
      <c r="D1161" s="8" t="s">
        <v>286</v>
      </c>
      <c r="E1161" s="10">
        <v>24000</v>
      </c>
      <c r="F1161" s="8">
        <v>0.0235</v>
      </c>
      <c r="G1161" s="11">
        <v>45874</v>
      </c>
      <c r="H1161" s="12">
        <f t="shared" si="18"/>
        <v>564</v>
      </c>
      <c r="I1161" s="10" t="s">
        <v>10</v>
      </c>
      <c r="J1161" s="13">
        <v>45810</v>
      </c>
      <c r="K1161" t="s">
        <v>469</v>
      </c>
    </row>
    <row r="1162" hidden="1" spans="1:11">
      <c r="A1162" t="s">
        <v>319</v>
      </c>
      <c r="B1162" s="8">
        <v>252600861</v>
      </c>
      <c r="C1162" s="9">
        <v>45806</v>
      </c>
      <c r="D1162" s="8" t="s">
        <v>286</v>
      </c>
      <c r="E1162" s="10">
        <v>24000</v>
      </c>
      <c r="F1162" s="8">
        <v>0.0235</v>
      </c>
      <c r="G1162" s="11">
        <v>45905</v>
      </c>
      <c r="H1162" s="12">
        <f t="shared" si="18"/>
        <v>564</v>
      </c>
      <c r="I1162" s="10" t="s">
        <v>10</v>
      </c>
      <c r="J1162" s="13">
        <v>45810</v>
      </c>
      <c r="K1162" t="s">
        <v>469</v>
      </c>
    </row>
    <row r="1163" hidden="1" spans="1:11">
      <c r="A1163" t="s">
        <v>319</v>
      </c>
      <c r="B1163" s="8">
        <v>252600861</v>
      </c>
      <c r="C1163" s="9">
        <v>45806</v>
      </c>
      <c r="D1163" s="8" t="s">
        <v>465</v>
      </c>
      <c r="E1163" s="10">
        <v>24000</v>
      </c>
      <c r="F1163" s="8">
        <v>0.018</v>
      </c>
      <c r="G1163" s="11">
        <v>45874</v>
      </c>
      <c r="H1163" s="12">
        <f t="shared" si="18"/>
        <v>432</v>
      </c>
      <c r="I1163" s="10" t="s">
        <v>10</v>
      </c>
      <c r="J1163" s="13">
        <v>45810</v>
      </c>
      <c r="K1163" t="s">
        <v>469</v>
      </c>
    </row>
    <row r="1164" hidden="1" spans="1:11">
      <c r="A1164" t="s">
        <v>319</v>
      </c>
      <c r="B1164" s="8">
        <v>252600861</v>
      </c>
      <c r="C1164" s="9">
        <v>45806</v>
      </c>
      <c r="D1164" s="8" t="s">
        <v>465</v>
      </c>
      <c r="E1164" s="10">
        <v>24000</v>
      </c>
      <c r="F1164" s="8">
        <v>0.018</v>
      </c>
      <c r="G1164" s="11">
        <v>45905</v>
      </c>
      <c r="H1164" s="12">
        <f t="shared" si="18"/>
        <v>432</v>
      </c>
      <c r="I1164" s="10" t="s">
        <v>10</v>
      </c>
      <c r="J1164" s="13">
        <v>45810</v>
      </c>
      <c r="K1164" t="s">
        <v>469</v>
      </c>
    </row>
    <row r="1165" hidden="1" spans="1:11">
      <c r="A1165" t="s">
        <v>319</v>
      </c>
      <c r="B1165" s="8">
        <v>252600861</v>
      </c>
      <c r="C1165" s="9">
        <v>45806</v>
      </c>
      <c r="D1165" s="8" t="s">
        <v>288</v>
      </c>
      <c r="E1165" s="10">
        <v>24000</v>
      </c>
      <c r="F1165" s="8">
        <v>0.022</v>
      </c>
      <c r="G1165" s="11">
        <v>45874</v>
      </c>
      <c r="H1165" s="12">
        <f t="shared" si="18"/>
        <v>528</v>
      </c>
      <c r="I1165" s="10" t="s">
        <v>10</v>
      </c>
      <c r="J1165" s="13">
        <v>45810</v>
      </c>
      <c r="K1165" t="s">
        <v>469</v>
      </c>
    </row>
    <row r="1166" hidden="1" spans="1:11">
      <c r="A1166" t="s">
        <v>319</v>
      </c>
      <c r="B1166" s="8">
        <v>252600861</v>
      </c>
      <c r="C1166" s="9">
        <v>45806</v>
      </c>
      <c r="D1166" s="8" t="s">
        <v>288</v>
      </c>
      <c r="E1166" s="10">
        <v>24000</v>
      </c>
      <c r="F1166" s="8">
        <v>0.022</v>
      </c>
      <c r="G1166" s="11">
        <v>45905</v>
      </c>
      <c r="H1166" s="12">
        <f t="shared" si="18"/>
        <v>528</v>
      </c>
      <c r="I1166" s="10" t="s">
        <v>10</v>
      </c>
      <c r="J1166" s="13">
        <v>45810</v>
      </c>
      <c r="K1166" t="s">
        <v>469</v>
      </c>
    </row>
    <row r="1167" hidden="1" spans="1:11">
      <c r="A1167" t="s">
        <v>319</v>
      </c>
      <c r="B1167" s="8">
        <v>252600872</v>
      </c>
      <c r="C1167" s="9">
        <v>45805</v>
      </c>
      <c r="D1167" s="8" t="s">
        <v>45</v>
      </c>
      <c r="E1167" s="10">
        <v>20000</v>
      </c>
      <c r="F1167" s="8">
        <v>0.024</v>
      </c>
      <c r="G1167" s="11">
        <v>45813</v>
      </c>
      <c r="H1167" s="12">
        <f t="shared" si="18"/>
        <v>480</v>
      </c>
      <c r="I1167" s="10" t="s">
        <v>10</v>
      </c>
      <c r="J1167" s="13">
        <v>45810</v>
      </c>
      <c r="K1167" t="s">
        <v>460</v>
      </c>
    </row>
    <row r="1168" hidden="1" spans="1:11">
      <c r="A1168" t="s">
        <v>319</v>
      </c>
      <c r="B1168" s="8">
        <v>252600872</v>
      </c>
      <c r="C1168" s="9">
        <v>45805</v>
      </c>
      <c r="D1168" s="8" t="s">
        <v>551</v>
      </c>
      <c r="E1168" s="10">
        <v>20000</v>
      </c>
      <c r="F1168" s="8">
        <v>0.11</v>
      </c>
      <c r="G1168" s="11">
        <v>45813</v>
      </c>
      <c r="H1168" s="12">
        <f t="shared" si="18"/>
        <v>2200</v>
      </c>
      <c r="I1168" s="10" t="s">
        <v>10</v>
      </c>
      <c r="J1168" s="13">
        <v>45810</v>
      </c>
      <c r="K1168" t="s">
        <v>460</v>
      </c>
    </row>
    <row r="1169" hidden="1" spans="1:11">
      <c r="A1169" t="s">
        <v>319</v>
      </c>
      <c r="B1169" s="8">
        <v>252600876</v>
      </c>
      <c r="C1169" s="9">
        <v>45807</v>
      </c>
      <c r="D1169" s="8" t="s">
        <v>56</v>
      </c>
      <c r="E1169" s="10">
        <v>120000</v>
      </c>
      <c r="F1169" s="8">
        <v>0.031</v>
      </c>
      <c r="G1169" s="11">
        <v>45813</v>
      </c>
      <c r="H1169" s="12">
        <f t="shared" si="18"/>
        <v>3720</v>
      </c>
      <c r="I1169" s="10" t="s">
        <v>10</v>
      </c>
      <c r="J1169" s="13">
        <v>45812</v>
      </c>
      <c r="K1169" t="s">
        <v>528</v>
      </c>
    </row>
    <row r="1170" hidden="1" spans="1:11">
      <c r="A1170" t="s">
        <v>319</v>
      </c>
      <c r="B1170" s="8">
        <v>252600876</v>
      </c>
      <c r="C1170" s="9">
        <v>45807</v>
      </c>
      <c r="D1170" s="8" t="s">
        <v>31</v>
      </c>
      <c r="E1170" s="10">
        <v>200000</v>
      </c>
      <c r="F1170" s="8">
        <v>0.024</v>
      </c>
      <c r="G1170" s="11">
        <v>45843</v>
      </c>
      <c r="H1170" s="12">
        <f t="shared" si="18"/>
        <v>4800</v>
      </c>
      <c r="I1170" s="10" t="s">
        <v>10</v>
      </c>
      <c r="J1170" s="13">
        <v>45812</v>
      </c>
      <c r="K1170" t="s">
        <v>528</v>
      </c>
    </row>
    <row r="1171" hidden="1" spans="1:11">
      <c r="A1171" t="s">
        <v>319</v>
      </c>
      <c r="B1171" s="8">
        <v>252600876</v>
      </c>
      <c r="C1171" s="9">
        <v>45807</v>
      </c>
      <c r="D1171" s="8" t="s">
        <v>31</v>
      </c>
      <c r="E1171" s="10">
        <v>100000</v>
      </c>
      <c r="F1171" s="8">
        <v>0.024</v>
      </c>
      <c r="G1171" s="11">
        <v>45843</v>
      </c>
      <c r="H1171" s="12">
        <f t="shared" si="18"/>
        <v>2400</v>
      </c>
      <c r="I1171" s="10" t="s">
        <v>10</v>
      </c>
      <c r="J1171" s="13">
        <v>45812</v>
      </c>
      <c r="K1171" t="s">
        <v>528</v>
      </c>
    </row>
    <row r="1172" hidden="1" spans="1:11">
      <c r="A1172" t="s">
        <v>319</v>
      </c>
      <c r="B1172" s="8">
        <v>252600876</v>
      </c>
      <c r="C1172" s="9">
        <v>45807</v>
      </c>
      <c r="D1172" s="8" t="s">
        <v>108</v>
      </c>
      <c r="E1172" s="10">
        <v>30000</v>
      </c>
      <c r="F1172" s="8">
        <v>0.04</v>
      </c>
      <c r="G1172" s="11">
        <v>45843</v>
      </c>
      <c r="H1172" s="12">
        <f t="shared" si="18"/>
        <v>1200</v>
      </c>
      <c r="I1172" s="10" t="s">
        <v>10</v>
      </c>
      <c r="J1172" s="13">
        <v>45812</v>
      </c>
      <c r="K1172" t="s">
        <v>528</v>
      </c>
    </row>
    <row r="1173" hidden="1" spans="1:11">
      <c r="A1173" t="s">
        <v>319</v>
      </c>
      <c r="B1173" s="8">
        <v>252600876</v>
      </c>
      <c r="C1173" s="9">
        <v>45807</v>
      </c>
      <c r="D1173" s="8" t="s">
        <v>388</v>
      </c>
      <c r="E1173" s="10">
        <v>160000</v>
      </c>
      <c r="F1173" s="8">
        <v>0.035</v>
      </c>
      <c r="G1173" s="11">
        <v>45843</v>
      </c>
      <c r="H1173" s="12">
        <f t="shared" si="18"/>
        <v>5600</v>
      </c>
      <c r="I1173" s="10" t="s">
        <v>10</v>
      </c>
      <c r="J1173" s="13">
        <v>45812</v>
      </c>
      <c r="K1173" t="s">
        <v>528</v>
      </c>
    </row>
    <row r="1174" hidden="1" spans="1:11">
      <c r="A1174" t="s">
        <v>319</v>
      </c>
      <c r="B1174" s="8">
        <v>252600876</v>
      </c>
      <c r="C1174" s="9">
        <v>45807</v>
      </c>
      <c r="D1174" s="8" t="s">
        <v>386</v>
      </c>
      <c r="E1174" s="10">
        <v>60000</v>
      </c>
      <c r="F1174" s="8">
        <v>0.04</v>
      </c>
      <c r="G1174" s="11">
        <v>45843</v>
      </c>
      <c r="H1174" s="12">
        <f t="shared" si="18"/>
        <v>2400</v>
      </c>
      <c r="I1174" s="10" t="s">
        <v>10</v>
      </c>
      <c r="J1174" s="13">
        <v>45812</v>
      </c>
      <c r="K1174" t="s">
        <v>528</v>
      </c>
    </row>
    <row r="1175" hidden="1" spans="1:11">
      <c r="A1175" t="s">
        <v>319</v>
      </c>
      <c r="B1175" s="8">
        <v>252600876</v>
      </c>
      <c r="C1175" s="9">
        <v>45807</v>
      </c>
      <c r="D1175" s="8" t="s">
        <v>516</v>
      </c>
      <c r="E1175" s="10">
        <v>100000</v>
      </c>
      <c r="F1175" s="8">
        <v>0.032</v>
      </c>
      <c r="G1175" s="11">
        <v>45843</v>
      </c>
      <c r="H1175" s="12">
        <f t="shared" si="18"/>
        <v>3200</v>
      </c>
      <c r="I1175" s="10" t="s">
        <v>10</v>
      </c>
      <c r="J1175" s="13">
        <v>45812</v>
      </c>
      <c r="K1175" t="s">
        <v>528</v>
      </c>
    </row>
    <row r="1176" hidden="1" spans="1:11">
      <c r="A1176" t="s">
        <v>319</v>
      </c>
      <c r="B1176" s="8">
        <v>252600877</v>
      </c>
      <c r="C1176" s="9">
        <v>45807</v>
      </c>
      <c r="D1176" s="8" t="s">
        <v>31</v>
      </c>
      <c r="E1176" s="10">
        <v>200000</v>
      </c>
      <c r="F1176" s="8">
        <v>0.024</v>
      </c>
      <c r="G1176" s="11">
        <v>45874</v>
      </c>
      <c r="H1176" s="12">
        <f t="shared" si="18"/>
        <v>4800</v>
      </c>
      <c r="I1176" s="10" t="s">
        <v>10</v>
      </c>
      <c r="J1176" s="13">
        <v>45866</v>
      </c>
      <c r="K1176" t="s">
        <v>528</v>
      </c>
    </row>
    <row r="1177" hidden="1" spans="1:11">
      <c r="A1177" t="s">
        <v>319</v>
      </c>
      <c r="B1177" s="8">
        <v>252600877</v>
      </c>
      <c r="C1177" s="9">
        <v>45807</v>
      </c>
      <c r="D1177" s="8" t="s">
        <v>31</v>
      </c>
      <c r="E1177" s="10">
        <v>100000</v>
      </c>
      <c r="F1177" s="8">
        <v>0.024</v>
      </c>
      <c r="G1177" s="11">
        <v>45874</v>
      </c>
      <c r="H1177" s="12">
        <f t="shared" si="18"/>
        <v>2400</v>
      </c>
      <c r="I1177" s="10" t="s">
        <v>10</v>
      </c>
      <c r="J1177" s="13">
        <v>45866</v>
      </c>
      <c r="K1177" t="s">
        <v>528</v>
      </c>
    </row>
    <row r="1178" hidden="1" spans="1:11">
      <c r="A1178" t="s">
        <v>319</v>
      </c>
      <c r="B1178" s="8">
        <v>252600877</v>
      </c>
      <c r="C1178" s="9">
        <v>45807</v>
      </c>
      <c r="D1178" s="8" t="s">
        <v>31</v>
      </c>
      <c r="E1178" s="10">
        <v>200000</v>
      </c>
      <c r="F1178" s="8">
        <v>0.024</v>
      </c>
      <c r="G1178" s="11">
        <v>45905</v>
      </c>
      <c r="H1178" s="12">
        <f t="shared" si="18"/>
        <v>4800</v>
      </c>
      <c r="I1178" s="10" t="s">
        <v>10</v>
      </c>
      <c r="J1178" s="13">
        <v>45866</v>
      </c>
      <c r="K1178" t="s">
        <v>528</v>
      </c>
    </row>
    <row r="1179" hidden="1" spans="1:11">
      <c r="A1179" t="s">
        <v>319</v>
      </c>
      <c r="B1179" s="8">
        <v>252600877</v>
      </c>
      <c r="C1179" s="9">
        <v>45807</v>
      </c>
      <c r="D1179" s="8" t="s">
        <v>108</v>
      </c>
      <c r="E1179" s="10">
        <v>20000</v>
      </c>
      <c r="F1179" s="8">
        <v>0.04</v>
      </c>
      <c r="G1179" s="11">
        <v>45874</v>
      </c>
      <c r="H1179" s="12">
        <f t="shared" si="18"/>
        <v>800</v>
      </c>
      <c r="I1179" s="10" t="s">
        <v>10</v>
      </c>
      <c r="J1179" s="13">
        <v>45863</v>
      </c>
      <c r="K1179" t="s">
        <v>528</v>
      </c>
    </row>
    <row r="1180" hidden="1" spans="1:11">
      <c r="A1180" t="s">
        <v>319</v>
      </c>
      <c r="B1180" s="8">
        <v>252600877</v>
      </c>
      <c r="C1180" s="9">
        <v>45807</v>
      </c>
      <c r="D1180" s="8" t="s">
        <v>108</v>
      </c>
      <c r="E1180" s="10">
        <v>20000</v>
      </c>
      <c r="F1180" s="8">
        <v>0.04</v>
      </c>
      <c r="G1180" s="11">
        <v>45905</v>
      </c>
      <c r="H1180" s="12">
        <f t="shared" si="18"/>
        <v>800</v>
      </c>
      <c r="I1180" s="10" t="s">
        <v>10</v>
      </c>
      <c r="J1180" s="13">
        <v>45863</v>
      </c>
      <c r="K1180" t="s">
        <v>528</v>
      </c>
    </row>
    <row r="1181" hidden="1" spans="1:11">
      <c r="A1181" t="s">
        <v>319</v>
      </c>
      <c r="B1181" s="8">
        <v>252600877</v>
      </c>
      <c r="C1181" s="9">
        <v>45807</v>
      </c>
      <c r="D1181" s="8" t="s">
        <v>388</v>
      </c>
      <c r="E1181" s="10">
        <v>160000</v>
      </c>
      <c r="F1181" s="8">
        <v>0.035</v>
      </c>
      <c r="G1181" s="11">
        <v>45874</v>
      </c>
      <c r="H1181" s="12">
        <f t="shared" si="18"/>
        <v>5600</v>
      </c>
      <c r="I1181" s="10" t="s">
        <v>10</v>
      </c>
      <c r="J1181" s="13">
        <v>45863</v>
      </c>
      <c r="K1181" t="s">
        <v>528</v>
      </c>
    </row>
    <row r="1182" hidden="1" spans="1:11">
      <c r="A1182" t="s">
        <v>319</v>
      </c>
      <c r="B1182" s="8">
        <v>252600877</v>
      </c>
      <c r="C1182" s="9">
        <v>45807</v>
      </c>
      <c r="D1182" s="8" t="s">
        <v>388</v>
      </c>
      <c r="E1182" s="10">
        <v>140000</v>
      </c>
      <c r="F1182" s="8">
        <v>0.035</v>
      </c>
      <c r="G1182" s="11">
        <v>45905</v>
      </c>
      <c r="H1182" s="12">
        <f t="shared" si="18"/>
        <v>4900</v>
      </c>
      <c r="I1182" s="10" t="s">
        <v>10</v>
      </c>
      <c r="J1182" s="13">
        <v>45863</v>
      </c>
      <c r="K1182" t="s">
        <v>528</v>
      </c>
    </row>
    <row r="1183" hidden="1" spans="1:11">
      <c r="A1183" t="s">
        <v>319</v>
      </c>
      <c r="B1183" s="8">
        <v>252600877</v>
      </c>
      <c r="C1183" s="9">
        <v>45807</v>
      </c>
      <c r="D1183" s="8" t="s">
        <v>386</v>
      </c>
      <c r="E1183" s="10">
        <v>60000</v>
      </c>
      <c r="F1183" s="8">
        <v>0.04</v>
      </c>
      <c r="G1183" s="11">
        <v>45874</v>
      </c>
      <c r="H1183" s="12">
        <f t="shared" si="18"/>
        <v>2400</v>
      </c>
      <c r="I1183" s="10" t="s">
        <v>10</v>
      </c>
      <c r="J1183" s="13">
        <v>45863</v>
      </c>
      <c r="K1183" t="s">
        <v>528</v>
      </c>
    </row>
    <row r="1184" hidden="1" spans="1:11">
      <c r="A1184" t="s">
        <v>319</v>
      </c>
      <c r="B1184" s="8">
        <v>252600877</v>
      </c>
      <c r="C1184" s="9">
        <v>45807</v>
      </c>
      <c r="D1184" s="8" t="s">
        <v>386</v>
      </c>
      <c r="E1184" s="10">
        <v>40000</v>
      </c>
      <c r="F1184" s="8">
        <v>0.04</v>
      </c>
      <c r="G1184" s="11">
        <v>45905</v>
      </c>
      <c r="H1184" s="12">
        <f t="shared" si="18"/>
        <v>1600</v>
      </c>
      <c r="I1184" s="10" t="s">
        <v>10</v>
      </c>
      <c r="J1184" s="13">
        <v>45863</v>
      </c>
      <c r="K1184" t="s">
        <v>528</v>
      </c>
    </row>
    <row r="1185" hidden="1" spans="1:11">
      <c r="A1185" t="s">
        <v>319</v>
      </c>
      <c r="B1185" s="8">
        <v>252600877</v>
      </c>
      <c r="C1185" s="9">
        <v>45807</v>
      </c>
      <c r="D1185" s="8" t="s">
        <v>516</v>
      </c>
      <c r="E1185" s="10">
        <v>80000</v>
      </c>
      <c r="F1185" s="8">
        <v>0.032</v>
      </c>
      <c r="G1185" s="11">
        <v>45874</v>
      </c>
      <c r="H1185" s="12">
        <f t="shared" si="18"/>
        <v>2560</v>
      </c>
      <c r="I1185" s="10" t="s">
        <v>10</v>
      </c>
      <c r="J1185" s="13">
        <v>45863</v>
      </c>
      <c r="K1185" t="s">
        <v>528</v>
      </c>
    </row>
    <row r="1186" hidden="1" spans="1:11">
      <c r="A1186" t="s">
        <v>319</v>
      </c>
      <c r="B1186" s="8">
        <v>252600877</v>
      </c>
      <c r="C1186" s="9">
        <v>45807</v>
      </c>
      <c r="D1186" s="8" t="s">
        <v>516</v>
      </c>
      <c r="E1186" s="10">
        <v>80000</v>
      </c>
      <c r="F1186" s="8">
        <v>0.032</v>
      </c>
      <c r="G1186" s="11">
        <v>45905</v>
      </c>
      <c r="H1186" s="12">
        <f t="shared" si="18"/>
        <v>2560</v>
      </c>
      <c r="I1186" s="10" t="s">
        <v>10</v>
      </c>
      <c r="J1186" s="13">
        <v>45863</v>
      </c>
      <c r="K1186" t="s">
        <v>528</v>
      </c>
    </row>
    <row r="1187" hidden="1" spans="1:11">
      <c r="A1187" t="s">
        <v>319</v>
      </c>
      <c r="B1187" s="8">
        <v>252600895</v>
      </c>
      <c r="C1187" s="9">
        <v>45807</v>
      </c>
      <c r="D1187" s="50" t="s">
        <v>97</v>
      </c>
      <c r="E1187" s="10">
        <v>40000</v>
      </c>
      <c r="F1187" s="8">
        <v>0.065</v>
      </c>
      <c r="G1187" s="11">
        <v>45807</v>
      </c>
      <c r="H1187" s="12">
        <f t="shared" si="18"/>
        <v>2600</v>
      </c>
      <c r="I1187" s="10" t="s">
        <v>10</v>
      </c>
      <c r="J1187" s="13">
        <v>45821</v>
      </c>
    </row>
    <row r="1188" hidden="1" spans="1:11">
      <c r="A1188" t="s">
        <v>319</v>
      </c>
      <c r="B1188" s="8">
        <v>252600919</v>
      </c>
      <c r="C1188" s="9">
        <v>45810</v>
      </c>
      <c r="D1188" s="8" t="s">
        <v>164</v>
      </c>
      <c r="E1188" s="10">
        <v>21000</v>
      </c>
      <c r="F1188" s="8">
        <v>0.0106</v>
      </c>
      <c r="G1188" s="11">
        <v>45860</v>
      </c>
      <c r="H1188" s="12">
        <f t="shared" si="18"/>
        <v>222.6</v>
      </c>
      <c r="I1188" s="10" t="s">
        <v>10</v>
      </c>
      <c r="J1188" s="13">
        <v>45812</v>
      </c>
    </row>
    <row r="1189" hidden="1" spans="1:11">
      <c r="A1189" t="s">
        <v>319</v>
      </c>
      <c r="B1189" s="70">
        <v>252600925</v>
      </c>
      <c r="C1189" s="71">
        <v>45811</v>
      </c>
      <c r="D1189" s="70" t="s">
        <v>468</v>
      </c>
      <c r="E1189" s="72">
        <v>6000</v>
      </c>
      <c r="F1189" s="70">
        <v>0.028</v>
      </c>
      <c r="G1189" s="73">
        <v>45813</v>
      </c>
      <c r="H1189" s="74">
        <f t="shared" si="18"/>
        <v>168</v>
      </c>
      <c r="I1189" s="72" t="s">
        <v>51</v>
      </c>
      <c r="J1189" s="15"/>
    </row>
    <row r="1190" hidden="1" spans="1:11">
      <c r="A1190" t="s">
        <v>319</v>
      </c>
      <c r="B1190" s="8">
        <v>252600930</v>
      </c>
      <c r="C1190" s="9">
        <v>45811</v>
      </c>
      <c r="D1190" s="8" t="s">
        <v>482</v>
      </c>
      <c r="E1190" s="10">
        <v>250000</v>
      </c>
      <c r="F1190" s="8">
        <v>0.02049</v>
      </c>
      <c r="G1190" s="11">
        <v>45860</v>
      </c>
      <c r="H1190" s="12">
        <f t="shared" si="18"/>
        <v>5122.5</v>
      </c>
      <c r="I1190" s="10" t="s">
        <v>10</v>
      </c>
      <c r="J1190" s="13">
        <v>45835</v>
      </c>
    </row>
    <row r="1191" hidden="1" spans="1:11">
      <c r="A1191" t="s">
        <v>319</v>
      </c>
      <c r="B1191" s="8">
        <v>252600930</v>
      </c>
      <c r="C1191" s="9">
        <v>45811</v>
      </c>
      <c r="D1191" s="8" t="s">
        <v>482</v>
      </c>
      <c r="E1191" s="10">
        <v>250000</v>
      </c>
      <c r="F1191" s="8">
        <v>0.02049</v>
      </c>
      <c r="G1191" s="11">
        <v>45860</v>
      </c>
      <c r="H1191" s="12">
        <f t="shared" si="18"/>
        <v>5122.5</v>
      </c>
      <c r="I1191" s="10" t="s">
        <v>10</v>
      </c>
      <c r="J1191" s="13">
        <v>45835</v>
      </c>
    </row>
    <row r="1192" hidden="1" spans="1:11">
      <c r="A1192" t="s">
        <v>319</v>
      </c>
      <c r="B1192" s="8">
        <v>252600930</v>
      </c>
      <c r="C1192" s="9">
        <v>45811</v>
      </c>
      <c r="D1192" s="8" t="s">
        <v>482</v>
      </c>
      <c r="E1192" s="10">
        <v>250000</v>
      </c>
      <c r="F1192" s="8">
        <v>0.02049</v>
      </c>
      <c r="G1192" s="11">
        <v>45860</v>
      </c>
      <c r="H1192" s="12">
        <f t="shared" si="18"/>
        <v>5122.5</v>
      </c>
      <c r="I1192" s="10" t="s">
        <v>10</v>
      </c>
      <c r="J1192" s="13">
        <v>45835</v>
      </c>
    </row>
    <row r="1193" hidden="1" spans="1:11">
      <c r="A1193" t="s">
        <v>319</v>
      </c>
      <c r="B1193" s="8">
        <v>252600930</v>
      </c>
      <c r="C1193" s="9">
        <v>45811</v>
      </c>
      <c r="D1193" s="8" t="s">
        <v>482</v>
      </c>
      <c r="E1193" s="10">
        <v>250000</v>
      </c>
      <c r="F1193" s="8">
        <v>0.02049</v>
      </c>
      <c r="G1193" s="11">
        <v>45952</v>
      </c>
      <c r="H1193" s="12">
        <f t="shared" si="18"/>
        <v>5122.5</v>
      </c>
      <c r="I1193" s="10" t="s">
        <v>10</v>
      </c>
      <c r="J1193" s="13">
        <v>45835</v>
      </c>
    </row>
    <row r="1194" hidden="1" spans="1:11">
      <c r="A1194" t="s">
        <v>319</v>
      </c>
      <c r="B1194" s="8">
        <v>252600930</v>
      </c>
      <c r="C1194" s="9">
        <v>45811</v>
      </c>
      <c r="D1194" s="8" t="s">
        <v>482</v>
      </c>
      <c r="E1194" s="10">
        <v>250000</v>
      </c>
      <c r="F1194" s="8">
        <v>0.02049</v>
      </c>
      <c r="G1194" s="11">
        <v>45952</v>
      </c>
      <c r="H1194" s="12">
        <f t="shared" si="18"/>
        <v>5122.5</v>
      </c>
      <c r="I1194" s="10" t="s">
        <v>10</v>
      </c>
      <c r="J1194" s="13">
        <v>45835</v>
      </c>
    </row>
    <row r="1195" hidden="1" spans="1:11">
      <c r="A1195" t="s">
        <v>319</v>
      </c>
      <c r="B1195" s="8">
        <v>252600930</v>
      </c>
      <c r="C1195" s="9">
        <v>45811</v>
      </c>
      <c r="D1195" s="8" t="s">
        <v>482</v>
      </c>
      <c r="E1195" s="10">
        <v>250000</v>
      </c>
      <c r="F1195" s="8">
        <v>0.02049</v>
      </c>
      <c r="G1195" s="11">
        <v>45952</v>
      </c>
      <c r="H1195" s="12">
        <f t="shared" si="18"/>
        <v>5122.5</v>
      </c>
      <c r="I1195" s="10" t="s">
        <v>10</v>
      </c>
      <c r="J1195" s="13">
        <v>45835</v>
      </c>
    </row>
    <row r="1196" hidden="1" spans="1:11">
      <c r="A1196" t="s">
        <v>319</v>
      </c>
      <c r="B1196" s="8">
        <v>252600931</v>
      </c>
      <c r="C1196" s="9">
        <v>45811</v>
      </c>
      <c r="D1196" s="8" t="s">
        <v>40</v>
      </c>
      <c r="E1196" s="10">
        <v>100000</v>
      </c>
      <c r="F1196" s="8">
        <v>0.035</v>
      </c>
      <c r="G1196" s="11">
        <v>45813</v>
      </c>
      <c r="H1196" s="12">
        <f t="shared" si="18"/>
        <v>3500</v>
      </c>
      <c r="I1196" s="10" t="s">
        <v>10</v>
      </c>
      <c r="J1196" s="13">
        <v>45855</v>
      </c>
    </row>
    <row r="1197" hidden="1" spans="1:11">
      <c r="A1197" t="s">
        <v>319</v>
      </c>
      <c r="B1197" s="8">
        <v>252600969</v>
      </c>
      <c r="C1197" s="9">
        <v>45814</v>
      </c>
      <c r="D1197" s="8" t="s">
        <v>482</v>
      </c>
      <c r="E1197" s="10">
        <v>250000</v>
      </c>
      <c r="F1197" s="8">
        <v>0.02049</v>
      </c>
      <c r="G1197" s="11">
        <v>45952</v>
      </c>
      <c r="H1197" s="12">
        <f t="shared" si="18"/>
        <v>5122.5</v>
      </c>
      <c r="I1197" s="10" t="s">
        <v>10</v>
      </c>
      <c r="J1197" s="13">
        <v>45897</v>
      </c>
      <c r="K1197" t="s">
        <v>369</v>
      </c>
    </row>
    <row r="1198" hidden="1" spans="1:11">
      <c r="A1198" t="s">
        <v>319</v>
      </c>
      <c r="B1198" s="8">
        <v>252600969</v>
      </c>
      <c r="C1198" s="9">
        <v>45814</v>
      </c>
      <c r="D1198" s="8" t="s">
        <v>482</v>
      </c>
      <c r="E1198" s="10">
        <v>250000</v>
      </c>
      <c r="F1198" s="8">
        <v>0.02049</v>
      </c>
      <c r="G1198" s="11">
        <v>45952</v>
      </c>
      <c r="H1198" s="12">
        <f t="shared" si="18"/>
        <v>5122.5</v>
      </c>
      <c r="I1198" s="10" t="s">
        <v>10</v>
      </c>
      <c r="J1198" s="13">
        <v>45897</v>
      </c>
      <c r="K1198" t="s">
        <v>369</v>
      </c>
    </row>
    <row r="1199" hidden="1" spans="1:11">
      <c r="A1199" t="s">
        <v>319</v>
      </c>
      <c r="B1199" s="8">
        <v>252600969</v>
      </c>
      <c r="C1199" s="9">
        <v>45814</v>
      </c>
      <c r="D1199" s="8" t="s">
        <v>482</v>
      </c>
      <c r="E1199" s="10">
        <v>250000</v>
      </c>
      <c r="F1199" s="8">
        <v>0.02049</v>
      </c>
      <c r="G1199" s="11">
        <v>45952</v>
      </c>
      <c r="H1199" s="12">
        <f t="shared" si="18"/>
        <v>5122.5</v>
      </c>
      <c r="I1199" s="10" t="s">
        <v>10</v>
      </c>
      <c r="J1199" s="13">
        <v>45897</v>
      </c>
      <c r="K1199" t="s">
        <v>369</v>
      </c>
    </row>
    <row r="1200" hidden="1" spans="1:11">
      <c r="A1200" t="s">
        <v>319</v>
      </c>
      <c r="B1200" s="8">
        <v>252600971</v>
      </c>
      <c r="C1200" s="9">
        <v>45814</v>
      </c>
      <c r="D1200" s="8" t="s">
        <v>552</v>
      </c>
      <c r="E1200" s="10">
        <v>20000</v>
      </c>
      <c r="F1200" s="8">
        <v>0.05</v>
      </c>
      <c r="G1200" s="11">
        <v>45830</v>
      </c>
      <c r="H1200" s="12">
        <f t="shared" si="18"/>
        <v>1000</v>
      </c>
      <c r="I1200" s="10" t="s">
        <v>10</v>
      </c>
      <c r="J1200" s="13">
        <v>45818</v>
      </c>
    </row>
    <row r="1201" hidden="1" spans="1:11">
      <c r="A1201" t="s">
        <v>319</v>
      </c>
      <c r="B1201" s="8">
        <v>252600985</v>
      </c>
      <c r="C1201" s="9">
        <v>45814</v>
      </c>
      <c r="D1201" s="8" t="s">
        <v>182</v>
      </c>
      <c r="E1201" s="10">
        <v>100000</v>
      </c>
      <c r="F1201" s="8">
        <v>0.025</v>
      </c>
      <c r="G1201" s="11">
        <v>45874</v>
      </c>
      <c r="H1201" s="12">
        <f t="shared" si="18"/>
        <v>2500</v>
      </c>
      <c r="I1201" s="10" t="s">
        <v>10</v>
      </c>
      <c r="J1201" s="13">
        <v>45827</v>
      </c>
    </row>
    <row r="1202" hidden="1" spans="1:11">
      <c r="A1202" t="s">
        <v>319</v>
      </c>
      <c r="B1202" s="8">
        <v>252600985</v>
      </c>
      <c r="C1202" s="9">
        <v>45814</v>
      </c>
      <c r="D1202" s="8" t="s">
        <v>182</v>
      </c>
      <c r="E1202" s="10">
        <v>100000</v>
      </c>
      <c r="F1202" s="8">
        <v>0.025</v>
      </c>
      <c r="G1202" s="11">
        <v>45905</v>
      </c>
      <c r="H1202" s="12">
        <f t="shared" si="18"/>
        <v>2500</v>
      </c>
      <c r="I1202" s="10" t="s">
        <v>10</v>
      </c>
      <c r="J1202" s="13">
        <v>45827</v>
      </c>
    </row>
    <row r="1203" hidden="1" spans="1:11">
      <c r="A1203" t="s">
        <v>319</v>
      </c>
      <c r="B1203" s="8">
        <v>252600985</v>
      </c>
      <c r="C1203" s="9">
        <v>45814</v>
      </c>
      <c r="D1203" s="8" t="s">
        <v>70</v>
      </c>
      <c r="E1203" s="10">
        <v>20000</v>
      </c>
      <c r="F1203" s="8">
        <v>0.028</v>
      </c>
      <c r="G1203" s="11">
        <v>45874</v>
      </c>
      <c r="H1203" s="12">
        <f t="shared" si="18"/>
        <v>560</v>
      </c>
      <c r="I1203" s="10" t="s">
        <v>10</v>
      </c>
      <c r="J1203" s="13">
        <v>45827</v>
      </c>
    </row>
    <row r="1204" hidden="1" spans="1:11">
      <c r="A1204" t="s">
        <v>319</v>
      </c>
      <c r="B1204" s="8">
        <v>252600988</v>
      </c>
      <c r="C1204" s="9">
        <v>45817</v>
      </c>
      <c r="D1204" s="8" t="s">
        <v>181</v>
      </c>
      <c r="E1204" s="10">
        <v>200000</v>
      </c>
      <c r="F1204" s="8">
        <v>0.0243</v>
      </c>
      <c r="G1204" s="11">
        <v>45860</v>
      </c>
      <c r="H1204" s="12">
        <f t="shared" si="18"/>
        <v>4860</v>
      </c>
      <c r="I1204" s="10" t="s">
        <v>10</v>
      </c>
      <c r="J1204" s="13">
        <v>45855</v>
      </c>
      <c r="K1204" t="s">
        <v>439</v>
      </c>
    </row>
    <row r="1205" hidden="1" spans="1:11">
      <c r="A1205" t="s">
        <v>319</v>
      </c>
      <c r="B1205" s="8">
        <v>252600988</v>
      </c>
      <c r="C1205" s="9">
        <v>45817</v>
      </c>
      <c r="D1205" s="8" t="s">
        <v>181</v>
      </c>
      <c r="E1205" s="10">
        <v>200000</v>
      </c>
      <c r="F1205" s="8">
        <v>0.0243</v>
      </c>
      <c r="G1205" s="11">
        <v>45891</v>
      </c>
      <c r="H1205" s="12">
        <f t="shared" si="18"/>
        <v>4860</v>
      </c>
      <c r="I1205" s="10" t="s">
        <v>10</v>
      </c>
      <c r="J1205" s="13">
        <v>45855</v>
      </c>
      <c r="K1205" t="s">
        <v>439</v>
      </c>
    </row>
    <row r="1206" hidden="1" spans="1:11">
      <c r="A1206" t="s">
        <v>319</v>
      </c>
      <c r="B1206" s="8">
        <v>252601029</v>
      </c>
      <c r="C1206" s="9">
        <v>45818</v>
      </c>
      <c r="D1206" s="8" t="s">
        <v>553</v>
      </c>
      <c r="E1206" s="10">
        <v>20000</v>
      </c>
      <c r="F1206" s="8">
        <v>0.05</v>
      </c>
      <c r="G1206" s="11">
        <v>45843</v>
      </c>
      <c r="H1206" s="12">
        <f t="shared" si="18"/>
        <v>1000</v>
      </c>
      <c r="I1206" s="10" t="s">
        <v>10</v>
      </c>
      <c r="J1206" s="13">
        <v>45820</v>
      </c>
      <c r="K1206" t="s">
        <v>405</v>
      </c>
    </row>
    <row r="1207" hidden="1" spans="1:11">
      <c r="A1207" t="s">
        <v>319</v>
      </c>
      <c r="B1207" s="8">
        <v>252601030</v>
      </c>
      <c r="C1207" s="9">
        <v>45818</v>
      </c>
      <c r="D1207" s="8" t="s">
        <v>399</v>
      </c>
      <c r="E1207" s="10">
        <v>10000</v>
      </c>
      <c r="F1207" s="8">
        <v>0.0175</v>
      </c>
      <c r="G1207" s="11">
        <v>45868</v>
      </c>
      <c r="H1207" s="12">
        <f t="shared" si="18"/>
        <v>175</v>
      </c>
      <c r="I1207" s="10" t="s">
        <v>10</v>
      </c>
      <c r="J1207" s="15" t="s">
        <v>554</v>
      </c>
      <c r="K1207" t="s">
        <v>422</v>
      </c>
    </row>
    <row r="1208" hidden="1" spans="1:11">
      <c r="A1208" t="s">
        <v>319</v>
      </c>
      <c r="B1208" s="8">
        <v>252601030</v>
      </c>
      <c r="C1208" s="9">
        <v>45818</v>
      </c>
      <c r="D1208" s="8" t="s">
        <v>370</v>
      </c>
      <c r="E1208" s="10">
        <v>24000</v>
      </c>
      <c r="F1208" s="8">
        <v>0.03</v>
      </c>
      <c r="G1208" s="11">
        <v>45868</v>
      </c>
      <c r="H1208" s="12">
        <f t="shared" si="18"/>
        <v>720</v>
      </c>
      <c r="I1208" s="10" t="s">
        <v>10</v>
      </c>
      <c r="J1208" s="15" t="s">
        <v>554</v>
      </c>
      <c r="K1208" t="s">
        <v>422</v>
      </c>
    </row>
    <row r="1209" hidden="1" spans="1:11">
      <c r="A1209" t="s">
        <v>319</v>
      </c>
      <c r="B1209" s="8">
        <v>252601030</v>
      </c>
      <c r="C1209" s="9">
        <v>45818</v>
      </c>
      <c r="D1209" s="8" t="s">
        <v>164</v>
      </c>
      <c r="E1209" s="10">
        <v>24000</v>
      </c>
      <c r="F1209" s="8">
        <v>0.0106</v>
      </c>
      <c r="G1209" s="11">
        <v>45868</v>
      </c>
      <c r="H1209" s="12">
        <f t="shared" si="18"/>
        <v>254.4</v>
      </c>
      <c r="I1209" s="10" t="s">
        <v>10</v>
      </c>
      <c r="J1209" s="15" t="s">
        <v>554</v>
      </c>
      <c r="K1209" t="s">
        <v>422</v>
      </c>
    </row>
    <row r="1210" hidden="1" spans="1:11">
      <c r="A1210" t="s">
        <v>319</v>
      </c>
      <c r="B1210" s="8">
        <v>252601037</v>
      </c>
      <c r="C1210" s="9">
        <v>45819</v>
      </c>
      <c r="D1210" s="8" t="s">
        <v>103</v>
      </c>
      <c r="E1210" s="10">
        <v>160000</v>
      </c>
      <c r="F1210" s="8">
        <v>0.028</v>
      </c>
      <c r="G1210" s="11">
        <v>45860</v>
      </c>
      <c r="H1210" s="12">
        <f t="shared" si="18"/>
        <v>4480</v>
      </c>
      <c r="I1210" s="10" t="s">
        <v>10</v>
      </c>
      <c r="J1210" s="13">
        <v>45827</v>
      </c>
      <c r="K1210" t="s">
        <v>405</v>
      </c>
    </row>
    <row r="1211" hidden="1" spans="1:11">
      <c r="A1211" t="s">
        <v>319</v>
      </c>
      <c r="B1211" s="8">
        <v>252601037</v>
      </c>
      <c r="C1211" s="9">
        <v>45819</v>
      </c>
      <c r="D1211" s="8" t="s">
        <v>103</v>
      </c>
      <c r="E1211" s="10">
        <v>120000</v>
      </c>
      <c r="F1211" s="8">
        <v>0.028</v>
      </c>
      <c r="G1211" s="11">
        <v>45891</v>
      </c>
      <c r="H1211" s="12">
        <f t="shared" si="18"/>
        <v>3360</v>
      </c>
      <c r="I1211" s="10" t="s">
        <v>10</v>
      </c>
      <c r="J1211" s="13">
        <v>45827</v>
      </c>
      <c r="K1211" t="s">
        <v>405</v>
      </c>
    </row>
    <row r="1212" hidden="1" spans="1:11">
      <c r="A1212" t="s">
        <v>319</v>
      </c>
      <c r="B1212" s="8">
        <v>252601037</v>
      </c>
      <c r="C1212" s="9">
        <v>45819</v>
      </c>
      <c r="D1212" s="8" t="s">
        <v>67</v>
      </c>
      <c r="E1212" s="10">
        <v>200000</v>
      </c>
      <c r="F1212" s="8">
        <v>0.028</v>
      </c>
      <c r="G1212" s="11">
        <v>45860</v>
      </c>
      <c r="H1212" s="12">
        <f t="shared" si="18"/>
        <v>5600</v>
      </c>
      <c r="I1212" s="10" t="s">
        <v>10</v>
      </c>
      <c r="J1212" s="13">
        <v>45827</v>
      </c>
      <c r="K1212" t="s">
        <v>405</v>
      </c>
    </row>
    <row r="1213" hidden="1" spans="1:11">
      <c r="A1213" t="s">
        <v>319</v>
      </c>
      <c r="B1213" s="8">
        <v>252601037</v>
      </c>
      <c r="C1213" s="9">
        <v>45819</v>
      </c>
      <c r="D1213" s="8" t="s">
        <v>67</v>
      </c>
      <c r="E1213" s="10">
        <v>200000</v>
      </c>
      <c r="F1213" s="8">
        <v>0.028</v>
      </c>
      <c r="G1213" s="11">
        <v>45891</v>
      </c>
      <c r="H1213" s="12">
        <f t="shared" si="18"/>
        <v>5600</v>
      </c>
      <c r="I1213" s="10" t="s">
        <v>10</v>
      </c>
      <c r="J1213" s="13">
        <v>45827</v>
      </c>
      <c r="K1213" t="s">
        <v>405</v>
      </c>
    </row>
    <row r="1214" hidden="1" spans="1:11">
      <c r="A1214" t="s">
        <v>319</v>
      </c>
      <c r="B1214" s="8">
        <v>252601037</v>
      </c>
      <c r="C1214" s="9">
        <v>45819</v>
      </c>
      <c r="D1214" s="8" t="s">
        <v>36</v>
      </c>
      <c r="E1214" s="10">
        <v>177000</v>
      </c>
      <c r="F1214" s="8">
        <v>0.00656</v>
      </c>
      <c r="G1214" s="11">
        <v>45860</v>
      </c>
      <c r="H1214" s="12">
        <f t="shared" si="18"/>
        <v>1161.12</v>
      </c>
      <c r="I1214" s="10" t="s">
        <v>10</v>
      </c>
      <c r="J1214" s="13">
        <v>45835</v>
      </c>
      <c r="K1214" t="s">
        <v>405</v>
      </c>
    </row>
    <row r="1215" hidden="1" spans="1:11">
      <c r="A1215" t="s">
        <v>319</v>
      </c>
      <c r="B1215" s="8">
        <v>252601037</v>
      </c>
      <c r="C1215" s="9">
        <v>45819</v>
      </c>
      <c r="D1215" s="8" t="s">
        <v>36</v>
      </c>
      <c r="E1215" s="10">
        <v>177000</v>
      </c>
      <c r="F1215" s="8">
        <v>0.00656</v>
      </c>
      <c r="G1215" s="11">
        <v>45860</v>
      </c>
      <c r="H1215" s="12">
        <f t="shared" si="18"/>
        <v>1161.12</v>
      </c>
      <c r="I1215" s="10" t="s">
        <v>10</v>
      </c>
      <c r="J1215" s="13">
        <v>45835</v>
      </c>
      <c r="K1215" t="s">
        <v>405</v>
      </c>
    </row>
    <row r="1216" hidden="1" spans="1:11">
      <c r="A1216" t="s">
        <v>319</v>
      </c>
      <c r="B1216" s="8">
        <v>252601037</v>
      </c>
      <c r="C1216" s="9">
        <v>45819</v>
      </c>
      <c r="D1216" s="8" t="s">
        <v>36</v>
      </c>
      <c r="E1216" s="10">
        <v>177000</v>
      </c>
      <c r="F1216" s="8">
        <v>0.00656</v>
      </c>
      <c r="G1216" s="11">
        <v>45891</v>
      </c>
      <c r="H1216" s="12">
        <f t="shared" si="18"/>
        <v>1161.12</v>
      </c>
      <c r="I1216" s="10" t="s">
        <v>10</v>
      </c>
      <c r="J1216" s="13">
        <v>45835</v>
      </c>
      <c r="K1216" t="s">
        <v>405</v>
      </c>
    </row>
    <row r="1217" hidden="1" spans="1:11">
      <c r="A1217" t="s">
        <v>319</v>
      </c>
      <c r="B1217" s="8">
        <v>252601037</v>
      </c>
      <c r="C1217" s="9">
        <v>45819</v>
      </c>
      <c r="D1217" s="8" t="s">
        <v>36</v>
      </c>
      <c r="E1217" s="10">
        <v>177000</v>
      </c>
      <c r="F1217" s="8">
        <v>0.00656</v>
      </c>
      <c r="G1217" s="11">
        <v>45891</v>
      </c>
      <c r="H1217" s="12">
        <f t="shared" si="18"/>
        <v>1161.12</v>
      </c>
      <c r="I1217" s="10" t="s">
        <v>10</v>
      </c>
      <c r="J1217" s="13">
        <v>45835</v>
      </c>
      <c r="K1217" t="s">
        <v>405</v>
      </c>
    </row>
    <row r="1218" hidden="1" spans="1:11">
      <c r="A1218" t="s">
        <v>319</v>
      </c>
      <c r="B1218" s="8">
        <v>252601037</v>
      </c>
      <c r="C1218" s="9">
        <v>45819</v>
      </c>
      <c r="D1218" s="8" t="s">
        <v>517</v>
      </c>
      <c r="E1218" s="10">
        <v>200000</v>
      </c>
      <c r="F1218" s="8">
        <v>0.0238</v>
      </c>
      <c r="G1218" s="11">
        <v>45860</v>
      </c>
      <c r="H1218" s="12">
        <f t="shared" ref="H1218:H1281" si="19">E1218*F1218</f>
        <v>4760</v>
      </c>
      <c r="I1218" s="10" t="s">
        <v>10</v>
      </c>
      <c r="J1218" s="13">
        <v>45827</v>
      </c>
      <c r="K1218" t="s">
        <v>405</v>
      </c>
    </row>
    <row r="1219" hidden="1" spans="1:11">
      <c r="A1219" t="s">
        <v>319</v>
      </c>
      <c r="B1219" s="8">
        <v>252601037</v>
      </c>
      <c r="C1219" s="9">
        <v>45819</v>
      </c>
      <c r="D1219" s="8" t="s">
        <v>517</v>
      </c>
      <c r="E1219" s="10">
        <v>120000</v>
      </c>
      <c r="F1219" s="8">
        <v>0.0238</v>
      </c>
      <c r="G1219" s="11">
        <v>45891</v>
      </c>
      <c r="H1219" s="12">
        <f t="shared" si="19"/>
        <v>2856</v>
      </c>
      <c r="I1219" s="10" t="s">
        <v>10</v>
      </c>
      <c r="J1219" s="13">
        <v>45827</v>
      </c>
      <c r="K1219" t="s">
        <v>405</v>
      </c>
    </row>
    <row r="1220" hidden="1" spans="1:11">
      <c r="A1220" t="s">
        <v>319</v>
      </c>
      <c r="B1220" s="8">
        <v>252601037</v>
      </c>
      <c r="C1220" s="9">
        <v>45819</v>
      </c>
      <c r="D1220" s="8" t="s">
        <v>517</v>
      </c>
      <c r="E1220" s="10">
        <v>120000</v>
      </c>
      <c r="F1220" s="8">
        <v>0.0238</v>
      </c>
      <c r="G1220" s="11">
        <v>45891</v>
      </c>
      <c r="H1220" s="12">
        <f t="shared" si="19"/>
        <v>2856</v>
      </c>
      <c r="I1220" s="10" t="s">
        <v>10</v>
      </c>
      <c r="J1220" s="13">
        <v>45827</v>
      </c>
      <c r="K1220" t="s">
        <v>405</v>
      </c>
    </row>
    <row r="1221" hidden="1" spans="1:11">
      <c r="A1221" t="s">
        <v>319</v>
      </c>
      <c r="B1221" s="8">
        <v>252601038</v>
      </c>
      <c r="C1221" s="9">
        <v>45819</v>
      </c>
      <c r="D1221" s="8" t="s">
        <v>103</v>
      </c>
      <c r="E1221" s="10">
        <v>120000</v>
      </c>
      <c r="F1221" s="8">
        <v>0.028</v>
      </c>
      <c r="G1221" s="11">
        <v>45922</v>
      </c>
      <c r="H1221" s="12">
        <f t="shared" si="19"/>
        <v>3360</v>
      </c>
      <c r="I1221" s="10" t="s">
        <v>10</v>
      </c>
      <c r="J1221" s="13">
        <v>45880</v>
      </c>
      <c r="K1221" t="s">
        <v>405</v>
      </c>
    </row>
    <row r="1222" hidden="1" spans="1:11">
      <c r="A1222" t="s">
        <v>319</v>
      </c>
      <c r="B1222" s="8">
        <v>252601038</v>
      </c>
      <c r="C1222" s="9">
        <v>45819</v>
      </c>
      <c r="D1222" s="8" t="s">
        <v>103</v>
      </c>
      <c r="E1222" s="10">
        <v>100000</v>
      </c>
      <c r="F1222" s="8">
        <v>0.028</v>
      </c>
      <c r="G1222" s="11">
        <v>45950</v>
      </c>
      <c r="H1222" s="12">
        <f t="shared" si="19"/>
        <v>2800</v>
      </c>
      <c r="I1222" s="10" t="s">
        <v>10</v>
      </c>
      <c r="J1222" s="13">
        <v>45880</v>
      </c>
      <c r="K1222" t="s">
        <v>405</v>
      </c>
    </row>
    <row r="1223" hidden="1" spans="1:11">
      <c r="A1223" t="s">
        <v>319</v>
      </c>
      <c r="B1223" s="8">
        <v>252601038</v>
      </c>
      <c r="C1223" s="9">
        <v>45819</v>
      </c>
      <c r="D1223" s="8" t="s">
        <v>67</v>
      </c>
      <c r="E1223" s="10">
        <v>180000</v>
      </c>
      <c r="F1223" s="8">
        <v>0.028</v>
      </c>
      <c r="G1223" s="11">
        <v>45922</v>
      </c>
      <c r="H1223" s="12">
        <f t="shared" si="19"/>
        <v>5040</v>
      </c>
      <c r="I1223" s="10" t="s">
        <v>10</v>
      </c>
      <c r="J1223" s="13">
        <v>45880</v>
      </c>
      <c r="K1223" t="s">
        <v>405</v>
      </c>
    </row>
    <row r="1224" hidden="1" spans="1:11">
      <c r="A1224" t="s">
        <v>319</v>
      </c>
      <c r="B1224" s="8">
        <v>252601038</v>
      </c>
      <c r="C1224" s="9">
        <v>45819</v>
      </c>
      <c r="D1224" s="8" t="s">
        <v>67</v>
      </c>
      <c r="E1224" s="10">
        <v>160000</v>
      </c>
      <c r="F1224" s="8">
        <v>0.028</v>
      </c>
      <c r="G1224" s="11">
        <v>45950</v>
      </c>
      <c r="H1224" s="12">
        <f t="shared" si="19"/>
        <v>4480</v>
      </c>
      <c r="I1224" s="10" t="s">
        <v>10</v>
      </c>
      <c r="J1224" s="13">
        <v>45880</v>
      </c>
      <c r="K1224" t="s">
        <v>405</v>
      </c>
    </row>
    <row r="1225" hidden="1" spans="1:11">
      <c r="A1225" t="s">
        <v>319</v>
      </c>
      <c r="B1225" s="8">
        <v>252601038</v>
      </c>
      <c r="C1225" s="9">
        <v>45819</v>
      </c>
      <c r="D1225" s="8" t="s">
        <v>36</v>
      </c>
      <c r="E1225" s="10">
        <v>153000</v>
      </c>
      <c r="F1225" s="8">
        <v>0.00656</v>
      </c>
      <c r="G1225" s="11">
        <v>45922</v>
      </c>
      <c r="H1225" s="12">
        <f t="shared" si="19"/>
        <v>1003.68</v>
      </c>
      <c r="I1225" s="10" t="s">
        <v>10</v>
      </c>
      <c r="J1225" s="13">
        <v>45883</v>
      </c>
      <c r="K1225" t="s">
        <v>405</v>
      </c>
    </row>
    <row r="1226" hidden="1" spans="1:11">
      <c r="A1226" t="s">
        <v>319</v>
      </c>
      <c r="B1226" s="8">
        <v>252601038</v>
      </c>
      <c r="C1226" s="9">
        <v>45819</v>
      </c>
      <c r="D1226" s="8" t="s">
        <v>36</v>
      </c>
      <c r="E1226" s="10">
        <v>153000</v>
      </c>
      <c r="F1226" s="8">
        <v>0.00656</v>
      </c>
      <c r="G1226" s="11">
        <v>45922</v>
      </c>
      <c r="H1226" s="12">
        <f t="shared" si="19"/>
        <v>1003.68</v>
      </c>
      <c r="I1226" s="10" t="s">
        <v>10</v>
      </c>
      <c r="J1226" s="13">
        <v>45883</v>
      </c>
      <c r="K1226" t="s">
        <v>405</v>
      </c>
    </row>
    <row r="1227" hidden="1" spans="1:11">
      <c r="A1227" t="s">
        <v>319</v>
      </c>
      <c r="B1227" s="8">
        <v>252601038</v>
      </c>
      <c r="C1227" s="9">
        <v>45819</v>
      </c>
      <c r="D1227" s="8" t="s">
        <v>36</v>
      </c>
      <c r="E1227" s="10">
        <v>150000</v>
      </c>
      <c r="F1227" s="8">
        <v>0.00656</v>
      </c>
      <c r="G1227" s="11">
        <v>45950</v>
      </c>
      <c r="H1227" s="12">
        <f t="shared" si="19"/>
        <v>984</v>
      </c>
      <c r="I1227" s="10" t="s">
        <v>10</v>
      </c>
      <c r="J1227" s="13">
        <v>45883</v>
      </c>
      <c r="K1227" t="s">
        <v>405</v>
      </c>
    </row>
    <row r="1228" hidden="1" spans="1:11">
      <c r="A1228" t="s">
        <v>319</v>
      </c>
      <c r="B1228" s="8">
        <v>252601038</v>
      </c>
      <c r="C1228" s="9">
        <v>45819</v>
      </c>
      <c r="D1228" s="8" t="s">
        <v>36</v>
      </c>
      <c r="E1228" s="10">
        <v>150000</v>
      </c>
      <c r="F1228" s="8">
        <v>0.00656</v>
      </c>
      <c r="G1228" s="11">
        <v>45950</v>
      </c>
      <c r="H1228" s="12">
        <f t="shared" si="19"/>
        <v>984</v>
      </c>
      <c r="I1228" s="10" t="s">
        <v>10</v>
      </c>
      <c r="J1228" s="13">
        <v>45883</v>
      </c>
      <c r="K1228" t="s">
        <v>405</v>
      </c>
    </row>
    <row r="1229" hidden="1" spans="1:11">
      <c r="A1229" t="s">
        <v>319</v>
      </c>
      <c r="B1229" s="8">
        <v>252601038</v>
      </c>
      <c r="C1229" s="9">
        <v>45819</v>
      </c>
      <c r="D1229" s="8" t="s">
        <v>517</v>
      </c>
      <c r="E1229" s="10">
        <v>130000</v>
      </c>
      <c r="F1229" s="8">
        <v>0.0238</v>
      </c>
      <c r="G1229" s="11">
        <v>45922</v>
      </c>
      <c r="H1229" s="12">
        <f t="shared" si="19"/>
        <v>3094</v>
      </c>
      <c r="I1229" s="10" t="s">
        <v>10</v>
      </c>
      <c r="J1229" s="13">
        <v>45880</v>
      </c>
      <c r="K1229" t="s">
        <v>405</v>
      </c>
    </row>
    <row r="1230" hidden="1" spans="1:11">
      <c r="A1230" t="s">
        <v>319</v>
      </c>
      <c r="B1230" s="8">
        <v>252601038</v>
      </c>
      <c r="C1230" s="9">
        <v>45819</v>
      </c>
      <c r="D1230" s="8" t="s">
        <v>517</v>
      </c>
      <c r="E1230" s="10">
        <v>120000</v>
      </c>
      <c r="F1230" s="8">
        <v>0.0238</v>
      </c>
      <c r="G1230" s="11">
        <v>45952</v>
      </c>
      <c r="H1230" s="12">
        <f t="shared" si="19"/>
        <v>2856</v>
      </c>
      <c r="I1230" s="10" t="s">
        <v>10</v>
      </c>
      <c r="J1230" s="13">
        <v>45880</v>
      </c>
      <c r="K1230" t="s">
        <v>405</v>
      </c>
    </row>
    <row r="1231" hidden="1" spans="1:11">
      <c r="A1231" t="s">
        <v>319</v>
      </c>
      <c r="B1231" s="8">
        <v>252601040</v>
      </c>
      <c r="C1231" s="9">
        <v>45820</v>
      </c>
      <c r="D1231" s="8" t="s">
        <v>181</v>
      </c>
      <c r="E1231" s="10">
        <v>200000</v>
      </c>
      <c r="F1231" s="8">
        <v>0.0243</v>
      </c>
      <c r="G1231" s="11">
        <v>45830</v>
      </c>
      <c r="H1231" s="12">
        <f t="shared" si="19"/>
        <v>4860</v>
      </c>
      <c r="I1231" s="10" t="s">
        <v>10</v>
      </c>
      <c r="J1231" s="13">
        <v>45855</v>
      </c>
      <c r="K1231" t="s">
        <v>439</v>
      </c>
    </row>
    <row r="1232" hidden="1" spans="1:11">
      <c r="A1232" t="s">
        <v>319</v>
      </c>
      <c r="B1232" s="8">
        <v>252601046</v>
      </c>
      <c r="C1232" s="9">
        <v>45820</v>
      </c>
      <c r="D1232" s="8" t="s">
        <v>555</v>
      </c>
      <c r="E1232" s="10">
        <v>50000</v>
      </c>
      <c r="F1232" s="8">
        <v>0.028</v>
      </c>
      <c r="G1232" s="11">
        <v>46195</v>
      </c>
      <c r="H1232" s="12">
        <f t="shared" si="19"/>
        <v>1400</v>
      </c>
      <c r="I1232" s="10" t="s">
        <v>10</v>
      </c>
      <c r="J1232" s="13">
        <v>45854</v>
      </c>
      <c r="K1232" t="s">
        <v>467</v>
      </c>
    </row>
    <row r="1233" hidden="1" spans="1:11">
      <c r="A1233" t="s">
        <v>319</v>
      </c>
      <c r="B1233" s="8">
        <v>252601046</v>
      </c>
      <c r="C1233" s="9">
        <v>45820</v>
      </c>
      <c r="D1233" s="8" t="s">
        <v>555</v>
      </c>
      <c r="E1233" s="10">
        <v>24000</v>
      </c>
      <c r="F1233" s="8">
        <v>0.028</v>
      </c>
      <c r="G1233" s="11">
        <v>46195</v>
      </c>
      <c r="H1233" s="12">
        <f t="shared" si="19"/>
        <v>672</v>
      </c>
      <c r="I1233" s="10" t="s">
        <v>10</v>
      </c>
      <c r="J1233" s="13">
        <v>45854</v>
      </c>
      <c r="K1233" t="s">
        <v>467</v>
      </c>
    </row>
    <row r="1234" hidden="1" spans="1:11">
      <c r="A1234" t="s">
        <v>319</v>
      </c>
      <c r="B1234" s="8">
        <v>252601046</v>
      </c>
      <c r="C1234" s="9">
        <v>45820</v>
      </c>
      <c r="D1234" s="8" t="s">
        <v>555</v>
      </c>
      <c r="E1234" s="10">
        <v>20000</v>
      </c>
      <c r="F1234" s="8">
        <v>0.028</v>
      </c>
      <c r="G1234" s="11">
        <v>46195</v>
      </c>
      <c r="H1234" s="12">
        <f t="shared" si="19"/>
        <v>560</v>
      </c>
      <c r="I1234" s="10" t="s">
        <v>10</v>
      </c>
      <c r="J1234" s="13">
        <v>45854</v>
      </c>
      <c r="K1234" t="s">
        <v>467</v>
      </c>
    </row>
    <row r="1235" hidden="1" spans="1:11">
      <c r="A1235" t="s">
        <v>319</v>
      </c>
      <c r="B1235" s="8">
        <v>252601053</v>
      </c>
      <c r="C1235" s="9">
        <v>45821</v>
      </c>
      <c r="D1235" s="8" t="s">
        <v>30</v>
      </c>
      <c r="E1235" s="10">
        <v>200000</v>
      </c>
      <c r="F1235" s="8">
        <v>0.026</v>
      </c>
      <c r="G1235" s="11">
        <v>45952</v>
      </c>
      <c r="H1235" s="12">
        <f t="shared" si="19"/>
        <v>5200</v>
      </c>
      <c r="I1235" s="10" t="s">
        <v>10</v>
      </c>
      <c r="J1235" s="13">
        <v>45835</v>
      </c>
      <c r="K1235" t="s">
        <v>378</v>
      </c>
    </row>
    <row r="1236" hidden="1" spans="1:11">
      <c r="A1236" t="s">
        <v>319</v>
      </c>
      <c r="B1236" s="8">
        <v>252601054</v>
      </c>
      <c r="C1236" s="9">
        <v>45821</v>
      </c>
      <c r="D1236" s="8" t="s">
        <v>100</v>
      </c>
      <c r="E1236" s="10">
        <v>40000</v>
      </c>
      <c r="F1236" s="8">
        <v>0.0224</v>
      </c>
      <c r="G1236" s="11">
        <v>45830</v>
      </c>
      <c r="H1236" s="12">
        <f t="shared" si="19"/>
        <v>896</v>
      </c>
      <c r="I1236" s="10" t="s">
        <v>10</v>
      </c>
      <c r="J1236" s="13">
        <v>45835</v>
      </c>
      <c r="K1236" t="s">
        <v>377</v>
      </c>
    </row>
    <row r="1237" hidden="1" spans="1:11">
      <c r="A1237" t="s">
        <v>319</v>
      </c>
      <c r="B1237" s="8">
        <v>252601054</v>
      </c>
      <c r="C1237" s="9">
        <v>45821</v>
      </c>
      <c r="D1237" s="8" t="s">
        <v>487</v>
      </c>
      <c r="E1237" s="10">
        <v>96000</v>
      </c>
      <c r="F1237" s="8">
        <v>0.015</v>
      </c>
      <c r="G1237" s="11">
        <v>45830</v>
      </c>
      <c r="H1237" s="12">
        <f t="shared" si="19"/>
        <v>1440</v>
      </c>
      <c r="I1237" s="10" t="s">
        <v>10</v>
      </c>
      <c r="J1237" s="13">
        <v>45827</v>
      </c>
      <c r="K1237" t="s">
        <v>377</v>
      </c>
    </row>
    <row r="1238" hidden="1" spans="1:11">
      <c r="A1238" t="s">
        <v>319</v>
      </c>
      <c r="B1238" s="8">
        <v>252601054</v>
      </c>
      <c r="C1238" s="9">
        <v>45821</v>
      </c>
      <c r="D1238" s="8" t="s">
        <v>487</v>
      </c>
      <c r="E1238" s="10">
        <v>96000</v>
      </c>
      <c r="F1238" s="8">
        <v>0.015</v>
      </c>
      <c r="G1238" s="11">
        <v>45860</v>
      </c>
      <c r="H1238" s="12">
        <f t="shared" si="19"/>
        <v>1440</v>
      </c>
      <c r="I1238" s="10" t="s">
        <v>10</v>
      </c>
      <c r="J1238" s="13">
        <v>45827</v>
      </c>
      <c r="K1238" t="s">
        <v>377</v>
      </c>
    </row>
    <row r="1239" hidden="1" spans="1:11">
      <c r="A1239" t="s">
        <v>319</v>
      </c>
      <c r="B1239" s="8">
        <v>252601055</v>
      </c>
      <c r="C1239" s="9">
        <v>45821</v>
      </c>
      <c r="D1239" s="8" t="s">
        <v>162</v>
      </c>
      <c r="E1239" s="10">
        <v>200000</v>
      </c>
      <c r="F1239" s="8">
        <v>0.05</v>
      </c>
      <c r="G1239" s="11">
        <v>45874</v>
      </c>
      <c r="H1239" s="12">
        <f t="shared" si="19"/>
        <v>10000</v>
      </c>
      <c r="I1239" s="10" t="s">
        <v>10</v>
      </c>
      <c r="J1239" s="13">
        <v>45876</v>
      </c>
      <c r="K1239" t="s">
        <v>377</v>
      </c>
    </row>
    <row r="1240" hidden="1" spans="1:11">
      <c r="A1240" t="s">
        <v>319</v>
      </c>
      <c r="B1240" s="8">
        <v>252601055</v>
      </c>
      <c r="C1240" s="9">
        <v>45821</v>
      </c>
      <c r="D1240" s="8" t="s">
        <v>487</v>
      </c>
      <c r="E1240" s="10">
        <v>112000</v>
      </c>
      <c r="F1240" s="8">
        <v>0.015</v>
      </c>
      <c r="G1240" s="11">
        <v>45874</v>
      </c>
      <c r="H1240" s="12">
        <f t="shared" si="19"/>
        <v>1680</v>
      </c>
      <c r="I1240" s="10" t="s">
        <v>10</v>
      </c>
      <c r="J1240" s="13">
        <v>45876</v>
      </c>
      <c r="K1240" t="s">
        <v>377</v>
      </c>
    </row>
    <row r="1241" hidden="1" spans="1:11">
      <c r="A1241" t="s">
        <v>319</v>
      </c>
      <c r="B1241" s="8">
        <v>252601055</v>
      </c>
      <c r="C1241" s="9">
        <v>45821</v>
      </c>
      <c r="D1241" s="8" t="s">
        <v>509</v>
      </c>
      <c r="E1241" s="10">
        <v>30000</v>
      </c>
      <c r="F1241" s="8">
        <v>0.16</v>
      </c>
      <c r="G1241" s="11">
        <v>45874</v>
      </c>
      <c r="H1241" s="12">
        <f t="shared" si="19"/>
        <v>4800</v>
      </c>
      <c r="I1241" s="10" t="s">
        <v>10</v>
      </c>
      <c r="J1241" s="13">
        <v>45877</v>
      </c>
      <c r="K1241" t="s">
        <v>377</v>
      </c>
    </row>
    <row r="1242" hidden="1" spans="1:11">
      <c r="A1242" t="s">
        <v>319</v>
      </c>
      <c r="B1242" s="8">
        <v>252601055</v>
      </c>
      <c r="C1242" s="9">
        <v>45821</v>
      </c>
      <c r="D1242" s="8" t="s">
        <v>183</v>
      </c>
      <c r="E1242" s="10">
        <v>20000</v>
      </c>
      <c r="F1242" s="8">
        <v>0.5</v>
      </c>
      <c r="G1242" s="11">
        <v>45874</v>
      </c>
      <c r="H1242" s="12">
        <f t="shared" si="19"/>
        <v>10000</v>
      </c>
      <c r="I1242" s="10" t="s">
        <v>10</v>
      </c>
      <c r="J1242" s="13">
        <v>45876</v>
      </c>
      <c r="K1242" t="s">
        <v>377</v>
      </c>
    </row>
    <row r="1243" hidden="1" spans="1:11">
      <c r="A1243" t="s">
        <v>319</v>
      </c>
      <c r="B1243" s="8">
        <v>252601055</v>
      </c>
      <c r="C1243" s="9">
        <v>45821</v>
      </c>
      <c r="D1243" s="8" t="s">
        <v>162</v>
      </c>
      <c r="E1243" s="10">
        <v>200000</v>
      </c>
      <c r="F1243" s="8">
        <v>0.05</v>
      </c>
      <c r="G1243" s="11">
        <v>45905</v>
      </c>
      <c r="H1243" s="12">
        <f t="shared" si="19"/>
        <v>10000</v>
      </c>
      <c r="I1243" s="10" t="s">
        <v>10</v>
      </c>
      <c r="J1243" s="13">
        <v>45876</v>
      </c>
      <c r="K1243" t="s">
        <v>377</v>
      </c>
    </row>
    <row r="1244" hidden="1" spans="1:11">
      <c r="A1244" t="s">
        <v>319</v>
      </c>
      <c r="B1244" s="8">
        <v>252601055</v>
      </c>
      <c r="C1244" s="9">
        <v>45821</v>
      </c>
      <c r="D1244" s="8" t="s">
        <v>487</v>
      </c>
      <c r="E1244" s="10">
        <v>96000</v>
      </c>
      <c r="F1244" s="8">
        <v>0.015</v>
      </c>
      <c r="G1244" s="11">
        <v>45905</v>
      </c>
      <c r="H1244" s="12">
        <f t="shared" si="19"/>
        <v>1440</v>
      </c>
      <c r="I1244" s="10" t="s">
        <v>10</v>
      </c>
      <c r="J1244" s="13">
        <v>45876</v>
      </c>
      <c r="K1244" t="s">
        <v>377</v>
      </c>
    </row>
    <row r="1245" hidden="1" spans="1:11">
      <c r="A1245" t="s">
        <v>319</v>
      </c>
      <c r="B1245" s="8">
        <v>252601055</v>
      </c>
      <c r="C1245" s="9">
        <v>45821</v>
      </c>
      <c r="D1245" s="8" t="s">
        <v>509</v>
      </c>
      <c r="E1245" s="10">
        <v>30000</v>
      </c>
      <c r="F1245" s="8">
        <v>0.16</v>
      </c>
      <c r="G1245" s="11">
        <v>45905</v>
      </c>
      <c r="H1245" s="12">
        <f t="shared" si="19"/>
        <v>4800</v>
      </c>
      <c r="I1245" s="10" t="s">
        <v>10</v>
      </c>
      <c r="J1245" s="13">
        <v>45877</v>
      </c>
      <c r="K1245" t="s">
        <v>377</v>
      </c>
    </row>
    <row r="1246" hidden="1" spans="1:11">
      <c r="A1246" t="s">
        <v>319</v>
      </c>
      <c r="B1246" s="8">
        <v>252601055</v>
      </c>
      <c r="C1246" s="9">
        <v>45821</v>
      </c>
      <c r="D1246" s="8" t="s">
        <v>502</v>
      </c>
      <c r="E1246" s="10">
        <v>50000</v>
      </c>
      <c r="F1246" s="8">
        <v>0.1</v>
      </c>
      <c r="G1246" s="11">
        <v>45905</v>
      </c>
      <c r="H1246" s="12">
        <f t="shared" si="19"/>
        <v>5000</v>
      </c>
      <c r="I1246" s="10" t="s">
        <v>10</v>
      </c>
      <c r="J1246" s="13">
        <v>45876</v>
      </c>
      <c r="K1246" t="s">
        <v>377</v>
      </c>
    </row>
    <row r="1247" hidden="1" spans="1:11">
      <c r="A1247" t="s">
        <v>319</v>
      </c>
      <c r="B1247" s="8">
        <v>252601056</v>
      </c>
      <c r="C1247" s="9">
        <v>45821</v>
      </c>
      <c r="D1247" s="8" t="s">
        <v>40</v>
      </c>
      <c r="E1247" s="10">
        <v>100000</v>
      </c>
      <c r="F1247" s="8">
        <v>0.035</v>
      </c>
      <c r="G1247" s="11">
        <v>45935</v>
      </c>
      <c r="H1247" s="12">
        <f t="shared" si="19"/>
        <v>3500</v>
      </c>
      <c r="I1247" s="10" t="s">
        <v>10</v>
      </c>
      <c r="J1247" s="13">
        <v>45842</v>
      </c>
      <c r="K1247" t="s">
        <v>377</v>
      </c>
    </row>
    <row r="1248" hidden="1" spans="1:11">
      <c r="A1248" t="s">
        <v>319</v>
      </c>
      <c r="B1248" s="8">
        <v>252601056</v>
      </c>
      <c r="C1248" s="9">
        <v>45821</v>
      </c>
      <c r="D1248" s="8" t="s">
        <v>40</v>
      </c>
      <c r="E1248" s="10">
        <v>100000</v>
      </c>
      <c r="F1248" s="8">
        <v>0.035</v>
      </c>
      <c r="G1248" s="11">
        <v>45935</v>
      </c>
      <c r="H1248" s="12">
        <f t="shared" si="19"/>
        <v>3500</v>
      </c>
      <c r="I1248" s="10" t="s">
        <v>10</v>
      </c>
      <c r="J1248" s="13">
        <v>45842</v>
      </c>
      <c r="K1248" t="s">
        <v>377</v>
      </c>
    </row>
    <row r="1249" hidden="1" spans="1:11">
      <c r="A1249" t="s">
        <v>319</v>
      </c>
      <c r="B1249" s="8">
        <v>252601057</v>
      </c>
      <c r="C1249" s="9">
        <v>45821</v>
      </c>
      <c r="D1249" s="8" t="s">
        <v>105</v>
      </c>
      <c r="E1249" s="10">
        <v>20000</v>
      </c>
      <c r="F1249" s="8">
        <v>0.18</v>
      </c>
      <c r="G1249" s="11">
        <v>45905</v>
      </c>
      <c r="H1249" s="12">
        <f t="shared" si="19"/>
        <v>3600</v>
      </c>
      <c r="I1249" s="10" t="s">
        <v>10</v>
      </c>
      <c r="J1249" s="13">
        <v>45880</v>
      </c>
      <c r="K1249" t="s">
        <v>377</v>
      </c>
    </row>
    <row r="1250" hidden="1" spans="1:11">
      <c r="A1250" t="s">
        <v>319</v>
      </c>
      <c r="B1250" s="8">
        <v>252601057</v>
      </c>
      <c r="C1250" s="9">
        <v>45821</v>
      </c>
      <c r="D1250" s="8" t="s">
        <v>497</v>
      </c>
      <c r="E1250" s="10">
        <v>20000</v>
      </c>
      <c r="F1250" s="8">
        <v>0.17</v>
      </c>
      <c r="G1250" s="11">
        <v>45905</v>
      </c>
      <c r="H1250" s="12">
        <f t="shared" si="19"/>
        <v>3400</v>
      </c>
      <c r="I1250" s="10" t="s">
        <v>10</v>
      </c>
      <c r="J1250" s="13">
        <v>45880</v>
      </c>
      <c r="K1250" t="s">
        <v>377</v>
      </c>
    </row>
    <row r="1251" hidden="1" spans="1:11">
      <c r="A1251" t="s">
        <v>319</v>
      </c>
      <c r="B1251" s="8">
        <v>252601057</v>
      </c>
      <c r="C1251" s="9">
        <v>45821</v>
      </c>
      <c r="D1251" s="8" t="s">
        <v>162</v>
      </c>
      <c r="E1251" s="10">
        <v>100000</v>
      </c>
      <c r="F1251" s="8">
        <v>0.05</v>
      </c>
      <c r="G1251" s="11">
        <v>45935</v>
      </c>
      <c r="H1251" s="12">
        <f t="shared" si="19"/>
        <v>5000</v>
      </c>
      <c r="I1251" s="10" t="s">
        <v>10</v>
      </c>
      <c r="J1251" s="13">
        <v>45880</v>
      </c>
      <c r="K1251" t="s">
        <v>377</v>
      </c>
    </row>
    <row r="1252" hidden="1" spans="1:11">
      <c r="A1252" t="s">
        <v>319</v>
      </c>
      <c r="B1252" s="8">
        <v>252601057</v>
      </c>
      <c r="C1252" s="9">
        <v>45821</v>
      </c>
      <c r="D1252" s="8" t="s">
        <v>50</v>
      </c>
      <c r="E1252" s="10">
        <v>60000</v>
      </c>
      <c r="F1252" s="8">
        <v>0.08</v>
      </c>
      <c r="G1252" s="11">
        <v>45935</v>
      </c>
      <c r="H1252" s="12">
        <f t="shared" si="19"/>
        <v>4800</v>
      </c>
      <c r="I1252" s="10" t="s">
        <v>10</v>
      </c>
      <c r="J1252" s="13">
        <v>45880</v>
      </c>
      <c r="K1252" t="s">
        <v>377</v>
      </c>
    </row>
    <row r="1253" hidden="1" spans="1:11">
      <c r="A1253" t="s">
        <v>319</v>
      </c>
      <c r="B1253" s="8">
        <v>252601057</v>
      </c>
      <c r="C1253" s="9">
        <v>45821</v>
      </c>
      <c r="D1253" s="8" t="s">
        <v>511</v>
      </c>
      <c r="E1253" s="10">
        <v>20000</v>
      </c>
      <c r="F1253" s="8">
        <v>0.041</v>
      </c>
      <c r="G1253" s="11">
        <v>45935</v>
      </c>
      <c r="H1253" s="12">
        <f t="shared" si="19"/>
        <v>820</v>
      </c>
      <c r="I1253" s="10" t="s">
        <v>10</v>
      </c>
      <c r="J1253" s="13">
        <v>45880</v>
      </c>
      <c r="K1253" t="s">
        <v>377</v>
      </c>
    </row>
    <row r="1254" hidden="1" spans="1:11">
      <c r="A1254" t="s">
        <v>319</v>
      </c>
      <c r="B1254" s="8">
        <v>252601057</v>
      </c>
      <c r="C1254" s="9">
        <v>45821</v>
      </c>
      <c r="D1254" s="8" t="s">
        <v>46</v>
      </c>
      <c r="E1254" s="10">
        <v>40000</v>
      </c>
      <c r="F1254" s="8">
        <v>0.02</v>
      </c>
      <c r="G1254" s="11">
        <v>45935</v>
      </c>
      <c r="H1254" s="12">
        <f t="shared" si="19"/>
        <v>800</v>
      </c>
      <c r="I1254" s="10" t="s">
        <v>10</v>
      </c>
      <c r="J1254" s="13">
        <v>45880</v>
      </c>
      <c r="K1254" t="s">
        <v>377</v>
      </c>
    </row>
    <row r="1255" hidden="1" spans="1:11">
      <c r="A1255" t="s">
        <v>319</v>
      </c>
      <c r="B1255" s="8">
        <v>252601057</v>
      </c>
      <c r="C1255" s="9">
        <v>45821</v>
      </c>
      <c r="D1255" s="8" t="s">
        <v>40</v>
      </c>
      <c r="E1255" s="10">
        <v>100000</v>
      </c>
      <c r="F1255" s="8">
        <v>0.035</v>
      </c>
      <c r="G1255" s="11">
        <v>45935</v>
      </c>
      <c r="H1255" s="12">
        <f t="shared" si="19"/>
        <v>3500</v>
      </c>
      <c r="I1255" s="10" t="s">
        <v>10</v>
      </c>
      <c r="J1255" s="13">
        <v>45883</v>
      </c>
      <c r="K1255" t="s">
        <v>377</v>
      </c>
    </row>
    <row r="1256" hidden="1" spans="1:11">
      <c r="A1256" t="s">
        <v>319</v>
      </c>
      <c r="B1256" s="8">
        <v>252601057</v>
      </c>
      <c r="C1256" s="9">
        <v>45821</v>
      </c>
      <c r="D1256" s="8" t="s">
        <v>509</v>
      </c>
      <c r="E1256" s="10">
        <v>20000</v>
      </c>
      <c r="F1256" s="8">
        <v>0.16</v>
      </c>
      <c r="G1256" s="11">
        <v>45935</v>
      </c>
      <c r="H1256" s="12">
        <f t="shared" si="19"/>
        <v>3200</v>
      </c>
      <c r="I1256" s="10" t="s">
        <v>10</v>
      </c>
      <c r="J1256" s="13">
        <v>45880</v>
      </c>
      <c r="K1256" t="s">
        <v>377</v>
      </c>
    </row>
    <row r="1257" hidden="1" spans="1:11">
      <c r="A1257" t="s">
        <v>319</v>
      </c>
      <c r="B1257" s="8">
        <v>252601057</v>
      </c>
      <c r="C1257" s="9">
        <v>45821</v>
      </c>
      <c r="D1257" s="8" t="s">
        <v>502</v>
      </c>
      <c r="E1257" s="10">
        <v>40000</v>
      </c>
      <c r="F1257" s="8">
        <v>0.1</v>
      </c>
      <c r="G1257" s="11">
        <v>45935</v>
      </c>
      <c r="H1257" s="12">
        <f t="shared" si="19"/>
        <v>4000</v>
      </c>
      <c r="I1257" s="10" t="s">
        <v>10</v>
      </c>
      <c r="J1257" s="13">
        <v>45880</v>
      </c>
      <c r="K1257" t="s">
        <v>377</v>
      </c>
    </row>
    <row r="1258" hidden="1" spans="1:11">
      <c r="A1258" t="s">
        <v>319</v>
      </c>
      <c r="B1258" s="8">
        <v>252601057</v>
      </c>
      <c r="C1258" s="9">
        <v>45821</v>
      </c>
      <c r="D1258" s="8" t="s">
        <v>105</v>
      </c>
      <c r="E1258" s="10">
        <v>20000</v>
      </c>
      <c r="F1258" s="8">
        <v>0.18</v>
      </c>
      <c r="G1258" s="11">
        <v>45935</v>
      </c>
      <c r="H1258" s="12">
        <f t="shared" si="19"/>
        <v>3600</v>
      </c>
      <c r="I1258" s="10" t="s">
        <v>10</v>
      </c>
      <c r="J1258" s="13">
        <v>45880</v>
      </c>
      <c r="K1258" t="s">
        <v>377</v>
      </c>
    </row>
    <row r="1259" hidden="1" spans="1:11">
      <c r="A1259" t="s">
        <v>319</v>
      </c>
      <c r="B1259" s="8">
        <v>252601057</v>
      </c>
      <c r="C1259" s="9">
        <v>45821</v>
      </c>
      <c r="D1259" s="8" t="s">
        <v>549</v>
      </c>
      <c r="E1259" s="10">
        <v>20000</v>
      </c>
      <c r="F1259" s="8">
        <v>0.22</v>
      </c>
      <c r="G1259" s="11">
        <v>45935</v>
      </c>
      <c r="H1259" s="12">
        <f t="shared" si="19"/>
        <v>4400</v>
      </c>
      <c r="I1259" s="10" t="s">
        <v>10</v>
      </c>
      <c r="J1259" s="13">
        <v>45880</v>
      </c>
      <c r="K1259" t="s">
        <v>377</v>
      </c>
    </row>
    <row r="1260" hidden="1" spans="1:11">
      <c r="A1260" t="s">
        <v>319</v>
      </c>
      <c r="B1260" s="8">
        <v>252601057</v>
      </c>
      <c r="C1260" s="9">
        <v>45821</v>
      </c>
      <c r="D1260" s="8" t="s">
        <v>183</v>
      </c>
      <c r="E1260" s="10">
        <v>20000</v>
      </c>
      <c r="F1260" s="8">
        <v>0.5</v>
      </c>
      <c r="G1260" s="11">
        <v>45905</v>
      </c>
      <c r="H1260" s="12">
        <f t="shared" si="19"/>
        <v>10000</v>
      </c>
      <c r="I1260" s="10" t="s">
        <v>10</v>
      </c>
      <c r="J1260" s="13">
        <v>45880</v>
      </c>
      <c r="K1260" t="s">
        <v>377</v>
      </c>
    </row>
    <row r="1261" hidden="1" spans="1:11">
      <c r="A1261" t="s">
        <v>319</v>
      </c>
      <c r="B1261" s="8">
        <v>252601077</v>
      </c>
      <c r="C1261" s="9">
        <v>45824</v>
      </c>
      <c r="D1261" s="8" t="s">
        <v>479</v>
      </c>
      <c r="E1261" s="10">
        <v>20000</v>
      </c>
      <c r="F1261" s="8">
        <v>0.0315</v>
      </c>
      <c r="G1261" s="11">
        <v>45843</v>
      </c>
      <c r="H1261" s="12">
        <f t="shared" si="19"/>
        <v>630</v>
      </c>
      <c r="I1261" s="10" t="s">
        <v>10</v>
      </c>
      <c r="J1261" s="13">
        <v>45827</v>
      </c>
      <c r="K1261" t="s">
        <v>519</v>
      </c>
    </row>
    <row r="1262" hidden="1" spans="1:11">
      <c r="A1262" t="s">
        <v>319</v>
      </c>
      <c r="B1262" s="8">
        <v>252601077</v>
      </c>
      <c r="C1262" s="9">
        <v>45824</v>
      </c>
      <c r="D1262" s="8" t="s">
        <v>479</v>
      </c>
      <c r="E1262" s="10">
        <v>20000</v>
      </c>
      <c r="F1262" s="8">
        <v>0.0315</v>
      </c>
      <c r="G1262" s="11">
        <v>45860</v>
      </c>
      <c r="H1262" s="12">
        <f t="shared" si="19"/>
        <v>630</v>
      </c>
      <c r="I1262" s="10" t="s">
        <v>10</v>
      </c>
      <c r="J1262" s="13">
        <v>45827</v>
      </c>
      <c r="K1262" t="s">
        <v>519</v>
      </c>
    </row>
    <row r="1263" hidden="1" spans="1:11">
      <c r="A1263" t="s">
        <v>319</v>
      </c>
      <c r="B1263" s="8">
        <v>252601081</v>
      </c>
      <c r="C1263" s="9">
        <v>45824</v>
      </c>
      <c r="D1263" s="8" t="s">
        <v>479</v>
      </c>
      <c r="E1263" s="10">
        <v>20000</v>
      </c>
      <c r="F1263" s="8">
        <v>0.0315</v>
      </c>
      <c r="G1263" s="11">
        <v>46075</v>
      </c>
      <c r="H1263" s="12">
        <f t="shared" si="19"/>
        <v>630</v>
      </c>
      <c r="I1263" s="10" t="s">
        <v>10</v>
      </c>
      <c r="J1263" s="13">
        <v>45944</v>
      </c>
      <c r="K1263" t="s">
        <v>519</v>
      </c>
    </row>
    <row r="1264" hidden="1" spans="1:11">
      <c r="A1264" t="s">
        <v>319</v>
      </c>
      <c r="B1264" s="8">
        <v>252601081</v>
      </c>
      <c r="C1264" s="9">
        <v>45824</v>
      </c>
      <c r="D1264" s="8" t="s">
        <v>479</v>
      </c>
      <c r="E1264" s="10">
        <v>20000</v>
      </c>
      <c r="F1264" s="8">
        <v>0.0315</v>
      </c>
      <c r="G1264" s="11">
        <v>46044</v>
      </c>
      <c r="H1264" s="12">
        <f t="shared" si="19"/>
        <v>630</v>
      </c>
      <c r="I1264" s="10" t="s">
        <v>10</v>
      </c>
      <c r="J1264" s="13">
        <v>45944</v>
      </c>
      <c r="K1264" t="s">
        <v>519</v>
      </c>
    </row>
    <row r="1265" hidden="1" spans="1:11">
      <c r="A1265" t="s">
        <v>319</v>
      </c>
      <c r="B1265" s="8">
        <v>252601088</v>
      </c>
      <c r="C1265" s="9">
        <v>45825</v>
      </c>
      <c r="D1265" s="8" t="s">
        <v>181</v>
      </c>
      <c r="E1265" s="10">
        <v>200000</v>
      </c>
      <c r="F1265" s="8">
        <v>0.0243</v>
      </c>
      <c r="G1265" s="11">
        <v>45891</v>
      </c>
      <c r="H1265" s="12">
        <f t="shared" si="19"/>
        <v>4860</v>
      </c>
      <c r="I1265" s="10" t="s">
        <v>10</v>
      </c>
      <c r="J1265" s="13">
        <v>45842</v>
      </c>
      <c r="K1265" t="s">
        <v>435</v>
      </c>
    </row>
    <row r="1266" hidden="1" spans="1:11">
      <c r="A1266" t="s">
        <v>319</v>
      </c>
      <c r="B1266" s="8">
        <v>252601088</v>
      </c>
      <c r="C1266" s="9">
        <v>45825</v>
      </c>
      <c r="D1266" s="8" t="s">
        <v>181</v>
      </c>
      <c r="E1266" s="10">
        <v>100000</v>
      </c>
      <c r="F1266" s="8">
        <v>0.0243</v>
      </c>
      <c r="G1266" s="11">
        <v>45891</v>
      </c>
      <c r="H1266" s="12">
        <f t="shared" si="19"/>
        <v>2430</v>
      </c>
      <c r="I1266" s="10" t="s">
        <v>10</v>
      </c>
      <c r="J1266" s="13">
        <v>45842</v>
      </c>
      <c r="K1266" t="s">
        <v>435</v>
      </c>
    </row>
    <row r="1267" hidden="1" spans="1:11">
      <c r="A1267" t="s">
        <v>319</v>
      </c>
      <c r="B1267" s="8">
        <v>252601088</v>
      </c>
      <c r="C1267" s="9">
        <v>45825</v>
      </c>
      <c r="D1267" s="8" t="s">
        <v>181</v>
      </c>
      <c r="E1267" s="10">
        <v>200000</v>
      </c>
      <c r="F1267" s="8">
        <v>0.0243</v>
      </c>
      <c r="G1267" s="11">
        <v>45922</v>
      </c>
      <c r="H1267" s="12">
        <f t="shared" si="19"/>
        <v>4860</v>
      </c>
      <c r="I1267" s="10" t="s">
        <v>10</v>
      </c>
      <c r="J1267" s="13">
        <v>45842</v>
      </c>
      <c r="K1267" t="s">
        <v>435</v>
      </c>
    </row>
    <row r="1268" hidden="1" spans="1:11">
      <c r="A1268" t="s">
        <v>319</v>
      </c>
      <c r="B1268" s="8">
        <v>252601088</v>
      </c>
      <c r="C1268" s="9">
        <v>45825</v>
      </c>
      <c r="D1268" s="8" t="s">
        <v>181</v>
      </c>
      <c r="E1268" s="10">
        <v>100000</v>
      </c>
      <c r="F1268" s="8">
        <v>0.0243</v>
      </c>
      <c r="G1268" s="11">
        <v>45922</v>
      </c>
      <c r="H1268" s="12">
        <f t="shared" si="19"/>
        <v>2430</v>
      </c>
      <c r="I1268" s="10" t="s">
        <v>10</v>
      </c>
      <c r="J1268" s="13">
        <v>45842</v>
      </c>
      <c r="K1268" t="s">
        <v>435</v>
      </c>
    </row>
    <row r="1269" hidden="1" spans="1:11">
      <c r="A1269" t="s">
        <v>319</v>
      </c>
      <c r="B1269" s="8">
        <v>252601088</v>
      </c>
      <c r="C1269" s="9">
        <v>45825</v>
      </c>
      <c r="D1269" s="8" t="s">
        <v>289</v>
      </c>
      <c r="E1269" s="10">
        <v>200000</v>
      </c>
      <c r="F1269" s="8">
        <v>0.033</v>
      </c>
      <c r="G1269" s="11">
        <v>45891</v>
      </c>
      <c r="H1269" s="12">
        <f t="shared" si="19"/>
        <v>6600</v>
      </c>
      <c r="I1269" s="10" t="s">
        <v>10</v>
      </c>
      <c r="J1269" s="13">
        <v>45840</v>
      </c>
      <c r="K1269" t="s">
        <v>435</v>
      </c>
    </row>
    <row r="1270" hidden="1" spans="1:11">
      <c r="A1270" t="s">
        <v>319</v>
      </c>
      <c r="B1270" s="8">
        <v>252601088</v>
      </c>
      <c r="C1270" s="9">
        <v>45825</v>
      </c>
      <c r="D1270" s="8" t="s">
        <v>289</v>
      </c>
      <c r="E1270" s="10">
        <v>100000</v>
      </c>
      <c r="F1270" s="8">
        <v>0.033</v>
      </c>
      <c r="G1270" s="11">
        <v>45891</v>
      </c>
      <c r="H1270" s="12">
        <f t="shared" si="19"/>
        <v>3300</v>
      </c>
      <c r="I1270" s="10" t="s">
        <v>10</v>
      </c>
      <c r="J1270" s="13">
        <v>45840</v>
      </c>
      <c r="K1270" t="s">
        <v>435</v>
      </c>
    </row>
    <row r="1271" hidden="1" spans="1:11">
      <c r="A1271" t="s">
        <v>319</v>
      </c>
      <c r="B1271" s="8">
        <v>252601088</v>
      </c>
      <c r="C1271" s="9">
        <v>45825</v>
      </c>
      <c r="D1271" s="8" t="s">
        <v>289</v>
      </c>
      <c r="E1271" s="10">
        <v>200000</v>
      </c>
      <c r="F1271" s="8">
        <v>0.033</v>
      </c>
      <c r="G1271" s="11">
        <v>45922</v>
      </c>
      <c r="H1271" s="12">
        <f t="shared" si="19"/>
        <v>6600</v>
      </c>
      <c r="I1271" s="10" t="s">
        <v>10</v>
      </c>
      <c r="J1271" s="13">
        <v>45840</v>
      </c>
      <c r="K1271" t="s">
        <v>435</v>
      </c>
    </row>
    <row r="1272" hidden="1" spans="1:11">
      <c r="A1272" t="s">
        <v>319</v>
      </c>
      <c r="B1272" s="8">
        <v>252601088</v>
      </c>
      <c r="C1272" s="9">
        <v>45825</v>
      </c>
      <c r="D1272" s="8" t="s">
        <v>289</v>
      </c>
      <c r="E1272" s="10">
        <v>100000</v>
      </c>
      <c r="F1272" s="8">
        <v>0.033</v>
      </c>
      <c r="G1272" s="11">
        <v>45922</v>
      </c>
      <c r="H1272" s="12">
        <f t="shared" si="19"/>
        <v>3300</v>
      </c>
      <c r="I1272" s="10" t="s">
        <v>10</v>
      </c>
      <c r="J1272" s="13">
        <v>45840</v>
      </c>
      <c r="K1272" t="s">
        <v>435</v>
      </c>
    </row>
    <row r="1273" hidden="1" spans="1:11">
      <c r="A1273" t="s">
        <v>319</v>
      </c>
      <c r="B1273" s="8">
        <v>252601088</v>
      </c>
      <c r="C1273" s="9">
        <v>45825</v>
      </c>
      <c r="D1273" s="8" t="s">
        <v>136</v>
      </c>
      <c r="E1273" s="10">
        <v>200000</v>
      </c>
      <c r="F1273" s="8">
        <v>0.028</v>
      </c>
      <c r="G1273" s="11">
        <v>45891</v>
      </c>
      <c r="H1273" s="12">
        <f t="shared" si="19"/>
        <v>5600</v>
      </c>
      <c r="I1273" s="10" t="s">
        <v>10</v>
      </c>
      <c r="J1273" s="13">
        <v>45840</v>
      </c>
      <c r="K1273" t="s">
        <v>435</v>
      </c>
    </row>
    <row r="1274" hidden="1" spans="1:11">
      <c r="A1274" t="s">
        <v>319</v>
      </c>
      <c r="B1274" s="8">
        <v>252601088</v>
      </c>
      <c r="C1274" s="9">
        <v>45825</v>
      </c>
      <c r="D1274" s="8" t="s">
        <v>136</v>
      </c>
      <c r="E1274" s="10">
        <v>200000</v>
      </c>
      <c r="F1274" s="8">
        <v>0.028</v>
      </c>
      <c r="G1274" s="11">
        <v>45891</v>
      </c>
      <c r="H1274" s="12">
        <f t="shared" si="19"/>
        <v>5600</v>
      </c>
      <c r="I1274" s="10" t="s">
        <v>10</v>
      </c>
      <c r="J1274" s="13">
        <v>45840</v>
      </c>
      <c r="K1274" t="s">
        <v>435</v>
      </c>
    </row>
    <row r="1275" hidden="1" spans="1:11">
      <c r="A1275" t="s">
        <v>319</v>
      </c>
      <c r="B1275" s="8">
        <v>252601088</v>
      </c>
      <c r="C1275" s="9">
        <v>45825</v>
      </c>
      <c r="D1275" s="8" t="s">
        <v>136</v>
      </c>
      <c r="E1275" s="10">
        <v>200000</v>
      </c>
      <c r="F1275" s="8">
        <v>0.028</v>
      </c>
      <c r="G1275" s="11">
        <v>45922</v>
      </c>
      <c r="H1275" s="12">
        <f t="shared" si="19"/>
        <v>5600</v>
      </c>
      <c r="I1275" s="10" t="s">
        <v>10</v>
      </c>
      <c r="J1275" s="13">
        <v>45840</v>
      </c>
      <c r="K1275" t="s">
        <v>435</v>
      </c>
    </row>
    <row r="1276" hidden="1" spans="1:11">
      <c r="A1276" t="s">
        <v>319</v>
      </c>
      <c r="B1276" s="8">
        <v>252601088</v>
      </c>
      <c r="C1276" s="9">
        <v>45825</v>
      </c>
      <c r="D1276" s="8" t="s">
        <v>136</v>
      </c>
      <c r="E1276" s="10">
        <v>100000</v>
      </c>
      <c r="F1276" s="8">
        <v>0.028</v>
      </c>
      <c r="G1276" s="11">
        <v>45922</v>
      </c>
      <c r="H1276" s="12">
        <f t="shared" si="19"/>
        <v>2800</v>
      </c>
      <c r="I1276" s="10" t="s">
        <v>10</v>
      </c>
      <c r="J1276" s="13">
        <v>45840</v>
      </c>
      <c r="K1276" t="s">
        <v>435</v>
      </c>
    </row>
    <row r="1277" hidden="1" spans="1:11">
      <c r="A1277" t="s">
        <v>319</v>
      </c>
      <c r="B1277" s="8">
        <v>252601091</v>
      </c>
      <c r="C1277" s="9">
        <v>45825</v>
      </c>
      <c r="D1277" s="8" t="s">
        <v>35</v>
      </c>
      <c r="E1277" s="10">
        <v>20000</v>
      </c>
      <c r="F1277" s="8">
        <v>0.05</v>
      </c>
      <c r="G1277" s="11">
        <v>45952</v>
      </c>
      <c r="H1277" s="12">
        <f t="shared" si="19"/>
        <v>1000</v>
      </c>
      <c r="I1277" s="10" t="s">
        <v>10</v>
      </c>
      <c r="J1277" s="13">
        <v>45897</v>
      </c>
      <c r="K1277" t="s">
        <v>486</v>
      </c>
    </row>
    <row r="1278" hidden="1" spans="1:11">
      <c r="A1278" t="s">
        <v>319</v>
      </c>
      <c r="B1278" s="8">
        <v>252601092</v>
      </c>
      <c r="C1278" s="9">
        <v>45825</v>
      </c>
      <c r="D1278" s="8" t="s">
        <v>181</v>
      </c>
      <c r="E1278" s="10">
        <v>200000</v>
      </c>
      <c r="F1278" s="8">
        <v>0.0243</v>
      </c>
      <c r="G1278" s="11">
        <v>45952</v>
      </c>
      <c r="H1278" s="12">
        <f t="shared" si="19"/>
        <v>4860</v>
      </c>
      <c r="I1278" s="10" t="s">
        <v>10</v>
      </c>
      <c r="J1278" s="13">
        <v>45902</v>
      </c>
      <c r="K1278" t="s">
        <v>435</v>
      </c>
    </row>
    <row r="1279" hidden="1" spans="1:11">
      <c r="A1279" t="s">
        <v>319</v>
      </c>
      <c r="B1279" s="8">
        <v>252601092</v>
      </c>
      <c r="C1279" s="9">
        <v>45825</v>
      </c>
      <c r="D1279" s="8" t="s">
        <v>181</v>
      </c>
      <c r="E1279" s="10">
        <v>100000</v>
      </c>
      <c r="F1279" s="8">
        <v>0.0243</v>
      </c>
      <c r="G1279" s="11">
        <v>45952</v>
      </c>
      <c r="H1279" s="12">
        <f t="shared" si="19"/>
        <v>2430</v>
      </c>
      <c r="I1279" s="10" t="s">
        <v>10</v>
      </c>
      <c r="J1279" s="13">
        <v>45902</v>
      </c>
      <c r="K1279" t="s">
        <v>435</v>
      </c>
    </row>
    <row r="1280" hidden="1" spans="1:11">
      <c r="A1280" t="s">
        <v>319</v>
      </c>
      <c r="B1280" s="8">
        <v>252601092</v>
      </c>
      <c r="C1280" s="9">
        <v>45825</v>
      </c>
      <c r="D1280" s="8" t="s">
        <v>136</v>
      </c>
      <c r="E1280" s="10">
        <v>200000</v>
      </c>
      <c r="F1280" s="8">
        <v>0.028</v>
      </c>
      <c r="G1280" s="11">
        <v>45952</v>
      </c>
      <c r="H1280" s="12">
        <f t="shared" si="19"/>
        <v>5600</v>
      </c>
      <c r="I1280" s="10" t="s">
        <v>10</v>
      </c>
      <c r="J1280" s="13">
        <v>45898</v>
      </c>
      <c r="K1280" t="s">
        <v>435</v>
      </c>
    </row>
    <row r="1281" hidden="1" spans="1:11">
      <c r="A1281" t="s">
        <v>319</v>
      </c>
      <c r="B1281" s="8">
        <v>252601092</v>
      </c>
      <c r="C1281" s="9">
        <v>45825</v>
      </c>
      <c r="D1281" s="8" t="s">
        <v>136</v>
      </c>
      <c r="E1281" s="10">
        <v>100000</v>
      </c>
      <c r="F1281" s="8">
        <v>0.028</v>
      </c>
      <c r="G1281" s="11">
        <v>45952</v>
      </c>
      <c r="H1281" s="12">
        <f t="shared" si="19"/>
        <v>2800</v>
      </c>
      <c r="I1281" s="10" t="s">
        <v>10</v>
      </c>
      <c r="J1281" s="13">
        <v>45898</v>
      </c>
      <c r="K1281" t="s">
        <v>435</v>
      </c>
    </row>
    <row r="1282" hidden="1" spans="1:11">
      <c r="B1282" s="14">
        <v>252601099</v>
      </c>
      <c r="C1282" s="13">
        <v>45825</v>
      </c>
      <c r="D1282" s="14" t="s">
        <v>479</v>
      </c>
      <c r="E1282" s="15">
        <v>10000</v>
      </c>
      <c r="F1282" s="14">
        <v>0.056</v>
      </c>
      <c r="G1282" s="16">
        <v>45860</v>
      </c>
      <c r="H1282" s="17">
        <f t="shared" ref="H1282:H1345" si="20">E1282*F1282</f>
        <v>560</v>
      </c>
      <c r="I1282" s="15" t="s">
        <v>10</v>
      </c>
      <c r="J1282" s="15" t="s">
        <v>556</v>
      </c>
      <c r="K1282" t="s">
        <v>494</v>
      </c>
    </row>
    <row r="1283" hidden="1" spans="1:11">
      <c r="A1283" t="s">
        <v>319</v>
      </c>
      <c r="B1283" s="8">
        <v>252601106</v>
      </c>
      <c r="C1283" s="9">
        <v>45825</v>
      </c>
      <c r="D1283" s="8" t="s">
        <v>530</v>
      </c>
      <c r="E1283" s="10">
        <v>160000</v>
      </c>
      <c r="F1283" s="8">
        <v>0.015</v>
      </c>
      <c r="G1283" s="11">
        <v>45874</v>
      </c>
      <c r="H1283" s="12">
        <f t="shared" si="20"/>
        <v>2400</v>
      </c>
      <c r="I1283" s="10" t="s">
        <v>10</v>
      </c>
      <c r="J1283" s="13">
        <v>45854</v>
      </c>
      <c r="K1283" t="s">
        <v>445</v>
      </c>
    </row>
    <row r="1284" hidden="1" spans="1:11">
      <c r="A1284" t="s">
        <v>319</v>
      </c>
      <c r="B1284" s="8">
        <v>252601106</v>
      </c>
      <c r="C1284" s="9">
        <v>45825</v>
      </c>
      <c r="D1284" s="8" t="s">
        <v>530</v>
      </c>
      <c r="E1284" s="10">
        <v>140000</v>
      </c>
      <c r="F1284" s="8">
        <v>0.015</v>
      </c>
      <c r="G1284" s="11">
        <v>45905</v>
      </c>
      <c r="H1284" s="12">
        <f t="shared" si="20"/>
        <v>2100</v>
      </c>
      <c r="I1284" s="10" t="s">
        <v>10</v>
      </c>
      <c r="J1284" s="13">
        <v>45854</v>
      </c>
      <c r="K1284" t="s">
        <v>445</v>
      </c>
    </row>
    <row r="1285" hidden="1" spans="1:11">
      <c r="A1285" t="s">
        <v>319</v>
      </c>
      <c r="B1285" s="70">
        <v>252601115</v>
      </c>
      <c r="C1285" s="71">
        <v>45825</v>
      </c>
      <c r="D1285" s="80" t="s">
        <v>557</v>
      </c>
      <c r="E1285" s="72">
        <v>40000</v>
      </c>
      <c r="F1285" s="70">
        <v>0.026</v>
      </c>
      <c r="G1285" s="73">
        <v>45830</v>
      </c>
      <c r="H1285" s="74">
        <f t="shared" si="20"/>
        <v>1040</v>
      </c>
      <c r="I1285" s="72" t="s">
        <v>51</v>
      </c>
      <c r="J1285" s="15" t="s">
        <v>529</v>
      </c>
      <c r="K1285" t="s">
        <v>377</v>
      </c>
    </row>
    <row r="1286" hidden="1" spans="1:11">
      <c r="A1286" t="s">
        <v>319</v>
      </c>
      <c r="B1286" s="70">
        <v>252601115</v>
      </c>
      <c r="C1286" s="71">
        <v>45825</v>
      </c>
      <c r="D1286" s="80" t="s">
        <v>558</v>
      </c>
      <c r="E1286" s="72">
        <v>40000</v>
      </c>
      <c r="F1286" s="70">
        <v>0.07</v>
      </c>
      <c r="G1286" s="73">
        <v>45830</v>
      </c>
      <c r="H1286" s="74">
        <f t="shared" si="20"/>
        <v>2800</v>
      </c>
      <c r="I1286" s="72" t="s">
        <v>51</v>
      </c>
      <c r="J1286" s="15" t="s">
        <v>529</v>
      </c>
      <c r="K1286" t="s">
        <v>377</v>
      </c>
    </row>
    <row r="1287" hidden="1" spans="1:11">
      <c r="A1287" t="s">
        <v>319</v>
      </c>
      <c r="B1287" s="8">
        <v>252601127</v>
      </c>
      <c r="C1287" s="9">
        <v>45826</v>
      </c>
      <c r="D1287" s="8" t="s">
        <v>16</v>
      </c>
      <c r="E1287" s="10">
        <v>200000</v>
      </c>
      <c r="F1287" s="8">
        <v>0.0292</v>
      </c>
      <c r="G1287" s="11">
        <v>45905</v>
      </c>
      <c r="H1287" s="12">
        <f t="shared" si="20"/>
        <v>5840</v>
      </c>
      <c r="I1287" s="10" t="s">
        <v>10</v>
      </c>
      <c r="J1287" s="13">
        <v>45835</v>
      </c>
      <c r="K1287" t="s">
        <v>405</v>
      </c>
    </row>
    <row r="1288" hidden="1" spans="1:11">
      <c r="A1288" t="s">
        <v>319</v>
      </c>
      <c r="B1288" s="8">
        <v>252601127</v>
      </c>
      <c r="C1288" s="9">
        <v>45826</v>
      </c>
      <c r="D1288" s="8" t="s">
        <v>16</v>
      </c>
      <c r="E1288" s="10">
        <v>200000</v>
      </c>
      <c r="F1288" s="8">
        <v>0.0292</v>
      </c>
      <c r="G1288" s="11">
        <v>45905</v>
      </c>
      <c r="H1288" s="12">
        <f t="shared" si="20"/>
        <v>5840</v>
      </c>
      <c r="I1288" s="10" t="s">
        <v>10</v>
      </c>
      <c r="J1288" s="13">
        <v>45835</v>
      </c>
      <c r="K1288" t="s">
        <v>405</v>
      </c>
    </row>
    <row r="1289" hidden="1" spans="1:11">
      <c r="A1289" t="s">
        <v>319</v>
      </c>
      <c r="B1289" s="8">
        <v>252601127</v>
      </c>
      <c r="C1289" s="9">
        <v>45826</v>
      </c>
      <c r="D1289" s="8" t="s">
        <v>16</v>
      </c>
      <c r="E1289" s="10">
        <v>200000</v>
      </c>
      <c r="F1289" s="8">
        <v>0.0292</v>
      </c>
      <c r="G1289" s="11">
        <v>45935</v>
      </c>
      <c r="H1289" s="12">
        <f t="shared" si="20"/>
        <v>5840</v>
      </c>
      <c r="I1289" s="10" t="s">
        <v>10</v>
      </c>
      <c r="J1289" s="13">
        <v>45835</v>
      </c>
      <c r="K1289" t="s">
        <v>405</v>
      </c>
    </row>
    <row r="1290" hidden="1" spans="1:11">
      <c r="A1290" t="s">
        <v>319</v>
      </c>
      <c r="B1290" s="8">
        <v>252601127</v>
      </c>
      <c r="C1290" s="9">
        <v>45826</v>
      </c>
      <c r="D1290" s="8" t="s">
        <v>16</v>
      </c>
      <c r="E1290" s="10">
        <v>200000</v>
      </c>
      <c r="F1290" s="8">
        <v>0.0292</v>
      </c>
      <c r="G1290" s="11">
        <v>45935</v>
      </c>
      <c r="H1290" s="12">
        <f t="shared" si="20"/>
        <v>5840</v>
      </c>
      <c r="I1290" s="10" t="s">
        <v>10</v>
      </c>
      <c r="J1290" s="13">
        <v>45835</v>
      </c>
      <c r="K1290" t="s">
        <v>405</v>
      </c>
    </row>
    <row r="1291" hidden="1" spans="1:11">
      <c r="A1291" t="s">
        <v>319</v>
      </c>
      <c r="B1291" s="8">
        <v>252601127</v>
      </c>
      <c r="C1291" s="9">
        <v>45826</v>
      </c>
      <c r="D1291" s="8" t="s">
        <v>104</v>
      </c>
      <c r="E1291" s="10">
        <v>100000</v>
      </c>
      <c r="F1291" s="8">
        <v>0.028</v>
      </c>
      <c r="G1291" s="11">
        <v>45935</v>
      </c>
      <c r="H1291" s="12">
        <f t="shared" si="20"/>
        <v>2800</v>
      </c>
      <c r="I1291" s="10" t="s">
        <v>10</v>
      </c>
      <c r="J1291" s="13">
        <v>45833</v>
      </c>
      <c r="K1291" t="s">
        <v>405</v>
      </c>
    </row>
    <row r="1292" hidden="1" spans="1:11">
      <c r="A1292" t="s">
        <v>319</v>
      </c>
      <c r="B1292" s="8">
        <v>252601134</v>
      </c>
      <c r="C1292" s="9">
        <v>45826</v>
      </c>
      <c r="D1292" s="8" t="s">
        <v>509</v>
      </c>
      <c r="E1292" s="10">
        <v>20000</v>
      </c>
      <c r="F1292" s="8">
        <v>0.16</v>
      </c>
      <c r="G1292" s="11">
        <v>45922</v>
      </c>
      <c r="H1292" s="12">
        <f t="shared" si="20"/>
        <v>3200</v>
      </c>
      <c r="I1292" s="10" t="s">
        <v>10</v>
      </c>
      <c r="J1292" s="13">
        <v>45855</v>
      </c>
    </row>
    <row r="1293" hidden="1" spans="1:11">
      <c r="A1293" t="s">
        <v>319</v>
      </c>
      <c r="B1293" s="8">
        <v>252601134</v>
      </c>
      <c r="C1293" s="9">
        <v>45826</v>
      </c>
      <c r="D1293" s="8" t="s">
        <v>105</v>
      </c>
      <c r="E1293" s="10">
        <v>20000</v>
      </c>
      <c r="F1293" s="8">
        <v>0.18</v>
      </c>
      <c r="G1293" s="11">
        <v>45922</v>
      </c>
      <c r="H1293" s="12">
        <f t="shared" si="20"/>
        <v>3600</v>
      </c>
      <c r="I1293" s="10" t="s">
        <v>10</v>
      </c>
      <c r="J1293" s="13">
        <v>45855</v>
      </c>
    </row>
    <row r="1294" hidden="1" spans="1:11">
      <c r="A1294" t="s">
        <v>319</v>
      </c>
      <c r="B1294" s="8">
        <v>252601134</v>
      </c>
      <c r="C1294" s="9">
        <v>45826</v>
      </c>
      <c r="D1294" s="8" t="s">
        <v>40</v>
      </c>
      <c r="E1294" s="10">
        <v>200000</v>
      </c>
      <c r="F1294" s="8">
        <v>0.035</v>
      </c>
      <c r="G1294" s="11">
        <v>45860</v>
      </c>
      <c r="H1294" s="12">
        <f t="shared" si="20"/>
        <v>7000</v>
      </c>
      <c r="I1294" s="10" t="s">
        <v>10</v>
      </c>
      <c r="J1294" s="13">
        <v>45855</v>
      </c>
    </row>
    <row r="1295" hidden="1" spans="1:11">
      <c r="A1295" t="s">
        <v>319</v>
      </c>
      <c r="B1295" s="8">
        <v>252601155</v>
      </c>
      <c r="C1295" s="9">
        <v>45826</v>
      </c>
      <c r="D1295" s="8" t="s">
        <v>30</v>
      </c>
      <c r="E1295" s="10">
        <v>200000</v>
      </c>
      <c r="F1295" s="8">
        <v>0.026</v>
      </c>
      <c r="G1295" s="11">
        <v>45983</v>
      </c>
      <c r="H1295" s="12">
        <f t="shared" si="20"/>
        <v>5200</v>
      </c>
      <c r="I1295" s="10" t="s">
        <v>10</v>
      </c>
      <c r="J1295" s="13">
        <v>45842</v>
      </c>
      <c r="K1295" t="s">
        <v>365</v>
      </c>
    </row>
    <row r="1296" hidden="1" spans="1:11">
      <c r="A1296" t="s">
        <v>319</v>
      </c>
      <c r="B1296" s="8">
        <v>252601176</v>
      </c>
      <c r="C1296" s="9">
        <v>45831</v>
      </c>
      <c r="D1296" s="8" t="s">
        <v>30</v>
      </c>
      <c r="E1296" s="10">
        <v>200000</v>
      </c>
      <c r="F1296" s="8">
        <v>0.026</v>
      </c>
      <c r="G1296" s="11">
        <v>45843</v>
      </c>
      <c r="H1296" s="12">
        <f t="shared" si="20"/>
        <v>5200</v>
      </c>
      <c r="I1296" s="10" t="s">
        <v>10</v>
      </c>
      <c r="J1296" s="13">
        <v>45842</v>
      </c>
      <c r="K1296" t="s">
        <v>392</v>
      </c>
    </row>
    <row r="1297" hidden="1" spans="1:11">
      <c r="A1297" t="s">
        <v>319</v>
      </c>
      <c r="B1297" s="8">
        <v>252601189</v>
      </c>
      <c r="C1297" s="9">
        <v>45832</v>
      </c>
      <c r="D1297" s="8" t="s">
        <v>539</v>
      </c>
      <c r="E1297" s="10">
        <v>20000</v>
      </c>
      <c r="F1297" s="8">
        <v>0.03</v>
      </c>
      <c r="G1297" s="11">
        <v>45983</v>
      </c>
      <c r="H1297" s="12">
        <f t="shared" si="20"/>
        <v>600</v>
      </c>
      <c r="I1297" s="10" t="s">
        <v>10</v>
      </c>
      <c r="J1297" s="13">
        <v>45897</v>
      </c>
      <c r="K1297" t="s">
        <v>369</v>
      </c>
    </row>
    <row r="1298" hidden="1" spans="1:11">
      <c r="A1298" t="s">
        <v>319</v>
      </c>
      <c r="B1298" s="8">
        <v>252601199</v>
      </c>
      <c r="C1298" s="9">
        <v>45832</v>
      </c>
      <c r="D1298" s="8" t="s">
        <v>95</v>
      </c>
      <c r="E1298" s="10">
        <v>20040</v>
      </c>
      <c r="F1298" s="8">
        <v>0.063</v>
      </c>
      <c r="G1298" s="11">
        <v>45843</v>
      </c>
      <c r="H1298" s="12">
        <f t="shared" si="20"/>
        <v>1262.52</v>
      </c>
      <c r="I1298" s="10" t="s">
        <v>10</v>
      </c>
      <c r="J1298" s="13">
        <v>45839</v>
      </c>
      <c r="K1298" t="s">
        <v>460</v>
      </c>
    </row>
    <row r="1299" spans="1:11">
      <c r="A1299" t="s">
        <v>319</v>
      </c>
      <c r="B1299" s="8">
        <v>252601202</v>
      </c>
      <c r="C1299" s="9">
        <v>45832</v>
      </c>
      <c r="D1299" s="8" t="s">
        <v>559</v>
      </c>
      <c r="E1299" s="10">
        <v>42000</v>
      </c>
      <c r="F1299" s="8">
        <v>0.065</v>
      </c>
      <c r="G1299" s="11">
        <v>45843</v>
      </c>
      <c r="H1299" s="12">
        <f t="shared" si="20"/>
        <v>2730</v>
      </c>
      <c r="I1299" s="10" t="s">
        <v>10</v>
      </c>
      <c r="J1299" s="13">
        <v>45867</v>
      </c>
      <c r="K1299" t="s">
        <v>377</v>
      </c>
    </row>
    <row r="1300" hidden="1" spans="1:11">
      <c r="A1300" t="s">
        <v>319</v>
      </c>
      <c r="B1300" s="8">
        <v>252601206</v>
      </c>
      <c r="C1300" s="9">
        <v>45832</v>
      </c>
      <c r="D1300" s="8" t="s">
        <v>47</v>
      </c>
      <c r="E1300" s="10">
        <v>100000</v>
      </c>
      <c r="F1300" s="8">
        <v>0.022</v>
      </c>
      <c r="G1300" s="11">
        <v>45966</v>
      </c>
      <c r="H1300" s="12">
        <f t="shared" si="20"/>
        <v>2200</v>
      </c>
      <c r="I1300" s="10" t="s">
        <v>10</v>
      </c>
      <c r="J1300" s="13">
        <v>45855</v>
      </c>
      <c r="K1300" t="s">
        <v>499</v>
      </c>
    </row>
    <row r="1301" hidden="1" spans="1:11">
      <c r="A1301" t="s">
        <v>319</v>
      </c>
      <c r="B1301" s="8">
        <v>252601206</v>
      </c>
      <c r="C1301" s="9">
        <v>45832</v>
      </c>
      <c r="D1301" s="8" t="s">
        <v>45</v>
      </c>
      <c r="E1301" s="10">
        <v>200000</v>
      </c>
      <c r="F1301" s="8">
        <v>0.024</v>
      </c>
      <c r="G1301" s="11">
        <v>45966</v>
      </c>
      <c r="H1301" s="12">
        <f t="shared" si="20"/>
        <v>4800</v>
      </c>
      <c r="I1301" s="10" t="s">
        <v>10</v>
      </c>
      <c r="J1301" s="13">
        <v>45854</v>
      </c>
      <c r="K1301" t="s">
        <v>499</v>
      </c>
    </row>
    <row r="1302" hidden="1" spans="1:11">
      <c r="A1302" t="s">
        <v>319</v>
      </c>
      <c r="B1302" s="8">
        <v>252601206</v>
      </c>
      <c r="C1302" s="9">
        <v>45832</v>
      </c>
      <c r="D1302" s="8" t="s">
        <v>45</v>
      </c>
      <c r="E1302" s="10">
        <v>200000</v>
      </c>
      <c r="F1302" s="8">
        <v>0.024</v>
      </c>
      <c r="G1302" s="11">
        <v>45996</v>
      </c>
      <c r="H1302" s="12">
        <f t="shared" si="20"/>
        <v>4800</v>
      </c>
      <c r="I1302" s="10" t="s">
        <v>10</v>
      </c>
      <c r="J1302" s="13">
        <v>45854</v>
      </c>
      <c r="K1302" t="s">
        <v>499</v>
      </c>
    </row>
    <row r="1303" hidden="1" spans="1:11">
      <c r="A1303" t="s">
        <v>319</v>
      </c>
      <c r="B1303" s="8">
        <v>252601206</v>
      </c>
      <c r="C1303" s="9">
        <v>45832</v>
      </c>
      <c r="D1303" s="8" t="s">
        <v>38</v>
      </c>
      <c r="E1303" s="10">
        <v>200000</v>
      </c>
      <c r="F1303" s="8">
        <v>0.01</v>
      </c>
      <c r="G1303" s="11">
        <v>45996</v>
      </c>
      <c r="H1303" s="12">
        <f t="shared" si="20"/>
        <v>2000</v>
      </c>
      <c r="I1303" s="10" t="s">
        <v>10</v>
      </c>
      <c r="J1303" s="13">
        <v>45854</v>
      </c>
      <c r="K1303" t="s">
        <v>499</v>
      </c>
    </row>
    <row r="1304" hidden="1" spans="1:11">
      <c r="A1304" t="s">
        <v>319</v>
      </c>
      <c r="B1304" s="8">
        <v>252601206</v>
      </c>
      <c r="C1304" s="9">
        <v>45832</v>
      </c>
      <c r="D1304" s="8" t="s">
        <v>46</v>
      </c>
      <c r="E1304" s="10">
        <v>100000</v>
      </c>
      <c r="F1304" s="8">
        <v>0.02</v>
      </c>
      <c r="G1304" s="11">
        <v>45966</v>
      </c>
      <c r="H1304" s="12">
        <f t="shared" si="20"/>
        <v>2000</v>
      </c>
      <c r="I1304" s="10" t="s">
        <v>10</v>
      </c>
      <c r="J1304" s="13">
        <v>45874</v>
      </c>
      <c r="K1304" t="s">
        <v>499</v>
      </c>
    </row>
    <row r="1305" hidden="1" spans="1:11">
      <c r="A1305" t="s">
        <v>319</v>
      </c>
      <c r="B1305" s="8">
        <v>252601206</v>
      </c>
      <c r="C1305" s="9">
        <v>45832</v>
      </c>
      <c r="D1305" s="8" t="s">
        <v>62</v>
      </c>
      <c r="E1305" s="10">
        <v>96000</v>
      </c>
      <c r="F1305" s="8">
        <v>0.005</v>
      </c>
      <c r="G1305" s="11">
        <v>45966</v>
      </c>
      <c r="H1305" s="12">
        <f t="shared" si="20"/>
        <v>480</v>
      </c>
      <c r="I1305" s="10" t="s">
        <v>10</v>
      </c>
      <c r="J1305" s="13">
        <v>45855</v>
      </c>
      <c r="K1305" t="s">
        <v>499</v>
      </c>
    </row>
    <row r="1306" hidden="1" spans="1:11">
      <c r="A1306" t="s">
        <v>319</v>
      </c>
      <c r="B1306" s="8">
        <v>252601206</v>
      </c>
      <c r="C1306" s="9">
        <v>45832</v>
      </c>
      <c r="D1306" s="8" t="s">
        <v>60</v>
      </c>
      <c r="E1306" s="10">
        <v>64000</v>
      </c>
      <c r="F1306" s="8">
        <v>0.006</v>
      </c>
      <c r="G1306" s="11">
        <v>45966</v>
      </c>
      <c r="H1306" s="12">
        <f t="shared" si="20"/>
        <v>384</v>
      </c>
      <c r="I1306" s="10" t="s">
        <v>10</v>
      </c>
      <c r="J1306" s="13">
        <v>45854</v>
      </c>
      <c r="K1306" t="s">
        <v>499</v>
      </c>
    </row>
    <row r="1307" hidden="1" spans="1:11">
      <c r="A1307" t="s">
        <v>319</v>
      </c>
      <c r="B1307" s="8">
        <v>252601207</v>
      </c>
      <c r="C1307" s="9">
        <v>45832</v>
      </c>
      <c r="D1307" s="8" t="s">
        <v>45</v>
      </c>
      <c r="E1307" s="10">
        <v>200000</v>
      </c>
      <c r="F1307" s="8">
        <v>0.024</v>
      </c>
      <c r="G1307" s="11">
        <v>45905</v>
      </c>
      <c r="H1307" s="12">
        <f t="shared" si="20"/>
        <v>4800</v>
      </c>
      <c r="I1307" s="10" t="s">
        <v>10</v>
      </c>
      <c r="J1307" s="13">
        <v>45854</v>
      </c>
      <c r="K1307" t="s">
        <v>499</v>
      </c>
    </row>
    <row r="1308" hidden="1" spans="1:11">
      <c r="A1308" t="s">
        <v>319</v>
      </c>
      <c r="B1308" s="8">
        <v>252601207</v>
      </c>
      <c r="C1308" s="9">
        <v>45832</v>
      </c>
      <c r="D1308" s="8" t="s">
        <v>236</v>
      </c>
      <c r="E1308" s="10">
        <v>96000</v>
      </c>
      <c r="F1308" s="8">
        <v>0.005</v>
      </c>
      <c r="G1308" s="11">
        <v>45935</v>
      </c>
      <c r="H1308" s="12">
        <f t="shared" si="20"/>
        <v>480</v>
      </c>
      <c r="I1308" s="10" t="s">
        <v>10</v>
      </c>
      <c r="J1308" s="13">
        <v>45855</v>
      </c>
      <c r="K1308" t="s">
        <v>499</v>
      </c>
    </row>
    <row r="1309" hidden="1" spans="1:11">
      <c r="A1309" t="s">
        <v>319</v>
      </c>
      <c r="B1309" s="8">
        <v>252601207</v>
      </c>
      <c r="C1309" s="9">
        <v>45832</v>
      </c>
      <c r="D1309" s="8" t="s">
        <v>163</v>
      </c>
      <c r="E1309" s="10">
        <v>96000</v>
      </c>
      <c r="F1309" s="8">
        <v>0.0025</v>
      </c>
      <c r="G1309" s="11">
        <v>45905</v>
      </c>
      <c r="H1309" s="12">
        <f t="shared" si="20"/>
        <v>240</v>
      </c>
      <c r="I1309" s="10" t="s">
        <v>10</v>
      </c>
      <c r="J1309" s="13">
        <v>45854</v>
      </c>
      <c r="K1309" t="s">
        <v>499</v>
      </c>
    </row>
    <row r="1310" hidden="1" spans="1:11">
      <c r="A1310" t="s">
        <v>319</v>
      </c>
      <c r="B1310" s="8">
        <v>252601207</v>
      </c>
      <c r="C1310" s="9">
        <v>45832</v>
      </c>
      <c r="D1310" s="8" t="s">
        <v>299</v>
      </c>
      <c r="E1310" s="10">
        <v>32000</v>
      </c>
      <c r="F1310" s="8">
        <v>0.003</v>
      </c>
      <c r="G1310" s="11">
        <v>45905</v>
      </c>
      <c r="H1310" s="12">
        <f t="shared" si="20"/>
        <v>96</v>
      </c>
      <c r="I1310" s="10" t="s">
        <v>10</v>
      </c>
      <c r="J1310" s="13">
        <v>45854</v>
      </c>
      <c r="K1310" t="s">
        <v>499</v>
      </c>
    </row>
    <row r="1311" hidden="1" spans="1:11">
      <c r="A1311" t="s">
        <v>319</v>
      </c>
      <c r="B1311" s="8">
        <v>252601208</v>
      </c>
      <c r="C1311" s="9">
        <v>45832</v>
      </c>
      <c r="D1311" s="8" t="s">
        <v>47</v>
      </c>
      <c r="E1311" s="10">
        <v>100000</v>
      </c>
      <c r="F1311" s="8">
        <v>0.022</v>
      </c>
      <c r="G1311" s="11">
        <v>45874</v>
      </c>
      <c r="H1311" s="12">
        <f t="shared" si="20"/>
        <v>2200</v>
      </c>
      <c r="I1311" s="10" t="s">
        <v>10</v>
      </c>
      <c r="J1311" s="13">
        <v>45840</v>
      </c>
      <c r="K1311" t="s">
        <v>499</v>
      </c>
    </row>
    <row r="1312" hidden="1" spans="1:11">
      <c r="A1312" t="s">
        <v>319</v>
      </c>
      <c r="B1312" s="8">
        <v>252601208</v>
      </c>
      <c r="C1312" s="9">
        <v>45832</v>
      </c>
      <c r="D1312" s="8" t="s">
        <v>46</v>
      </c>
      <c r="E1312" s="10">
        <v>100000</v>
      </c>
      <c r="F1312" s="8">
        <v>0.02</v>
      </c>
      <c r="G1312" s="11">
        <v>45874</v>
      </c>
      <c r="H1312" s="12">
        <f t="shared" si="20"/>
        <v>2000</v>
      </c>
      <c r="I1312" s="10" t="s">
        <v>10</v>
      </c>
      <c r="J1312" s="13">
        <v>45840</v>
      </c>
      <c r="K1312" t="s">
        <v>499</v>
      </c>
    </row>
    <row r="1313" hidden="1" spans="1:11">
      <c r="A1313" t="s">
        <v>319</v>
      </c>
      <c r="B1313" s="8">
        <v>252601208</v>
      </c>
      <c r="C1313" s="9">
        <v>45832</v>
      </c>
      <c r="D1313" s="8" t="s">
        <v>236</v>
      </c>
      <c r="E1313" s="10">
        <v>96000</v>
      </c>
      <c r="F1313" s="8">
        <v>0.005</v>
      </c>
      <c r="G1313" s="11">
        <v>45843</v>
      </c>
      <c r="H1313" s="12">
        <f t="shared" si="20"/>
        <v>480</v>
      </c>
      <c r="I1313" s="10" t="s">
        <v>10</v>
      </c>
      <c r="J1313" s="13">
        <v>45840</v>
      </c>
      <c r="K1313" t="s">
        <v>499</v>
      </c>
    </row>
    <row r="1314" hidden="1" spans="1:11">
      <c r="A1314" t="s">
        <v>319</v>
      </c>
      <c r="B1314" s="8">
        <v>252601208</v>
      </c>
      <c r="C1314" s="9">
        <v>45832</v>
      </c>
      <c r="D1314" s="8" t="s">
        <v>236</v>
      </c>
      <c r="E1314" s="10">
        <v>192000</v>
      </c>
      <c r="F1314" s="8">
        <v>0.005</v>
      </c>
      <c r="G1314" s="11">
        <v>45874</v>
      </c>
      <c r="H1314" s="12">
        <f t="shared" si="20"/>
        <v>960</v>
      </c>
      <c r="I1314" s="10" t="s">
        <v>10</v>
      </c>
      <c r="J1314" s="13">
        <v>45840</v>
      </c>
      <c r="K1314" t="s">
        <v>499</v>
      </c>
    </row>
    <row r="1315" hidden="1" spans="1:11">
      <c r="A1315" t="s">
        <v>319</v>
      </c>
      <c r="B1315" s="8">
        <v>252601208</v>
      </c>
      <c r="C1315" s="9">
        <v>45832</v>
      </c>
      <c r="D1315" s="8" t="s">
        <v>60</v>
      </c>
      <c r="E1315" s="10">
        <v>64000</v>
      </c>
      <c r="F1315" s="8">
        <v>0.006</v>
      </c>
      <c r="G1315" s="11">
        <v>45874</v>
      </c>
      <c r="H1315" s="12">
        <f t="shared" si="20"/>
        <v>384</v>
      </c>
      <c r="I1315" s="10" t="s">
        <v>10</v>
      </c>
      <c r="J1315" s="13">
        <v>45840</v>
      </c>
      <c r="K1315" t="s">
        <v>499</v>
      </c>
    </row>
    <row r="1316" hidden="1" spans="1:11">
      <c r="A1316" t="s">
        <v>319</v>
      </c>
      <c r="B1316" s="8">
        <v>252601208</v>
      </c>
      <c r="C1316" s="9">
        <v>45832</v>
      </c>
      <c r="D1316" s="8" t="s">
        <v>163</v>
      </c>
      <c r="E1316" s="10">
        <v>96000</v>
      </c>
      <c r="F1316" s="8">
        <v>0.0025</v>
      </c>
      <c r="G1316" s="11">
        <v>45843</v>
      </c>
      <c r="H1316" s="12">
        <f t="shared" si="20"/>
        <v>240</v>
      </c>
      <c r="I1316" s="10" t="s">
        <v>10</v>
      </c>
      <c r="J1316" s="13">
        <v>45840</v>
      </c>
      <c r="K1316" t="s">
        <v>499</v>
      </c>
    </row>
    <row r="1317" hidden="1" spans="1:11">
      <c r="A1317" t="s">
        <v>319</v>
      </c>
      <c r="B1317" s="8">
        <v>252601208</v>
      </c>
      <c r="C1317" s="9">
        <v>45832</v>
      </c>
      <c r="D1317" s="8" t="s">
        <v>163</v>
      </c>
      <c r="E1317" s="10">
        <v>96000</v>
      </c>
      <c r="F1317" s="8">
        <v>0.0025</v>
      </c>
      <c r="G1317" s="11">
        <v>45874</v>
      </c>
      <c r="H1317" s="12">
        <f t="shared" si="20"/>
        <v>240</v>
      </c>
      <c r="I1317" s="10" t="s">
        <v>10</v>
      </c>
      <c r="J1317" s="13">
        <v>45840</v>
      </c>
      <c r="K1317" t="s">
        <v>499</v>
      </c>
    </row>
    <row r="1318" hidden="1" spans="1:11">
      <c r="A1318" t="s">
        <v>319</v>
      </c>
      <c r="B1318" s="8">
        <v>252601208</v>
      </c>
      <c r="C1318" s="9">
        <v>45832</v>
      </c>
      <c r="D1318" s="8" t="s">
        <v>299</v>
      </c>
      <c r="E1318" s="10">
        <v>32000</v>
      </c>
      <c r="F1318" s="8">
        <v>0.003</v>
      </c>
      <c r="G1318" s="11">
        <v>45843</v>
      </c>
      <c r="H1318" s="12">
        <f t="shared" si="20"/>
        <v>96</v>
      </c>
      <c r="I1318" s="10" t="s">
        <v>10</v>
      </c>
      <c r="J1318" s="13">
        <v>45840</v>
      </c>
      <c r="K1318" t="s">
        <v>499</v>
      </c>
    </row>
    <row r="1319" hidden="1" spans="1:11">
      <c r="A1319" t="s">
        <v>319</v>
      </c>
      <c r="B1319" s="8">
        <v>252601208</v>
      </c>
      <c r="C1319" s="9">
        <v>45832</v>
      </c>
      <c r="D1319" s="8" t="s">
        <v>299</v>
      </c>
      <c r="E1319" s="10">
        <v>32000</v>
      </c>
      <c r="F1319" s="8">
        <v>0.003</v>
      </c>
      <c r="G1319" s="11">
        <v>45874</v>
      </c>
      <c r="H1319" s="12">
        <f t="shared" si="20"/>
        <v>96</v>
      </c>
      <c r="I1319" s="10" t="s">
        <v>10</v>
      </c>
      <c r="J1319" s="13">
        <v>45840</v>
      </c>
      <c r="K1319" t="s">
        <v>499</v>
      </c>
    </row>
    <row r="1320" hidden="1" spans="1:11">
      <c r="A1320" t="s">
        <v>319</v>
      </c>
      <c r="B1320" s="14">
        <v>252601216</v>
      </c>
      <c r="C1320" s="13">
        <v>45833</v>
      </c>
      <c r="D1320" s="14" t="s">
        <v>560</v>
      </c>
      <c r="E1320" s="15">
        <v>50000</v>
      </c>
      <c r="F1320" s="14">
        <v>0.0072</v>
      </c>
      <c r="G1320" s="16">
        <v>45838</v>
      </c>
      <c r="H1320" s="17">
        <f t="shared" si="20"/>
        <v>360</v>
      </c>
      <c r="I1320" s="15" t="s">
        <v>10</v>
      </c>
      <c r="J1320" s="15" t="s">
        <v>501</v>
      </c>
    </row>
    <row r="1321" hidden="1" spans="1:11">
      <c r="A1321" t="s">
        <v>319</v>
      </c>
      <c r="B1321" s="14">
        <v>252601216</v>
      </c>
      <c r="C1321" s="13">
        <v>45833</v>
      </c>
      <c r="D1321" s="14" t="s">
        <v>560</v>
      </c>
      <c r="E1321" s="15">
        <v>50000</v>
      </c>
      <c r="F1321" s="14">
        <v>0.0072</v>
      </c>
      <c r="G1321" s="16">
        <v>45838</v>
      </c>
      <c r="H1321" s="17">
        <f t="shared" si="20"/>
        <v>360</v>
      </c>
      <c r="I1321" s="15" t="s">
        <v>10</v>
      </c>
      <c r="J1321" s="15" t="s">
        <v>501</v>
      </c>
    </row>
    <row r="1322" hidden="1" spans="1:11">
      <c r="A1322" t="s">
        <v>319</v>
      </c>
      <c r="B1322" s="14">
        <v>252601216</v>
      </c>
      <c r="C1322" s="13">
        <v>45833</v>
      </c>
      <c r="D1322" s="14" t="s">
        <v>560</v>
      </c>
      <c r="E1322" s="15">
        <v>50000</v>
      </c>
      <c r="F1322" s="14">
        <v>0.0072</v>
      </c>
      <c r="G1322" s="16">
        <v>45838</v>
      </c>
      <c r="H1322" s="17">
        <f t="shared" si="20"/>
        <v>360</v>
      </c>
      <c r="I1322" s="15" t="s">
        <v>10</v>
      </c>
      <c r="J1322" s="15" t="s">
        <v>501</v>
      </c>
    </row>
    <row r="1323" hidden="1" spans="1:11">
      <c r="A1323" t="s">
        <v>319</v>
      </c>
      <c r="B1323" s="8">
        <v>252601226</v>
      </c>
      <c r="C1323" s="9">
        <v>45834</v>
      </c>
      <c r="D1323" s="8" t="s">
        <v>561</v>
      </c>
      <c r="E1323" s="10">
        <v>50000</v>
      </c>
      <c r="F1323" s="8">
        <v>0.028</v>
      </c>
      <c r="G1323" s="11">
        <v>45843</v>
      </c>
      <c r="H1323" s="12">
        <f t="shared" si="20"/>
        <v>1400</v>
      </c>
      <c r="I1323" s="10" t="s">
        <v>10</v>
      </c>
      <c r="J1323" s="13">
        <v>45854</v>
      </c>
      <c r="K1323" t="s">
        <v>562</v>
      </c>
    </row>
    <row r="1324" hidden="1" spans="1:11">
      <c r="A1324" t="s">
        <v>319</v>
      </c>
      <c r="B1324" s="8">
        <v>252601233</v>
      </c>
      <c r="C1324" s="9">
        <v>45833</v>
      </c>
      <c r="D1324" s="8" t="s">
        <v>483</v>
      </c>
      <c r="E1324" s="10">
        <v>40000</v>
      </c>
      <c r="F1324" s="8">
        <v>0.06</v>
      </c>
      <c r="G1324" s="11">
        <v>45843</v>
      </c>
      <c r="H1324" s="12">
        <f t="shared" si="20"/>
        <v>2400</v>
      </c>
      <c r="I1324" s="10" t="s">
        <v>10</v>
      </c>
      <c r="J1324" s="13">
        <v>45836</v>
      </c>
      <c r="K1324" t="s">
        <v>337</v>
      </c>
    </row>
    <row r="1325" hidden="1" spans="1:11">
      <c r="A1325" t="s">
        <v>319</v>
      </c>
      <c r="B1325" s="8">
        <v>252601233</v>
      </c>
      <c r="C1325" s="9">
        <v>45833</v>
      </c>
      <c r="D1325" s="8" t="s">
        <v>483</v>
      </c>
      <c r="E1325" s="10">
        <v>40000</v>
      </c>
      <c r="F1325" s="8">
        <v>0.06</v>
      </c>
      <c r="G1325" s="11">
        <v>45860</v>
      </c>
      <c r="H1325" s="12">
        <f t="shared" si="20"/>
        <v>2400</v>
      </c>
      <c r="I1325" s="10" t="s">
        <v>10</v>
      </c>
      <c r="J1325" s="13">
        <v>45836</v>
      </c>
      <c r="K1325" t="s">
        <v>337</v>
      </c>
    </row>
    <row r="1326" hidden="1" spans="1:11">
      <c r="A1326" t="s">
        <v>319</v>
      </c>
      <c r="B1326" s="8">
        <v>252601241</v>
      </c>
      <c r="C1326" s="9">
        <v>45835</v>
      </c>
      <c r="D1326" s="8" t="s">
        <v>426</v>
      </c>
      <c r="E1326" s="10">
        <v>200000</v>
      </c>
      <c r="F1326" s="8">
        <v>0.032</v>
      </c>
      <c r="G1326" s="11">
        <v>45966</v>
      </c>
      <c r="H1326" s="12">
        <f t="shared" si="20"/>
        <v>6400</v>
      </c>
      <c r="I1326" s="10" t="s">
        <v>10</v>
      </c>
      <c r="J1326" s="13">
        <v>45902</v>
      </c>
      <c r="K1326" t="s">
        <v>489</v>
      </c>
    </row>
    <row r="1327" hidden="1" spans="1:11">
      <c r="A1327" t="s">
        <v>319</v>
      </c>
      <c r="B1327" s="8">
        <v>252601241</v>
      </c>
      <c r="C1327" s="9">
        <v>45835</v>
      </c>
      <c r="D1327" s="8" t="s">
        <v>426</v>
      </c>
      <c r="E1327" s="10">
        <v>200000</v>
      </c>
      <c r="F1327" s="8">
        <v>0.032</v>
      </c>
      <c r="G1327" s="11">
        <v>45966</v>
      </c>
      <c r="H1327" s="12">
        <f t="shared" si="20"/>
        <v>6400</v>
      </c>
      <c r="I1327" s="10" t="s">
        <v>10</v>
      </c>
      <c r="J1327" s="13">
        <v>45902</v>
      </c>
      <c r="K1327" t="s">
        <v>489</v>
      </c>
    </row>
    <row r="1328" hidden="1" spans="1:11">
      <c r="A1328" t="s">
        <v>319</v>
      </c>
      <c r="B1328" s="8">
        <v>252601241</v>
      </c>
      <c r="C1328" s="9">
        <v>45835</v>
      </c>
      <c r="D1328" s="8" t="s">
        <v>426</v>
      </c>
      <c r="E1328" s="10">
        <v>200000</v>
      </c>
      <c r="F1328" s="8">
        <v>0.032</v>
      </c>
      <c r="G1328" s="11">
        <v>45966</v>
      </c>
      <c r="H1328" s="12">
        <f t="shared" si="20"/>
        <v>6400</v>
      </c>
      <c r="I1328" s="10" t="s">
        <v>10</v>
      </c>
      <c r="J1328" s="13">
        <v>45902</v>
      </c>
      <c r="K1328" t="s">
        <v>489</v>
      </c>
    </row>
    <row r="1329" hidden="1" spans="1:11">
      <c r="A1329" t="s">
        <v>319</v>
      </c>
      <c r="B1329" s="70">
        <v>252601244</v>
      </c>
      <c r="C1329" s="71">
        <v>45835</v>
      </c>
      <c r="D1329" s="70" t="s">
        <v>490</v>
      </c>
      <c r="E1329" s="72">
        <v>2000</v>
      </c>
      <c r="F1329" s="70">
        <v>0.032</v>
      </c>
      <c r="G1329" s="73">
        <v>45843</v>
      </c>
      <c r="H1329" s="74">
        <f t="shared" si="20"/>
        <v>64</v>
      </c>
      <c r="I1329" s="72" t="s">
        <v>51</v>
      </c>
      <c r="J1329" s="15" t="s">
        <v>513</v>
      </c>
      <c r="K1329" t="s">
        <v>491</v>
      </c>
    </row>
    <row r="1330" hidden="1" spans="1:11">
      <c r="A1330" t="s">
        <v>319</v>
      </c>
      <c r="B1330" s="70">
        <v>252601244</v>
      </c>
      <c r="C1330" s="71">
        <v>45835</v>
      </c>
      <c r="D1330" s="70" t="s">
        <v>563</v>
      </c>
      <c r="E1330" s="72">
        <v>2000</v>
      </c>
      <c r="F1330" s="70">
        <v>0.032</v>
      </c>
      <c r="G1330" s="73">
        <v>45843</v>
      </c>
      <c r="H1330" s="74">
        <f t="shared" si="20"/>
        <v>64</v>
      </c>
      <c r="I1330" s="72" t="s">
        <v>51</v>
      </c>
      <c r="J1330" s="15" t="s">
        <v>564</v>
      </c>
      <c r="K1330" t="s">
        <v>491</v>
      </c>
    </row>
    <row r="1331" hidden="1" spans="1:11">
      <c r="A1331" t="s">
        <v>319</v>
      </c>
      <c r="B1331" s="8">
        <v>252601252</v>
      </c>
      <c r="C1331" s="9">
        <v>45835</v>
      </c>
      <c r="D1331" s="8" t="s">
        <v>425</v>
      </c>
      <c r="E1331" s="10">
        <v>20000</v>
      </c>
      <c r="F1331" s="8">
        <v>0.07</v>
      </c>
      <c r="G1331" s="11">
        <v>45905</v>
      </c>
      <c r="H1331" s="12">
        <f t="shared" si="20"/>
        <v>1400</v>
      </c>
      <c r="I1331" s="10" t="s">
        <v>10</v>
      </c>
      <c r="J1331" s="13">
        <v>45880</v>
      </c>
      <c r="K1331" t="s">
        <v>431</v>
      </c>
    </row>
    <row r="1332" hidden="1" spans="1:11">
      <c r="A1332" t="s">
        <v>319</v>
      </c>
      <c r="B1332" s="8">
        <v>252601252</v>
      </c>
      <c r="C1332" s="9">
        <v>45835</v>
      </c>
      <c r="D1332" s="8" t="s">
        <v>425</v>
      </c>
      <c r="E1332" s="10">
        <v>20000</v>
      </c>
      <c r="F1332" s="8">
        <v>0.07</v>
      </c>
      <c r="G1332" s="11">
        <v>45935</v>
      </c>
      <c r="H1332" s="12">
        <f t="shared" si="20"/>
        <v>1400</v>
      </c>
      <c r="I1332" s="10" t="s">
        <v>10</v>
      </c>
      <c r="J1332" s="13">
        <v>45880</v>
      </c>
      <c r="K1332" t="s">
        <v>431</v>
      </c>
    </row>
    <row r="1333" hidden="1" spans="1:11">
      <c r="A1333" t="s">
        <v>319</v>
      </c>
      <c r="B1333" s="8">
        <v>252601252</v>
      </c>
      <c r="C1333" s="9">
        <v>45835</v>
      </c>
      <c r="D1333" s="8" t="s">
        <v>426</v>
      </c>
      <c r="E1333" s="10">
        <v>200000</v>
      </c>
      <c r="F1333" s="8">
        <v>0.032</v>
      </c>
      <c r="G1333" s="11">
        <v>45935</v>
      </c>
      <c r="H1333" s="12">
        <f t="shared" si="20"/>
        <v>6400</v>
      </c>
      <c r="I1333" s="10" t="s">
        <v>10</v>
      </c>
      <c r="J1333" s="13">
        <v>45883</v>
      </c>
      <c r="K1333" t="s">
        <v>431</v>
      </c>
    </row>
    <row r="1334" hidden="1" spans="1:11">
      <c r="A1334" t="s">
        <v>319</v>
      </c>
      <c r="B1334" s="8">
        <v>252601252</v>
      </c>
      <c r="C1334" s="9">
        <v>45835</v>
      </c>
      <c r="D1334" s="8" t="s">
        <v>426</v>
      </c>
      <c r="E1334" s="10">
        <v>200000</v>
      </c>
      <c r="F1334" s="8">
        <v>0.032</v>
      </c>
      <c r="G1334" s="11">
        <v>45935</v>
      </c>
      <c r="H1334" s="12">
        <f t="shared" si="20"/>
        <v>6400</v>
      </c>
      <c r="I1334" s="10" t="s">
        <v>10</v>
      </c>
      <c r="J1334" s="13">
        <v>45883</v>
      </c>
      <c r="K1334" t="s">
        <v>431</v>
      </c>
    </row>
    <row r="1335" hidden="1" spans="1:11">
      <c r="A1335" t="s">
        <v>319</v>
      </c>
      <c r="B1335" s="8">
        <v>252601252</v>
      </c>
      <c r="C1335" s="9">
        <v>45835</v>
      </c>
      <c r="D1335" s="8" t="s">
        <v>426</v>
      </c>
      <c r="E1335" s="10">
        <v>200000</v>
      </c>
      <c r="F1335" s="8">
        <v>0.032</v>
      </c>
      <c r="G1335" s="11">
        <v>45935</v>
      </c>
      <c r="H1335" s="12">
        <f t="shared" si="20"/>
        <v>6400</v>
      </c>
      <c r="I1335" s="10" t="s">
        <v>10</v>
      </c>
      <c r="J1335" s="13">
        <v>45883</v>
      </c>
      <c r="K1335" t="s">
        <v>431</v>
      </c>
    </row>
    <row r="1336" hidden="1" spans="1:11">
      <c r="A1336" t="s">
        <v>319</v>
      </c>
      <c r="B1336" s="8">
        <v>252601259</v>
      </c>
      <c r="C1336" s="9">
        <v>45838</v>
      </c>
      <c r="D1336" s="8" t="s">
        <v>404</v>
      </c>
      <c r="E1336" s="10">
        <v>100000</v>
      </c>
      <c r="F1336" s="8">
        <v>0.06</v>
      </c>
      <c r="G1336" s="11">
        <v>45860</v>
      </c>
      <c r="H1336" s="12">
        <f t="shared" si="20"/>
        <v>6000</v>
      </c>
      <c r="I1336" s="10" t="s">
        <v>10</v>
      </c>
      <c r="J1336" s="13">
        <v>45840</v>
      </c>
      <c r="K1336" t="s">
        <v>405</v>
      </c>
    </row>
    <row r="1337" hidden="1" spans="1:11">
      <c r="A1337" t="s">
        <v>319</v>
      </c>
      <c r="B1337" s="8">
        <v>252601259</v>
      </c>
      <c r="C1337" s="9">
        <v>45838</v>
      </c>
      <c r="D1337" s="8" t="s">
        <v>404</v>
      </c>
      <c r="E1337" s="10">
        <v>100000</v>
      </c>
      <c r="F1337" s="8">
        <v>0.06</v>
      </c>
      <c r="G1337" s="11">
        <v>45891</v>
      </c>
      <c r="H1337" s="12">
        <f t="shared" si="20"/>
        <v>6000</v>
      </c>
      <c r="I1337" s="10" t="s">
        <v>10</v>
      </c>
      <c r="J1337" s="13">
        <v>45840</v>
      </c>
      <c r="K1337" t="s">
        <v>405</v>
      </c>
    </row>
    <row r="1338" hidden="1" spans="1:11">
      <c r="A1338" t="s">
        <v>319</v>
      </c>
      <c r="B1338" s="8">
        <v>252601262</v>
      </c>
      <c r="C1338" s="9">
        <v>45838</v>
      </c>
      <c r="D1338" s="8" t="s">
        <v>30</v>
      </c>
      <c r="E1338" s="10">
        <v>300000</v>
      </c>
      <c r="F1338" s="8">
        <v>0.026</v>
      </c>
      <c r="G1338" s="11">
        <v>45874</v>
      </c>
      <c r="H1338" s="12">
        <f t="shared" si="20"/>
        <v>7800</v>
      </c>
      <c r="I1338" s="10" t="s">
        <v>10</v>
      </c>
      <c r="J1338" s="13">
        <v>45854</v>
      </c>
      <c r="K1338" t="s">
        <v>445</v>
      </c>
    </row>
    <row r="1339" hidden="1" spans="1:11">
      <c r="A1339" t="s">
        <v>319</v>
      </c>
      <c r="B1339" s="8">
        <v>252601262</v>
      </c>
      <c r="C1339" s="9">
        <v>45838</v>
      </c>
      <c r="D1339" s="8" t="s">
        <v>30</v>
      </c>
      <c r="E1339" s="10">
        <v>200000</v>
      </c>
      <c r="F1339" s="8">
        <v>0.026</v>
      </c>
      <c r="G1339" s="11">
        <v>45874</v>
      </c>
      <c r="H1339" s="12">
        <f t="shared" si="20"/>
        <v>5200</v>
      </c>
      <c r="I1339" s="10" t="s">
        <v>10</v>
      </c>
      <c r="J1339" s="13">
        <v>45854</v>
      </c>
      <c r="K1339" t="s">
        <v>445</v>
      </c>
    </row>
    <row r="1340" hidden="1" spans="1:11">
      <c r="A1340" t="s">
        <v>319</v>
      </c>
      <c r="B1340" s="8">
        <v>252601262</v>
      </c>
      <c r="C1340" s="9">
        <v>45838</v>
      </c>
      <c r="D1340" s="8" t="s">
        <v>30</v>
      </c>
      <c r="E1340" s="10">
        <v>200000</v>
      </c>
      <c r="F1340" s="8">
        <v>0.026</v>
      </c>
      <c r="G1340" s="11">
        <v>45874</v>
      </c>
      <c r="H1340" s="12">
        <f t="shared" si="20"/>
        <v>5200</v>
      </c>
      <c r="I1340" s="10" t="s">
        <v>10</v>
      </c>
      <c r="J1340" s="13">
        <v>45854</v>
      </c>
      <c r="K1340" t="s">
        <v>445</v>
      </c>
    </row>
    <row r="1341" hidden="1" spans="1:11">
      <c r="A1341" t="s">
        <v>319</v>
      </c>
      <c r="B1341" s="8">
        <v>252601267</v>
      </c>
      <c r="C1341" s="9">
        <v>45839</v>
      </c>
      <c r="D1341" s="8" t="s">
        <v>58</v>
      </c>
      <c r="E1341" s="10">
        <v>30000</v>
      </c>
      <c r="F1341" s="8">
        <v>0.014</v>
      </c>
      <c r="G1341" s="11">
        <v>45874</v>
      </c>
      <c r="H1341" s="12">
        <f t="shared" si="20"/>
        <v>420</v>
      </c>
      <c r="I1341" s="10" t="s">
        <v>10</v>
      </c>
      <c r="J1341" s="13">
        <v>45854</v>
      </c>
      <c r="K1341" t="s">
        <v>528</v>
      </c>
    </row>
    <row r="1342" hidden="1" spans="1:11">
      <c r="A1342" t="s">
        <v>319</v>
      </c>
      <c r="B1342" s="8">
        <v>252601267</v>
      </c>
      <c r="C1342" s="9">
        <v>45839</v>
      </c>
      <c r="D1342" s="8" t="s">
        <v>56</v>
      </c>
      <c r="E1342" s="10">
        <v>46000</v>
      </c>
      <c r="F1342" s="8">
        <v>0.031</v>
      </c>
      <c r="G1342" s="11">
        <v>45874</v>
      </c>
      <c r="H1342" s="12">
        <f t="shared" si="20"/>
        <v>1426</v>
      </c>
      <c r="I1342" s="10" t="s">
        <v>10</v>
      </c>
      <c r="J1342" s="13">
        <v>45840</v>
      </c>
      <c r="K1342" t="s">
        <v>528</v>
      </c>
    </row>
    <row r="1343" hidden="1" spans="1:11">
      <c r="A1343" t="s">
        <v>319</v>
      </c>
      <c r="B1343" s="8">
        <v>252601267</v>
      </c>
      <c r="C1343" s="9">
        <v>45839</v>
      </c>
      <c r="D1343" s="8" t="s">
        <v>108</v>
      </c>
      <c r="E1343" s="10">
        <v>20000</v>
      </c>
      <c r="F1343" s="8">
        <v>0.04</v>
      </c>
      <c r="G1343" s="11">
        <v>45874</v>
      </c>
      <c r="H1343" s="12">
        <f t="shared" si="20"/>
        <v>800</v>
      </c>
      <c r="I1343" s="10" t="s">
        <v>10</v>
      </c>
      <c r="J1343" s="13">
        <v>45840</v>
      </c>
      <c r="K1343" t="s">
        <v>528</v>
      </c>
    </row>
    <row r="1344" hidden="1" spans="1:11">
      <c r="A1344" t="s">
        <v>319</v>
      </c>
      <c r="B1344" s="8">
        <v>252601267</v>
      </c>
      <c r="C1344" s="9">
        <v>45839</v>
      </c>
      <c r="D1344" s="8" t="s">
        <v>127</v>
      </c>
      <c r="E1344" s="10">
        <v>100000</v>
      </c>
      <c r="F1344" s="8">
        <v>0.0325</v>
      </c>
      <c r="G1344" s="11">
        <v>45874</v>
      </c>
      <c r="H1344" s="12">
        <f t="shared" si="20"/>
        <v>3250</v>
      </c>
      <c r="I1344" s="10" t="s">
        <v>10</v>
      </c>
      <c r="J1344" s="13">
        <v>45840</v>
      </c>
      <c r="K1344" t="s">
        <v>528</v>
      </c>
    </row>
    <row r="1345" hidden="1" spans="1:11">
      <c r="A1345" t="s">
        <v>319</v>
      </c>
      <c r="B1345" s="8">
        <v>252601267</v>
      </c>
      <c r="C1345" s="9">
        <v>45839</v>
      </c>
      <c r="D1345" s="8" t="s">
        <v>387</v>
      </c>
      <c r="E1345" s="10">
        <v>80000</v>
      </c>
      <c r="F1345" s="8">
        <v>0.025</v>
      </c>
      <c r="G1345" s="11">
        <v>45874</v>
      </c>
      <c r="H1345" s="12">
        <f t="shared" si="20"/>
        <v>2000</v>
      </c>
      <c r="I1345" s="10" t="s">
        <v>10</v>
      </c>
      <c r="J1345" s="13">
        <v>45854</v>
      </c>
      <c r="K1345" t="s">
        <v>528</v>
      </c>
    </row>
    <row r="1346" hidden="1" spans="1:11">
      <c r="A1346" t="s">
        <v>319</v>
      </c>
      <c r="B1346" s="8">
        <v>252601267</v>
      </c>
      <c r="C1346" s="9">
        <v>45839</v>
      </c>
      <c r="D1346" s="8" t="s">
        <v>213</v>
      </c>
      <c r="E1346" s="10">
        <v>200000</v>
      </c>
      <c r="F1346" s="8">
        <v>0.042</v>
      </c>
      <c r="G1346" s="11">
        <v>45874</v>
      </c>
      <c r="H1346" s="12">
        <f t="shared" ref="H1346:H1409" si="21">E1346*F1346</f>
        <v>8400</v>
      </c>
      <c r="I1346" s="10" t="s">
        <v>10</v>
      </c>
      <c r="J1346" s="13">
        <v>45854</v>
      </c>
      <c r="K1346" t="s">
        <v>528</v>
      </c>
    </row>
    <row r="1347" hidden="1" spans="1:11">
      <c r="A1347" t="s">
        <v>319</v>
      </c>
      <c r="B1347" s="8">
        <v>252601267</v>
      </c>
      <c r="C1347" s="9">
        <v>45839</v>
      </c>
      <c r="D1347" s="8" t="s">
        <v>57</v>
      </c>
      <c r="E1347" s="10">
        <v>20000</v>
      </c>
      <c r="F1347" s="8">
        <v>0.15</v>
      </c>
      <c r="G1347" s="11">
        <v>45843</v>
      </c>
      <c r="H1347" s="12">
        <f t="shared" si="21"/>
        <v>3000</v>
      </c>
      <c r="I1347" s="10" t="s">
        <v>10</v>
      </c>
      <c r="J1347" s="13">
        <v>45840</v>
      </c>
      <c r="K1347" t="s">
        <v>528</v>
      </c>
    </row>
    <row r="1348" hidden="1" spans="1:11">
      <c r="A1348" t="s">
        <v>319</v>
      </c>
      <c r="B1348" s="8">
        <v>252601267</v>
      </c>
      <c r="C1348" s="9">
        <v>45839</v>
      </c>
      <c r="D1348" s="8" t="s">
        <v>57</v>
      </c>
      <c r="E1348" s="10">
        <v>20000</v>
      </c>
      <c r="F1348" s="8">
        <v>0.15</v>
      </c>
      <c r="G1348" s="11">
        <v>45874</v>
      </c>
      <c r="H1348" s="12">
        <f t="shared" si="21"/>
        <v>3000</v>
      </c>
      <c r="I1348" s="10" t="s">
        <v>10</v>
      </c>
      <c r="J1348" s="13">
        <v>45840</v>
      </c>
      <c r="K1348" t="s">
        <v>528</v>
      </c>
    </row>
    <row r="1349" hidden="1" spans="1:11">
      <c r="A1349" t="s">
        <v>319</v>
      </c>
      <c r="B1349" s="8">
        <v>252601268</v>
      </c>
      <c r="C1349" s="9">
        <v>45839</v>
      </c>
      <c r="D1349" s="8" t="s">
        <v>58</v>
      </c>
      <c r="E1349" s="10">
        <v>30000</v>
      </c>
      <c r="F1349" s="8">
        <v>0.014</v>
      </c>
      <c r="G1349" s="11">
        <v>45905</v>
      </c>
      <c r="H1349" s="12">
        <f t="shared" si="21"/>
        <v>420</v>
      </c>
      <c r="I1349" s="10" t="s">
        <v>10</v>
      </c>
      <c r="J1349" s="13">
        <v>45866</v>
      </c>
      <c r="K1349" t="s">
        <v>528</v>
      </c>
    </row>
    <row r="1350" hidden="1" spans="1:11">
      <c r="A1350" t="s">
        <v>319</v>
      </c>
      <c r="B1350" s="8">
        <v>252601268</v>
      </c>
      <c r="C1350" s="9">
        <v>45839</v>
      </c>
      <c r="D1350" s="8" t="s">
        <v>56</v>
      </c>
      <c r="E1350" s="10">
        <v>46000</v>
      </c>
      <c r="F1350" s="8">
        <v>0.031</v>
      </c>
      <c r="G1350" s="11">
        <v>45905</v>
      </c>
      <c r="H1350" s="12">
        <f t="shared" si="21"/>
        <v>1426</v>
      </c>
      <c r="I1350" s="10" t="s">
        <v>10</v>
      </c>
      <c r="J1350" s="13">
        <v>45863</v>
      </c>
      <c r="K1350" t="s">
        <v>528</v>
      </c>
    </row>
    <row r="1351" hidden="1" spans="1:11">
      <c r="A1351" t="s">
        <v>319</v>
      </c>
      <c r="B1351" s="8">
        <v>252601268</v>
      </c>
      <c r="C1351" s="9">
        <v>45839</v>
      </c>
      <c r="D1351" s="8" t="s">
        <v>56</v>
      </c>
      <c r="E1351" s="10">
        <v>30000</v>
      </c>
      <c r="F1351" s="8">
        <v>0.031</v>
      </c>
      <c r="G1351" s="11">
        <v>45935</v>
      </c>
      <c r="H1351" s="12">
        <f t="shared" si="21"/>
        <v>930</v>
      </c>
      <c r="I1351" s="10" t="s">
        <v>10</v>
      </c>
      <c r="J1351" s="13">
        <v>45863</v>
      </c>
      <c r="K1351" t="s">
        <v>528</v>
      </c>
    </row>
    <row r="1352" hidden="1" spans="1:11">
      <c r="A1352" t="s">
        <v>319</v>
      </c>
      <c r="B1352" s="8">
        <v>252601268</v>
      </c>
      <c r="C1352" s="9">
        <v>45839</v>
      </c>
      <c r="D1352" s="8" t="s">
        <v>127</v>
      </c>
      <c r="E1352" s="10">
        <v>150000</v>
      </c>
      <c r="F1352" s="8">
        <v>0.0325</v>
      </c>
      <c r="G1352" s="11">
        <v>45905</v>
      </c>
      <c r="H1352" s="12">
        <f t="shared" si="21"/>
        <v>4875</v>
      </c>
      <c r="I1352" s="10" t="s">
        <v>10</v>
      </c>
      <c r="J1352" s="13">
        <v>45863</v>
      </c>
      <c r="K1352" t="s">
        <v>528</v>
      </c>
    </row>
    <row r="1353" hidden="1" spans="1:11">
      <c r="A1353" t="s">
        <v>319</v>
      </c>
      <c r="B1353" s="8">
        <v>252601268</v>
      </c>
      <c r="C1353" s="9">
        <v>45839</v>
      </c>
      <c r="D1353" s="8" t="s">
        <v>387</v>
      </c>
      <c r="E1353" s="10">
        <v>80000</v>
      </c>
      <c r="F1353" s="8">
        <v>0.025</v>
      </c>
      <c r="G1353" s="11">
        <v>45905</v>
      </c>
      <c r="H1353" s="12">
        <f t="shared" si="21"/>
        <v>2000</v>
      </c>
      <c r="I1353" s="10" t="s">
        <v>10</v>
      </c>
      <c r="J1353" s="13">
        <v>45866</v>
      </c>
      <c r="K1353" t="s">
        <v>528</v>
      </c>
    </row>
    <row r="1354" hidden="1" spans="1:11">
      <c r="A1354" t="s">
        <v>319</v>
      </c>
      <c r="B1354" s="8">
        <v>252601268</v>
      </c>
      <c r="C1354" s="9">
        <v>45839</v>
      </c>
      <c r="D1354" s="8" t="s">
        <v>387</v>
      </c>
      <c r="E1354" s="10">
        <v>80000</v>
      </c>
      <c r="F1354" s="8">
        <v>0.025</v>
      </c>
      <c r="G1354" s="11">
        <v>45935</v>
      </c>
      <c r="H1354" s="12">
        <f t="shared" si="21"/>
        <v>2000</v>
      </c>
      <c r="I1354" s="10" t="s">
        <v>10</v>
      </c>
      <c r="J1354" s="13">
        <v>45866</v>
      </c>
      <c r="K1354" t="s">
        <v>528</v>
      </c>
    </row>
    <row r="1355" hidden="1" spans="1:11">
      <c r="A1355" t="s">
        <v>319</v>
      </c>
      <c r="B1355" s="8">
        <v>252601268</v>
      </c>
      <c r="C1355" s="9">
        <v>45839</v>
      </c>
      <c r="D1355" s="8" t="s">
        <v>282</v>
      </c>
      <c r="E1355" s="10">
        <v>20000</v>
      </c>
      <c r="F1355" s="8">
        <v>0.0304</v>
      </c>
      <c r="G1355" s="11">
        <v>45905</v>
      </c>
      <c r="H1355" s="12">
        <f t="shared" si="21"/>
        <v>608</v>
      </c>
      <c r="I1355" s="10" t="s">
        <v>10</v>
      </c>
      <c r="J1355" s="13">
        <v>45866</v>
      </c>
      <c r="K1355" t="s">
        <v>528</v>
      </c>
    </row>
    <row r="1356" hidden="1" spans="1:11">
      <c r="A1356" t="s">
        <v>319</v>
      </c>
      <c r="B1356" s="8">
        <v>252601268</v>
      </c>
      <c r="C1356" s="9">
        <v>45839</v>
      </c>
      <c r="D1356" s="8" t="s">
        <v>282</v>
      </c>
      <c r="E1356" s="10">
        <v>20000</v>
      </c>
      <c r="F1356" s="8">
        <v>0.0304</v>
      </c>
      <c r="G1356" s="11">
        <v>45935</v>
      </c>
      <c r="H1356" s="12">
        <f t="shared" si="21"/>
        <v>608</v>
      </c>
      <c r="I1356" s="10" t="s">
        <v>10</v>
      </c>
      <c r="J1356" s="13">
        <v>45866</v>
      </c>
      <c r="K1356" t="s">
        <v>528</v>
      </c>
    </row>
    <row r="1357" hidden="1" spans="1:11">
      <c r="A1357" t="s">
        <v>319</v>
      </c>
      <c r="B1357" s="8">
        <v>252601268</v>
      </c>
      <c r="C1357" s="9">
        <v>45839</v>
      </c>
      <c r="D1357" s="8" t="s">
        <v>213</v>
      </c>
      <c r="E1357" s="10">
        <v>180000</v>
      </c>
      <c r="F1357" s="8">
        <v>0.042</v>
      </c>
      <c r="G1357" s="11">
        <v>45905</v>
      </c>
      <c r="H1357" s="12">
        <f t="shared" si="21"/>
        <v>7560</v>
      </c>
      <c r="I1357" s="10" t="s">
        <v>10</v>
      </c>
      <c r="J1357" s="13">
        <v>45866</v>
      </c>
      <c r="K1357" t="s">
        <v>528</v>
      </c>
    </row>
    <row r="1358" hidden="1" spans="1:11">
      <c r="A1358" t="s">
        <v>319</v>
      </c>
      <c r="B1358" s="8">
        <v>252601268</v>
      </c>
      <c r="C1358" s="9">
        <v>45839</v>
      </c>
      <c r="D1358" s="8" t="s">
        <v>213</v>
      </c>
      <c r="E1358" s="10">
        <v>100000</v>
      </c>
      <c r="F1358" s="8">
        <v>0.042</v>
      </c>
      <c r="G1358" s="11">
        <v>45935</v>
      </c>
      <c r="H1358" s="12">
        <f t="shared" si="21"/>
        <v>4200</v>
      </c>
      <c r="I1358" s="10" t="s">
        <v>10</v>
      </c>
      <c r="J1358" s="13">
        <v>45866</v>
      </c>
      <c r="K1358" t="s">
        <v>528</v>
      </c>
    </row>
    <row r="1359" hidden="1" spans="1:11">
      <c r="A1359" t="s">
        <v>319</v>
      </c>
      <c r="B1359" s="8">
        <v>252601268</v>
      </c>
      <c r="C1359" s="9">
        <v>45839</v>
      </c>
      <c r="D1359" s="8" t="s">
        <v>181</v>
      </c>
      <c r="E1359" s="10">
        <v>60000</v>
      </c>
      <c r="F1359" s="8">
        <v>0.0243</v>
      </c>
      <c r="G1359" s="11">
        <v>45905</v>
      </c>
      <c r="H1359" s="12">
        <f t="shared" si="21"/>
        <v>1458</v>
      </c>
      <c r="I1359" s="10" t="s">
        <v>10</v>
      </c>
      <c r="J1359" s="13">
        <v>45866</v>
      </c>
      <c r="K1359" t="s">
        <v>528</v>
      </c>
    </row>
    <row r="1360" hidden="1" spans="1:11">
      <c r="A1360" t="s">
        <v>319</v>
      </c>
      <c r="B1360" s="8">
        <v>252601268</v>
      </c>
      <c r="C1360" s="9">
        <v>45839</v>
      </c>
      <c r="D1360" s="8" t="s">
        <v>181</v>
      </c>
      <c r="E1360" s="10">
        <v>60000</v>
      </c>
      <c r="F1360" s="8">
        <v>0.0243</v>
      </c>
      <c r="G1360" s="11">
        <v>45935</v>
      </c>
      <c r="H1360" s="12">
        <f t="shared" si="21"/>
        <v>1458</v>
      </c>
      <c r="I1360" s="10" t="s">
        <v>10</v>
      </c>
      <c r="J1360" s="13">
        <v>45866</v>
      </c>
      <c r="K1360" t="s">
        <v>528</v>
      </c>
    </row>
    <row r="1361" hidden="1" spans="1:11">
      <c r="A1361" t="s">
        <v>319</v>
      </c>
      <c r="B1361" s="8">
        <v>252601268</v>
      </c>
      <c r="C1361" s="9">
        <v>45839</v>
      </c>
      <c r="D1361" s="8" t="s">
        <v>57</v>
      </c>
      <c r="E1361" s="10">
        <v>20000</v>
      </c>
      <c r="F1361" s="8">
        <v>0.15</v>
      </c>
      <c r="G1361" s="11">
        <v>45935</v>
      </c>
      <c r="H1361" s="12">
        <f t="shared" si="21"/>
        <v>3000</v>
      </c>
      <c r="I1361" s="10" t="s">
        <v>10</v>
      </c>
      <c r="J1361" s="13">
        <v>45863</v>
      </c>
      <c r="K1361" t="s">
        <v>528</v>
      </c>
    </row>
    <row r="1362" hidden="1" spans="1:11">
      <c r="B1362" s="8">
        <v>252601310</v>
      </c>
      <c r="C1362" s="9">
        <v>45845</v>
      </c>
      <c r="D1362" s="8" t="s">
        <v>565</v>
      </c>
      <c r="E1362" s="10">
        <v>20000</v>
      </c>
      <c r="F1362" s="8">
        <v>0.06</v>
      </c>
      <c r="G1362" s="11">
        <v>45846</v>
      </c>
      <c r="H1362" s="12">
        <f t="shared" si="21"/>
        <v>1200</v>
      </c>
      <c r="I1362" s="10" t="s">
        <v>10</v>
      </c>
      <c r="J1362" s="15"/>
      <c r="K1362" t="s">
        <v>377</v>
      </c>
    </row>
    <row r="1363" hidden="1" spans="1:11">
      <c r="A1363" t="s">
        <v>319</v>
      </c>
      <c r="B1363" s="8">
        <v>252601312</v>
      </c>
      <c r="C1363" s="9">
        <v>45845</v>
      </c>
      <c r="D1363" s="8" t="s">
        <v>426</v>
      </c>
      <c r="E1363" s="10">
        <v>200000</v>
      </c>
      <c r="F1363" s="8">
        <v>0.032</v>
      </c>
      <c r="G1363" s="11">
        <v>45935</v>
      </c>
      <c r="H1363" s="12">
        <f t="shared" si="21"/>
        <v>6400</v>
      </c>
      <c r="I1363" s="10" t="s">
        <v>10</v>
      </c>
      <c r="J1363" s="13">
        <v>45902</v>
      </c>
      <c r="K1363" t="s">
        <v>495</v>
      </c>
    </row>
    <row r="1364" hidden="1" spans="1:11">
      <c r="A1364" t="s">
        <v>319</v>
      </c>
      <c r="B1364" s="8">
        <v>252601312</v>
      </c>
      <c r="C1364" s="9">
        <v>45845</v>
      </c>
      <c r="D1364" s="8" t="s">
        <v>426</v>
      </c>
      <c r="E1364" s="10">
        <v>200000</v>
      </c>
      <c r="F1364" s="8">
        <v>0.032</v>
      </c>
      <c r="G1364" s="11">
        <v>45935</v>
      </c>
      <c r="H1364" s="12">
        <f t="shared" si="21"/>
        <v>6400</v>
      </c>
      <c r="I1364" s="10" t="s">
        <v>10</v>
      </c>
      <c r="J1364" s="13">
        <v>45902</v>
      </c>
      <c r="K1364" t="s">
        <v>495</v>
      </c>
    </row>
    <row r="1365" hidden="1" spans="1:11">
      <c r="A1365" t="s">
        <v>319</v>
      </c>
      <c r="B1365" s="8">
        <v>252601312</v>
      </c>
      <c r="C1365" s="9">
        <v>45845</v>
      </c>
      <c r="D1365" s="8" t="s">
        <v>426</v>
      </c>
      <c r="E1365" s="10">
        <v>100000</v>
      </c>
      <c r="F1365" s="8">
        <v>0.032</v>
      </c>
      <c r="G1365" s="11">
        <v>45935</v>
      </c>
      <c r="H1365" s="12">
        <f t="shared" si="21"/>
        <v>3200</v>
      </c>
      <c r="I1365" s="10" t="s">
        <v>10</v>
      </c>
      <c r="J1365" s="13">
        <v>45902</v>
      </c>
      <c r="K1365" t="s">
        <v>495</v>
      </c>
    </row>
    <row r="1366" hidden="1" spans="1:11">
      <c r="A1366" t="s">
        <v>319</v>
      </c>
      <c r="B1366" s="8">
        <v>252601312</v>
      </c>
      <c r="C1366" s="9">
        <v>45845</v>
      </c>
      <c r="D1366" s="8" t="s">
        <v>426</v>
      </c>
      <c r="E1366" s="10">
        <v>200000</v>
      </c>
      <c r="F1366" s="8">
        <v>0.032</v>
      </c>
      <c r="G1366" s="11">
        <v>45966</v>
      </c>
      <c r="H1366" s="12">
        <f t="shared" si="21"/>
        <v>6400</v>
      </c>
      <c r="I1366" s="10" t="s">
        <v>10</v>
      </c>
      <c r="J1366" s="13">
        <v>45902</v>
      </c>
      <c r="K1366" t="s">
        <v>495</v>
      </c>
    </row>
    <row r="1367" hidden="1" spans="1:11">
      <c r="A1367" t="s">
        <v>319</v>
      </c>
      <c r="B1367" s="8">
        <v>252601312</v>
      </c>
      <c r="C1367" s="9">
        <v>45845</v>
      </c>
      <c r="D1367" s="8" t="s">
        <v>426</v>
      </c>
      <c r="E1367" s="10">
        <v>200000</v>
      </c>
      <c r="F1367" s="8">
        <v>0.032</v>
      </c>
      <c r="G1367" s="11">
        <v>45966</v>
      </c>
      <c r="H1367" s="12">
        <f t="shared" si="21"/>
        <v>6400</v>
      </c>
      <c r="I1367" s="10" t="s">
        <v>10</v>
      </c>
      <c r="J1367" s="13">
        <v>45902</v>
      </c>
      <c r="K1367" t="s">
        <v>495</v>
      </c>
    </row>
    <row r="1368" hidden="1" spans="1:11">
      <c r="A1368" t="s">
        <v>319</v>
      </c>
      <c r="B1368" s="8">
        <v>252601312</v>
      </c>
      <c r="C1368" s="9">
        <v>45845</v>
      </c>
      <c r="D1368" s="8" t="s">
        <v>426</v>
      </c>
      <c r="E1368" s="10">
        <v>100000</v>
      </c>
      <c r="F1368" s="8">
        <v>0.032</v>
      </c>
      <c r="G1368" s="11">
        <v>45966</v>
      </c>
      <c r="H1368" s="12">
        <f t="shared" si="21"/>
        <v>3200</v>
      </c>
      <c r="I1368" s="10" t="s">
        <v>10</v>
      </c>
      <c r="J1368" s="13">
        <v>45902</v>
      </c>
      <c r="K1368" t="s">
        <v>495</v>
      </c>
    </row>
    <row r="1369" hidden="1" spans="1:11">
      <c r="A1369" t="s">
        <v>319</v>
      </c>
      <c r="B1369" s="8">
        <v>252601342</v>
      </c>
      <c r="C1369" s="9">
        <v>45847</v>
      </c>
      <c r="D1369" s="8" t="s">
        <v>35</v>
      </c>
      <c r="E1369" s="10">
        <v>50000</v>
      </c>
      <c r="F1369" s="8">
        <v>0.05</v>
      </c>
      <c r="G1369" s="11">
        <v>45966</v>
      </c>
      <c r="H1369" s="12">
        <f t="shared" si="21"/>
        <v>2500</v>
      </c>
      <c r="I1369" s="10" t="s">
        <v>10</v>
      </c>
      <c r="J1369" s="13">
        <v>45897</v>
      </c>
      <c r="K1369" t="s">
        <v>486</v>
      </c>
    </row>
    <row r="1370" hidden="1" spans="1:11">
      <c r="A1370" t="s">
        <v>319</v>
      </c>
      <c r="B1370" s="8">
        <v>252601356</v>
      </c>
      <c r="C1370" s="9">
        <v>45848</v>
      </c>
      <c r="D1370" s="8" t="s">
        <v>105</v>
      </c>
      <c r="E1370" s="10">
        <v>32000</v>
      </c>
      <c r="F1370" s="8">
        <v>0.18</v>
      </c>
      <c r="G1370" s="11">
        <v>45922</v>
      </c>
      <c r="H1370" s="12">
        <f t="shared" si="21"/>
        <v>5760</v>
      </c>
      <c r="I1370" s="10" t="s">
        <v>10</v>
      </c>
      <c r="J1370" s="13">
        <v>45854</v>
      </c>
    </row>
    <row r="1371" hidden="1" spans="1:11">
      <c r="A1371" t="s">
        <v>319</v>
      </c>
      <c r="B1371" s="8">
        <v>252601356</v>
      </c>
      <c r="C1371" s="9">
        <v>45848</v>
      </c>
      <c r="D1371" s="8" t="s">
        <v>487</v>
      </c>
      <c r="E1371" s="10">
        <v>240000</v>
      </c>
      <c r="F1371" s="8">
        <v>0.015</v>
      </c>
      <c r="G1371" s="11">
        <v>45860</v>
      </c>
      <c r="H1371" s="12">
        <f t="shared" si="21"/>
        <v>3600</v>
      </c>
      <c r="I1371" s="10" t="s">
        <v>10</v>
      </c>
      <c r="J1371" s="13">
        <v>45854</v>
      </c>
    </row>
    <row r="1372" hidden="1" spans="1:11">
      <c r="A1372" t="s">
        <v>319</v>
      </c>
      <c r="B1372" s="8">
        <v>252601356</v>
      </c>
      <c r="C1372" s="9">
        <v>45848</v>
      </c>
      <c r="D1372" s="8" t="s">
        <v>487</v>
      </c>
      <c r="E1372" s="10">
        <v>304000</v>
      </c>
      <c r="F1372" s="8">
        <v>0.015</v>
      </c>
      <c r="G1372" s="11">
        <v>45860</v>
      </c>
      <c r="H1372" s="12">
        <f t="shared" si="21"/>
        <v>4560</v>
      </c>
      <c r="I1372" s="10" t="s">
        <v>10</v>
      </c>
      <c r="J1372" s="13">
        <v>45854</v>
      </c>
    </row>
    <row r="1373" hidden="1" spans="1:11">
      <c r="A1373" t="s">
        <v>319</v>
      </c>
      <c r="B1373" s="8">
        <v>252601356</v>
      </c>
      <c r="C1373" s="9">
        <v>45848</v>
      </c>
      <c r="D1373" s="8" t="s">
        <v>487</v>
      </c>
      <c r="E1373" s="10">
        <v>240000</v>
      </c>
      <c r="F1373" s="8">
        <v>0.015</v>
      </c>
      <c r="G1373" s="11">
        <v>45860</v>
      </c>
      <c r="H1373" s="12">
        <f t="shared" si="21"/>
        <v>3600</v>
      </c>
      <c r="I1373" s="10" t="s">
        <v>10</v>
      </c>
      <c r="J1373" s="13">
        <v>45854</v>
      </c>
    </row>
    <row r="1374" hidden="1" spans="1:11">
      <c r="A1374" t="s">
        <v>319</v>
      </c>
      <c r="B1374" s="8">
        <v>252601356</v>
      </c>
      <c r="C1374" s="9">
        <v>45848</v>
      </c>
      <c r="D1374" s="8" t="s">
        <v>487</v>
      </c>
      <c r="E1374" s="10">
        <v>304000</v>
      </c>
      <c r="F1374" s="8">
        <v>0.015</v>
      </c>
      <c r="G1374" s="11">
        <v>45860</v>
      </c>
      <c r="H1374" s="12">
        <f t="shared" si="21"/>
        <v>4560</v>
      </c>
      <c r="I1374" s="10" t="s">
        <v>10</v>
      </c>
      <c r="J1374" s="13">
        <v>45854</v>
      </c>
    </row>
    <row r="1375" hidden="1" spans="1:11">
      <c r="A1375" t="s">
        <v>319</v>
      </c>
      <c r="B1375" s="8">
        <v>252601356</v>
      </c>
      <c r="C1375" s="9">
        <v>45848</v>
      </c>
      <c r="D1375" s="8" t="s">
        <v>487</v>
      </c>
      <c r="E1375" s="10">
        <v>240000</v>
      </c>
      <c r="F1375" s="8">
        <v>0.015</v>
      </c>
      <c r="G1375" s="11">
        <v>45891</v>
      </c>
      <c r="H1375" s="12">
        <f t="shared" si="21"/>
        <v>3600</v>
      </c>
      <c r="I1375" s="10" t="s">
        <v>10</v>
      </c>
      <c r="J1375" s="13">
        <v>45854</v>
      </c>
    </row>
    <row r="1376" hidden="1" spans="1:11">
      <c r="A1376" t="s">
        <v>319</v>
      </c>
      <c r="B1376" s="8">
        <v>252601356</v>
      </c>
      <c r="C1376" s="9">
        <v>45848</v>
      </c>
      <c r="D1376" s="8" t="s">
        <v>487</v>
      </c>
      <c r="E1376" s="10">
        <v>304000</v>
      </c>
      <c r="F1376" s="8">
        <v>0.015</v>
      </c>
      <c r="G1376" s="11">
        <v>45891</v>
      </c>
      <c r="H1376" s="12">
        <f t="shared" si="21"/>
        <v>4560</v>
      </c>
      <c r="I1376" s="10" t="s">
        <v>10</v>
      </c>
      <c r="J1376" s="13">
        <v>45854</v>
      </c>
    </row>
    <row r="1377" hidden="1" spans="1:11">
      <c r="A1377" t="s">
        <v>319</v>
      </c>
      <c r="B1377" s="8">
        <v>252601356</v>
      </c>
      <c r="C1377" s="9">
        <v>45848</v>
      </c>
      <c r="D1377" s="8" t="s">
        <v>487</v>
      </c>
      <c r="E1377" s="10">
        <v>240000</v>
      </c>
      <c r="F1377" s="8">
        <v>0.015</v>
      </c>
      <c r="G1377" s="11">
        <v>45922</v>
      </c>
      <c r="H1377" s="12">
        <f t="shared" si="21"/>
        <v>3600</v>
      </c>
      <c r="I1377" s="10" t="s">
        <v>10</v>
      </c>
      <c r="J1377" s="13">
        <v>45854</v>
      </c>
    </row>
    <row r="1378" hidden="1" spans="1:11">
      <c r="A1378" t="s">
        <v>319</v>
      </c>
      <c r="B1378" s="8">
        <v>252601356</v>
      </c>
      <c r="C1378" s="9">
        <v>45848</v>
      </c>
      <c r="D1378" s="8" t="s">
        <v>487</v>
      </c>
      <c r="E1378" s="10">
        <v>304000</v>
      </c>
      <c r="F1378" s="8">
        <v>0.015</v>
      </c>
      <c r="G1378" s="11">
        <v>45922</v>
      </c>
      <c r="H1378" s="12">
        <f t="shared" si="21"/>
        <v>4560</v>
      </c>
      <c r="I1378" s="10" t="s">
        <v>10</v>
      </c>
      <c r="J1378" s="13">
        <v>45854</v>
      </c>
    </row>
    <row r="1379" hidden="1" spans="1:11">
      <c r="A1379" t="s">
        <v>319</v>
      </c>
      <c r="B1379" s="8">
        <v>252601356</v>
      </c>
      <c r="C1379" s="9">
        <v>45848</v>
      </c>
      <c r="D1379" s="8" t="s">
        <v>100</v>
      </c>
      <c r="E1379" s="10">
        <v>30000</v>
      </c>
      <c r="F1379" s="8">
        <v>0.0224</v>
      </c>
      <c r="G1379" s="11">
        <v>45860</v>
      </c>
      <c r="H1379" s="12">
        <f t="shared" si="21"/>
        <v>672</v>
      </c>
      <c r="I1379" s="10" t="s">
        <v>10</v>
      </c>
      <c r="J1379" s="13">
        <v>45855</v>
      </c>
    </row>
    <row r="1380" hidden="1" spans="1:11">
      <c r="A1380" t="s">
        <v>319</v>
      </c>
      <c r="B1380" s="8">
        <v>252601356</v>
      </c>
      <c r="C1380" s="9">
        <v>45848</v>
      </c>
      <c r="D1380" s="8" t="s">
        <v>100</v>
      </c>
      <c r="E1380" s="10">
        <v>30000</v>
      </c>
      <c r="F1380" s="8">
        <v>0.0224</v>
      </c>
      <c r="G1380" s="11">
        <v>45891</v>
      </c>
      <c r="H1380" s="12">
        <f t="shared" si="21"/>
        <v>672</v>
      </c>
      <c r="I1380" s="10" t="s">
        <v>10</v>
      </c>
      <c r="J1380" s="13">
        <v>45855</v>
      </c>
    </row>
    <row r="1381" hidden="1" spans="1:11">
      <c r="A1381" t="s">
        <v>319</v>
      </c>
      <c r="B1381" s="8">
        <v>252601356</v>
      </c>
      <c r="C1381" s="9">
        <v>45848</v>
      </c>
      <c r="D1381" s="8" t="s">
        <v>100</v>
      </c>
      <c r="E1381" s="10">
        <v>20000</v>
      </c>
      <c r="F1381" s="8">
        <v>0.0224</v>
      </c>
      <c r="G1381" s="11">
        <v>45922</v>
      </c>
      <c r="H1381" s="12">
        <f t="shared" si="21"/>
        <v>448</v>
      </c>
      <c r="I1381" s="10" t="s">
        <v>10</v>
      </c>
      <c r="J1381" s="13">
        <v>45855</v>
      </c>
    </row>
    <row r="1382" hidden="1" spans="1:11">
      <c r="A1382" t="s">
        <v>319</v>
      </c>
      <c r="B1382" s="8">
        <v>252601385</v>
      </c>
      <c r="C1382" s="9">
        <v>45852</v>
      </c>
      <c r="D1382" s="8" t="s">
        <v>38</v>
      </c>
      <c r="E1382" s="10">
        <v>40000</v>
      </c>
      <c r="F1382" s="8">
        <v>0.01</v>
      </c>
      <c r="G1382" s="11">
        <v>45935</v>
      </c>
      <c r="H1382" s="12">
        <f t="shared" si="21"/>
        <v>400</v>
      </c>
      <c r="I1382" s="10" t="s">
        <v>10</v>
      </c>
      <c r="J1382" s="13">
        <v>45897</v>
      </c>
      <c r="K1382" t="s">
        <v>460</v>
      </c>
    </row>
    <row r="1383" hidden="1" spans="1:11">
      <c r="A1383" t="s">
        <v>319</v>
      </c>
      <c r="B1383" s="8">
        <v>252601385</v>
      </c>
      <c r="C1383" s="9">
        <v>45852</v>
      </c>
      <c r="D1383" s="8" t="s">
        <v>38</v>
      </c>
      <c r="E1383" s="10">
        <v>40000</v>
      </c>
      <c r="F1383" s="8">
        <v>0.01</v>
      </c>
      <c r="G1383" s="11">
        <v>45966</v>
      </c>
      <c r="H1383" s="12">
        <f t="shared" si="21"/>
        <v>400</v>
      </c>
      <c r="I1383" s="10" t="s">
        <v>10</v>
      </c>
      <c r="J1383" s="13">
        <v>45897</v>
      </c>
      <c r="K1383" t="s">
        <v>460</v>
      </c>
    </row>
    <row r="1384" hidden="1" spans="1:11">
      <c r="A1384" t="s">
        <v>319</v>
      </c>
      <c r="B1384" s="8">
        <v>252601422</v>
      </c>
      <c r="C1384" s="9">
        <v>45853</v>
      </c>
      <c r="D1384" s="8" t="s">
        <v>40</v>
      </c>
      <c r="E1384" s="10">
        <v>200000</v>
      </c>
      <c r="F1384" s="8">
        <v>0.035</v>
      </c>
      <c r="G1384" s="11">
        <v>45874</v>
      </c>
      <c r="H1384" s="12">
        <f t="shared" si="21"/>
        <v>7000</v>
      </c>
      <c r="I1384" s="10" t="s">
        <v>10</v>
      </c>
      <c r="J1384" s="13">
        <v>45856</v>
      </c>
    </row>
    <row r="1385" hidden="1" spans="1:11">
      <c r="A1385" t="s">
        <v>319</v>
      </c>
      <c r="B1385" s="8">
        <v>252601422</v>
      </c>
      <c r="C1385" s="9">
        <v>45853</v>
      </c>
      <c r="D1385" s="8" t="s">
        <v>40</v>
      </c>
      <c r="E1385" s="10">
        <v>200000</v>
      </c>
      <c r="F1385" s="8">
        <v>0.035</v>
      </c>
      <c r="G1385" s="11">
        <v>45874</v>
      </c>
      <c r="H1385" s="12">
        <f t="shared" si="21"/>
        <v>7000</v>
      </c>
      <c r="I1385" s="10" t="s">
        <v>10</v>
      </c>
      <c r="J1385" s="13">
        <v>45856</v>
      </c>
    </row>
    <row r="1386" hidden="1" spans="1:11">
      <c r="A1386" t="s">
        <v>319</v>
      </c>
      <c r="B1386" s="8">
        <v>252601422</v>
      </c>
      <c r="C1386" s="9">
        <v>45853</v>
      </c>
      <c r="D1386" s="8" t="s">
        <v>40</v>
      </c>
      <c r="E1386" s="10">
        <v>100000</v>
      </c>
      <c r="F1386" s="8">
        <v>0.035</v>
      </c>
      <c r="G1386" s="11">
        <v>45874</v>
      </c>
      <c r="H1386" s="12">
        <f t="shared" si="21"/>
        <v>3500</v>
      </c>
      <c r="I1386" s="10" t="s">
        <v>10</v>
      </c>
      <c r="J1386" s="13">
        <v>45856</v>
      </c>
    </row>
    <row r="1387" hidden="1" spans="1:11">
      <c r="A1387" t="s">
        <v>319</v>
      </c>
      <c r="B1387" s="8">
        <v>252601422</v>
      </c>
      <c r="C1387" s="9">
        <v>45853</v>
      </c>
      <c r="D1387" s="8" t="s">
        <v>40</v>
      </c>
      <c r="E1387" s="10">
        <v>200000</v>
      </c>
      <c r="F1387" s="8">
        <v>0.035</v>
      </c>
      <c r="G1387" s="11">
        <v>45905</v>
      </c>
      <c r="H1387" s="12">
        <f t="shared" si="21"/>
        <v>7000</v>
      </c>
      <c r="I1387" s="10" t="s">
        <v>10</v>
      </c>
      <c r="J1387" s="13">
        <v>45856</v>
      </c>
    </row>
    <row r="1388" hidden="1" spans="1:11">
      <c r="A1388" t="s">
        <v>319</v>
      </c>
      <c r="B1388" s="8">
        <v>252601422</v>
      </c>
      <c r="C1388" s="9">
        <v>45853</v>
      </c>
      <c r="D1388" s="8" t="s">
        <v>40</v>
      </c>
      <c r="E1388" s="10">
        <v>200000</v>
      </c>
      <c r="F1388" s="8">
        <v>0.035</v>
      </c>
      <c r="G1388" s="11">
        <v>45905</v>
      </c>
      <c r="H1388" s="12">
        <f t="shared" si="21"/>
        <v>7000</v>
      </c>
      <c r="I1388" s="10" t="s">
        <v>10</v>
      </c>
      <c r="J1388" s="13">
        <v>45856</v>
      </c>
    </row>
    <row r="1389" hidden="1" spans="1:11">
      <c r="A1389" t="s">
        <v>319</v>
      </c>
      <c r="B1389" s="8">
        <v>252601422</v>
      </c>
      <c r="C1389" s="9">
        <v>45853</v>
      </c>
      <c r="D1389" s="8" t="s">
        <v>40</v>
      </c>
      <c r="E1389" s="10">
        <v>100000</v>
      </c>
      <c r="F1389" s="8">
        <v>0.035</v>
      </c>
      <c r="G1389" s="11">
        <v>45905</v>
      </c>
      <c r="H1389" s="12">
        <f t="shared" si="21"/>
        <v>3500</v>
      </c>
      <c r="I1389" s="10" t="s">
        <v>10</v>
      </c>
      <c r="J1389" s="13">
        <v>45856</v>
      </c>
    </row>
    <row r="1390" hidden="1" spans="1:11">
      <c r="A1390" t="s">
        <v>319</v>
      </c>
      <c r="B1390" s="8">
        <v>252601422</v>
      </c>
      <c r="C1390" s="9">
        <v>45853</v>
      </c>
      <c r="D1390" s="8" t="s">
        <v>45</v>
      </c>
      <c r="E1390" s="10">
        <v>200000</v>
      </c>
      <c r="F1390" s="8">
        <v>0.024</v>
      </c>
      <c r="G1390" s="11">
        <v>45874</v>
      </c>
      <c r="H1390" s="12">
        <f t="shared" si="21"/>
        <v>4800</v>
      </c>
      <c r="I1390" s="10" t="s">
        <v>10</v>
      </c>
      <c r="J1390" s="13">
        <v>45855</v>
      </c>
    </row>
    <row r="1391" hidden="1" spans="1:11">
      <c r="A1391" t="s">
        <v>319</v>
      </c>
      <c r="B1391" s="8">
        <v>252601422</v>
      </c>
      <c r="C1391" s="9">
        <v>45853</v>
      </c>
      <c r="D1391" s="8" t="s">
        <v>45</v>
      </c>
      <c r="E1391" s="10">
        <v>200000</v>
      </c>
      <c r="F1391" s="8">
        <v>0.024</v>
      </c>
      <c r="G1391" s="11">
        <v>45874</v>
      </c>
      <c r="H1391" s="12">
        <f t="shared" si="21"/>
        <v>4800</v>
      </c>
      <c r="I1391" s="10" t="s">
        <v>10</v>
      </c>
      <c r="J1391" s="13">
        <v>45855</v>
      </c>
    </row>
    <row r="1392" hidden="1" spans="1:11">
      <c r="A1392" t="s">
        <v>319</v>
      </c>
      <c r="B1392" s="8">
        <v>252601422</v>
      </c>
      <c r="C1392" s="9">
        <v>45853</v>
      </c>
      <c r="D1392" s="8" t="s">
        <v>45</v>
      </c>
      <c r="E1392" s="10">
        <v>100000</v>
      </c>
      <c r="F1392" s="8">
        <v>0.024</v>
      </c>
      <c r="G1392" s="11">
        <v>45874</v>
      </c>
      <c r="H1392" s="12">
        <f t="shared" si="21"/>
        <v>2400</v>
      </c>
      <c r="I1392" s="10" t="s">
        <v>10</v>
      </c>
      <c r="J1392" s="13">
        <v>45855</v>
      </c>
    </row>
    <row r="1393" hidden="1" spans="1:11">
      <c r="A1393" t="s">
        <v>319</v>
      </c>
      <c r="B1393" s="8">
        <v>252601422</v>
      </c>
      <c r="C1393" s="9">
        <v>45853</v>
      </c>
      <c r="D1393" s="8" t="s">
        <v>45</v>
      </c>
      <c r="E1393" s="10">
        <v>200000</v>
      </c>
      <c r="F1393" s="8">
        <v>0.024</v>
      </c>
      <c r="G1393" s="11">
        <v>45905</v>
      </c>
      <c r="H1393" s="12">
        <f t="shared" si="21"/>
        <v>4800</v>
      </c>
      <c r="I1393" s="10" t="s">
        <v>10</v>
      </c>
      <c r="J1393" s="13">
        <v>45855</v>
      </c>
    </row>
    <row r="1394" hidden="1" spans="1:11">
      <c r="A1394" t="s">
        <v>319</v>
      </c>
      <c r="B1394" s="8">
        <v>252601422</v>
      </c>
      <c r="C1394" s="9">
        <v>45853</v>
      </c>
      <c r="D1394" s="8" t="s">
        <v>45</v>
      </c>
      <c r="E1394" s="10">
        <v>200000</v>
      </c>
      <c r="F1394" s="8">
        <v>0.024</v>
      </c>
      <c r="G1394" s="11">
        <v>45905</v>
      </c>
      <c r="H1394" s="12">
        <f t="shared" si="21"/>
        <v>4800</v>
      </c>
      <c r="I1394" s="10" t="s">
        <v>10</v>
      </c>
      <c r="J1394" s="13">
        <v>45855</v>
      </c>
    </row>
    <row r="1395" hidden="1" spans="1:11">
      <c r="A1395" t="s">
        <v>319</v>
      </c>
      <c r="B1395" s="8">
        <v>252601422</v>
      </c>
      <c r="C1395" s="9">
        <v>45853</v>
      </c>
      <c r="D1395" s="8" t="s">
        <v>45</v>
      </c>
      <c r="E1395" s="10">
        <v>100000</v>
      </c>
      <c r="F1395" s="8">
        <v>0.024</v>
      </c>
      <c r="G1395" s="11">
        <v>45905</v>
      </c>
      <c r="H1395" s="12">
        <f t="shared" si="21"/>
        <v>2400</v>
      </c>
      <c r="I1395" s="10" t="s">
        <v>10</v>
      </c>
      <c r="J1395" s="13">
        <v>45855</v>
      </c>
    </row>
    <row r="1396" hidden="1" spans="1:11">
      <c r="A1396" t="s">
        <v>319</v>
      </c>
      <c r="B1396" s="8">
        <v>252601423</v>
      </c>
      <c r="C1396" s="9">
        <v>45853</v>
      </c>
      <c r="D1396" s="8" t="s">
        <v>96</v>
      </c>
      <c r="E1396" s="10">
        <v>208000</v>
      </c>
      <c r="F1396" s="8">
        <v>0.003</v>
      </c>
      <c r="G1396" s="11">
        <v>45874</v>
      </c>
      <c r="H1396" s="12">
        <f t="shared" si="21"/>
        <v>624</v>
      </c>
      <c r="I1396" s="10" t="s">
        <v>10</v>
      </c>
      <c r="J1396" s="13">
        <v>45856</v>
      </c>
    </row>
    <row r="1397" hidden="1" spans="1:11">
      <c r="A1397" t="s">
        <v>319</v>
      </c>
      <c r="B1397" s="8">
        <v>252601423</v>
      </c>
      <c r="C1397" s="9">
        <v>45853</v>
      </c>
      <c r="D1397" s="8" t="s">
        <v>236</v>
      </c>
      <c r="E1397" s="10">
        <v>208000</v>
      </c>
      <c r="F1397" s="8">
        <v>0.005</v>
      </c>
      <c r="G1397" s="11">
        <v>45874</v>
      </c>
      <c r="H1397" s="12">
        <f t="shared" si="21"/>
        <v>1040</v>
      </c>
      <c r="I1397" s="10" t="s">
        <v>10</v>
      </c>
      <c r="J1397" s="13">
        <v>45856</v>
      </c>
    </row>
    <row r="1398" hidden="1" spans="1:11">
      <c r="A1398" t="s">
        <v>319</v>
      </c>
      <c r="B1398" s="8">
        <v>252601423</v>
      </c>
      <c r="C1398" s="9">
        <v>45853</v>
      </c>
      <c r="D1398" s="8" t="s">
        <v>236</v>
      </c>
      <c r="E1398" s="10">
        <v>192000</v>
      </c>
      <c r="F1398" s="8">
        <v>0.005</v>
      </c>
      <c r="G1398" s="11">
        <v>45874</v>
      </c>
      <c r="H1398" s="12">
        <f t="shared" si="21"/>
        <v>960</v>
      </c>
      <c r="I1398" s="10" t="s">
        <v>10</v>
      </c>
      <c r="J1398" s="13">
        <v>45856</v>
      </c>
    </row>
    <row r="1399" hidden="1" spans="1:11">
      <c r="A1399" t="s">
        <v>319</v>
      </c>
      <c r="B1399" s="8">
        <v>252601443</v>
      </c>
      <c r="C1399" s="9">
        <v>45854</v>
      </c>
      <c r="D1399" s="8" t="s">
        <v>39</v>
      </c>
      <c r="E1399" s="10">
        <v>350000</v>
      </c>
      <c r="F1399" s="8">
        <v>0.022</v>
      </c>
      <c r="G1399" s="11">
        <v>45952</v>
      </c>
      <c r="H1399" s="12">
        <f t="shared" si="21"/>
        <v>7700</v>
      </c>
      <c r="I1399" s="10" t="s">
        <v>10</v>
      </c>
      <c r="J1399" s="13">
        <v>45897</v>
      </c>
      <c r="K1399" t="s">
        <v>337</v>
      </c>
    </row>
    <row r="1400" hidden="1" spans="1:11">
      <c r="A1400" t="s">
        <v>319</v>
      </c>
      <c r="B1400" s="8">
        <v>252601443</v>
      </c>
      <c r="C1400" s="9">
        <v>45854</v>
      </c>
      <c r="D1400" s="8" t="s">
        <v>39</v>
      </c>
      <c r="E1400" s="10">
        <v>400000</v>
      </c>
      <c r="F1400" s="8">
        <v>0.022</v>
      </c>
      <c r="G1400" s="11">
        <v>45983</v>
      </c>
      <c r="H1400" s="12">
        <f t="shared" si="21"/>
        <v>8800</v>
      </c>
      <c r="I1400" s="10" t="s">
        <v>10</v>
      </c>
      <c r="J1400" s="13">
        <v>45897</v>
      </c>
      <c r="K1400" t="s">
        <v>337</v>
      </c>
    </row>
    <row r="1401" hidden="1" spans="1:11">
      <c r="A1401" t="s">
        <v>319</v>
      </c>
      <c r="B1401" s="8">
        <v>252601444</v>
      </c>
      <c r="C1401" s="9">
        <v>45855</v>
      </c>
      <c r="D1401" s="8" t="s">
        <v>30</v>
      </c>
      <c r="E1401" s="10">
        <v>100000</v>
      </c>
      <c r="F1401" s="8">
        <v>0.026</v>
      </c>
      <c r="G1401" s="11">
        <v>45860</v>
      </c>
      <c r="H1401" s="12">
        <f t="shared" si="21"/>
        <v>2600</v>
      </c>
      <c r="I1401" s="10" t="s">
        <v>10</v>
      </c>
      <c r="J1401" s="13">
        <v>45877</v>
      </c>
      <c r="K1401" t="s">
        <v>369</v>
      </c>
    </row>
    <row r="1402" hidden="1" spans="1:11">
      <c r="A1402" t="s">
        <v>319</v>
      </c>
      <c r="B1402" s="8">
        <v>252601444</v>
      </c>
      <c r="C1402" s="9">
        <v>45855</v>
      </c>
      <c r="D1402" s="8" t="s">
        <v>30</v>
      </c>
      <c r="E1402" s="10">
        <v>100000</v>
      </c>
      <c r="F1402" s="8">
        <v>0.026</v>
      </c>
      <c r="G1402" s="11">
        <v>45891</v>
      </c>
      <c r="H1402" s="12">
        <f t="shared" si="21"/>
        <v>2600</v>
      </c>
      <c r="I1402" s="10" t="s">
        <v>10</v>
      </c>
      <c r="J1402" s="13">
        <v>45877</v>
      </c>
      <c r="K1402" t="s">
        <v>369</v>
      </c>
    </row>
    <row r="1403" hidden="1" spans="1:11">
      <c r="A1403" t="s">
        <v>319</v>
      </c>
      <c r="B1403" s="8">
        <v>252601444</v>
      </c>
      <c r="C1403" s="9">
        <v>45855</v>
      </c>
      <c r="D1403" s="8" t="s">
        <v>482</v>
      </c>
      <c r="E1403" s="10">
        <v>180000</v>
      </c>
      <c r="F1403" s="8">
        <v>0.02049</v>
      </c>
      <c r="G1403" s="11">
        <v>45952</v>
      </c>
      <c r="H1403" s="12">
        <f t="shared" si="21"/>
        <v>3688.2</v>
      </c>
      <c r="I1403" s="10" t="s">
        <v>10</v>
      </c>
      <c r="J1403" s="13">
        <v>45876</v>
      </c>
      <c r="K1403" t="s">
        <v>369</v>
      </c>
    </row>
    <row r="1404" hidden="1" spans="1:11">
      <c r="A1404" t="s">
        <v>319</v>
      </c>
      <c r="B1404" s="8">
        <v>252601444</v>
      </c>
      <c r="C1404" s="9">
        <v>45855</v>
      </c>
      <c r="D1404" s="8" t="s">
        <v>482</v>
      </c>
      <c r="E1404" s="10">
        <v>180000</v>
      </c>
      <c r="F1404" s="8">
        <v>0.02049</v>
      </c>
      <c r="G1404" s="11">
        <v>45952</v>
      </c>
      <c r="H1404" s="12">
        <f t="shared" si="21"/>
        <v>3688.2</v>
      </c>
      <c r="I1404" s="10" t="s">
        <v>10</v>
      </c>
      <c r="J1404" s="13">
        <v>45876</v>
      </c>
      <c r="K1404" t="s">
        <v>369</v>
      </c>
    </row>
    <row r="1405" hidden="1" spans="1:11">
      <c r="A1405" t="s">
        <v>319</v>
      </c>
      <c r="B1405" s="70">
        <v>252601451</v>
      </c>
      <c r="C1405" s="71">
        <v>45855</v>
      </c>
      <c r="D1405" s="70" t="s">
        <v>525</v>
      </c>
      <c r="E1405" s="72">
        <v>2000</v>
      </c>
      <c r="F1405" s="70">
        <v>0.03</v>
      </c>
      <c r="G1405" s="73">
        <v>45860</v>
      </c>
      <c r="H1405" s="74">
        <f t="shared" si="21"/>
        <v>60</v>
      </c>
      <c r="I1405" s="72" t="s">
        <v>51</v>
      </c>
      <c r="J1405" s="15"/>
      <c r="K1405" t="s">
        <v>566</v>
      </c>
    </row>
    <row r="1406" hidden="1" spans="1:11">
      <c r="A1406" t="s">
        <v>319</v>
      </c>
      <c r="B1406" s="8">
        <v>252601452</v>
      </c>
      <c r="C1406" s="9">
        <v>45855</v>
      </c>
      <c r="D1406" s="8" t="s">
        <v>567</v>
      </c>
      <c r="E1406" s="10">
        <v>20000</v>
      </c>
      <c r="F1406" s="8">
        <v>0.02</v>
      </c>
      <c r="G1406" s="11">
        <v>45930</v>
      </c>
      <c r="H1406" s="12">
        <f t="shared" si="21"/>
        <v>400</v>
      </c>
      <c r="I1406" s="10" t="s">
        <v>10</v>
      </c>
      <c r="J1406" s="13">
        <v>45944</v>
      </c>
      <c r="K1406" t="s">
        <v>391</v>
      </c>
    </row>
    <row r="1407" hidden="1" spans="1:11">
      <c r="A1407" t="s">
        <v>319</v>
      </c>
      <c r="B1407" s="8">
        <v>252601452</v>
      </c>
      <c r="C1407" s="9">
        <v>45855</v>
      </c>
      <c r="D1407" s="8" t="s">
        <v>568</v>
      </c>
      <c r="E1407" s="10">
        <v>20000</v>
      </c>
      <c r="F1407" s="8">
        <v>0.02</v>
      </c>
      <c r="G1407" s="11">
        <v>45930</v>
      </c>
      <c r="H1407" s="12">
        <f t="shared" si="21"/>
        <v>400</v>
      </c>
      <c r="I1407" s="10" t="s">
        <v>10</v>
      </c>
      <c r="J1407" s="13">
        <v>45944</v>
      </c>
      <c r="K1407" t="s">
        <v>391</v>
      </c>
    </row>
    <row r="1408" hidden="1" spans="1:11">
      <c r="A1408" t="s">
        <v>319</v>
      </c>
      <c r="B1408" s="8">
        <v>252601468</v>
      </c>
      <c r="C1408" s="9">
        <v>45856</v>
      </c>
      <c r="D1408" s="8" t="s">
        <v>465</v>
      </c>
      <c r="E1408" s="10">
        <v>30000</v>
      </c>
      <c r="F1408" s="8">
        <v>0.018</v>
      </c>
      <c r="G1408" s="11">
        <v>45874</v>
      </c>
      <c r="H1408" s="12">
        <f t="shared" si="21"/>
        <v>540</v>
      </c>
      <c r="I1408" s="10" t="s">
        <v>10</v>
      </c>
      <c r="J1408" s="13">
        <v>45862</v>
      </c>
      <c r="K1408" t="s">
        <v>469</v>
      </c>
    </row>
    <row r="1409" hidden="1" spans="1:11">
      <c r="A1409" t="s">
        <v>319</v>
      </c>
      <c r="B1409" s="8">
        <v>252601468</v>
      </c>
      <c r="C1409" s="9">
        <v>45856</v>
      </c>
      <c r="D1409" s="8" t="s">
        <v>465</v>
      </c>
      <c r="E1409" s="10">
        <v>30000</v>
      </c>
      <c r="F1409" s="8">
        <v>0.018</v>
      </c>
      <c r="G1409" s="11">
        <v>45905</v>
      </c>
      <c r="H1409" s="12">
        <f t="shared" si="21"/>
        <v>540</v>
      </c>
      <c r="I1409" s="10" t="s">
        <v>10</v>
      </c>
      <c r="J1409" s="13">
        <v>45862</v>
      </c>
      <c r="K1409" t="s">
        <v>469</v>
      </c>
    </row>
    <row r="1410" hidden="1" spans="1:11">
      <c r="A1410" t="s">
        <v>319</v>
      </c>
      <c r="B1410" s="8">
        <v>252601482</v>
      </c>
      <c r="C1410" s="9">
        <v>45856</v>
      </c>
      <c r="D1410" s="8" t="s">
        <v>289</v>
      </c>
      <c r="E1410" s="10">
        <v>20000</v>
      </c>
      <c r="F1410" s="8">
        <v>0.033</v>
      </c>
      <c r="G1410" s="11">
        <v>45952</v>
      </c>
      <c r="H1410" s="12">
        <f t="shared" ref="H1410:H1473" si="22">E1410*F1410</f>
        <v>660</v>
      </c>
      <c r="I1410" s="10" t="s">
        <v>10</v>
      </c>
      <c r="J1410" s="13">
        <v>45902</v>
      </c>
      <c r="K1410" t="s">
        <v>369</v>
      </c>
    </row>
    <row r="1411" hidden="1" spans="1:11">
      <c r="A1411" t="s">
        <v>319</v>
      </c>
      <c r="B1411" s="8">
        <v>252601482</v>
      </c>
      <c r="C1411" s="9">
        <v>45856</v>
      </c>
      <c r="D1411" s="8" t="s">
        <v>539</v>
      </c>
      <c r="E1411" s="10">
        <v>20000</v>
      </c>
      <c r="F1411" s="8">
        <v>0.03</v>
      </c>
      <c r="G1411" s="11">
        <v>45952</v>
      </c>
      <c r="H1411" s="12">
        <f t="shared" si="22"/>
        <v>600</v>
      </c>
      <c r="I1411" s="10" t="s">
        <v>10</v>
      </c>
      <c r="J1411" s="13">
        <v>45902</v>
      </c>
      <c r="K1411" t="s">
        <v>369</v>
      </c>
    </row>
    <row r="1412" hidden="1" spans="1:11">
      <c r="A1412" t="s">
        <v>319</v>
      </c>
      <c r="B1412" s="8">
        <v>252601482</v>
      </c>
      <c r="C1412" s="9">
        <v>45856</v>
      </c>
      <c r="D1412" s="8" t="s">
        <v>547</v>
      </c>
      <c r="E1412" s="10">
        <v>20000</v>
      </c>
      <c r="F1412" s="8">
        <v>0.03</v>
      </c>
      <c r="G1412" s="11">
        <v>45952</v>
      </c>
      <c r="H1412" s="12">
        <f t="shared" si="22"/>
        <v>600</v>
      </c>
      <c r="I1412" s="10" t="s">
        <v>10</v>
      </c>
      <c r="J1412" s="13">
        <v>45902</v>
      </c>
      <c r="K1412" t="s">
        <v>369</v>
      </c>
    </row>
    <row r="1413" hidden="1" spans="1:11">
      <c r="A1413" t="s">
        <v>319</v>
      </c>
      <c r="B1413" s="8">
        <v>252601482</v>
      </c>
      <c r="C1413" s="9">
        <v>45856</v>
      </c>
      <c r="D1413" s="8" t="s">
        <v>303</v>
      </c>
      <c r="E1413" s="10">
        <v>28000</v>
      </c>
      <c r="F1413" s="8">
        <v>0.0205</v>
      </c>
      <c r="G1413" s="11">
        <v>45952</v>
      </c>
      <c r="H1413" s="12">
        <f t="shared" si="22"/>
        <v>574</v>
      </c>
      <c r="I1413" s="10" t="s">
        <v>10</v>
      </c>
      <c r="J1413" s="13">
        <v>45902</v>
      </c>
      <c r="K1413" t="s">
        <v>369</v>
      </c>
    </row>
    <row r="1414" hidden="1" spans="1:11">
      <c r="A1414" t="s">
        <v>319</v>
      </c>
      <c r="B1414" s="70">
        <v>252601502</v>
      </c>
      <c r="C1414" s="71">
        <v>45861</v>
      </c>
      <c r="D1414" s="70" t="s">
        <v>142</v>
      </c>
      <c r="E1414" s="72">
        <v>3000</v>
      </c>
      <c r="F1414" s="70">
        <v>0.024</v>
      </c>
      <c r="G1414" s="73">
        <v>45861</v>
      </c>
      <c r="H1414" s="74">
        <f t="shared" si="22"/>
        <v>72</v>
      </c>
      <c r="I1414" s="72" t="s">
        <v>51</v>
      </c>
      <c r="J1414" s="15"/>
    </row>
    <row r="1415" hidden="1" spans="1:11">
      <c r="A1415" t="s">
        <v>319</v>
      </c>
      <c r="B1415" s="8">
        <v>252601505</v>
      </c>
      <c r="C1415" s="9">
        <v>45861</v>
      </c>
      <c r="D1415" s="8" t="s">
        <v>569</v>
      </c>
      <c r="E1415" s="10">
        <v>100000</v>
      </c>
      <c r="F1415" s="8">
        <v>0.035</v>
      </c>
      <c r="G1415" s="11">
        <v>45861</v>
      </c>
      <c r="H1415" s="12">
        <f t="shared" si="22"/>
        <v>3500</v>
      </c>
      <c r="I1415" s="10" t="s">
        <v>10</v>
      </c>
      <c r="J1415" s="15" t="s">
        <v>570</v>
      </c>
      <c r="K1415" t="s">
        <v>378</v>
      </c>
    </row>
    <row r="1416" hidden="1" spans="1:11">
      <c r="A1416" t="s">
        <v>319</v>
      </c>
      <c r="B1416" s="8">
        <v>252601521</v>
      </c>
      <c r="C1416" s="9">
        <v>45863</v>
      </c>
      <c r="D1416" s="8" t="s">
        <v>142</v>
      </c>
      <c r="E1416" s="10">
        <v>21000</v>
      </c>
      <c r="F1416" s="8">
        <v>0.024</v>
      </c>
      <c r="G1416" s="11">
        <v>45863</v>
      </c>
      <c r="H1416" s="12">
        <f t="shared" si="22"/>
        <v>504</v>
      </c>
      <c r="I1416" s="10" t="s">
        <v>10</v>
      </c>
      <c r="J1416" s="13">
        <v>45882</v>
      </c>
      <c r="K1416" t="s">
        <v>571</v>
      </c>
    </row>
    <row r="1417" hidden="1" spans="1:11">
      <c r="A1417" t="s">
        <v>319</v>
      </c>
      <c r="B1417" s="70">
        <v>252601522</v>
      </c>
      <c r="C1417" s="71">
        <v>45863</v>
      </c>
      <c r="D1417" s="70" t="s">
        <v>242</v>
      </c>
      <c r="E1417" s="72">
        <v>20000</v>
      </c>
      <c r="F1417" s="70">
        <v>0.043</v>
      </c>
      <c r="G1417" s="73">
        <v>45935</v>
      </c>
      <c r="H1417" s="74">
        <f t="shared" si="22"/>
        <v>860</v>
      </c>
      <c r="I1417" s="72" t="s">
        <v>51</v>
      </c>
      <c r="J1417" s="15" t="s">
        <v>513</v>
      </c>
      <c r="K1417" t="s">
        <v>491</v>
      </c>
    </row>
    <row r="1418" hidden="1" spans="1:11">
      <c r="A1418" t="s">
        <v>319</v>
      </c>
      <c r="B1418" s="70">
        <v>252601522</v>
      </c>
      <c r="C1418" s="71">
        <v>45863</v>
      </c>
      <c r="D1418" s="70" t="s">
        <v>512</v>
      </c>
      <c r="E1418" s="72">
        <v>20000</v>
      </c>
      <c r="F1418" s="70">
        <v>0.031</v>
      </c>
      <c r="G1418" s="73">
        <v>45966</v>
      </c>
      <c r="H1418" s="74">
        <f t="shared" si="22"/>
        <v>620</v>
      </c>
      <c r="I1418" s="72" t="s">
        <v>51</v>
      </c>
      <c r="J1418" s="15" t="s">
        <v>513</v>
      </c>
      <c r="K1418" t="s">
        <v>491</v>
      </c>
    </row>
    <row r="1419" hidden="1" spans="1:11">
      <c r="A1419" t="s">
        <v>319</v>
      </c>
      <c r="B1419" s="8">
        <v>252601550</v>
      </c>
      <c r="C1419" s="9">
        <v>45866</v>
      </c>
      <c r="D1419" s="8" t="s">
        <v>182</v>
      </c>
      <c r="E1419" s="10">
        <v>200000</v>
      </c>
      <c r="F1419" s="8">
        <v>0.025</v>
      </c>
      <c r="G1419" s="11">
        <v>45874</v>
      </c>
      <c r="H1419" s="12">
        <f t="shared" si="22"/>
        <v>5000</v>
      </c>
      <c r="I1419" s="10" t="s">
        <v>10</v>
      </c>
      <c r="J1419" s="13">
        <v>45867</v>
      </c>
      <c r="K1419" t="s">
        <v>391</v>
      </c>
    </row>
    <row r="1420" hidden="1" spans="1:11">
      <c r="A1420" t="s">
        <v>319</v>
      </c>
      <c r="B1420" s="8">
        <v>252601550</v>
      </c>
      <c r="C1420" s="9">
        <v>45866</v>
      </c>
      <c r="D1420" s="8" t="s">
        <v>182</v>
      </c>
      <c r="E1420" s="10">
        <v>152000</v>
      </c>
      <c r="F1420" s="8">
        <v>0.025</v>
      </c>
      <c r="G1420" s="11">
        <v>45905</v>
      </c>
      <c r="H1420" s="12">
        <f t="shared" si="22"/>
        <v>3800</v>
      </c>
      <c r="I1420" s="10" t="s">
        <v>10</v>
      </c>
      <c r="J1420" s="13">
        <v>45867</v>
      </c>
      <c r="K1420" t="s">
        <v>391</v>
      </c>
    </row>
    <row r="1421" hidden="1" spans="1:11">
      <c r="A1421" t="s">
        <v>319</v>
      </c>
      <c r="B1421" s="8">
        <v>252601581</v>
      </c>
      <c r="C1421" s="9">
        <v>45868</v>
      </c>
      <c r="D1421" s="8" t="s">
        <v>47</v>
      </c>
      <c r="E1421" s="10">
        <v>100000</v>
      </c>
      <c r="F1421" s="8">
        <v>0.022</v>
      </c>
      <c r="G1421" s="11">
        <v>45874</v>
      </c>
      <c r="H1421" s="12">
        <f t="shared" si="22"/>
        <v>2200</v>
      </c>
      <c r="I1421" s="10" t="s">
        <v>10</v>
      </c>
      <c r="J1421" s="13">
        <v>45877</v>
      </c>
      <c r="K1421" t="s">
        <v>499</v>
      </c>
    </row>
    <row r="1422" hidden="1" spans="1:11">
      <c r="A1422" t="s">
        <v>319</v>
      </c>
      <c r="B1422" s="8">
        <v>252601581</v>
      </c>
      <c r="C1422" s="9">
        <v>45868</v>
      </c>
      <c r="D1422" s="8" t="s">
        <v>47</v>
      </c>
      <c r="E1422" s="10">
        <v>100000</v>
      </c>
      <c r="F1422" s="8">
        <v>0.022</v>
      </c>
      <c r="G1422" s="11">
        <v>45905</v>
      </c>
      <c r="H1422" s="12">
        <f t="shared" si="22"/>
        <v>2200</v>
      </c>
      <c r="I1422" s="10" t="s">
        <v>10</v>
      </c>
      <c r="J1422" s="13">
        <v>45877</v>
      </c>
      <c r="K1422" t="s">
        <v>499</v>
      </c>
    </row>
    <row r="1423" hidden="1" spans="1:11">
      <c r="A1423" t="s">
        <v>319</v>
      </c>
      <c r="B1423" s="8">
        <v>252601581</v>
      </c>
      <c r="C1423" s="9">
        <v>45868</v>
      </c>
      <c r="D1423" s="8" t="s">
        <v>47</v>
      </c>
      <c r="E1423" s="10">
        <v>100000</v>
      </c>
      <c r="F1423" s="8">
        <v>0.022</v>
      </c>
      <c r="G1423" s="11">
        <v>45891</v>
      </c>
      <c r="H1423" s="12">
        <f t="shared" si="22"/>
        <v>2200</v>
      </c>
      <c r="I1423" s="10" t="s">
        <v>10</v>
      </c>
      <c r="J1423" s="13">
        <v>45877</v>
      </c>
      <c r="K1423" t="s">
        <v>499</v>
      </c>
    </row>
    <row r="1424" hidden="1" spans="1:11">
      <c r="A1424" t="s">
        <v>319</v>
      </c>
      <c r="B1424" s="8">
        <v>252601581</v>
      </c>
      <c r="C1424" s="9">
        <v>45868</v>
      </c>
      <c r="D1424" s="8" t="s">
        <v>47</v>
      </c>
      <c r="E1424" s="10">
        <v>100000</v>
      </c>
      <c r="F1424" s="8">
        <v>0.022</v>
      </c>
      <c r="G1424" s="11">
        <v>45922</v>
      </c>
      <c r="H1424" s="12">
        <f t="shared" si="22"/>
        <v>2200</v>
      </c>
      <c r="I1424" s="10" t="s">
        <v>10</v>
      </c>
      <c r="J1424" s="13">
        <v>45877</v>
      </c>
      <c r="K1424" t="s">
        <v>499</v>
      </c>
    </row>
    <row r="1425" hidden="1" spans="1:11">
      <c r="A1425" t="s">
        <v>319</v>
      </c>
      <c r="B1425" s="8">
        <v>252601581</v>
      </c>
      <c r="C1425" s="9">
        <v>45868</v>
      </c>
      <c r="D1425" s="8" t="s">
        <v>45</v>
      </c>
      <c r="E1425" s="10">
        <v>200000</v>
      </c>
      <c r="F1425" s="8">
        <v>0.024</v>
      </c>
      <c r="G1425" s="11">
        <v>45922</v>
      </c>
      <c r="H1425" s="12">
        <f t="shared" si="22"/>
        <v>4800</v>
      </c>
      <c r="I1425" s="10" t="s">
        <v>10</v>
      </c>
      <c r="J1425" s="13">
        <v>45877</v>
      </c>
      <c r="K1425" t="s">
        <v>499</v>
      </c>
    </row>
    <row r="1426" hidden="1" spans="1:11">
      <c r="A1426" t="s">
        <v>319</v>
      </c>
      <c r="B1426" s="8">
        <v>252601581</v>
      </c>
      <c r="C1426" s="9">
        <v>45868</v>
      </c>
      <c r="D1426" s="8" t="s">
        <v>46</v>
      </c>
      <c r="E1426" s="10">
        <v>100000</v>
      </c>
      <c r="F1426" s="8">
        <v>0.02</v>
      </c>
      <c r="G1426" s="11">
        <v>45922</v>
      </c>
      <c r="H1426" s="12">
        <f t="shared" si="22"/>
        <v>2000</v>
      </c>
      <c r="I1426" s="10" t="s">
        <v>10</v>
      </c>
      <c r="J1426" s="13">
        <v>45877</v>
      </c>
      <c r="K1426" t="s">
        <v>499</v>
      </c>
    </row>
    <row r="1427" hidden="1" spans="1:11">
      <c r="A1427" t="s">
        <v>319</v>
      </c>
      <c r="B1427" s="8">
        <v>252601581</v>
      </c>
      <c r="C1427" s="9">
        <v>45868</v>
      </c>
      <c r="D1427" s="8" t="s">
        <v>46</v>
      </c>
      <c r="E1427" s="10">
        <v>100000</v>
      </c>
      <c r="F1427" s="8">
        <v>0.02</v>
      </c>
      <c r="G1427" s="11">
        <v>45952</v>
      </c>
      <c r="H1427" s="12">
        <f t="shared" si="22"/>
        <v>2000</v>
      </c>
      <c r="I1427" s="10" t="s">
        <v>10</v>
      </c>
      <c r="J1427" s="13">
        <v>45877</v>
      </c>
      <c r="K1427" t="s">
        <v>499</v>
      </c>
    </row>
    <row r="1428" hidden="1" spans="1:11">
      <c r="A1428" t="s">
        <v>319</v>
      </c>
      <c r="B1428" s="8">
        <v>252601581</v>
      </c>
      <c r="C1428" s="9">
        <v>45868</v>
      </c>
      <c r="D1428" s="8" t="s">
        <v>62</v>
      </c>
      <c r="E1428" s="10">
        <v>96000</v>
      </c>
      <c r="F1428" s="8">
        <v>0.005</v>
      </c>
      <c r="G1428" s="11">
        <v>45891</v>
      </c>
      <c r="H1428" s="12">
        <f t="shared" si="22"/>
        <v>480</v>
      </c>
      <c r="I1428" s="10" t="s">
        <v>10</v>
      </c>
      <c r="J1428" s="13">
        <v>45877</v>
      </c>
      <c r="K1428" t="s">
        <v>499</v>
      </c>
    </row>
    <row r="1429" hidden="1" spans="1:11">
      <c r="A1429" t="s">
        <v>319</v>
      </c>
      <c r="B1429" s="8">
        <v>252601581</v>
      </c>
      <c r="C1429" s="9">
        <v>45868</v>
      </c>
      <c r="D1429" s="8" t="s">
        <v>62</v>
      </c>
      <c r="E1429" s="10">
        <v>96000</v>
      </c>
      <c r="F1429" s="8">
        <v>0.005</v>
      </c>
      <c r="G1429" s="11">
        <v>45922</v>
      </c>
      <c r="H1429" s="12">
        <f t="shared" si="22"/>
        <v>480</v>
      </c>
      <c r="I1429" s="10" t="s">
        <v>10</v>
      </c>
      <c r="J1429" s="13">
        <v>45877</v>
      </c>
      <c r="K1429" t="s">
        <v>499</v>
      </c>
    </row>
    <row r="1430" hidden="1" spans="1:11">
      <c r="A1430" t="s">
        <v>319</v>
      </c>
      <c r="B1430" s="8">
        <v>252601581</v>
      </c>
      <c r="C1430" s="9">
        <v>45868</v>
      </c>
      <c r="D1430" s="8" t="s">
        <v>62</v>
      </c>
      <c r="E1430" s="10">
        <v>96000</v>
      </c>
      <c r="F1430" s="8">
        <v>0.005</v>
      </c>
      <c r="G1430" s="11">
        <v>45952</v>
      </c>
      <c r="H1430" s="12">
        <f t="shared" si="22"/>
        <v>480</v>
      </c>
      <c r="I1430" s="10" t="s">
        <v>10</v>
      </c>
      <c r="J1430" s="13">
        <v>45877</v>
      </c>
      <c r="K1430" t="s">
        <v>499</v>
      </c>
    </row>
    <row r="1431" hidden="1" spans="1:11">
      <c r="A1431" t="s">
        <v>319</v>
      </c>
      <c r="B1431" s="8">
        <v>252601581</v>
      </c>
      <c r="C1431" s="9">
        <v>45868</v>
      </c>
      <c r="D1431" s="8" t="s">
        <v>59</v>
      </c>
      <c r="E1431" s="10">
        <v>96000</v>
      </c>
      <c r="F1431" s="8">
        <v>0.015</v>
      </c>
      <c r="G1431" s="11">
        <v>45891</v>
      </c>
      <c r="H1431" s="12">
        <f t="shared" si="22"/>
        <v>1440</v>
      </c>
      <c r="I1431" s="10" t="s">
        <v>10</v>
      </c>
      <c r="J1431" s="13">
        <v>45877</v>
      </c>
      <c r="K1431" t="s">
        <v>499</v>
      </c>
    </row>
    <row r="1432" hidden="1" spans="1:11">
      <c r="A1432" t="s">
        <v>319</v>
      </c>
      <c r="B1432" s="8">
        <v>252601581</v>
      </c>
      <c r="C1432" s="9">
        <v>45868</v>
      </c>
      <c r="D1432" s="8" t="s">
        <v>59</v>
      </c>
      <c r="E1432" s="10">
        <v>96000</v>
      </c>
      <c r="F1432" s="8">
        <v>0.015</v>
      </c>
      <c r="G1432" s="11">
        <v>45922</v>
      </c>
      <c r="H1432" s="12">
        <f t="shared" si="22"/>
        <v>1440</v>
      </c>
      <c r="I1432" s="10" t="s">
        <v>10</v>
      </c>
      <c r="J1432" s="13">
        <v>45877</v>
      </c>
      <c r="K1432" t="s">
        <v>499</v>
      </c>
    </row>
    <row r="1433" hidden="1" spans="1:11">
      <c r="A1433" t="s">
        <v>319</v>
      </c>
      <c r="B1433" s="8">
        <v>252601581</v>
      </c>
      <c r="C1433" s="9">
        <v>45868</v>
      </c>
      <c r="D1433" s="8" t="s">
        <v>163</v>
      </c>
      <c r="E1433" s="10">
        <v>96000</v>
      </c>
      <c r="F1433" s="8">
        <v>0.0025</v>
      </c>
      <c r="G1433" s="11">
        <v>45922</v>
      </c>
      <c r="H1433" s="12">
        <f t="shared" si="22"/>
        <v>240</v>
      </c>
      <c r="I1433" s="10" t="s">
        <v>10</v>
      </c>
      <c r="J1433" s="13">
        <v>45877</v>
      </c>
      <c r="K1433" t="s">
        <v>499</v>
      </c>
    </row>
    <row r="1434" hidden="1" spans="1:11">
      <c r="A1434" t="s">
        <v>319</v>
      </c>
      <c r="B1434" s="8">
        <v>252601581</v>
      </c>
      <c r="C1434" s="9">
        <v>45868</v>
      </c>
      <c r="D1434" s="8" t="s">
        <v>299</v>
      </c>
      <c r="E1434" s="10">
        <v>64000</v>
      </c>
      <c r="F1434" s="8">
        <v>0.003</v>
      </c>
      <c r="G1434" s="11">
        <v>45874</v>
      </c>
      <c r="H1434" s="12">
        <f t="shared" si="22"/>
        <v>192</v>
      </c>
      <c r="I1434" s="10" t="s">
        <v>10</v>
      </c>
      <c r="J1434" s="13">
        <v>45877</v>
      </c>
      <c r="K1434" t="s">
        <v>499</v>
      </c>
    </row>
    <row r="1435" hidden="1" spans="1:11">
      <c r="A1435" t="s">
        <v>319</v>
      </c>
      <c r="B1435" s="8">
        <v>252601581</v>
      </c>
      <c r="C1435" s="9">
        <v>45868</v>
      </c>
      <c r="D1435" s="8" t="s">
        <v>511</v>
      </c>
      <c r="E1435" s="10">
        <v>52000</v>
      </c>
      <c r="F1435" s="8">
        <v>0.041</v>
      </c>
      <c r="G1435" s="11">
        <v>45874</v>
      </c>
      <c r="H1435" s="12">
        <f t="shared" si="22"/>
        <v>2132</v>
      </c>
      <c r="I1435" s="10" t="s">
        <v>10</v>
      </c>
      <c r="J1435" s="13">
        <v>45877</v>
      </c>
      <c r="K1435" t="s">
        <v>499</v>
      </c>
    </row>
    <row r="1436" hidden="1" spans="1:11">
      <c r="A1436" t="s">
        <v>319</v>
      </c>
      <c r="B1436" s="8">
        <v>252601584</v>
      </c>
      <c r="C1436" s="9">
        <v>45869</v>
      </c>
      <c r="D1436" s="8" t="s">
        <v>572</v>
      </c>
      <c r="E1436" s="10">
        <v>36000</v>
      </c>
      <c r="F1436" s="8">
        <v>0.015</v>
      </c>
      <c r="G1436" s="11">
        <v>45874</v>
      </c>
      <c r="H1436" s="12">
        <f t="shared" si="22"/>
        <v>540</v>
      </c>
      <c r="I1436" s="10" t="s">
        <v>10</v>
      </c>
      <c r="J1436" s="13">
        <v>45870</v>
      </c>
    </row>
    <row r="1437" hidden="1" spans="1:11">
      <c r="A1437" t="s">
        <v>319</v>
      </c>
      <c r="B1437" s="8">
        <v>252601590</v>
      </c>
      <c r="C1437" s="9">
        <v>45869</v>
      </c>
      <c r="D1437" s="8" t="s">
        <v>282</v>
      </c>
      <c r="E1437" s="10">
        <v>200000</v>
      </c>
      <c r="F1437" s="8">
        <v>0.0304</v>
      </c>
      <c r="G1437" s="11">
        <v>45891</v>
      </c>
      <c r="H1437" s="12">
        <f t="shared" si="22"/>
        <v>6080</v>
      </c>
      <c r="I1437" s="10" t="s">
        <v>10</v>
      </c>
      <c r="J1437" s="13">
        <v>45877</v>
      </c>
      <c r="K1437" t="s">
        <v>392</v>
      </c>
    </row>
    <row r="1438" hidden="1" spans="1:11">
      <c r="A1438" t="s">
        <v>319</v>
      </c>
      <c r="B1438" s="8">
        <v>252601590</v>
      </c>
      <c r="C1438" s="9">
        <v>45869</v>
      </c>
      <c r="D1438" s="8" t="s">
        <v>282</v>
      </c>
      <c r="E1438" s="10">
        <v>100000</v>
      </c>
      <c r="F1438" s="8">
        <v>0.0304</v>
      </c>
      <c r="G1438" s="11">
        <v>45891</v>
      </c>
      <c r="H1438" s="12">
        <f t="shared" si="22"/>
        <v>3040</v>
      </c>
      <c r="I1438" s="10" t="s">
        <v>10</v>
      </c>
      <c r="J1438" s="13">
        <v>45877</v>
      </c>
      <c r="K1438" t="s">
        <v>392</v>
      </c>
    </row>
    <row r="1439" hidden="1" spans="1:11">
      <c r="A1439" t="s">
        <v>319</v>
      </c>
      <c r="B1439" s="8">
        <v>252601590</v>
      </c>
      <c r="C1439" s="9">
        <v>45869</v>
      </c>
      <c r="D1439" s="8" t="s">
        <v>282</v>
      </c>
      <c r="E1439" s="10">
        <v>200000</v>
      </c>
      <c r="F1439" s="8">
        <v>0.0304</v>
      </c>
      <c r="G1439" s="11">
        <v>45922</v>
      </c>
      <c r="H1439" s="12">
        <f t="shared" si="22"/>
        <v>6080</v>
      </c>
      <c r="I1439" s="10" t="s">
        <v>10</v>
      </c>
      <c r="J1439" s="13">
        <v>45877</v>
      </c>
      <c r="K1439" t="s">
        <v>392</v>
      </c>
    </row>
    <row r="1440" hidden="1" spans="1:11">
      <c r="A1440" t="s">
        <v>319</v>
      </c>
      <c r="B1440" s="8">
        <v>252601590</v>
      </c>
      <c r="C1440" s="9">
        <v>45869</v>
      </c>
      <c r="D1440" s="8" t="s">
        <v>282</v>
      </c>
      <c r="E1440" s="10">
        <v>100000</v>
      </c>
      <c r="F1440" s="8">
        <v>0.0304</v>
      </c>
      <c r="G1440" s="11">
        <v>45922</v>
      </c>
      <c r="H1440" s="12">
        <f t="shared" si="22"/>
        <v>3040</v>
      </c>
      <c r="I1440" s="10" t="s">
        <v>10</v>
      </c>
      <c r="J1440" s="13">
        <v>45877</v>
      </c>
      <c r="K1440" t="s">
        <v>392</v>
      </c>
    </row>
    <row r="1441" hidden="1" spans="1:11">
      <c r="A1441" t="s">
        <v>319</v>
      </c>
      <c r="B1441" s="8">
        <v>252601591</v>
      </c>
      <c r="C1441" s="9">
        <v>45869</v>
      </c>
      <c r="D1441" s="8" t="s">
        <v>468</v>
      </c>
      <c r="E1441" s="10">
        <v>30000</v>
      </c>
      <c r="F1441" s="8">
        <v>0.028</v>
      </c>
      <c r="G1441" s="11">
        <v>45891</v>
      </c>
      <c r="H1441" s="12">
        <f t="shared" si="22"/>
        <v>840</v>
      </c>
      <c r="I1441" s="10" t="s">
        <v>10</v>
      </c>
      <c r="J1441" s="13">
        <v>45877</v>
      </c>
      <c r="K1441" t="s">
        <v>467</v>
      </c>
    </row>
    <row r="1442" hidden="1" spans="1:11">
      <c r="A1442" t="s">
        <v>319</v>
      </c>
      <c r="B1442" s="8">
        <v>252601592</v>
      </c>
      <c r="C1442" s="9">
        <v>45869</v>
      </c>
      <c r="D1442" s="8" t="s">
        <v>516</v>
      </c>
      <c r="E1442" s="10">
        <v>100000</v>
      </c>
      <c r="F1442" s="8">
        <v>0.032</v>
      </c>
      <c r="G1442" s="11">
        <v>45983</v>
      </c>
      <c r="H1442" s="12">
        <f t="shared" si="22"/>
        <v>3200</v>
      </c>
      <c r="I1442" s="10" t="s">
        <v>10</v>
      </c>
      <c r="J1442" s="13">
        <v>45870</v>
      </c>
      <c r="K1442" t="s">
        <v>528</v>
      </c>
    </row>
    <row r="1443" hidden="1" spans="1:11">
      <c r="A1443" t="s">
        <v>319</v>
      </c>
      <c r="B1443" s="8">
        <v>252601592</v>
      </c>
      <c r="C1443" s="9">
        <v>45869</v>
      </c>
      <c r="D1443" s="8" t="s">
        <v>127</v>
      </c>
      <c r="E1443" s="10">
        <v>150000</v>
      </c>
      <c r="F1443" s="8">
        <v>0.0325</v>
      </c>
      <c r="G1443" s="11">
        <v>45952</v>
      </c>
      <c r="H1443" s="12">
        <f t="shared" si="22"/>
        <v>4875</v>
      </c>
      <c r="I1443" s="10" t="s">
        <v>10</v>
      </c>
      <c r="J1443" s="13">
        <v>45870</v>
      </c>
      <c r="K1443" t="s">
        <v>528</v>
      </c>
    </row>
    <row r="1444" hidden="1" spans="1:11">
      <c r="A1444" t="s">
        <v>319</v>
      </c>
      <c r="B1444" s="8">
        <v>252601592</v>
      </c>
      <c r="C1444" s="9">
        <v>45869</v>
      </c>
      <c r="D1444" s="8" t="s">
        <v>127</v>
      </c>
      <c r="E1444" s="10">
        <v>50000</v>
      </c>
      <c r="F1444" s="8">
        <v>0.0325</v>
      </c>
      <c r="G1444" s="11">
        <v>45983</v>
      </c>
      <c r="H1444" s="12">
        <f t="shared" si="22"/>
        <v>1625</v>
      </c>
      <c r="I1444" s="10" t="s">
        <v>10</v>
      </c>
      <c r="J1444" s="13">
        <v>45870</v>
      </c>
      <c r="K1444" t="s">
        <v>528</v>
      </c>
    </row>
    <row r="1445" hidden="1" spans="1:11">
      <c r="A1445" t="s">
        <v>319</v>
      </c>
      <c r="B1445" s="8">
        <v>252601592</v>
      </c>
      <c r="C1445" s="9">
        <v>45869</v>
      </c>
      <c r="D1445" s="8" t="s">
        <v>386</v>
      </c>
      <c r="E1445" s="10">
        <v>70000</v>
      </c>
      <c r="F1445" s="8">
        <v>0.04</v>
      </c>
      <c r="G1445" s="11">
        <v>45952</v>
      </c>
      <c r="H1445" s="12">
        <f t="shared" si="22"/>
        <v>2800</v>
      </c>
      <c r="I1445" s="10" t="s">
        <v>10</v>
      </c>
      <c r="J1445" s="13">
        <v>45870</v>
      </c>
      <c r="K1445" t="s">
        <v>528</v>
      </c>
    </row>
    <row r="1446" hidden="1" spans="1:11">
      <c r="A1446" t="s">
        <v>319</v>
      </c>
      <c r="B1446" s="8">
        <v>252601592</v>
      </c>
      <c r="C1446" s="9">
        <v>45869</v>
      </c>
      <c r="D1446" s="8" t="s">
        <v>387</v>
      </c>
      <c r="E1446" s="10">
        <v>70000</v>
      </c>
      <c r="F1446" s="8">
        <v>0.025</v>
      </c>
      <c r="G1446" s="11">
        <v>45952</v>
      </c>
      <c r="H1446" s="12">
        <f t="shared" si="22"/>
        <v>1750</v>
      </c>
      <c r="I1446" s="10" t="s">
        <v>10</v>
      </c>
      <c r="J1446" s="13">
        <v>45874</v>
      </c>
      <c r="K1446" t="s">
        <v>528</v>
      </c>
    </row>
    <row r="1447" hidden="1" spans="1:11">
      <c r="A1447" t="s">
        <v>319</v>
      </c>
      <c r="B1447" s="8">
        <v>252601592</v>
      </c>
      <c r="C1447" s="9">
        <v>45869</v>
      </c>
      <c r="D1447" s="8" t="s">
        <v>388</v>
      </c>
      <c r="E1447" s="10">
        <v>200000</v>
      </c>
      <c r="F1447" s="8">
        <v>0.035</v>
      </c>
      <c r="G1447" s="11">
        <v>45983</v>
      </c>
      <c r="H1447" s="12">
        <f t="shared" si="22"/>
        <v>7000</v>
      </c>
      <c r="I1447" s="10" t="s">
        <v>10</v>
      </c>
      <c r="J1447" s="13">
        <v>45870</v>
      </c>
      <c r="K1447" t="s">
        <v>528</v>
      </c>
    </row>
    <row r="1448" hidden="1" spans="1:11">
      <c r="A1448" t="s">
        <v>319</v>
      </c>
      <c r="B1448" s="8">
        <v>252601592</v>
      </c>
      <c r="C1448" s="9">
        <v>45869</v>
      </c>
      <c r="D1448" s="8" t="s">
        <v>213</v>
      </c>
      <c r="E1448" s="10">
        <v>200000</v>
      </c>
      <c r="F1448" s="8">
        <v>0.042</v>
      </c>
      <c r="G1448" s="11">
        <v>45983</v>
      </c>
      <c r="H1448" s="12">
        <f t="shared" si="22"/>
        <v>8400</v>
      </c>
      <c r="I1448" s="10" t="s">
        <v>10</v>
      </c>
      <c r="J1448" s="13">
        <v>45874</v>
      </c>
      <c r="K1448" t="s">
        <v>528</v>
      </c>
    </row>
    <row r="1449" hidden="1" spans="1:11">
      <c r="A1449" t="s">
        <v>319</v>
      </c>
      <c r="B1449" s="8">
        <v>252601593</v>
      </c>
      <c r="C1449" s="9">
        <v>45869</v>
      </c>
      <c r="D1449" s="8" t="s">
        <v>129</v>
      </c>
      <c r="E1449" s="10">
        <v>120000</v>
      </c>
      <c r="F1449" s="8">
        <v>0.025</v>
      </c>
      <c r="G1449" s="11">
        <v>45891</v>
      </c>
      <c r="H1449" s="12">
        <f t="shared" si="22"/>
        <v>3000</v>
      </c>
      <c r="I1449" s="10" t="s">
        <v>10</v>
      </c>
      <c r="J1449" s="13">
        <v>45874</v>
      </c>
      <c r="K1449" t="s">
        <v>528</v>
      </c>
    </row>
    <row r="1450" hidden="1" spans="1:11">
      <c r="A1450" t="s">
        <v>319</v>
      </c>
      <c r="B1450" s="8">
        <v>252601593</v>
      </c>
      <c r="C1450" s="9">
        <v>45869</v>
      </c>
      <c r="D1450" s="8" t="s">
        <v>129</v>
      </c>
      <c r="E1450" s="10">
        <v>120000</v>
      </c>
      <c r="F1450" s="8">
        <v>0.025</v>
      </c>
      <c r="G1450" s="11">
        <v>45922</v>
      </c>
      <c r="H1450" s="12">
        <f t="shared" si="22"/>
        <v>3000</v>
      </c>
      <c r="I1450" s="10" t="s">
        <v>10</v>
      </c>
      <c r="J1450" s="13">
        <v>45874</v>
      </c>
      <c r="K1450" t="s">
        <v>528</v>
      </c>
    </row>
    <row r="1451" hidden="1" spans="1:11">
      <c r="A1451" t="s">
        <v>319</v>
      </c>
      <c r="B1451" s="8">
        <v>252601593</v>
      </c>
      <c r="C1451" s="9">
        <v>45869</v>
      </c>
      <c r="D1451" s="8" t="s">
        <v>25</v>
      </c>
      <c r="E1451" s="10">
        <v>20000</v>
      </c>
      <c r="F1451" s="8">
        <v>0.016</v>
      </c>
      <c r="G1451" s="11">
        <v>45891</v>
      </c>
      <c r="H1451" s="12">
        <f t="shared" si="22"/>
        <v>320</v>
      </c>
      <c r="I1451" s="10" t="s">
        <v>10</v>
      </c>
      <c r="J1451" s="13">
        <v>45876</v>
      </c>
      <c r="K1451" t="s">
        <v>528</v>
      </c>
    </row>
    <row r="1452" hidden="1" spans="1:11">
      <c r="A1452" t="s">
        <v>319</v>
      </c>
      <c r="B1452" s="8">
        <v>252601594</v>
      </c>
      <c r="C1452" s="9">
        <v>45869</v>
      </c>
      <c r="D1452" s="8" t="s">
        <v>127</v>
      </c>
      <c r="E1452" s="10">
        <v>50000</v>
      </c>
      <c r="F1452" s="8">
        <v>0.0325</v>
      </c>
      <c r="G1452" s="11">
        <v>46013</v>
      </c>
      <c r="H1452" s="12">
        <f t="shared" si="22"/>
        <v>1625</v>
      </c>
      <c r="I1452" s="10" t="s">
        <v>10</v>
      </c>
      <c r="J1452" s="13">
        <v>45898</v>
      </c>
      <c r="K1452" t="s">
        <v>528</v>
      </c>
    </row>
    <row r="1453" hidden="1" spans="1:11">
      <c r="A1453" t="s">
        <v>319</v>
      </c>
      <c r="B1453" s="8">
        <v>252601594</v>
      </c>
      <c r="C1453" s="9">
        <v>45869</v>
      </c>
      <c r="D1453" s="8" t="s">
        <v>106</v>
      </c>
      <c r="E1453" s="10">
        <v>100000</v>
      </c>
      <c r="F1453" s="8">
        <v>0.033</v>
      </c>
      <c r="G1453" s="11">
        <v>46013</v>
      </c>
      <c r="H1453" s="12">
        <f t="shared" si="22"/>
        <v>3300</v>
      </c>
      <c r="I1453" s="10" t="s">
        <v>10</v>
      </c>
      <c r="J1453" s="13">
        <v>45902</v>
      </c>
      <c r="K1453" t="s">
        <v>528</v>
      </c>
    </row>
    <row r="1454" hidden="1" spans="1:11">
      <c r="A1454" t="s">
        <v>319</v>
      </c>
      <c r="B1454" s="8">
        <v>252601597</v>
      </c>
      <c r="C1454" s="9">
        <v>45869</v>
      </c>
      <c r="D1454" s="8" t="s">
        <v>30</v>
      </c>
      <c r="E1454" s="10">
        <v>200000</v>
      </c>
      <c r="F1454" s="8">
        <v>0.026</v>
      </c>
      <c r="G1454" s="11">
        <v>45922</v>
      </c>
      <c r="H1454" s="12">
        <f t="shared" si="22"/>
        <v>5200</v>
      </c>
      <c r="I1454" s="10" t="s">
        <v>10</v>
      </c>
      <c r="J1454" s="13">
        <v>45902</v>
      </c>
      <c r="K1454" t="s">
        <v>382</v>
      </c>
    </row>
    <row r="1455" hidden="1" spans="1:11">
      <c r="A1455" t="s">
        <v>319</v>
      </c>
      <c r="B1455" s="8">
        <v>252601605</v>
      </c>
      <c r="C1455" s="9">
        <v>45873</v>
      </c>
      <c r="D1455" s="8" t="s">
        <v>515</v>
      </c>
      <c r="E1455" s="10">
        <v>200000</v>
      </c>
      <c r="F1455" s="8">
        <v>0.0238</v>
      </c>
      <c r="G1455" s="11">
        <v>46013</v>
      </c>
      <c r="H1455" s="12">
        <f t="shared" si="22"/>
        <v>4760</v>
      </c>
      <c r="I1455" s="10" t="s">
        <v>10</v>
      </c>
      <c r="J1455" s="13">
        <v>45897</v>
      </c>
      <c r="K1455" t="s">
        <v>528</v>
      </c>
    </row>
    <row r="1456" hidden="1" spans="1:11">
      <c r="A1456" t="s">
        <v>319</v>
      </c>
      <c r="B1456" s="8">
        <v>252601617</v>
      </c>
      <c r="C1456" s="9">
        <v>45873</v>
      </c>
      <c r="D1456" s="8" t="s">
        <v>539</v>
      </c>
      <c r="E1456" s="10">
        <v>20000</v>
      </c>
      <c r="F1456" s="8">
        <v>0.03</v>
      </c>
      <c r="G1456" s="11">
        <v>46013</v>
      </c>
      <c r="H1456" s="12">
        <f t="shared" si="22"/>
        <v>600</v>
      </c>
      <c r="I1456" s="10" t="s">
        <v>10</v>
      </c>
      <c r="J1456" s="13">
        <v>45897</v>
      </c>
      <c r="K1456" t="s">
        <v>369</v>
      </c>
    </row>
    <row r="1457" hidden="1" spans="1:11">
      <c r="A1457" t="s">
        <v>319</v>
      </c>
      <c r="B1457" s="8">
        <v>252601618</v>
      </c>
      <c r="C1457" s="9">
        <v>45873</v>
      </c>
      <c r="D1457" s="8" t="s">
        <v>11</v>
      </c>
      <c r="E1457" s="10">
        <v>60000</v>
      </c>
      <c r="F1457" s="8">
        <v>0.032</v>
      </c>
      <c r="G1457" s="11">
        <v>45922</v>
      </c>
      <c r="H1457" s="12">
        <f t="shared" si="22"/>
        <v>1920</v>
      </c>
      <c r="I1457" s="10" t="s">
        <v>10</v>
      </c>
      <c r="J1457" s="13">
        <v>45883</v>
      </c>
      <c r="K1457" t="s">
        <v>378</v>
      </c>
    </row>
    <row r="1458" hidden="1" spans="1:11">
      <c r="A1458" t="s">
        <v>319</v>
      </c>
      <c r="B1458" s="8">
        <v>252601618</v>
      </c>
      <c r="C1458" s="9">
        <v>45873</v>
      </c>
      <c r="D1458" s="8" t="s">
        <v>11</v>
      </c>
      <c r="E1458" s="10">
        <v>60000</v>
      </c>
      <c r="F1458" s="8">
        <v>0.032</v>
      </c>
      <c r="G1458" s="11">
        <v>45952</v>
      </c>
      <c r="H1458" s="12">
        <f t="shared" si="22"/>
        <v>1920</v>
      </c>
      <c r="I1458" s="10" t="s">
        <v>10</v>
      </c>
      <c r="J1458" s="13">
        <v>45883</v>
      </c>
      <c r="K1458" t="s">
        <v>378</v>
      </c>
    </row>
    <row r="1459" hidden="1" spans="1:11">
      <c r="A1459" t="s">
        <v>319</v>
      </c>
      <c r="B1459" s="8">
        <v>252601626</v>
      </c>
      <c r="C1459" s="9">
        <v>45874</v>
      </c>
      <c r="D1459" s="8" t="s">
        <v>550</v>
      </c>
      <c r="E1459" s="10">
        <v>22000</v>
      </c>
      <c r="F1459" s="8">
        <v>0.028</v>
      </c>
      <c r="G1459" s="11">
        <v>45894</v>
      </c>
      <c r="H1459" s="12">
        <f t="shared" si="22"/>
        <v>616</v>
      </c>
      <c r="I1459" s="10" t="s">
        <v>10</v>
      </c>
      <c r="J1459" s="13">
        <v>45887</v>
      </c>
      <c r="K1459" t="s">
        <v>528</v>
      </c>
    </row>
    <row r="1460" hidden="1" spans="1:11">
      <c r="A1460" t="s">
        <v>319</v>
      </c>
      <c r="B1460" s="8">
        <v>252601626</v>
      </c>
      <c r="C1460" s="9">
        <v>45874</v>
      </c>
      <c r="D1460" s="8" t="s">
        <v>550</v>
      </c>
      <c r="E1460" s="10">
        <v>30000</v>
      </c>
      <c r="F1460" s="8">
        <v>0.028</v>
      </c>
      <c r="G1460" s="11">
        <v>45935</v>
      </c>
      <c r="H1460" s="12">
        <f t="shared" si="22"/>
        <v>840</v>
      </c>
      <c r="I1460" s="10" t="s">
        <v>10</v>
      </c>
      <c r="J1460" s="13">
        <v>45887</v>
      </c>
      <c r="K1460" t="s">
        <v>528</v>
      </c>
    </row>
    <row r="1461" hidden="1" spans="1:11">
      <c r="A1461" t="s">
        <v>319</v>
      </c>
      <c r="B1461" s="8">
        <v>252601626</v>
      </c>
      <c r="C1461" s="9">
        <v>45874</v>
      </c>
      <c r="D1461" s="8" t="s">
        <v>550</v>
      </c>
      <c r="E1461" s="10">
        <v>60000</v>
      </c>
      <c r="F1461" s="8">
        <v>0.028</v>
      </c>
      <c r="G1461" s="11">
        <v>45996</v>
      </c>
      <c r="H1461" s="12">
        <f t="shared" si="22"/>
        <v>1680</v>
      </c>
      <c r="I1461" s="10" t="s">
        <v>10</v>
      </c>
      <c r="J1461" s="13">
        <v>45887</v>
      </c>
      <c r="K1461" t="s">
        <v>528</v>
      </c>
    </row>
    <row r="1462" hidden="1" spans="1:11">
      <c r="A1462" t="s">
        <v>319</v>
      </c>
      <c r="B1462" s="8">
        <v>252601628</v>
      </c>
      <c r="C1462" s="9">
        <v>45874</v>
      </c>
      <c r="D1462" s="8" t="s">
        <v>573</v>
      </c>
      <c r="E1462" s="10">
        <v>20000</v>
      </c>
      <c r="F1462" s="8">
        <v>0.03</v>
      </c>
      <c r="G1462" s="11">
        <v>45874</v>
      </c>
      <c r="H1462" s="12">
        <f t="shared" si="22"/>
        <v>600</v>
      </c>
      <c r="I1462" s="10" t="s">
        <v>10</v>
      </c>
      <c r="J1462" s="13">
        <v>45877</v>
      </c>
      <c r="K1462" t="s">
        <v>528</v>
      </c>
    </row>
    <row r="1463" hidden="1" spans="1:11">
      <c r="B1463" s="70">
        <v>252601629</v>
      </c>
      <c r="C1463" s="71">
        <v>45874</v>
      </c>
      <c r="D1463" s="70" t="s">
        <v>574</v>
      </c>
      <c r="E1463" s="72">
        <v>2000</v>
      </c>
      <c r="F1463" s="70">
        <v>0.08</v>
      </c>
      <c r="G1463" s="73">
        <v>45891</v>
      </c>
      <c r="H1463" s="74">
        <f t="shared" si="22"/>
        <v>160</v>
      </c>
      <c r="I1463" s="72" t="s">
        <v>51</v>
      </c>
      <c r="J1463" s="15"/>
      <c r="K1463" t="s">
        <v>528</v>
      </c>
    </row>
    <row r="1464" hidden="1" spans="1:11">
      <c r="A1464" t="s">
        <v>319</v>
      </c>
      <c r="B1464" s="8">
        <v>252601630</v>
      </c>
      <c r="C1464" s="9">
        <v>45874</v>
      </c>
      <c r="D1464" s="8" t="s">
        <v>47</v>
      </c>
      <c r="E1464" s="10">
        <v>200000</v>
      </c>
      <c r="F1464" s="8">
        <v>0.022</v>
      </c>
      <c r="G1464" s="11">
        <v>45922</v>
      </c>
      <c r="H1464" s="12">
        <f t="shared" si="22"/>
        <v>4400</v>
      </c>
      <c r="I1464" s="10" t="s">
        <v>10</v>
      </c>
      <c r="J1464" s="13">
        <v>45883</v>
      </c>
      <c r="K1464" t="s">
        <v>499</v>
      </c>
    </row>
    <row r="1465" hidden="1" spans="1:11">
      <c r="A1465" t="s">
        <v>319</v>
      </c>
      <c r="B1465" s="8">
        <v>252601630</v>
      </c>
      <c r="C1465" s="9">
        <v>45874</v>
      </c>
      <c r="D1465" s="8" t="s">
        <v>47</v>
      </c>
      <c r="E1465" s="10">
        <v>200000</v>
      </c>
      <c r="F1465" s="8">
        <v>0.022</v>
      </c>
      <c r="G1465" s="11">
        <v>45952</v>
      </c>
      <c r="H1465" s="12">
        <f t="shared" si="22"/>
        <v>4400</v>
      </c>
      <c r="I1465" s="10" t="s">
        <v>10</v>
      </c>
      <c r="J1465" s="13">
        <v>45883</v>
      </c>
      <c r="K1465" t="s">
        <v>499</v>
      </c>
    </row>
    <row r="1466" hidden="1" spans="1:11">
      <c r="A1466" t="s">
        <v>319</v>
      </c>
      <c r="B1466" s="8">
        <v>252601630</v>
      </c>
      <c r="C1466" s="9">
        <v>45874</v>
      </c>
      <c r="D1466" s="8" t="s">
        <v>47</v>
      </c>
      <c r="E1466" s="10">
        <v>200000</v>
      </c>
      <c r="F1466" s="8">
        <v>0.022</v>
      </c>
      <c r="G1466" s="11">
        <v>45983</v>
      </c>
      <c r="H1466" s="12">
        <f t="shared" si="22"/>
        <v>4400</v>
      </c>
      <c r="I1466" s="10" t="s">
        <v>10</v>
      </c>
      <c r="J1466" s="13">
        <v>45883</v>
      </c>
      <c r="K1466" t="s">
        <v>499</v>
      </c>
    </row>
    <row r="1467" hidden="1" spans="1:11">
      <c r="A1467" t="s">
        <v>319</v>
      </c>
      <c r="B1467" s="70">
        <v>252601634</v>
      </c>
      <c r="C1467" s="71">
        <v>45875</v>
      </c>
      <c r="D1467" s="70" t="s">
        <v>575</v>
      </c>
      <c r="E1467" s="72">
        <v>2000</v>
      </c>
      <c r="F1467" s="70">
        <v>0.15</v>
      </c>
      <c r="G1467" s="73">
        <v>45891</v>
      </c>
      <c r="H1467" s="74">
        <f t="shared" si="22"/>
        <v>300</v>
      </c>
      <c r="I1467" s="72" t="s">
        <v>51</v>
      </c>
      <c r="J1467" s="15"/>
    </row>
    <row r="1468" hidden="1" spans="1:11">
      <c r="A1468" t="s">
        <v>319</v>
      </c>
      <c r="B1468" s="70">
        <v>252601634</v>
      </c>
      <c r="C1468" s="71">
        <v>45875</v>
      </c>
      <c r="D1468" s="70" t="s">
        <v>576</v>
      </c>
      <c r="E1468" s="72">
        <v>2000</v>
      </c>
      <c r="F1468" s="70">
        <v>0.06</v>
      </c>
      <c r="G1468" s="73">
        <v>45891</v>
      </c>
      <c r="H1468" s="74">
        <f t="shared" si="22"/>
        <v>120</v>
      </c>
      <c r="I1468" s="72" t="s">
        <v>51</v>
      </c>
      <c r="J1468" s="15"/>
    </row>
    <row r="1469" hidden="1" spans="1:11">
      <c r="A1469" t="s">
        <v>319</v>
      </c>
      <c r="B1469" s="8">
        <v>252601638</v>
      </c>
      <c r="C1469" s="9">
        <v>45875</v>
      </c>
      <c r="D1469" s="8" t="s">
        <v>45</v>
      </c>
      <c r="E1469" s="10">
        <v>200000</v>
      </c>
      <c r="F1469" s="8">
        <v>0.024</v>
      </c>
      <c r="G1469" s="11">
        <v>45891</v>
      </c>
      <c r="H1469" s="12">
        <f t="shared" si="22"/>
        <v>4800</v>
      </c>
      <c r="I1469" s="10" t="s">
        <v>10</v>
      </c>
      <c r="J1469" s="13">
        <v>45880</v>
      </c>
      <c r="K1469" t="s">
        <v>534</v>
      </c>
    </row>
    <row r="1470" hidden="1" spans="1:11">
      <c r="A1470" t="s">
        <v>319</v>
      </c>
      <c r="B1470" s="8">
        <v>252601638</v>
      </c>
      <c r="C1470" s="9">
        <v>45875</v>
      </c>
      <c r="D1470" s="8" t="s">
        <v>45</v>
      </c>
      <c r="E1470" s="10">
        <v>200000</v>
      </c>
      <c r="F1470" s="8">
        <v>0.024</v>
      </c>
      <c r="G1470" s="11">
        <v>45905</v>
      </c>
      <c r="H1470" s="12">
        <f t="shared" si="22"/>
        <v>4800</v>
      </c>
      <c r="I1470" s="10" t="s">
        <v>10</v>
      </c>
      <c r="J1470" s="13">
        <v>45880</v>
      </c>
      <c r="K1470" t="s">
        <v>534</v>
      </c>
    </row>
    <row r="1471" hidden="1" spans="1:11">
      <c r="A1471" t="s">
        <v>319</v>
      </c>
      <c r="B1471" s="8">
        <v>252601638</v>
      </c>
      <c r="C1471" s="9">
        <v>45875</v>
      </c>
      <c r="D1471" s="8" t="s">
        <v>45</v>
      </c>
      <c r="E1471" s="10">
        <v>200000</v>
      </c>
      <c r="F1471" s="8">
        <v>0.024</v>
      </c>
      <c r="G1471" s="11">
        <v>45922</v>
      </c>
      <c r="H1471" s="12">
        <f t="shared" si="22"/>
        <v>4800</v>
      </c>
      <c r="I1471" s="10" t="s">
        <v>10</v>
      </c>
      <c r="J1471" s="13">
        <v>45880</v>
      </c>
      <c r="K1471" t="s">
        <v>534</v>
      </c>
    </row>
    <row r="1472" hidden="1" spans="1:11">
      <c r="A1472" t="s">
        <v>319</v>
      </c>
      <c r="B1472" s="8">
        <v>252601638</v>
      </c>
      <c r="C1472" s="9">
        <v>45875</v>
      </c>
      <c r="D1472" s="8" t="s">
        <v>45</v>
      </c>
      <c r="E1472" s="10">
        <v>200000</v>
      </c>
      <c r="F1472" s="8">
        <v>0.024</v>
      </c>
      <c r="G1472" s="11">
        <v>45952</v>
      </c>
      <c r="H1472" s="12">
        <f t="shared" si="22"/>
        <v>4800</v>
      </c>
      <c r="I1472" s="10" t="s">
        <v>10</v>
      </c>
      <c r="J1472" s="13">
        <v>45880</v>
      </c>
      <c r="K1472" t="s">
        <v>534</v>
      </c>
    </row>
    <row r="1473" hidden="1" spans="1:11">
      <c r="A1473" t="s">
        <v>319</v>
      </c>
      <c r="B1473" s="8">
        <v>252601638</v>
      </c>
      <c r="C1473" s="9">
        <v>45875</v>
      </c>
      <c r="D1473" s="8" t="s">
        <v>38</v>
      </c>
      <c r="E1473" s="10">
        <v>200000</v>
      </c>
      <c r="F1473" s="8">
        <v>0.01</v>
      </c>
      <c r="G1473" s="11">
        <v>45922</v>
      </c>
      <c r="H1473" s="12">
        <f t="shared" si="22"/>
        <v>2000</v>
      </c>
      <c r="I1473" s="10" t="s">
        <v>10</v>
      </c>
      <c r="J1473" s="13">
        <v>45880</v>
      </c>
      <c r="K1473" t="s">
        <v>534</v>
      </c>
    </row>
    <row r="1474" hidden="1" spans="1:11">
      <c r="A1474" t="s">
        <v>319</v>
      </c>
      <c r="B1474" s="8">
        <v>252601638</v>
      </c>
      <c r="C1474" s="9">
        <v>45875</v>
      </c>
      <c r="D1474" s="8" t="s">
        <v>38</v>
      </c>
      <c r="E1474" s="10">
        <v>200000</v>
      </c>
      <c r="F1474" s="8">
        <v>0.01</v>
      </c>
      <c r="G1474" s="11">
        <v>45952</v>
      </c>
      <c r="H1474" s="12">
        <f t="shared" ref="H1474:H1537" si="23">E1474*F1474</f>
        <v>2000</v>
      </c>
      <c r="I1474" s="10" t="s">
        <v>10</v>
      </c>
      <c r="J1474" s="13">
        <v>45880</v>
      </c>
      <c r="K1474" t="s">
        <v>534</v>
      </c>
    </row>
    <row r="1475" hidden="1" spans="1:11">
      <c r="A1475" t="s">
        <v>319</v>
      </c>
      <c r="B1475" s="8">
        <v>252601638</v>
      </c>
      <c r="C1475" s="9">
        <v>45875</v>
      </c>
      <c r="D1475" s="8" t="s">
        <v>48</v>
      </c>
      <c r="E1475" s="10">
        <v>208000</v>
      </c>
      <c r="F1475" s="8">
        <v>0.017</v>
      </c>
      <c r="G1475" s="11">
        <v>45891</v>
      </c>
      <c r="H1475" s="12">
        <f t="shared" si="23"/>
        <v>3536</v>
      </c>
      <c r="I1475" s="10" t="s">
        <v>10</v>
      </c>
      <c r="J1475" s="13">
        <v>45883</v>
      </c>
      <c r="K1475" t="s">
        <v>534</v>
      </c>
    </row>
    <row r="1476" hidden="1" spans="1:11">
      <c r="A1476" t="s">
        <v>319</v>
      </c>
      <c r="B1476" s="8">
        <v>252601638</v>
      </c>
      <c r="C1476" s="9">
        <v>45875</v>
      </c>
      <c r="D1476" s="8" t="s">
        <v>48</v>
      </c>
      <c r="E1476" s="10">
        <v>208000</v>
      </c>
      <c r="F1476" s="8">
        <v>0.017</v>
      </c>
      <c r="G1476" s="11">
        <v>45922</v>
      </c>
      <c r="H1476" s="12">
        <f t="shared" si="23"/>
        <v>3536</v>
      </c>
      <c r="I1476" s="10" t="s">
        <v>10</v>
      </c>
      <c r="J1476" s="13">
        <v>45883</v>
      </c>
      <c r="K1476" t="s">
        <v>534</v>
      </c>
    </row>
    <row r="1477" hidden="1" spans="1:11">
      <c r="A1477" t="s">
        <v>319</v>
      </c>
      <c r="B1477" s="8">
        <v>252601638</v>
      </c>
      <c r="C1477" s="9">
        <v>45875</v>
      </c>
      <c r="D1477" s="8" t="s">
        <v>48</v>
      </c>
      <c r="E1477" s="10">
        <v>192000</v>
      </c>
      <c r="F1477" s="8">
        <v>0.017</v>
      </c>
      <c r="G1477" s="11">
        <v>45952</v>
      </c>
      <c r="H1477" s="12">
        <f t="shared" si="23"/>
        <v>3264</v>
      </c>
      <c r="I1477" s="10" t="s">
        <v>10</v>
      </c>
      <c r="J1477" s="13">
        <v>45883</v>
      </c>
      <c r="K1477" t="s">
        <v>534</v>
      </c>
    </row>
    <row r="1478" hidden="1" spans="1:11">
      <c r="A1478" t="s">
        <v>319</v>
      </c>
      <c r="B1478" s="70">
        <v>252601641</v>
      </c>
      <c r="C1478" s="71">
        <v>45875</v>
      </c>
      <c r="D1478" s="70" t="s">
        <v>577</v>
      </c>
      <c r="E1478" s="72">
        <v>13000</v>
      </c>
      <c r="F1478" s="70">
        <v>0.055</v>
      </c>
      <c r="G1478" s="73">
        <v>45879</v>
      </c>
      <c r="H1478" s="74">
        <f t="shared" si="23"/>
        <v>715</v>
      </c>
      <c r="I1478" s="72" t="s">
        <v>51</v>
      </c>
      <c r="J1478" s="15"/>
      <c r="K1478" t="s">
        <v>528</v>
      </c>
    </row>
    <row r="1479" hidden="1" spans="1:11">
      <c r="A1479" t="s">
        <v>319</v>
      </c>
      <c r="B1479" s="70">
        <v>252601641</v>
      </c>
      <c r="C1479" s="71">
        <v>45875</v>
      </c>
      <c r="D1479" s="70" t="s">
        <v>578</v>
      </c>
      <c r="E1479" s="72">
        <v>1000</v>
      </c>
      <c r="F1479" s="70">
        <v>0.045</v>
      </c>
      <c r="G1479" s="73">
        <v>45879</v>
      </c>
      <c r="H1479" s="74">
        <f t="shared" si="23"/>
        <v>45</v>
      </c>
      <c r="I1479" s="72" t="s">
        <v>51</v>
      </c>
      <c r="J1479" s="15"/>
      <c r="K1479" t="s">
        <v>528</v>
      </c>
    </row>
    <row r="1480" hidden="1" spans="1:11">
      <c r="A1480" t="s">
        <v>319</v>
      </c>
      <c r="B1480" s="70">
        <v>252601641</v>
      </c>
      <c r="C1480" s="71">
        <v>45875</v>
      </c>
      <c r="D1480" s="70" t="s">
        <v>579</v>
      </c>
      <c r="E1480" s="72">
        <v>3000</v>
      </c>
      <c r="F1480" s="70">
        <v>0.045</v>
      </c>
      <c r="G1480" s="73">
        <v>45879</v>
      </c>
      <c r="H1480" s="74">
        <f t="shared" si="23"/>
        <v>135</v>
      </c>
      <c r="I1480" s="72" t="s">
        <v>51</v>
      </c>
      <c r="J1480" s="15"/>
      <c r="K1480" t="s">
        <v>528</v>
      </c>
    </row>
    <row r="1481" hidden="1" spans="1:11">
      <c r="A1481" t="s">
        <v>319</v>
      </c>
      <c r="B1481" s="70">
        <v>252601641</v>
      </c>
      <c r="C1481" s="71">
        <v>45875</v>
      </c>
      <c r="D1481" s="70" t="s">
        <v>580</v>
      </c>
      <c r="E1481" s="72">
        <v>2000</v>
      </c>
      <c r="F1481" s="70">
        <v>0.045</v>
      </c>
      <c r="G1481" s="73">
        <v>45879</v>
      </c>
      <c r="H1481" s="74">
        <f t="shared" si="23"/>
        <v>90</v>
      </c>
      <c r="I1481" s="72" t="s">
        <v>51</v>
      </c>
      <c r="J1481" s="15"/>
      <c r="K1481" t="s">
        <v>528</v>
      </c>
    </row>
    <row r="1482" hidden="1" spans="1:11">
      <c r="A1482" t="s">
        <v>319</v>
      </c>
      <c r="B1482" s="8">
        <v>252601645</v>
      </c>
      <c r="C1482" s="9">
        <v>45876</v>
      </c>
      <c r="D1482" s="8" t="s">
        <v>512</v>
      </c>
      <c r="E1482" s="10">
        <v>20000</v>
      </c>
      <c r="F1482" s="8">
        <v>0.031</v>
      </c>
      <c r="G1482" s="11">
        <v>45983</v>
      </c>
      <c r="H1482" s="12">
        <f t="shared" si="23"/>
        <v>620</v>
      </c>
      <c r="I1482" s="10" t="s">
        <v>10</v>
      </c>
      <c r="J1482" s="13">
        <v>45934</v>
      </c>
      <c r="K1482" t="s">
        <v>491</v>
      </c>
    </row>
    <row r="1483" hidden="1" spans="1:11">
      <c r="A1483" t="s">
        <v>319</v>
      </c>
      <c r="B1483" s="8">
        <v>252601645</v>
      </c>
      <c r="C1483" s="9">
        <v>45876</v>
      </c>
      <c r="D1483" s="8" t="s">
        <v>242</v>
      </c>
      <c r="E1483" s="10">
        <v>20000</v>
      </c>
      <c r="F1483" s="8">
        <v>0.043</v>
      </c>
      <c r="G1483" s="11">
        <v>45983</v>
      </c>
      <c r="H1483" s="12">
        <f t="shared" si="23"/>
        <v>860</v>
      </c>
      <c r="I1483" s="10" t="s">
        <v>10</v>
      </c>
      <c r="J1483" s="13">
        <v>45934</v>
      </c>
      <c r="K1483" t="s">
        <v>491</v>
      </c>
    </row>
    <row r="1484" hidden="1" spans="1:11">
      <c r="A1484" t="s">
        <v>319</v>
      </c>
      <c r="B1484" s="14">
        <v>252601670</v>
      </c>
      <c r="C1484" s="13">
        <v>45880</v>
      </c>
      <c r="D1484" s="14" t="s">
        <v>581</v>
      </c>
      <c r="E1484" s="15">
        <v>10000</v>
      </c>
      <c r="F1484" s="14">
        <v>0.03</v>
      </c>
      <c r="G1484" s="16">
        <v>45891</v>
      </c>
      <c r="H1484" s="17">
        <f t="shared" si="23"/>
        <v>300</v>
      </c>
      <c r="I1484" s="15" t="s">
        <v>51</v>
      </c>
      <c r="J1484" s="15" t="s">
        <v>582</v>
      </c>
      <c r="K1484" t="s">
        <v>528</v>
      </c>
    </row>
    <row r="1485" hidden="1" spans="1:11">
      <c r="A1485" t="s">
        <v>319</v>
      </c>
      <c r="B1485" s="8">
        <v>252601673</v>
      </c>
      <c r="C1485" s="9">
        <v>45880</v>
      </c>
      <c r="D1485" s="8" t="s">
        <v>39</v>
      </c>
      <c r="E1485" s="10">
        <v>100000</v>
      </c>
      <c r="F1485" s="8">
        <v>0.022</v>
      </c>
      <c r="G1485" s="11">
        <v>46013</v>
      </c>
      <c r="H1485" s="12">
        <f t="shared" si="23"/>
        <v>2200</v>
      </c>
      <c r="I1485" s="10" t="s">
        <v>10</v>
      </c>
      <c r="J1485" s="13">
        <v>45897</v>
      </c>
      <c r="K1485" t="s">
        <v>337</v>
      </c>
    </row>
    <row r="1486" hidden="1" spans="1:11">
      <c r="A1486" t="s">
        <v>319</v>
      </c>
      <c r="B1486" s="8">
        <v>252601685</v>
      </c>
      <c r="C1486" s="9">
        <v>45880</v>
      </c>
      <c r="D1486" s="8" t="s">
        <v>41</v>
      </c>
      <c r="E1486" s="10">
        <v>20000</v>
      </c>
      <c r="F1486" s="8">
        <v>0.285</v>
      </c>
      <c r="G1486" s="11">
        <v>45983</v>
      </c>
      <c r="H1486" s="12">
        <f t="shared" si="23"/>
        <v>5700</v>
      </c>
      <c r="I1486" s="10" t="s">
        <v>10</v>
      </c>
      <c r="J1486" s="13">
        <v>45897</v>
      </c>
      <c r="K1486" t="s">
        <v>337</v>
      </c>
    </row>
    <row r="1487" hidden="1" spans="1:11">
      <c r="A1487" t="s">
        <v>319</v>
      </c>
      <c r="B1487" s="8">
        <v>252601691</v>
      </c>
      <c r="C1487" s="9">
        <v>45881</v>
      </c>
      <c r="D1487" s="8" t="s">
        <v>483</v>
      </c>
      <c r="E1487" s="10">
        <v>20000</v>
      </c>
      <c r="F1487" s="8">
        <v>0.06</v>
      </c>
      <c r="G1487" s="11">
        <v>45922</v>
      </c>
      <c r="H1487" s="12">
        <f t="shared" si="23"/>
        <v>1200</v>
      </c>
      <c r="I1487" s="10" t="s">
        <v>10</v>
      </c>
      <c r="J1487" s="13">
        <v>45882</v>
      </c>
      <c r="K1487" t="s">
        <v>337</v>
      </c>
    </row>
    <row r="1488" hidden="1" spans="1:11">
      <c r="B1488" s="14">
        <v>252601706</v>
      </c>
      <c r="C1488" s="13">
        <v>45881</v>
      </c>
      <c r="D1488" s="14" t="s">
        <v>583</v>
      </c>
      <c r="E1488" s="15">
        <v>2000</v>
      </c>
      <c r="F1488" s="14">
        <v>0.047</v>
      </c>
      <c r="G1488" s="16">
        <v>45930</v>
      </c>
      <c r="H1488" s="17">
        <f t="shared" si="23"/>
        <v>94</v>
      </c>
      <c r="I1488" s="15" t="s">
        <v>317</v>
      </c>
      <c r="J1488" s="15" t="s">
        <v>501</v>
      </c>
      <c r="K1488" t="s">
        <v>422</v>
      </c>
    </row>
    <row r="1489" hidden="1" spans="1:11">
      <c r="B1489" s="14">
        <v>252601706</v>
      </c>
      <c r="C1489" s="13">
        <v>45881</v>
      </c>
      <c r="D1489" s="14" t="s">
        <v>584</v>
      </c>
      <c r="E1489" s="15">
        <v>2000</v>
      </c>
      <c r="F1489" s="14">
        <v>0.0382</v>
      </c>
      <c r="G1489" s="16">
        <v>45930</v>
      </c>
      <c r="H1489" s="17">
        <f t="shared" si="23"/>
        <v>76.4</v>
      </c>
      <c r="I1489" s="15" t="s">
        <v>317</v>
      </c>
      <c r="J1489" s="15" t="s">
        <v>501</v>
      </c>
      <c r="K1489" t="s">
        <v>422</v>
      </c>
    </row>
    <row r="1490" hidden="1" spans="1:11">
      <c r="B1490" s="14">
        <v>252601706</v>
      </c>
      <c r="C1490" s="13">
        <v>45881</v>
      </c>
      <c r="D1490" s="14" t="s">
        <v>585</v>
      </c>
      <c r="E1490" s="15">
        <v>2000</v>
      </c>
      <c r="F1490" s="14">
        <v>0.037</v>
      </c>
      <c r="G1490" s="16">
        <v>45930</v>
      </c>
      <c r="H1490" s="17">
        <f t="shared" si="23"/>
        <v>74</v>
      </c>
      <c r="I1490" s="15" t="s">
        <v>317</v>
      </c>
      <c r="J1490" s="15" t="s">
        <v>501</v>
      </c>
      <c r="K1490" t="s">
        <v>422</v>
      </c>
    </row>
    <row r="1491" hidden="1" spans="1:11">
      <c r="B1491" s="14">
        <v>252601706</v>
      </c>
      <c r="C1491" s="13">
        <v>45881</v>
      </c>
      <c r="D1491" s="14" t="s">
        <v>399</v>
      </c>
      <c r="E1491" s="15">
        <v>25000</v>
      </c>
      <c r="F1491" s="14">
        <v>0.0175</v>
      </c>
      <c r="G1491" s="16">
        <v>45930</v>
      </c>
      <c r="H1491" s="17">
        <f t="shared" si="23"/>
        <v>437.5</v>
      </c>
      <c r="I1491" s="15" t="s">
        <v>317</v>
      </c>
      <c r="J1491" s="15" t="s">
        <v>501</v>
      </c>
      <c r="K1491" t="s">
        <v>422</v>
      </c>
    </row>
    <row r="1492" hidden="1" spans="1:11">
      <c r="B1492" s="14">
        <v>252601706</v>
      </c>
      <c r="C1492" s="13">
        <v>45881</v>
      </c>
      <c r="D1492" s="14" t="s">
        <v>370</v>
      </c>
      <c r="E1492" s="15">
        <v>40000</v>
      </c>
      <c r="F1492" s="14">
        <v>0.03</v>
      </c>
      <c r="G1492" s="16">
        <v>45930</v>
      </c>
      <c r="H1492" s="17">
        <f t="shared" si="23"/>
        <v>1200</v>
      </c>
      <c r="I1492" s="15" t="s">
        <v>317</v>
      </c>
      <c r="J1492" s="15" t="s">
        <v>501</v>
      </c>
      <c r="K1492" t="s">
        <v>422</v>
      </c>
    </row>
    <row r="1493" hidden="1" spans="1:11">
      <c r="A1493" t="s">
        <v>319</v>
      </c>
      <c r="B1493" s="8">
        <v>252601707</v>
      </c>
      <c r="C1493" s="9">
        <v>45882</v>
      </c>
      <c r="D1493" s="8" t="s">
        <v>461</v>
      </c>
      <c r="E1493" s="10">
        <v>60000</v>
      </c>
      <c r="F1493" s="8">
        <v>0.06</v>
      </c>
      <c r="G1493" s="11">
        <v>45905</v>
      </c>
      <c r="H1493" s="12">
        <f t="shared" si="23"/>
        <v>3600</v>
      </c>
      <c r="I1493" s="10" t="s">
        <v>10</v>
      </c>
      <c r="J1493" s="13">
        <v>45902</v>
      </c>
      <c r="K1493" t="s">
        <v>586</v>
      </c>
    </row>
    <row r="1494" hidden="1" spans="1:11">
      <c r="A1494" t="s">
        <v>319</v>
      </c>
      <c r="B1494" s="8">
        <v>252601707</v>
      </c>
      <c r="C1494" s="9">
        <v>45882</v>
      </c>
      <c r="D1494" s="8" t="s">
        <v>461</v>
      </c>
      <c r="E1494" s="10">
        <v>60000</v>
      </c>
      <c r="F1494" s="8">
        <v>0.06</v>
      </c>
      <c r="G1494" s="11">
        <v>45935</v>
      </c>
      <c r="H1494" s="12">
        <f t="shared" si="23"/>
        <v>3600</v>
      </c>
      <c r="I1494" s="10" t="s">
        <v>10</v>
      </c>
      <c r="J1494" s="13">
        <v>45902</v>
      </c>
      <c r="K1494" t="s">
        <v>586</v>
      </c>
    </row>
    <row r="1495" hidden="1" spans="1:11">
      <c r="A1495" t="s">
        <v>319</v>
      </c>
      <c r="B1495" s="8">
        <v>252601707</v>
      </c>
      <c r="C1495" s="9">
        <v>45882</v>
      </c>
      <c r="D1495" s="8" t="s">
        <v>587</v>
      </c>
      <c r="E1495" s="10">
        <v>30000</v>
      </c>
      <c r="F1495" s="8">
        <v>0.028</v>
      </c>
      <c r="G1495" s="11">
        <v>45905</v>
      </c>
      <c r="H1495" s="12">
        <f t="shared" si="23"/>
        <v>840</v>
      </c>
      <c r="I1495" s="10" t="s">
        <v>10</v>
      </c>
      <c r="J1495" s="13">
        <v>45902</v>
      </c>
      <c r="K1495" t="s">
        <v>586</v>
      </c>
    </row>
    <row r="1496" hidden="1" spans="1:11">
      <c r="A1496" t="s">
        <v>319</v>
      </c>
      <c r="B1496" s="8">
        <v>252601707</v>
      </c>
      <c r="C1496" s="9">
        <v>45882</v>
      </c>
      <c r="D1496" s="8" t="s">
        <v>587</v>
      </c>
      <c r="E1496" s="10">
        <v>30000</v>
      </c>
      <c r="F1496" s="8">
        <v>0.028</v>
      </c>
      <c r="G1496" s="11">
        <v>45935</v>
      </c>
      <c r="H1496" s="12">
        <f t="shared" si="23"/>
        <v>840</v>
      </c>
      <c r="I1496" s="10" t="s">
        <v>10</v>
      </c>
      <c r="J1496" s="13">
        <v>45902</v>
      </c>
      <c r="K1496" t="s">
        <v>586</v>
      </c>
    </row>
    <row r="1497" hidden="1" spans="1:11">
      <c r="A1497" t="s">
        <v>319</v>
      </c>
      <c r="B1497" s="8">
        <v>252601707</v>
      </c>
      <c r="C1497" s="9">
        <v>45882</v>
      </c>
      <c r="D1497" s="8" t="s">
        <v>461</v>
      </c>
      <c r="E1497" s="10">
        <v>48000</v>
      </c>
      <c r="F1497" s="8">
        <v>0.06</v>
      </c>
      <c r="G1497" s="11">
        <v>45935</v>
      </c>
      <c r="H1497" s="12">
        <f t="shared" si="23"/>
        <v>2880</v>
      </c>
      <c r="I1497" s="10" t="s">
        <v>10</v>
      </c>
      <c r="J1497" s="13">
        <v>45902</v>
      </c>
      <c r="K1497" t="s">
        <v>586</v>
      </c>
    </row>
    <row r="1498" hidden="1" spans="1:11">
      <c r="A1498" t="s">
        <v>319</v>
      </c>
      <c r="B1498" s="8">
        <v>252601707</v>
      </c>
      <c r="C1498" s="9">
        <v>45882</v>
      </c>
      <c r="D1498" s="8" t="s">
        <v>461</v>
      </c>
      <c r="E1498" s="10">
        <v>36000</v>
      </c>
      <c r="F1498" s="8">
        <v>0.06</v>
      </c>
      <c r="G1498" s="11">
        <v>45966</v>
      </c>
      <c r="H1498" s="12">
        <f t="shared" si="23"/>
        <v>2160</v>
      </c>
      <c r="I1498" s="10" t="s">
        <v>10</v>
      </c>
      <c r="J1498" s="13">
        <v>45902</v>
      </c>
      <c r="K1498" t="s">
        <v>586</v>
      </c>
    </row>
    <row r="1499" hidden="1" spans="1:11">
      <c r="A1499" t="s">
        <v>319</v>
      </c>
      <c r="B1499" s="8">
        <v>252601707</v>
      </c>
      <c r="C1499" s="9">
        <v>45882</v>
      </c>
      <c r="D1499" s="8" t="s">
        <v>587</v>
      </c>
      <c r="E1499" s="10">
        <v>18000</v>
      </c>
      <c r="F1499" s="8">
        <v>0.028</v>
      </c>
      <c r="G1499" s="11">
        <v>45966</v>
      </c>
      <c r="H1499" s="12">
        <f t="shared" si="23"/>
        <v>504</v>
      </c>
      <c r="I1499" s="10" t="s">
        <v>10</v>
      </c>
      <c r="J1499" s="13">
        <v>45902</v>
      </c>
      <c r="K1499" t="s">
        <v>586</v>
      </c>
    </row>
    <row r="1500" hidden="1" spans="1:11">
      <c r="A1500" t="s">
        <v>319</v>
      </c>
      <c r="B1500" s="8">
        <v>252601726</v>
      </c>
      <c r="C1500" s="9">
        <v>45889</v>
      </c>
      <c r="D1500" s="8" t="s">
        <v>483</v>
      </c>
      <c r="E1500" s="10">
        <v>40000</v>
      </c>
      <c r="F1500" s="8">
        <v>0.06</v>
      </c>
      <c r="G1500" s="11">
        <v>45952</v>
      </c>
      <c r="H1500" s="12">
        <f t="shared" si="23"/>
        <v>2400</v>
      </c>
      <c r="I1500" s="10" t="s">
        <v>10</v>
      </c>
      <c r="J1500" s="13">
        <v>45897</v>
      </c>
      <c r="K1500" t="s">
        <v>337</v>
      </c>
    </row>
    <row r="1501" hidden="1" spans="1:11">
      <c r="A1501" t="s">
        <v>319</v>
      </c>
      <c r="B1501" s="8">
        <v>252601791</v>
      </c>
      <c r="C1501" s="9">
        <v>45898</v>
      </c>
      <c r="D1501" s="8" t="s">
        <v>502</v>
      </c>
      <c r="E1501" s="10">
        <v>30000</v>
      </c>
      <c r="F1501" s="8">
        <v>0.1</v>
      </c>
      <c r="G1501" s="11">
        <v>45920</v>
      </c>
      <c r="H1501" s="12">
        <f t="shared" si="23"/>
        <v>3000</v>
      </c>
      <c r="I1501" s="10" t="s">
        <v>10</v>
      </c>
      <c r="J1501" s="13">
        <v>45911</v>
      </c>
      <c r="K1501" t="s">
        <v>377</v>
      </c>
    </row>
    <row r="1502" hidden="1" spans="1:11">
      <c r="A1502" t="s">
        <v>319</v>
      </c>
      <c r="B1502" s="8">
        <v>252601791</v>
      </c>
      <c r="C1502" s="9">
        <v>45898</v>
      </c>
      <c r="D1502" s="8" t="s">
        <v>487</v>
      </c>
      <c r="E1502" s="10">
        <v>192000</v>
      </c>
      <c r="F1502" s="8">
        <v>0.015</v>
      </c>
      <c r="G1502" s="11">
        <v>45920</v>
      </c>
      <c r="H1502" s="12">
        <f t="shared" si="23"/>
        <v>2880</v>
      </c>
      <c r="I1502" s="10" t="s">
        <v>10</v>
      </c>
      <c r="J1502" s="13">
        <v>45911</v>
      </c>
      <c r="K1502" t="s">
        <v>377</v>
      </c>
    </row>
    <row r="1503" hidden="1" spans="1:11">
      <c r="A1503" t="s">
        <v>319</v>
      </c>
      <c r="B1503" s="8">
        <v>252601791</v>
      </c>
      <c r="C1503" s="9">
        <v>45898</v>
      </c>
      <c r="D1503" s="8" t="s">
        <v>46</v>
      </c>
      <c r="E1503" s="10">
        <v>100000</v>
      </c>
      <c r="F1503" s="8">
        <v>0.02</v>
      </c>
      <c r="G1503" s="11">
        <v>45920</v>
      </c>
      <c r="H1503" s="12">
        <f t="shared" si="23"/>
        <v>2000</v>
      </c>
      <c r="I1503" s="10" t="s">
        <v>10</v>
      </c>
      <c r="J1503" s="13">
        <v>45911</v>
      </c>
      <c r="K1503" t="s">
        <v>377</v>
      </c>
    </row>
    <row r="1504" hidden="1" spans="1:11">
      <c r="A1504" t="s">
        <v>319</v>
      </c>
      <c r="B1504" s="8">
        <v>252601791</v>
      </c>
      <c r="C1504" s="9">
        <v>45898</v>
      </c>
      <c r="D1504" s="8" t="s">
        <v>511</v>
      </c>
      <c r="E1504" s="10">
        <v>48000</v>
      </c>
      <c r="F1504" s="8">
        <v>0.041</v>
      </c>
      <c r="G1504" s="11">
        <v>45920</v>
      </c>
      <c r="H1504" s="12">
        <f t="shared" si="23"/>
        <v>1968</v>
      </c>
      <c r="I1504" s="10" t="s">
        <v>10</v>
      </c>
      <c r="J1504" s="13">
        <v>45911</v>
      </c>
      <c r="K1504" t="s">
        <v>377</v>
      </c>
    </row>
    <row r="1505" hidden="1" spans="1:11">
      <c r="A1505" t="s">
        <v>319</v>
      </c>
      <c r="B1505" s="8">
        <v>252601791</v>
      </c>
      <c r="C1505" s="9">
        <v>45898</v>
      </c>
      <c r="D1505" s="8" t="s">
        <v>38</v>
      </c>
      <c r="E1505" s="10">
        <v>40000</v>
      </c>
      <c r="F1505" s="8">
        <v>0.01</v>
      </c>
      <c r="G1505" s="11">
        <v>45920</v>
      </c>
      <c r="H1505" s="12">
        <f t="shared" si="23"/>
        <v>400</v>
      </c>
      <c r="I1505" s="10" t="s">
        <v>10</v>
      </c>
      <c r="J1505" s="13">
        <v>45911</v>
      </c>
      <c r="K1505" t="s">
        <v>377</v>
      </c>
    </row>
    <row r="1506" hidden="1" spans="1:11">
      <c r="A1506" t="s">
        <v>319</v>
      </c>
      <c r="B1506" s="8">
        <v>252601791</v>
      </c>
      <c r="C1506" s="9">
        <v>45898</v>
      </c>
      <c r="D1506" s="8" t="s">
        <v>497</v>
      </c>
      <c r="E1506" s="10">
        <v>20000</v>
      </c>
      <c r="F1506" s="8">
        <v>0.17</v>
      </c>
      <c r="G1506" s="11">
        <v>45920</v>
      </c>
      <c r="H1506" s="12">
        <f t="shared" si="23"/>
        <v>3400</v>
      </c>
      <c r="I1506" s="10" t="s">
        <v>10</v>
      </c>
      <c r="J1506" s="13">
        <v>45911</v>
      </c>
      <c r="K1506" t="s">
        <v>377</v>
      </c>
    </row>
    <row r="1507" hidden="1" spans="1:11">
      <c r="A1507" t="s">
        <v>319</v>
      </c>
      <c r="B1507" s="8">
        <v>252601792</v>
      </c>
      <c r="C1507" s="9">
        <v>45898</v>
      </c>
      <c r="D1507" s="8" t="s">
        <v>114</v>
      </c>
      <c r="E1507" s="10">
        <v>21000</v>
      </c>
      <c r="F1507" s="8">
        <v>0.0145</v>
      </c>
      <c r="G1507" s="11">
        <v>45920</v>
      </c>
      <c r="H1507" s="12">
        <f t="shared" si="23"/>
        <v>304.5</v>
      </c>
      <c r="I1507" s="10" t="s">
        <v>10</v>
      </c>
      <c r="J1507" s="13">
        <v>45904</v>
      </c>
      <c r="K1507" t="s">
        <v>571</v>
      </c>
    </row>
    <row r="1508" hidden="1" spans="1:11">
      <c r="A1508" t="s">
        <v>319</v>
      </c>
      <c r="B1508" s="8">
        <v>252601792</v>
      </c>
      <c r="C1508" s="9">
        <v>45898</v>
      </c>
      <c r="D1508" s="8" t="s">
        <v>142</v>
      </c>
      <c r="E1508" s="10">
        <v>21000</v>
      </c>
      <c r="F1508" s="8">
        <v>0.024</v>
      </c>
      <c r="G1508" s="11">
        <v>45920</v>
      </c>
      <c r="H1508" s="12">
        <f t="shared" si="23"/>
        <v>504</v>
      </c>
      <c r="I1508" s="10" t="s">
        <v>10</v>
      </c>
      <c r="J1508" s="13">
        <v>45904</v>
      </c>
      <c r="K1508" t="s">
        <v>571</v>
      </c>
    </row>
    <row r="1509" hidden="1" spans="1:11">
      <c r="A1509" t="s">
        <v>319</v>
      </c>
      <c r="B1509" s="8">
        <v>252601793</v>
      </c>
      <c r="C1509" s="9">
        <v>45898</v>
      </c>
      <c r="D1509" s="8" t="s">
        <v>511</v>
      </c>
      <c r="E1509" s="10">
        <v>32000</v>
      </c>
      <c r="F1509" s="8">
        <v>0.041</v>
      </c>
      <c r="G1509" s="11">
        <v>45920</v>
      </c>
      <c r="H1509" s="12">
        <f t="shared" si="23"/>
        <v>1312</v>
      </c>
      <c r="I1509" s="10" t="s">
        <v>10</v>
      </c>
      <c r="J1509" s="13">
        <v>45904</v>
      </c>
      <c r="K1509" t="s">
        <v>377</v>
      </c>
    </row>
    <row r="1510" hidden="1" spans="1:11">
      <c r="A1510" t="s">
        <v>319</v>
      </c>
      <c r="B1510" s="8">
        <v>252601796</v>
      </c>
      <c r="C1510" s="9">
        <v>45898</v>
      </c>
      <c r="D1510" s="8" t="s">
        <v>31</v>
      </c>
      <c r="E1510" s="10">
        <v>200000</v>
      </c>
      <c r="F1510" s="8">
        <v>0.024</v>
      </c>
      <c r="G1510" s="11">
        <v>45920</v>
      </c>
      <c r="H1510" s="12">
        <f t="shared" si="23"/>
        <v>4800</v>
      </c>
      <c r="I1510" s="10" t="s">
        <v>10</v>
      </c>
      <c r="J1510" s="13">
        <v>45911</v>
      </c>
      <c r="K1510" t="s">
        <v>392</v>
      </c>
    </row>
    <row r="1511" hidden="1" spans="1:11">
      <c r="A1511" t="s">
        <v>319</v>
      </c>
      <c r="B1511" s="8">
        <v>252601796</v>
      </c>
      <c r="C1511" s="9">
        <v>45898</v>
      </c>
      <c r="D1511" s="8" t="s">
        <v>31</v>
      </c>
      <c r="E1511" s="10">
        <v>200000</v>
      </c>
      <c r="F1511" s="8">
        <v>0.024</v>
      </c>
      <c r="G1511" s="11">
        <v>45983</v>
      </c>
      <c r="H1511" s="12">
        <f t="shared" si="23"/>
        <v>4800</v>
      </c>
      <c r="I1511" s="10" t="s">
        <v>10</v>
      </c>
      <c r="J1511" s="13">
        <v>45911</v>
      </c>
      <c r="K1511" t="s">
        <v>392</v>
      </c>
    </row>
    <row r="1512" hidden="1" spans="1:11">
      <c r="A1512" t="s">
        <v>319</v>
      </c>
      <c r="B1512" s="8">
        <v>252601796</v>
      </c>
      <c r="C1512" s="9">
        <v>45898</v>
      </c>
      <c r="D1512" s="8" t="s">
        <v>78</v>
      </c>
      <c r="E1512" s="10">
        <v>120000</v>
      </c>
      <c r="F1512" s="8">
        <v>0.016</v>
      </c>
      <c r="G1512" s="11">
        <v>45920</v>
      </c>
      <c r="H1512" s="12">
        <f t="shared" si="23"/>
        <v>1920</v>
      </c>
      <c r="I1512" s="10" t="s">
        <v>10</v>
      </c>
      <c r="J1512" s="13">
        <v>45911</v>
      </c>
      <c r="K1512" t="s">
        <v>392</v>
      </c>
    </row>
    <row r="1513" hidden="1" spans="1:11">
      <c r="A1513" t="s">
        <v>319</v>
      </c>
      <c r="B1513" s="8">
        <v>252601796</v>
      </c>
      <c r="C1513" s="9">
        <v>45898</v>
      </c>
      <c r="D1513" s="8" t="s">
        <v>78</v>
      </c>
      <c r="E1513" s="10">
        <v>120000</v>
      </c>
      <c r="F1513" s="8">
        <v>0.016</v>
      </c>
      <c r="G1513" s="11">
        <v>45983</v>
      </c>
      <c r="H1513" s="12">
        <f t="shared" si="23"/>
        <v>1920</v>
      </c>
      <c r="I1513" s="10" t="s">
        <v>10</v>
      </c>
      <c r="J1513" s="13">
        <v>45911</v>
      </c>
      <c r="K1513" t="s">
        <v>392</v>
      </c>
    </row>
    <row r="1514" hidden="1" spans="1:11">
      <c r="A1514" t="s">
        <v>319</v>
      </c>
      <c r="B1514" s="8">
        <v>252601796</v>
      </c>
      <c r="C1514" s="9">
        <v>45898</v>
      </c>
      <c r="D1514" s="8" t="s">
        <v>33</v>
      </c>
      <c r="E1514" s="10">
        <v>100000</v>
      </c>
      <c r="F1514" s="8">
        <v>0.018</v>
      </c>
      <c r="G1514" s="11">
        <v>45952</v>
      </c>
      <c r="H1514" s="12">
        <f t="shared" si="23"/>
        <v>1800</v>
      </c>
      <c r="I1514" s="10" t="s">
        <v>10</v>
      </c>
      <c r="J1514" s="13">
        <v>45911</v>
      </c>
      <c r="K1514" t="s">
        <v>392</v>
      </c>
    </row>
    <row r="1515" hidden="1" spans="1:11">
      <c r="A1515" t="s">
        <v>319</v>
      </c>
      <c r="B1515" s="8">
        <v>252601796</v>
      </c>
      <c r="C1515" s="9">
        <v>45898</v>
      </c>
      <c r="D1515" s="8" t="s">
        <v>33</v>
      </c>
      <c r="E1515" s="10">
        <v>100000</v>
      </c>
      <c r="F1515" s="8">
        <v>0.018</v>
      </c>
      <c r="G1515" s="11">
        <v>45983</v>
      </c>
      <c r="H1515" s="12">
        <f t="shared" si="23"/>
        <v>1800</v>
      </c>
      <c r="I1515" s="10" t="s">
        <v>10</v>
      </c>
      <c r="J1515" s="13">
        <v>45911</v>
      </c>
      <c r="K1515" t="s">
        <v>392</v>
      </c>
    </row>
    <row r="1516" hidden="1" spans="1:11">
      <c r="A1516" t="s">
        <v>319</v>
      </c>
      <c r="B1516" s="8">
        <v>252601796</v>
      </c>
      <c r="C1516" s="9">
        <v>45898</v>
      </c>
      <c r="D1516" s="8" t="s">
        <v>100</v>
      </c>
      <c r="E1516" s="10">
        <v>20000</v>
      </c>
      <c r="F1516" s="8">
        <v>0.0224</v>
      </c>
      <c r="G1516" s="11">
        <v>45920</v>
      </c>
      <c r="H1516" s="12">
        <f t="shared" si="23"/>
        <v>448</v>
      </c>
      <c r="I1516" s="10" t="s">
        <v>10</v>
      </c>
      <c r="J1516" s="13">
        <v>45911</v>
      </c>
      <c r="K1516" t="s">
        <v>392</v>
      </c>
    </row>
    <row r="1517" hidden="1" spans="1:11">
      <c r="A1517" t="s">
        <v>319</v>
      </c>
      <c r="B1517" s="8">
        <v>252601797</v>
      </c>
      <c r="C1517" s="66">
        <v>45898</v>
      </c>
      <c r="D1517" s="8" t="s">
        <v>31</v>
      </c>
      <c r="E1517" s="67">
        <v>200000</v>
      </c>
      <c r="F1517" s="8">
        <v>0.024</v>
      </c>
      <c r="G1517" s="11">
        <v>46013</v>
      </c>
      <c r="H1517" s="68">
        <f t="shared" si="23"/>
        <v>4800</v>
      </c>
      <c r="I1517" s="67" t="s">
        <v>10</v>
      </c>
      <c r="J1517" s="75">
        <v>45919</v>
      </c>
      <c r="K1517" s="76" t="s">
        <v>392</v>
      </c>
    </row>
    <row r="1518" hidden="1" spans="1:11">
      <c r="A1518" t="s">
        <v>319</v>
      </c>
      <c r="B1518" s="8">
        <v>252601797</v>
      </c>
      <c r="C1518" s="66">
        <v>45898</v>
      </c>
      <c r="D1518" s="8" t="s">
        <v>78</v>
      </c>
      <c r="E1518" s="67">
        <v>120000</v>
      </c>
      <c r="F1518" s="8">
        <v>0.016</v>
      </c>
      <c r="G1518" s="11">
        <v>46013</v>
      </c>
      <c r="H1518" s="68">
        <f t="shared" si="23"/>
        <v>1920</v>
      </c>
      <c r="I1518" s="67" t="s">
        <v>10</v>
      </c>
      <c r="J1518" s="75">
        <v>45919</v>
      </c>
      <c r="K1518" s="76" t="s">
        <v>392</v>
      </c>
    </row>
    <row r="1519" hidden="1" spans="1:11">
      <c r="A1519" t="s">
        <v>319</v>
      </c>
      <c r="B1519" s="8">
        <v>252601797</v>
      </c>
      <c r="C1519" s="66">
        <v>45898</v>
      </c>
      <c r="D1519" s="8" t="s">
        <v>33</v>
      </c>
      <c r="E1519" s="67">
        <v>100000</v>
      </c>
      <c r="F1519" s="8">
        <v>0.018</v>
      </c>
      <c r="G1519" s="11">
        <v>46013</v>
      </c>
      <c r="H1519" s="68">
        <f t="shared" si="23"/>
        <v>1800</v>
      </c>
      <c r="I1519" s="67" t="s">
        <v>10</v>
      </c>
      <c r="J1519" s="75">
        <v>45919</v>
      </c>
      <c r="K1519" s="76" t="s">
        <v>392</v>
      </c>
    </row>
    <row r="1520" hidden="1" spans="1:11">
      <c r="A1520" t="s">
        <v>319</v>
      </c>
      <c r="B1520" s="8">
        <v>252601799</v>
      </c>
      <c r="C1520" s="9">
        <v>45898</v>
      </c>
      <c r="D1520" s="8" t="s">
        <v>142</v>
      </c>
      <c r="E1520" s="10">
        <v>30000</v>
      </c>
      <c r="F1520" s="8">
        <v>0.024</v>
      </c>
      <c r="G1520" s="11">
        <v>45920</v>
      </c>
      <c r="H1520" s="12">
        <f t="shared" si="23"/>
        <v>720</v>
      </c>
      <c r="I1520" s="10" t="s">
        <v>10</v>
      </c>
      <c r="J1520" s="13">
        <v>45904</v>
      </c>
      <c r="K1520" t="s">
        <v>369</v>
      </c>
    </row>
    <row r="1521" hidden="1" spans="1:11">
      <c r="A1521" t="s">
        <v>319</v>
      </c>
      <c r="B1521" s="8">
        <v>252601805</v>
      </c>
      <c r="C1521" s="9">
        <v>45898</v>
      </c>
      <c r="D1521" s="8" t="s">
        <v>33</v>
      </c>
      <c r="E1521" s="10">
        <v>60000</v>
      </c>
      <c r="F1521" s="8">
        <v>0.018</v>
      </c>
      <c r="G1521" s="11">
        <v>45952</v>
      </c>
      <c r="H1521" s="12">
        <f t="shared" si="23"/>
        <v>1080</v>
      </c>
      <c r="I1521" s="10" t="s">
        <v>10</v>
      </c>
      <c r="J1521" s="13">
        <v>45911</v>
      </c>
      <c r="K1521" t="s">
        <v>467</v>
      </c>
    </row>
    <row r="1522" hidden="1" spans="1:11">
      <c r="A1522" t="s">
        <v>319</v>
      </c>
      <c r="B1522" s="8">
        <v>252601805</v>
      </c>
      <c r="C1522" s="9">
        <v>45898</v>
      </c>
      <c r="D1522" s="8" t="s">
        <v>58</v>
      </c>
      <c r="E1522" s="10">
        <v>60000</v>
      </c>
      <c r="F1522" s="8">
        <v>0.014</v>
      </c>
      <c r="G1522" s="11">
        <v>45952</v>
      </c>
      <c r="H1522" s="12">
        <f t="shared" si="23"/>
        <v>840</v>
      </c>
      <c r="I1522" s="10" t="s">
        <v>10</v>
      </c>
      <c r="J1522" s="13">
        <v>45911</v>
      </c>
      <c r="K1522" t="s">
        <v>467</v>
      </c>
    </row>
    <row r="1523" hidden="1" spans="1:11">
      <c r="A1523" t="s">
        <v>319</v>
      </c>
      <c r="B1523" s="8">
        <v>252601805</v>
      </c>
      <c r="C1523" s="9">
        <v>45898</v>
      </c>
      <c r="D1523" s="8" t="s">
        <v>315</v>
      </c>
      <c r="E1523" s="10">
        <v>30000</v>
      </c>
      <c r="F1523" s="8">
        <v>0.0522</v>
      </c>
      <c r="G1523" s="11">
        <v>45952</v>
      </c>
      <c r="H1523" s="12">
        <f t="shared" si="23"/>
        <v>1566</v>
      </c>
      <c r="I1523" s="10" t="s">
        <v>10</v>
      </c>
      <c r="J1523" s="13">
        <v>45911</v>
      </c>
      <c r="K1523" t="s">
        <v>467</v>
      </c>
    </row>
    <row r="1524" hidden="1" spans="1:11">
      <c r="A1524" t="s">
        <v>319</v>
      </c>
      <c r="B1524" s="8">
        <v>252601805</v>
      </c>
      <c r="C1524" s="9">
        <v>45898</v>
      </c>
      <c r="D1524" s="8" t="s">
        <v>31</v>
      </c>
      <c r="E1524" s="10">
        <v>200000</v>
      </c>
      <c r="F1524" s="8">
        <v>0.024</v>
      </c>
      <c r="G1524" s="11">
        <v>45952</v>
      </c>
      <c r="H1524" s="12">
        <f t="shared" si="23"/>
        <v>4800</v>
      </c>
      <c r="I1524" s="10" t="s">
        <v>10</v>
      </c>
      <c r="J1524" s="13">
        <v>45911</v>
      </c>
      <c r="K1524" t="s">
        <v>467</v>
      </c>
    </row>
    <row r="1525" hidden="1" spans="1:11">
      <c r="A1525" t="s">
        <v>319</v>
      </c>
      <c r="B1525" s="8">
        <v>252601805</v>
      </c>
      <c r="C1525" s="9">
        <v>45898</v>
      </c>
      <c r="D1525" s="8" t="s">
        <v>31</v>
      </c>
      <c r="E1525" s="10">
        <v>100000</v>
      </c>
      <c r="F1525" s="8">
        <v>0.024</v>
      </c>
      <c r="G1525" s="11">
        <v>45952</v>
      </c>
      <c r="H1525" s="12">
        <f t="shared" si="23"/>
        <v>2400</v>
      </c>
      <c r="I1525" s="10" t="s">
        <v>10</v>
      </c>
      <c r="J1525" s="13">
        <v>45911</v>
      </c>
      <c r="K1525" t="s">
        <v>467</v>
      </c>
    </row>
    <row r="1526" hidden="1" spans="1:11">
      <c r="A1526" t="s">
        <v>319</v>
      </c>
      <c r="B1526" s="8">
        <v>252601805</v>
      </c>
      <c r="C1526" s="9">
        <v>45898</v>
      </c>
      <c r="D1526" s="8" t="s">
        <v>100</v>
      </c>
      <c r="E1526" s="10">
        <v>200000</v>
      </c>
      <c r="F1526" s="8">
        <v>0.0224</v>
      </c>
      <c r="G1526" s="11">
        <v>45922</v>
      </c>
      <c r="H1526" s="12">
        <f t="shared" si="23"/>
        <v>4480</v>
      </c>
      <c r="I1526" s="10" t="s">
        <v>10</v>
      </c>
      <c r="J1526" s="13">
        <v>45911</v>
      </c>
      <c r="K1526" t="s">
        <v>467</v>
      </c>
    </row>
    <row r="1527" hidden="1" spans="1:11">
      <c r="A1527" t="s">
        <v>319</v>
      </c>
      <c r="B1527" s="8">
        <v>252601805</v>
      </c>
      <c r="C1527" s="9">
        <v>45898</v>
      </c>
      <c r="D1527" s="8" t="s">
        <v>78</v>
      </c>
      <c r="E1527" s="10">
        <v>100000</v>
      </c>
      <c r="F1527" s="8">
        <v>0.016</v>
      </c>
      <c r="G1527" s="11">
        <v>45952</v>
      </c>
      <c r="H1527" s="12">
        <f t="shared" si="23"/>
        <v>1600</v>
      </c>
      <c r="I1527" s="10" t="s">
        <v>10</v>
      </c>
      <c r="J1527" s="13">
        <v>45911</v>
      </c>
      <c r="K1527" t="s">
        <v>467</v>
      </c>
    </row>
    <row r="1528" hidden="1" spans="1:11">
      <c r="A1528" t="s">
        <v>319</v>
      </c>
      <c r="B1528" s="8">
        <v>252601805</v>
      </c>
      <c r="C1528" s="9">
        <v>45898</v>
      </c>
      <c r="D1528" s="8" t="s">
        <v>468</v>
      </c>
      <c r="E1528" s="10">
        <v>20000</v>
      </c>
      <c r="F1528" s="8">
        <v>0.028</v>
      </c>
      <c r="G1528" s="11">
        <v>45922</v>
      </c>
      <c r="H1528" s="12">
        <f t="shared" si="23"/>
        <v>560</v>
      </c>
      <c r="I1528" s="10" t="s">
        <v>10</v>
      </c>
      <c r="J1528" s="13">
        <v>45911</v>
      </c>
      <c r="K1528" t="s">
        <v>467</v>
      </c>
    </row>
    <row r="1529" hidden="1" spans="1:11">
      <c r="A1529" t="s">
        <v>319</v>
      </c>
      <c r="B1529" s="8">
        <v>252601805</v>
      </c>
      <c r="C1529" s="9">
        <v>45898</v>
      </c>
      <c r="D1529" s="8" t="s">
        <v>468</v>
      </c>
      <c r="E1529" s="10">
        <v>20000</v>
      </c>
      <c r="F1529" s="8">
        <v>0.028</v>
      </c>
      <c r="G1529" s="11">
        <v>45952</v>
      </c>
      <c r="H1529" s="12">
        <f t="shared" si="23"/>
        <v>560</v>
      </c>
      <c r="I1529" s="10" t="s">
        <v>10</v>
      </c>
      <c r="J1529" s="13">
        <v>45911</v>
      </c>
      <c r="K1529" t="s">
        <v>467</v>
      </c>
    </row>
    <row r="1530" hidden="1" spans="1:11">
      <c r="A1530" t="s">
        <v>319</v>
      </c>
      <c r="B1530" s="8">
        <v>252601805</v>
      </c>
      <c r="C1530" s="9">
        <v>45898</v>
      </c>
      <c r="D1530" s="8" t="s">
        <v>181</v>
      </c>
      <c r="E1530" s="10">
        <v>100000</v>
      </c>
      <c r="F1530" s="8">
        <v>0.0243</v>
      </c>
      <c r="G1530" s="11">
        <v>45952</v>
      </c>
      <c r="H1530" s="12">
        <f t="shared" si="23"/>
        <v>2430</v>
      </c>
      <c r="I1530" s="10" t="s">
        <v>10</v>
      </c>
      <c r="J1530" s="13">
        <v>45911</v>
      </c>
      <c r="K1530" t="s">
        <v>467</v>
      </c>
    </row>
    <row r="1531" hidden="1" spans="1:11">
      <c r="A1531" t="s">
        <v>319</v>
      </c>
      <c r="B1531" s="8">
        <v>252601805</v>
      </c>
      <c r="C1531" s="9">
        <v>45898</v>
      </c>
      <c r="D1531" s="8" t="s">
        <v>181</v>
      </c>
      <c r="E1531" s="10">
        <v>30000</v>
      </c>
      <c r="F1531" s="8">
        <v>0.0243</v>
      </c>
      <c r="G1531" s="11">
        <v>45952</v>
      </c>
      <c r="H1531" s="12">
        <f t="shared" si="23"/>
        <v>729</v>
      </c>
      <c r="I1531" s="10" t="s">
        <v>10</v>
      </c>
      <c r="J1531" s="13">
        <v>45911</v>
      </c>
      <c r="K1531" t="s">
        <v>467</v>
      </c>
    </row>
    <row r="1532" hidden="1" spans="1:11">
      <c r="A1532" t="s">
        <v>319</v>
      </c>
      <c r="B1532" s="8">
        <v>252601805</v>
      </c>
      <c r="C1532" s="9">
        <v>45898</v>
      </c>
      <c r="D1532" s="8" t="s">
        <v>181</v>
      </c>
      <c r="E1532" s="10">
        <v>20000</v>
      </c>
      <c r="F1532" s="8">
        <v>0.0243</v>
      </c>
      <c r="G1532" s="11">
        <v>45983</v>
      </c>
      <c r="H1532" s="12">
        <f t="shared" si="23"/>
        <v>486</v>
      </c>
      <c r="I1532" s="10" t="s">
        <v>10</v>
      </c>
      <c r="J1532" s="13">
        <v>45911</v>
      </c>
      <c r="K1532" t="s">
        <v>467</v>
      </c>
    </row>
    <row r="1533" hidden="1" spans="1:11">
      <c r="A1533" t="s">
        <v>319</v>
      </c>
      <c r="B1533" s="8">
        <v>252601805</v>
      </c>
      <c r="C1533" s="9">
        <v>45898</v>
      </c>
      <c r="D1533" s="8" t="s">
        <v>181</v>
      </c>
      <c r="E1533" s="10">
        <v>20000</v>
      </c>
      <c r="F1533" s="8">
        <v>0.0243</v>
      </c>
      <c r="G1533" s="11">
        <v>46013</v>
      </c>
      <c r="H1533" s="12">
        <f t="shared" si="23"/>
        <v>486</v>
      </c>
      <c r="I1533" s="10" t="s">
        <v>10</v>
      </c>
      <c r="J1533" s="13">
        <v>45911</v>
      </c>
      <c r="K1533" t="s">
        <v>467</v>
      </c>
    </row>
    <row r="1534" hidden="1" spans="1:11">
      <c r="A1534" t="s">
        <v>319</v>
      </c>
      <c r="B1534" s="8">
        <v>252601806</v>
      </c>
      <c r="C1534" s="66">
        <v>45898</v>
      </c>
      <c r="D1534" s="8" t="s">
        <v>33</v>
      </c>
      <c r="E1534" s="67">
        <v>60000</v>
      </c>
      <c r="F1534" s="8">
        <v>0.018</v>
      </c>
      <c r="G1534" s="11">
        <v>45983</v>
      </c>
      <c r="H1534" s="68">
        <f t="shared" si="23"/>
        <v>1080</v>
      </c>
      <c r="I1534" s="67" t="s">
        <v>10</v>
      </c>
      <c r="J1534" s="75">
        <v>45919</v>
      </c>
      <c r="K1534" s="76" t="s">
        <v>467</v>
      </c>
    </row>
    <row r="1535" hidden="1" spans="1:11">
      <c r="A1535" t="s">
        <v>319</v>
      </c>
      <c r="B1535" s="8">
        <v>252601806</v>
      </c>
      <c r="C1535" s="66">
        <v>45898</v>
      </c>
      <c r="D1535" s="8" t="s">
        <v>33</v>
      </c>
      <c r="E1535" s="67">
        <v>60000</v>
      </c>
      <c r="F1535" s="8">
        <v>0.018</v>
      </c>
      <c r="G1535" s="11">
        <v>46013</v>
      </c>
      <c r="H1535" s="68">
        <f t="shared" si="23"/>
        <v>1080</v>
      </c>
      <c r="I1535" s="67" t="s">
        <v>10</v>
      </c>
      <c r="J1535" s="75">
        <v>45919</v>
      </c>
      <c r="K1535" s="76" t="s">
        <v>467</v>
      </c>
    </row>
    <row r="1536" hidden="1" spans="1:11">
      <c r="A1536" t="s">
        <v>319</v>
      </c>
      <c r="B1536" s="8">
        <v>252601806</v>
      </c>
      <c r="C1536" s="66">
        <v>45898</v>
      </c>
      <c r="D1536" s="8" t="s">
        <v>58</v>
      </c>
      <c r="E1536" s="67">
        <v>60000</v>
      </c>
      <c r="F1536" s="8">
        <v>0.014</v>
      </c>
      <c r="G1536" s="11">
        <v>46013</v>
      </c>
      <c r="H1536" s="68">
        <f t="shared" si="23"/>
        <v>840</v>
      </c>
      <c r="I1536" s="67" t="s">
        <v>10</v>
      </c>
      <c r="J1536" s="75">
        <v>45919</v>
      </c>
      <c r="K1536" s="76" t="s">
        <v>467</v>
      </c>
    </row>
    <row r="1537" hidden="1" spans="1:11">
      <c r="A1537" t="s">
        <v>319</v>
      </c>
      <c r="B1537" s="8">
        <v>252601806</v>
      </c>
      <c r="C1537" s="66">
        <v>45898</v>
      </c>
      <c r="D1537" s="8" t="s">
        <v>31</v>
      </c>
      <c r="E1537" s="67">
        <v>200000</v>
      </c>
      <c r="F1537" s="8">
        <v>0.024</v>
      </c>
      <c r="G1537" s="11">
        <v>45983</v>
      </c>
      <c r="H1537" s="68">
        <f t="shared" si="23"/>
        <v>4800</v>
      </c>
      <c r="I1537" s="67" t="s">
        <v>10</v>
      </c>
      <c r="J1537" s="75">
        <v>45919</v>
      </c>
      <c r="K1537" s="76" t="s">
        <v>467</v>
      </c>
    </row>
    <row r="1538" hidden="1" spans="1:11">
      <c r="A1538" t="s">
        <v>319</v>
      </c>
      <c r="B1538" s="8">
        <v>252601806</v>
      </c>
      <c r="C1538" s="66">
        <v>45898</v>
      </c>
      <c r="D1538" s="8" t="s">
        <v>31</v>
      </c>
      <c r="E1538" s="67">
        <v>100000</v>
      </c>
      <c r="F1538" s="8">
        <v>0.024</v>
      </c>
      <c r="G1538" s="11">
        <v>45983</v>
      </c>
      <c r="H1538" s="68">
        <f t="shared" ref="H1538:H1601" si="24">E1538*F1538</f>
        <v>2400</v>
      </c>
      <c r="I1538" s="67" t="s">
        <v>10</v>
      </c>
      <c r="J1538" s="75">
        <v>45919</v>
      </c>
      <c r="K1538" s="76" t="s">
        <v>467</v>
      </c>
    </row>
    <row r="1539" hidden="1" spans="1:11">
      <c r="A1539" t="s">
        <v>319</v>
      </c>
      <c r="B1539" s="8">
        <v>252601806</v>
      </c>
      <c r="C1539" s="66">
        <v>45898</v>
      </c>
      <c r="D1539" s="8" t="s">
        <v>31</v>
      </c>
      <c r="E1539" s="67">
        <v>200000</v>
      </c>
      <c r="F1539" s="8">
        <v>0.024</v>
      </c>
      <c r="G1539" s="11">
        <v>46013</v>
      </c>
      <c r="H1539" s="68">
        <f t="shared" si="24"/>
        <v>4800</v>
      </c>
      <c r="I1539" s="67" t="s">
        <v>10</v>
      </c>
      <c r="J1539" s="75">
        <v>45919</v>
      </c>
      <c r="K1539" s="76" t="s">
        <v>467</v>
      </c>
    </row>
    <row r="1540" hidden="1" spans="1:11">
      <c r="A1540" t="s">
        <v>319</v>
      </c>
      <c r="B1540" s="8">
        <v>252601806</v>
      </c>
      <c r="C1540" s="66">
        <v>45898</v>
      </c>
      <c r="D1540" s="8" t="s">
        <v>31</v>
      </c>
      <c r="E1540" s="67">
        <v>50000</v>
      </c>
      <c r="F1540" s="8">
        <v>0.024</v>
      </c>
      <c r="G1540" s="11">
        <v>46013</v>
      </c>
      <c r="H1540" s="68">
        <f t="shared" si="24"/>
        <v>1200</v>
      </c>
      <c r="I1540" s="67" t="s">
        <v>10</v>
      </c>
      <c r="J1540" s="75">
        <v>45919</v>
      </c>
      <c r="K1540" s="76" t="s">
        <v>467</v>
      </c>
    </row>
    <row r="1541" hidden="1" spans="1:11">
      <c r="A1541" t="s">
        <v>319</v>
      </c>
      <c r="B1541" s="8">
        <v>252601806</v>
      </c>
      <c r="C1541" s="66">
        <v>45898</v>
      </c>
      <c r="D1541" s="8" t="s">
        <v>100</v>
      </c>
      <c r="E1541" s="67">
        <v>80000</v>
      </c>
      <c r="F1541" s="8">
        <v>0.0224</v>
      </c>
      <c r="G1541" s="11">
        <v>45983</v>
      </c>
      <c r="H1541" s="68">
        <f t="shared" si="24"/>
        <v>1792</v>
      </c>
      <c r="I1541" s="67" t="s">
        <v>10</v>
      </c>
      <c r="J1541" s="75">
        <v>45919</v>
      </c>
      <c r="K1541" s="76" t="s">
        <v>467</v>
      </c>
    </row>
    <row r="1542" hidden="1" spans="1:11">
      <c r="A1542" t="s">
        <v>319</v>
      </c>
      <c r="B1542" s="8">
        <v>252601806</v>
      </c>
      <c r="C1542" s="66">
        <v>45898</v>
      </c>
      <c r="D1542" s="8" t="s">
        <v>100</v>
      </c>
      <c r="E1542" s="67">
        <v>80000</v>
      </c>
      <c r="F1542" s="8">
        <v>0.0224</v>
      </c>
      <c r="G1542" s="11">
        <v>46013</v>
      </c>
      <c r="H1542" s="68">
        <f t="shared" si="24"/>
        <v>1792</v>
      </c>
      <c r="I1542" s="67" t="s">
        <v>10</v>
      </c>
      <c r="J1542" s="75">
        <v>45919</v>
      </c>
      <c r="K1542" s="76" t="s">
        <v>467</v>
      </c>
    </row>
    <row r="1543" hidden="1" spans="1:11">
      <c r="A1543" t="s">
        <v>319</v>
      </c>
      <c r="B1543" s="8">
        <v>252601806</v>
      </c>
      <c r="C1543" s="66">
        <v>45898</v>
      </c>
      <c r="D1543" s="8" t="s">
        <v>78</v>
      </c>
      <c r="E1543" s="67">
        <v>100000</v>
      </c>
      <c r="F1543" s="8">
        <v>0.016</v>
      </c>
      <c r="G1543" s="11">
        <v>45983</v>
      </c>
      <c r="H1543" s="68">
        <f t="shared" si="24"/>
        <v>1600</v>
      </c>
      <c r="I1543" s="67" t="s">
        <v>10</v>
      </c>
      <c r="J1543" s="75">
        <v>45919</v>
      </c>
      <c r="K1543" s="76" t="s">
        <v>467</v>
      </c>
    </row>
    <row r="1544" hidden="1" spans="1:11">
      <c r="A1544" t="s">
        <v>319</v>
      </c>
      <c r="B1544" s="8">
        <v>252601806</v>
      </c>
      <c r="C1544" s="66">
        <v>45898</v>
      </c>
      <c r="D1544" s="8" t="s">
        <v>78</v>
      </c>
      <c r="E1544" s="67">
        <v>100000</v>
      </c>
      <c r="F1544" s="8">
        <v>0.016</v>
      </c>
      <c r="G1544" s="11">
        <v>46013</v>
      </c>
      <c r="H1544" s="68">
        <f t="shared" si="24"/>
        <v>1600</v>
      </c>
      <c r="I1544" s="67" t="s">
        <v>10</v>
      </c>
      <c r="J1544" s="75">
        <v>45919</v>
      </c>
      <c r="K1544" s="76" t="s">
        <v>467</v>
      </c>
    </row>
    <row r="1545" hidden="1" spans="1:11">
      <c r="A1545" t="s">
        <v>319</v>
      </c>
      <c r="B1545" s="8">
        <v>252601806</v>
      </c>
      <c r="C1545" s="66">
        <v>45898</v>
      </c>
      <c r="D1545" s="8" t="s">
        <v>468</v>
      </c>
      <c r="E1545" s="67">
        <v>20000</v>
      </c>
      <c r="F1545" s="8">
        <v>0.028</v>
      </c>
      <c r="G1545" s="11">
        <v>45983</v>
      </c>
      <c r="H1545" s="68">
        <f t="shared" si="24"/>
        <v>560</v>
      </c>
      <c r="I1545" s="67" t="s">
        <v>10</v>
      </c>
      <c r="J1545" s="75">
        <v>45919</v>
      </c>
      <c r="K1545" s="76" t="s">
        <v>467</v>
      </c>
    </row>
    <row r="1546" hidden="1" spans="1:11">
      <c r="A1546" t="s">
        <v>319</v>
      </c>
      <c r="B1546" s="8">
        <v>252601806</v>
      </c>
      <c r="C1546" s="66">
        <v>45898</v>
      </c>
      <c r="D1546" s="8" t="s">
        <v>181</v>
      </c>
      <c r="E1546" s="67">
        <v>100000</v>
      </c>
      <c r="F1546" s="8">
        <v>0.0243</v>
      </c>
      <c r="G1546" s="11">
        <v>45983</v>
      </c>
      <c r="H1546" s="68">
        <f t="shared" si="24"/>
        <v>2430</v>
      </c>
      <c r="I1546" s="67" t="s">
        <v>10</v>
      </c>
      <c r="J1546" s="75">
        <v>45919</v>
      </c>
      <c r="K1546" s="76" t="s">
        <v>467</v>
      </c>
    </row>
    <row r="1547" hidden="1" spans="1:11">
      <c r="A1547" t="s">
        <v>319</v>
      </c>
      <c r="B1547" s="8">
        <v>252601806</v>
      </c>
      <c r="C1547" s="66">
        <v>45898</v>
      </c>
      <c r="D1547" s="8" t="s">
        <v>181</v>
      </c>
      <c r="E1547" s="67">
        <v>100000</v>
      </c>
      <c r="F1547" s="8">
        <v>0.0243</v>
      </c>
      <c r="G1547" s="11">
        <v>46013</v>
      </c>
      <c r="H1547" s="68">
        <f t="shared" si="24"/>
        <v>2430</v>
      </c>
      <c r="I1547" s="67" t="s">
        <v>10</v>
      </c>
      <c r="J1547" s="75">
        <v>45919</v>
      </c>
      <c r="K1547" s="76" t="s">
        <v>467</v>
      </c>
    </row>
    <row r="1548" hidden="1" spans="1:11">
      <c r="A1548" t="s">
        <v>319</v>
      </c>
      <c r="B1548" s="8">
        <v>252601807</v>
      </c>
      <c r="C1548" s="66">
        <v>45898</v>
      </c>
      <c r="D1548" s="8" t="s">
        <v>33</v>
      </c>
      <c r="E1548" s="67">
        <v>60000</v>
      </c>
      <c r="F1548" s="8">
        <v>0.018</v>
      </c>
      <c r="G1548" s="11">
        <v>46044</v>
      </c>
      <c r="H1548" s="68">
        <f t="shared" si="24"/>
        <v>1080</v>
      </c>
      <c r="I1548" s="67" t="s">
        <v>10</v>
      </c>
      <c r="J1548" s="75">
        <v>45919</v>
      </c>
      <c r="K1548" s="76" t="s">
        <v>467</v>
      </c>
    </row>
    <row r="1549" hidden="1" spans="1:11">
      <c r="A1549" t="s">
        <v>319</v>
      </c>
      <c r="B1549" s="8">
        <v>252601807</v>
      </c>
      <c r="C1549" s="66">
        <v>45898</v>
      </c>
      <c r="D1549" s="8" t="s">
        <v>31</v>
      </c>
      <c r="E1549" s="67">
        <v>200000</v>
      </c>
      <c r="F1549" s="8">
        <v>0.024</v>
      </c>
      <c r="G1549" s="11">
        <v>46044</v>
      </c>
      <c r="H1549" s="68">
        <f t="shared" si="24"/>
        <v>4800</v>
      </c>
      <c r="I1549" s="67" t="s">
        <v>10</v>
      </c>
      <c r="J1549" s="75">
        <v>45919</v>
      </c>
      <c r="K1549" s="76" t="s">
        <v>467</v>
      </c>
    </row>
    <row r="1550" hidden="1" spans="1:11">
      <c r="A1550" t="s">
        <v>319</v>
      </c>
      <c r="B1550" s="8">
        <v>252601807</v>
      </c>
      <c r="C1550" s="66">
        <v>45898</v>
      </c>
      <c r="D1550" s="8" t="s">
        <v>31</v>
      </c>
      <c r="E1550" s="67">
        <v>50000</v>
      </c>
      <c r="F1550" s="8">
        <v>0.024</v>
      </c>
      <c r="G1550" s="11">
        <v>46044</v>
      </c>
      <c r="H1550" s="68">
        <f t="shared" si="24"/>
        <v>1200</v>
      </c>
      <c r="I1550" s="67" t="s">
        <v>10</v>
      </c>
      <c r="J1550" s="75">
        <v>45919</v>
      </c>
      <c r="K1550" s="76" t="s">
        <v>467</v>
      </c>
    </row>
    <row r="1551" hidden="1" spans="1:11">
      <c r="A1551" t="s">
        <v>319</v>
      </c>
      <c r="B1551" s="8">
        <v>252601807</v>
      </c>
      <c r="C1551" s="66">
        <v>45898</v>
      </c>
      <c r="D1551" s="8" t="s">
        <v>100</v>
      </c>
      <c r="E1551" s="67">
        <v>80000</v>
      </c>
      <c r="F1551" s="8">
        <v>0.0224</v>
      </c>
      <c r="G1551" s="11">
        <v>46044</v>
      </c>
      <c r="H1551" s="68">
        <f t="shared" si="24"/>
        <v>1792</v>
      </c>
      <c r="I1551" s="67" t="s">
        <v>10</v>
      </c>
      <c r="J1551" s="75">
        <v>45919</v>
      </c>
      <c r="K1551" s="76" t="s">
        <v>467</v>
      </c>
    </row>
    <row r="1552" hidden="1" spans="1:11">
      <c r="A1552" t="s">
        <v>319</v>
      </c>
      <c r="B1552" s="8">
        <v>252601807</v>
      </c>
      <c r="C1552" s="66">
        <v>45898</v>
      </c>
      <c r="D1552" s="8" t="s">
        <v>78</v>
      </c>
      <c r="E1552" s="67">
        <v>100000</v>
      </c>
      <c r="F1552" s="8">
        <v>0.016</v>
      </c>
      <c r="G1552" s="11">
        <v>46044</v>
      </c>
      <c r="H1552" s="68">
        <f t="shared" si="24"/>
        <v>1600</v>
      </c>
      <c r="I1552" s="67" t="s">
        <v>10</v>
      </c>
      <c r="J1552" s="75">
        <v>45919</v>
      </c>
      <c r="K1552" s="76" t="s">
        <v>467</v>
      </c>
    </row>
    <row r="1553" hidden="1" spans="1:11">
      <c r="A1553" t="s">
        <v>319</v>
      </c>
      <c r="B1553" s="8">
        <v>252601807</v>
      </c>
      <c r="C1553" s="66">
        <v>45898</v>
      </c>
      <c r="D1553" s="8" t="s">
        <v>181</v>
      </c>
      <c r="E1553" s="67">
        <v>100000</v>
      </c>
      <c r="F1553" s="8">
        <v>0.0243</v>
      </c>
      <c r="G1553" s="11">
        <v>46044</v>
      </c>
      <c r="H1553" s="68">
        <f t="shared" si="24"/>
        <v>2430</v>
      </c>
      <c r="I1553" s="67" t="s">
        <v>10</v>
      </c>
      <c r="J1553" s="75">
        <v>45919</v>
      </c>
      <c r="K1553" s="76" t="s">
        <v>467</v>
      </c>
    </row>
    <row r="1554" hidden="1" spans="1:11">
      <c r="A1554" t="s">
        <v>319</v>
      </c>
      <c r="B1554" s="8">
        <v>252601808</v>
      </c>
      <c r="C1554" s="9">
        <v>45898</v>
      </c>
      <c r="D1554" s="8" t="s">
        <v>58</v>
      </c>
      <c r="E1554" s="10">
        <v>200000</v>
      </c>
      <c r="F1554" s="8">
        <v>0.014</v>
      </c>
      <c r="G1554" s="11">
        <v>45920</v>
      </c>
      <c r="H1554" s="12">
        <f t="shared" si="24"/>
        <v>2800</v>
      </c>
      <c r="I1554" s="10" t="s">
        <v>10</v>
      </c>
      <c r="J1554" s="13">
        <v>45911</v>
      </c>
      <c r="K1554" t="s">
        <v>467</v>
      </c>
    </row>
    <row r="1555" hidden="1" spans="1:11">
      <c r="A1555" t="s">
        <v>319</v>
      </c>
      <c r="B1555" s="8">
        <v>252601808</v>
      </c>
      <c r="C1555" s="9">
        <v>45898</v>
      </c>
      <c r="D1555" s="8" t="s">
        <v>58</v>
      </c>
      <c r="E1555" s="10">
        <v>100000</v>
      </c>
      <c r="F1555" s="8">
        <v>0.014</v>
      </c>
      <c r="G1555" s="11">
        <v>45920</v>
      </c>
      <c r="H1555" s="12">
        <f t="shared" si="24"/>
        <v>1400</v>
      </c>
      <c r="I1555" s="10" t="s">
        <v>10</v>
      </c>
      <c r="J1555" s="13">
        <v>45911</v>
      </c>
      <c r="K1555" t="s">
        <v>467</v>
      </c>
    </row>
    <row r="1556" hidden="1" spans="1:11">
      <c r="A1556" t="s">
        <v>319</v>
      </c>
      <c r="B1556" s="8">
        <v>252601808</v>
      </c>
      <c r="C1556" s="9">
        <v>45898</v>
      </c>
      <c r="D1556" s="8" t="s">
        <v>31</v>
      </c>
      <c r="E1556" s="10">
        <v>200000</v>
      </c>
      <c r="F1556" s="8">
        <v>0.024</v>
      </c>
      <c r="G1556" s="11">
        <v>45952</v>
      </c>
      <c r="H1556" s="12">
        <f t="shared" si="24"/>
        <v>4800</v>
      </c>
      <c r="I1556" s="10" t="s">
        <v>10</v>
      </c>
      <c r="J1556" s="13">
        <v>45911</v>
      </c>
      <c r="K1556" t="s">
        <v>467</v>
      </c>
    </row>
    <row r="1557" hidden="1" spans="1:11">
      <c r="A1557" t="s">
        <v>319</v>
      </c>
      <c r="B1557" s="8">
        <v>252601808</v>
      </c>
      <c r="C1557" s="9">
        <v>45898</v>
      </c>
      <c r="D1557" s="8" t="s">
        <v>31</v>
      </c>
      <c r="E1557" s="10">
        <v>100000</v>
      </c>
      <c r="F1557" s="8">
        <v>0.024</v>
      </c>
      <c r="G1557" s="11">
        <v>45952</v>
      </c>
      <c r="H1557" s="12">
        <f t="shared" si="24"/>
        <v>2400</v>
      </c>
      <c r="I1557" s="10" t="s">
        <v>10</v>
      </c>
      <c r="J1557" s="13">
        <v>45911</v>
      </c>
      <c r="K1557" t="s">
        <v>467</v>
      </c>
    </row>
    <row r="1558" hidden="1" spans="1:11">
      <c r="A1558" t="s">
        <v>319</v>
      </c>
      <c r="B1558" s="8">
        <v>252601808</v>
      </c>
      <c r="C1558" s="9">
        <v>45898</v>
      </c>
      <c r="D1558" s="8" t="s">
        <v>181</v>
      </c>
      <c r="E1558" s="10">
        <v>200000</v>
      </c>
      <c r="F1558" s="8">
        <v>0.0243</v>
      </c>
      <c r="G1558" s="11">
        <v>45952</v>
      </c>
      <c r="H1558" s="12">
        <f t="shared" si="24"/>
        <v>4860</v>
      </c>
      <c r="I1558" s="10" t="s">
        <v>10</v>
      </c>
      <c r="J1558" s="13">
        <v>45911</v>
      </c>
      <c r="K1558" t="s">
        <v>467</v>
      </c>
    </row>
    <row r="1559" hidden="1" spans="1:11">
      <c r="A1559" t="s">
        <v>319</v>
      </c>
      <c r="B1559" s="8">
        <v>252601808</v>
      </c>
      <c r="C1559" s="9">
        <v>45898</v>
      </c>
      <c r="D1559" s="8" t="s">
        <v>100</v>
      </c>
      <c r="E1559" s="10">
        <v>80000</v>
      </c>
      <c r="F1559" s="8">
        <v>0.0224</v>
      </c>
      <c r="G1559" s="11">
        <v>45922</v>
      </c>
      <c r="H1559" s="12">
        <f t="shared" si="24"/>
        <v>1792</v>
      </c>
      <c r="I1559" s="10" t="s">
        <v>10</v>
      </c>
      <c r="J1559" s="13">
        <v>45911</v>
      </c>
      <c r="K1559" t="s">
        <v>467</v>
      </c>
    </row>
    <row r="1560" hidden="1" spans="1:11">
      <c r="A1560" t="s">
        <v>319</v>
      </c>
      <c r="B1560" s="8">
        <v>252601808</v>
      </c>
      <c r="C1560" s="9">
        <v>45898</v>
      </c>
      <c r="D1560" s="8" t="s">
        <v>100</v>
      </c>
      <c r="E1560" s="10">
        <v>80000</v>
      </c>
      <c r="F1560" s="8">
        <v>0.0224</v>
      </c>
      <c r="G1560" s="11">
        <v>45952</v>
      </c>
      <c r="H1560" s="12">
        <f t="shared" si="24"/>
        <v>1792</v>
      </c>
      <c r="I1560" s="10" t="s">
        <v>10</v>
      </c>
      <c r="J1560" s="13">
        <v>45911</v>
      </c>
      <c r="K1560" t="s">
        <v>467</v>
      </c>
    </row>
    <row r="1561" hidden="1" spans="1:11">
      <c r="A1561" t="s">
        <v>319</v>
      </c>
      <c r="B1561" s="8">
        <v>252601808</v>
      </c>
      <c r="C1561" s="9">
        <v>45898</v>
      </c>
      <c r="D1561" s="8" t="s">
        <v>555</v>
      </c>
      <c r="E1561" s="10">
        <v>20000</v>
      </c>
      <c r="F1561" s="8">
        <v>0.028</v>
      </c>
      <c r="G1561" s="11">
        <v>45922</v>
      </c>
      <c r="H1561" s="12">
        <f t="shared" si="24"/>
        <v>560</v>
      </c>
      <c r="I1561" s="10" t="s">
        <v>10</v>
      </c>
      <c r="J1561" s="13">
        <v>45904</v>
      </c>
      <c r="K1561" t="s">
        <v>467</v>
      </c>
    </row>
    <row r="1562" hidden="1" spans="1:11">
      <c r="A1562" t="s">
        <v>319</v>
      </c>
      <c r="B1562" s="8">
        <v>252601808</v>
      </c>
      <c r="C1562" s="9">
        <v>45898</v>
      </c>
      <c r="D1562" s="8" t="s">
        <v>555</v>
      </c>
      <c r="E1562" s="10">
        <v>20000</v>
      </c>
      <c r="F1562" s="8">
        <v>0.028</v>
      </c>
      <c r="G1562" s="11">
        <v>45952</v>
      </c>
      <c r="H1562" s="12">
        <f t="shared" si="24"/>
        <v>560</v>
      </c>
      <c r="I1562" s="10" t="s">
        <v>10</v>
      </c>
      <c r="J1562" s="13">
        <v>45904</v>
      </c>
      <c r="K1562" t="s">
        <v>467</v>
      </c>
    </row>
    <row r="1563" hidden="1" spans="1:11">
      <c r="A1563" t="s">
        <v>319</v>
      </c>
      <c r="B1563" s="8">
        <v>252601809</v>
      </c>
      <c r="C1563" s="9">
        <v>45898</v>
      </c>
      <c r="D1563" s="8" t="s">
        <v>58</v>
      </c>
      <c r="E1563" s="10">
        <v>200000</v>
      </c>
      <c r="F1563" s="8">
        <v>0.014</v>
      </c>
      <c r="G1563" s="11">
        <v>45983</v>
      </c>
      <c r="H1563" s="12">
        <f t="shared" si="24"/>
        <v>2800</v>
      </c>
      <c r="I1563" s="10" t="s">
        <v>10</v>
      </c>
      <c r="J1563" s="13">
        <v>45911</v>
      </c>
      <c r="K1563" t="s">
        <v>467</v>
      </c>
    </row>
    <row r="1564" hidden="1" spans="1:11">
      <c r="A1564" t="s">
        <v>319</v>
      </c>
      <c r="B1564" s="8">
        <v>252601809</v>
      </c>
      <c r="C1564" s="9">
        <v>45898</v>
      </c>
      <c r="D1564" s="8" t="s">
        <v>58</v>
      </c>
      <c r="E1564" s="10">
        <v>100000</v>
      </c>
      <c r="F1564" s="8">
        <v>0.014</v>
      </c>
      <c r="G1564" s="11">
        <v>45983</v>
      </c>
      <c r="H1564" s="12">
        <f t="shared" si="24"/>
        <v>1400</v>
      </c>
      <c r="I1564" s="10" t="s">
        <v>10</v>
      </c>
      <c r="J1564" s="13">
        <v>45911</v>
      </c>
      <c r="K1564" t="s">
        <v>467</v>
      </c>
    </row>
    <row r="1565" hidden="1" spans="1:11">
      <c r="A1565" t="s">
        <v>319</v>
      </c>
      <c r="B1565" s="8">
        <v>252601809</v>
      </c>
      <c r="C1565" s="9">
        <v>45898</v>
      </c>
      <c r="D1565" s="8" t="s">
        <v>58</v>
      </c>
      <c r="E1565" s="10">
        <v>200000</v>
      </c>
      <c r="F1565" s="8">
        <v>0.014</v>
      </c>
      <c r="G1565" s="11">
        <v>46013</v>
      </c>
      <c r="H1565" s="12">
        <f t="shared" si="24"/>
        <v>2800</v>
      </c>
      <c r="I1565" s="10" t="s">
        <v>10</v>
      </c>
      <c r="J1565" s="13">
        <v>45911</v>
      </c>
      <c r="K1565" t="s">
        <v>467</v>
      </c>
    </row>
    <row r="1566" hidden="1" spans="1:11">
      <c r="A1566" t="s">
        <v>319</v>
      </c>
      <c r="B1566" s="8">
        <v>252601809</v>
      </c>
      <c r="C1566" s="9">
        <v>45898</v>
      </c>
      <c r="D1566" s="8" t="s">
        <v>58</v>
      </c>
      <c r="E1566" s="10">
        <v>100000</v>
      </c>
      <c r="F1566" s="8">
        <v>0.014</v>
      </c>
      <c r="G1566" s="11">
        <v>46013</v>
      </c>
      <c r="H1566" s="12">
        <f t="shared" si="24"/>
        <v>1400</v>
      </c>
      <c r="I1566" s="10" t="s">
        <v>10</v>
      </c>
      <c r="J1566" s="13">
        <v>45911</v>
      </c>
      <c r="K1566" t="s">
        <v>467</v>
      </c>
    </row>
    <row r="1567" hidden="1" spans="1:11">
      <c r="A1567" t="s">
        <v>319</v>
      </c>
      <c r="B1567" s="8">
        <v>252601809</v>
      </c>
      <c r="C1567" s="9">
        <v>45898</v>
      </c>
      <c r="D1567" s="8" t="s">
        <v>31</v>
      </c>
      <c r="E1567" s="10">
        <v>200000</v>
      </c>
      <c r="F1567" s="8">
        <v>0.024</v>
      </c>
      <c r="G1567" s="11">
        <v>45983</v>
      </c>
      <c r="H1567" s="12">
        <f t="shared" si="24"/>
        <v>4800</v>
      </c>
      <c r="I1567" s="10" t="s">
        <v>10</v>
      </c>
      <c r="J1567" s="13">
        <v>45911</v>
      </c>
      <c r="K1567" t="s">
        <v>467</v>
      </c>
    </row>
    <row r="1568" hidden="1" spans="1:11">
      <c r="A1568" t="s">
        <v>319</v>
      </c>
      <c r="B1568" s="8">
        <v>252601809</v>
      </c>
      <c r="C1568" s="9">
        <v>45898</v>
      </c>
      <c r="D1568" s="8" t="s">
        <v>31</v>
      </c>
      <c r="E1568" s="10">
        <v>100000</v>
      </c>
      <c r="F1568" s="8">
        <v>0.024</v>
      </c>
      <c r="G1568" s="11">
        <v>45983</v>
      </c>
      <c r="H1568" s="12">
        <f t="shared" si="24"/>
        <v>2400</v>
      </c>
      <c r="I1568" s="10" t="s">
        <v>10</v>
      </c>
      <c r="J1568" s="13">
        <v>45911</v>
      </c>
      <c r="K1568" t="s">
        <v>467</v>
      </c>
    </row>
    <row r="1569" hidden="1" spans="1:11">
      <c r="A1569" t="s">
        <v>319</v>
      </c>
      <c r="B1569" s="8">
        <v>252601809</v>
      </c>
      <c r="C1569" s="9">
        <v>45898</v>
      </c>
      <c r="D1569" s="8" t="s">
        <v>31</v>
      </c>
      <c r="E1569" s="10">
        <v>200000</v>
      </c>
      <c r="F1569" s="8">
        <v>0.024</v>
      </c>
      <c r="G1569" s="11">
        <v>46013</v>
      </c>
      <c r="H1569" s="12">
        <f t="shared" si="24"/>
        <v>4800</v>
      </c>
      <c r="I1569" s="10" t="s">
        <v>10</v>
      </c>
      <c r="J1569" s="13">
        <v>45911</v>
      </c>
      <c r="K1569" t="s">
        <v>467</v>
      </c>
    </row>
    <row r="1570" hidden="1" spans="1:11">
      <c r="A1570" t="s">
        <v>319</v>
      </c>
      <c r="B1570" s="8">
        <v>252601809</v>
      </c>
      <c r="C1570" s="9">
        <v>45898</v>
      </c>
      <c r="D1570" s="8" t="s">
        <v>31</v>
      </c>
      <c r="E1570" s="10">
        <v>100000</v>
      </c>
      <c r="F1570" s="8">
        <v>0.024</v>
      </c>
      <c r="G1570" s="11">
        <v>46013</v>
      </c>
      <c r="H1570" s="12">
        <f t="shared" si="24"/>
        <v>2400</v>
      </c>
      <c r="I1570" s="10" t="s">
        <v>10</v>
      </c>
      <c r="J1570" s="13">
        <v>45911</v>
      </c>
      <c r="K1570" t="s">
        <v>467</v>
      </c>
    </row>
    <row r="1571" hidden="1" spans="1:11">
      <c r="A1571" t="s">
        <v>319</v>
      </c>
      <c r="B1571" s="8">
        <v>252601809</v>
      </c>
      <c r="C1571" s="9">
        <v>45898</v>
      </c>
      <c r="D1571" s="8" t="s">
        <v>181</v>
      </c>
      <c r="E1571" s="10">
        <v>100000</v>
      </c>
      <c r="F1571" s="8">
        <v>0.0243</v>
      </c>
      <c r="G1571" s="11">
        <v>45983</v>
      </c>
      <c r="H1571" s="12">
        <f t="shared" si="24"/>
        <v>2430</v>
      </c>
      <c r="I1571" s="10" t="s">
        <v>10</v>
      </c>
      <c r="J1571" s="13">
        <v>45911</v>
      </c>
      <c r="K1571" t="s">
        <v>467</v>
      </c>
    </row>
    <row r="1572" hidden="1" spans="1:11">
      <c r="A1572" t="s">
        <v>319</v>
      </c>
      <c r="B1572" s="8">
        <v>252601809</v>
      </c>
      <c r="C1572" s="9">
        <v>45898</v>
      </c>
      <c r="D1572" s="8" t="s">
        <v>181</v>
      </c>
      <c r="E1572" s="10">
        <v>100000</v>
      </c>
      <c r="F1572" s="8">
        <v>0.0243</v>
      </c>
      <c r="G1572" s="11">
        <v>46013</v>
      </c>
      <c r="H1572" s="12">
        <f t="shared" si="24"/>
        <v>2430</v>
      </c>
      <c r="I1572" s="10" t="s">
        <v>10</v>
      </c>
      <c r="J1572" s="13">
        <v>45911</v>
      </c>
      <c r="K1572" t="s">
        <v>467</v>
      </c>
    </row>
    <row r="1573" hidden="1" spans="1:11">
      <c r="A1573" t="s">
        <v>319</v>
      </c>
      <c r="B1573" s="8">
        <v>252601809</v>
      </c>
      <c r="C1573" s="9">
        <v>45898</v>
      </c>
      <c r="D1573" s="8" t="s">
        <v>100</v>
      </c>
      <c r="E1573" s="10">
        <v>80000</v>
      </c>
      <c r="F1573" s="8">
        <v>0.0224</v>
      </c>
      <c r="G1573" s="11">
        <v>45983</v>
      </c>
      <c r="H1573" s="12">
        <f t="shared" si="24"/>
        <v>1792</v>
      </c>
      <c r="I1573" s="10" t="s">
        <v>10</v>
      </c>
      <c r="J1573" s="13">
        <v>45911</v>
      </c>
      <c r="K1573" t="s">
        <v>467</v>
      </c>
    </row>
    <row r="1574" hidden="1" spans="1:11">
      <c r="A1574" t="s">
        <v>319</v>
      </c>
      <c r="B1574" s="8">
        <v>252601809</v>
      </c>
      <c r="C1574" s="9">
        <v>45898</v>
      </c>
      <c r="D1574" s="8" t="s">
        <v>100</v>
      </c>
      <c r="E1574" s="10">
        <v>80000</v>
      </c>
      <c r="F1574" s="8">
        <v>0.0224</v>
      </c>
      <c r="G1574" s="11">
        <v>46013</v>
      </c>
      <c r="H1574" s="12">
        <f t="shared" si="24"/>
        <v>1792</v>
      </c>
      <c r="I1574" s="10" t="s">
        <v>10</v>
      </c>
      <c r="J1574" s="13">
        <v>45911</v>
      </c>
      <c r="K1574" t="s">
        <v>467</v>
      </c>
    </row>
    <row r="1575" hidden="1" spans="1:11">
      <c r="A1575" t="s">
        <v>319</v>
      </c>
      <c r="B1575" s="8">
        <v>252601810</v>
      </c>
      <c r="C1575" s="9">
        <v>45898</v>
      </c>
      <c r="D1575" s="8" t="s">
        <v>58</v>
      </c>
      <c r="E1575" s="10">
        <v>200000</v>
      </c>
      <c r="F1575" s="8">
        <v>0.014</v>
      </c>
      <c r="G1575" s="11">
        <v>45983</v>
      </c>
      <c r="H1575" s="12">
        <f t="shared" si="24"/>
        <v>2800</v>
      </c>
      <c r="I1575" s="10" t="s">
        <v>10</v>
      </c>
      <c r="J1575" s="13">
        <v>45911</v>
      </c>
      <c r="K1575" t="s">
        <v>467</v>
      </c>
    </row>
    <row r="1576" hidden="1" spans="1:11">
      <c r="A1576" t="s">
        <v>319</v>
      </c>
      <c r="B1576" s="8">
        <v>252601810</v>
      </c>
      <c r="C1576" s="9">
        <v>45898</v>
      </c>
      <c r="D1576" s="8" t="s">
        <v>58</v>
      </c>
      <c r="E1576" s="10">
        <v>200000</v>
      </c>
      <c r="F1576" s="8">
        <v>0.014</v>
      </c>
      <c r="G1576" s="11">
        <v>45983</v>
      </c>
      <c r="H1576" s="12">
        <f t="shared" si="24"/>
        <v>2800</v>
      </c>
      <c r="I1576" s="10" t="s">
        <v>10</v>
      </c>
      <c r="J1576" s="13">
        <v>45911</v>
      </c>
      <c r="K1576" t="s">
        <v>467</v>
      </c>
    </row>
    <row r="1577" hidden="1" spans="1:11">
      <c r="A1577" t="s">
        <v>319</v>
      </c>
      <c r="B1577" s="8">
        <v>252601810</v>
      </c>
      <c r="C1577" s="9">
        <v>45898</v>
      </c>
      <c r="D1577" s="8" t="s">
        <v>58</v>
      </c>
      <c r="E1577" s="10">
        <v>200000</v>
      </c>
      <c r="F1577" s="8">
        <v>0.014</v>
      </c>
      <c r="G1577" s="11">
        <v>46013</v>
      </c>
      <c r="H1577" s="12">
        <f t="shared" si="24"/>
        <v>2800</v>
      </c>
      <c r="I1577" s="10" t="s">
        <v>10</v>
      </c>
      <c r="J1577" s="13">
        <v>45911</v>
      </c>
      <c r="K1577" t="s">
        <v>467</v>
      </c>
    </row>
    <row r="1578" hidden="1" spans="1:11">
      <c r="A1578" t="s">
        <v>319</v>
      </c>
      <c r="B1578" s="8">
        <v>252601810</v>
      </c>
      <c r="C1578" s="9">
        <v>45898</v>
      </c>
      <c r="D1578" s="8" t="s">
        <v>58</v>
      </c>
      <c r="E1578" s="10">
        <v>200000</v>
      </c>
      <c r="F1578" s="8">
        <v>0.014</v>
      </c>
      <c r="G1578" s="11">
        <v>46013</v>
      </c>
      <c r="H1578" s="12">
        <f t="shared" si="24"/>
        <v>2800</v>
      </c>
      <c r="I1578" s="10" t="s">
        <v>10</v>
      </c>
      <c r="J1578" s="13">
        <v>45911</v>
      </c>
      <c r="K1578" t="s">
        <v>467</v>
      </c>
    </row>
    <row r="1579" hidden="1" spans="1:11">
      <c r="A1579" t="s">
        <v>319</v>
      </c>
      <c r="B1579" s="8">
        <v>252601810</v>
      </c>
      <c r="C1579" s="9">
        <v>45898</v>
      </c>
      <c r="D1579" s="8" t="s">
        <v>31</v>
      </c>
      <c r="E1579" s="10">
        <v>200000</v>
      </c>
      <c r="F1579" s="8">
        <v>0.024</v>
      </c>
      <c r="G1579" s="11">
        <v>45983</v>
      </c>
      <c r="H1579" s="12">
        <f t="shared" si="24"/>
        <v>4800</v>
      </c>
      <c r="I1579" s="10" t="s">
        <v>10</v>
      </c>
      <c r="J1579" s="13">
        <v>45911</v>
      </c>
      <c r="K1579" t="s">
        <v>467</v>
      </c>
    </row>
    <row r="1580" hidden="1" spans="1:11">
      <c r="A1580" t="s">
        <v>319</v>
      </c>
      <c r="B1580" s="8">
        <v>252601810</v>
      </c>
      <c r="C1580" s="9">
        <v>45898</v>
      </c>
      <c r="D1580" s="8" t="s">
        <v>31</v>
      </c>
      <c r="E1580" s="10">
        <v>200000</v>
      </c>
      <c r="F1580" s="8">
        <v>0.024</v>
      </c>
      <c r="G1580" s="11">
        <v>45983</v>
      </c>
      <c r="H1580" s="12">
        <f t="shared" si="24"/>
        <v>4800</v>
      </c>
      <c r="I1580" s="10" t="s">
        <v>10</v>
      </c>
      <c r="J1580" s="13">
        <v>45911</v>
      </c>
      <c r="K1580" t="s">
        <v>467</v>
      </c>
    </row>
    <row r="1581" hidden="1" spans="1:11">
      <c r="A1581" t="s">
        <v>319</v>
      </c>
      <c r="B1581" s="8">
        <v>252601810</v>
      </c>
      <c r="C1581" s="9">
        <v>45898</v>
      </c>
      <c r="D1581" s="8" t="s">
        <v>31</v>
      </c>
      <c r="E1581" s="10">
        <v>200000</v>
      </c>
      <c r="F1581" s="8">
        <v>0.024</v>
      </c>
      <c r="G1581" s="11">
        <v>46013</v>
      </c>
      <c r="H1581" s="12">
        <f t="shared" si="24"/>
        <v>4800</v>
      </c>
      <c r="I1581" s="10" t="s">
        <v>10</v>
      </c>
      <c r="J1581" s="13">
        <v>45911</v>
      </c>
      <c r="K1581" t="s">
        <v>467</v>
      </c>
    </row>
    <row r="1582" hidden="1" spans="1:11">
      <c r="A1582" t="s">
        <v>319</v>
      </c>
      <c r="B1582" s="8">
        <v>252601810</v>
      </c>
      <c r="C1582" s="9">
        <v>45898</v>
      </c>
      <c r="D1582" s="8" t="s">
        <v>31</v>
      </c>
      <c r="E1582" s="10">
        <v>200000</v>
      </c>
      <c r="F1582" s="8">
        <v>0.024</v>
      </c>
      <c r="G1582" s="11">
        <v>46013</v>
      </c>
      <c r="H1582" s="12">
        <f t="shared" si="24"/>
        <v>4800</v>
      </c>
      <c r="I1582" s="10" t="s">
        <v>10</v>
      </c>
      <c r="J1582" s="13">
        <v>45911</v>
      </c>
      <c r="K1582" t="s">
        <v>467</v>
      </c>
    </row>
    <row r="1583" hidden="1" spans="1:11">
      <c r="A1583" t="s">
        <v>319</v>
      </c>
      <c r="B1583" s="8">
        <v>252601810</v>
      </c>
      <c r="C1583" s="9">
        <v>45898</v>
      </c>
      <c r="D1583" s="8" t="s">
        <v>33</v>
      </c>
      <c r="E1583" s="10">
        <v>200000</v>
      </c>
      <c r="F1583" s="8">
        <v>0.018</v>
      </c>
      <c r="G1583" s="11">
        <v>46013</v>
      </c>
      <c r="H1583" s="12">
        <f t="shared" si="24"/>
        <v>3600</v>
      </c>
      <c r="I1583" s="10" t="s">
        <v>10</v>
      </c>
      <c r="J1583" s="13">
        <v>45911</v>
      </c>
      <c r="K1583" t="s">
        <v>467</v>
      </c>
    </row>
    <row r="1584" hidden="1" spans="1:11">
      <c r="A1584" t="s">
        <v>319</v>
      </c>
      <c r="B1584" s="8">
        <v>252601810</v>
      </c>
      <c r="C1584" s="9">
        <v>45898</v>
      </c>
      <c r="D1584" s="8" t="s">
        <v>33</v>
      </c>
      <c r="E1584" s="10">
        <v>100000</v>
      </c>
      <c r="F1584" s="8">
        <v>0.018</v>
      </c>
      <c r="G1584" s="11">
        <v>46013</v>
      </c>
      <c r="H1584" s="12">
        <f t="shared" si="24"/>
        <v>1800</v>
      </c>
      <c r="I1584" s="10" t="s">
        <v>10</v>
      </c>
      <c r="J1584" s="13">
        <v>45911</v>
      </c>
      <c r="K1584" t="s">
        <v>467</v>
      </c>
    </row>
    <row r="1585" hidden="1" spans="1:11">
      <c r="B1585" s="14">
        <v>252601812</v>
      </c>
      <c r="C1585" s="13">
        <v>45901</v>
      </c>
      <c r="D1585" s="14" t="s">
        <v>544</v>
      </c>
      <c r="E1585" s="15">
        <v>28000</v>
      </c>
      <c r="F1585" s="14">
        <v>0.084</v>
      </c>
      <c r="G1585" s="16">
        <v>45914</v>
      </c>
      <c r="H1585" s="17">
        <f t="shared" si="24"/>
        <v>2352</v>
      </c>
      <c r="I1585" s="15" t="s">
        <v>317</v>
      </c>
      <c r="J1585" s="15" t="s">
        <v>501</v>
      </c>
    </row>
    <row r="1586" hidden="1" spans="1:11">
      <c r="A1586" t="s">
        <v>319</v>
      </c>
      <c r="B1586" s="8">
        <v>252601820</v>
      </c>
      <c r="C1586" s="9">
        <v>45901</v>
      </c>
      <c r="D1586" s="8" t="s">
        <v>552</v>
      </c>
      <c r="E1586" s="10">
        <v>20000</v>
      </c>
      <c r="F1586" s="8">
        <v>0.05</v>
      </c>
      <c r="G1586" s="11">
        <v>45983</v>
      </c>
      <c r="H1586" s="12">
        <f t="shared" si="24"/>
        <v>1000</v>
      </c>
      <c r="I1586" s="10" t="s">
        <v>10</v>
      </c>
      <c r="J1586" s="13">
        <v>45902</v>
      </c>
      <c r="K1586" t="s">
        <v>369</v>
      </c>
    </row>
    <row r="1587" hidden="1" spans="1:11">
      <c r="A1587" t="s">
        <v>319</v>
      </c>
      <c r="B1587" s="8">
        <v>252601824</v>
      </c>
      <c r="C1587" s="9">
        <v>45901</v>
      </c>
      <c r="D1587" s="8" t="s">
        <v>182</v>
      </c>
      <c r="E1587" s="10">
        <v>100000</v>
      </c>
      <c r="F1587" s="8">
        <v>0.025</v>
      </c>
      <c r="G1587" s="11">
        <v>45966</v>
      </c>
      <c r="H1587" s="12">
        <f t="shared" si="24"/>
        <v>2500</v>
      </c>
      <c r="I1587" s="10" t="s">
        <v>10</v>
      </c>
      <c r="J1587" s="13">
        <v>45904</v>
      </c>
      <c r="K1587" t="s">
        <v>391</v>
      </c>
    </row>
    <row r="1588" hidden="1" spans="1:11">
      <c r="A1588" t="s">
        <v>319</v>
      </c>
      <c r="B1588" s="8">
        <v>252601824</v>
      </c>
      <c r="C1588" s="9">
        <v>45901</v>
      </c>
      <c r="D1588" s="8" t="s">
        <v>70</v>
      </c>
      <c r="E1588" s="10">
        <v>20000</v>
      </c>
      <c r="F1588" s="8">
        <v>0.028</v>
      </c>
      <c r="G1588" s="11">
        <v>45935</v>
      </c>
      <c r="H1588" s="12">
        <f t="shared" si="24"/>
        <v>560</v>
      </c>
      <c r="I1588" s="10" t="s">
        <v>10</v>
      </c>
      <c r="J1588" s="13">
        <v>45904</v>
      </c>
      <c r="K1588" t="s">
        <v>391</v>
      </c>
    </row>
    <row r="1589" hidden="1" spans="1:11">
      <c r="A1589" t="s">
        <v>319</v>
      </c>
      <c r="B1589" s="8">
        <v>252601835</v>
      </c>
      <c r="C1589" s="9">
        <v>45902</v>
      </c>
      <c r="D1589" s="8" t="s">
        <v>550</v>
      </c>
      <c r="E1589" s="10">
        <v>60000</v>
      </c>
      <c r="F1589" s="8">
        <v>0.028</v>
      </c>
      <c r="G1589" s="11">
        <v>45935</v>
      </c>
      <c r="H1589" s="12">
        <f t="shared" si="24"/>
        <v>1680</v>
      </c>
      <c r="I1589" s="10" t="s">
        <v>10</v>
      </c>
      <c r="J1589" s="13">
        <v>45904</v>
      </c>
      <c r="K1589" t="s">
        <v>528</v>
      </c>
    </row>
    <row r="1590" hidden="1" spans="1:11">
      <c r="A1590" t="s">
        <v>319</v>
      </c>
      <c r="B1590" s="8">
        <v>252601835</v>
      </c>
      <c r="C1590" s="9">
        <v>45902</v>
      </c>
      <c r="D1590" s="8" t="s">
        <v>550</v>
      </c>
      <c r="E1590" s="10">
        <v>120000</v>
      </c>
      <c r="F1590" s="8">
        <v>0.028</v>
      </c>
      <c r="G1590" s="11">
        <v>45966</v>
      </c>
      <c r="H1590" s="12">
        <f t="shared" si="24"/>
        <v>3360</v>
      </c>
      <c r="I1590" s="10" t="s">
        <v>10</v>
      </c>
      <c r="J1590" s="13">
        <v>45904</v>
      </c>
      <c r="K1590" t="s">
        <v>528</v>
      </c>
    </row>
    <row r="1591" hidden="1" spans="1:11">
      <c r="A1591" t="s">
        <v>319</v>
      </c>
      <c r="B1591" s="8">
        <v>252601855</v>
      </c>
      <c r="C1591" s="9">
        <v>45902</v>
      </c>
      <c r="D1591" s="8" t="s">
        <v>483</v>
      </c>
      <c r="E1591" s="10">
        <v>30000</v>
      </c>
      <c r="F1591" s="8">
        <v>0.06</v>
      </c>
      <c r="G1591" s="11">
        <v>45952</v>
      </c>
      <c r="H1591" s="12">
        <f t="shared" si="24"/>
        <v>1800</v>
      </c>
      <c r="I1591" s="10" t="s">
        <v>10</v>
      </c>
      <c r="J1591" s="13">
        <v>45904</v>
      </c>
    </row>
    <row r="1592" hidden="1" spans="1:11">
      <c r="A1592" t="s">
        <v>319</v>
      </c>
      <c r="B1592" s="8">
        <v>252601855</v>
      </c>
      <c r="C1592" s="9">
        <v>45902</v>
      </c>
      <c r="D1592" s="8" t="s">
        <v>483</v>
      </c>
      <c r="E1592" s="10">
        <v>30000</v>
      </c>
      <c r="F1592" s="8">
        <v>0.06</v>
      </c>
      <c r="G1592" s="11">
        <v>45983</v>
      </c>
      <c r="H1592" s="12">
        <f t="shared" si="24"/>
        <v>1800</v>
      </c>
      <c r="I1592" s="10" t="s">
        <v>10</v>
      </c>
      <c r="J1592" s="13">
        <v>45904</v>
      </c>
    </row>
    <row r="1593" hidden="1" spans="1:11">
      <c r="A1593" t="s">
        <v>319</v>
      </c>
      <c r="B1593" s="8">
        <v>252601901</v>
      </c>
      <c r="C1593" s="66">
        <v>45905</v>
      </c>
      <c r="D1593" s="8" t="s">
        <v>100</v>
      </c>
      <c r="E1593" s="67">
        <v>20000</v>
      </c>
      <c r="F1593" s="8">
        <v>0.0224</v>
      </c>
      <c r="G1593" s="11">
        <v>45906</v>
      </c>
      <c r="H1593" s="68">
        <f t="shared" si="24"/>
        <v>448</v>
      </c>
      <c r="I1593" s="67" t="s">
        <v>10</v>
      </c>
      <c r="J1593" s="75">
        <v>45919</v>
      </c>
      <c r="K1593" s="76" t="s">
        <v>571</v>
      </c>
    </row>
    <row r="1594" hidden="1" spans="1:11">
      <c r="A1594" t="s">
        <v>319</v>
      </c>
      <c r="B1594" s="8">
        <v>252601916</v>
      </c>
      <c r="C1594" s="9">
        <v>45905</v>
      </c>
      <c r="D1594" s="8" t="s">
        <v>100</v>
      </c>
      <c r="E1594" s="10">
        <v>20000</v>
      </c>
      <c r="F1594" s="8">
        <v>0.0224</v>
      </c>
      <c r="G1594" s="11">
        <v>45996</v>
      </c>
      <c r="H1594" s="12">
        <f t="shared" si="24"/>
        <v>448</v>
      </c>
      <c r="I1594" s="10" t="s">
        <v>10</v>
      </c>
      <c r="J1594" s="13">
        <v>45917</v>
      </c>
      <c r="K1594" t="s">
        <v>528</v>
      </c>
    </row>
    <row r="1595" hidden="1" spans="1:11">
      <c r="A1595" t="s">
        <v>319</v>
      </c>
      <c r="B1595" s="8">
        <v>252601916</v>
      </c>
      <c r="C1595" s="9">
        <v>45905</v>
      </c>
      <c r="D1595" s="8" t="s">
        <v>515</v>
      </c>
      <c r="E1595" s="10">
        <v>200000</v>
      </c>
      <c r="F1595" s="8">
        <v>0.0238</v>
      </c>
      <c r="G1595" s="11">
        <v>45983</v>
      </c>
      <c r="H1595" s="12">
        <f t="shared" si="24"/>
        <v>4760</v>
      </c>
      <c r="I1595" s="10" t="s">
        <v>10</v>
      </c>
      <c r="J1595" s="9">
        <v>45912</v>
      </c>
      <c r="K1595" t="s">
        <v>528</v>
      </c>
    </row>
    <row r="1596" hidden="1" spans="1:11">
      <c r="A1596" t="s">
        <v>319</v>
      </c>
      <c r="B1596" s="8">
        <v>252601916</v>
      </c>
      <c r="C1596" s="9">
        <v>45905</v>
      </c>
      <c r="D1596" s="8" t="s">
        <v>31</v>
      </c>
      <c r="E1596" s="10">
        <v>200000</v>
      </c>
      <c r="F1596" s="8">
        <v>0.024</v>
      </c>
      <c r="G1596" s="11">
        <v>45983</v>
      </c>
      <c r="H1596" s="12">
        <f t="shared" si="24"/>
        <v>4800</v>
      </c>
      <c r="I1596" s="10" t="s">
        <v>10</v>
      </c>
      <c r="J1596" s="13">
        <v>45917</v>
      </c>
      <c r="K1596" t="s">
        <v>528</v>
      </c>
    </row>
    <row r="1597" hidden="1" spans="1:11">
      <c r="A1597" t="s">
        <v>319</v>
      </c>
      <c r="B1597" s="8">
        <v>252601916</v>
      </c>
      <c r="C1597" s="9">
        <v>45905</v>
      </c>
      <c r="D1597" s="8" t="s">
        <v>181</v>
      </c>
      <c r="E1597" s="10">
        <v>60000</v>
      </c>
      <c r="F1597" s="8">
        <v>0.0243</v>
      </c>
      <c r="G1597" s="11">
        <v>45983</v>
      </c>
      <c r="H1597" s="12">
        <f t="shared" si="24"/>
        <v>1458</v>
      </c>
      <c r="I1597" s="10" t="s">
        <v>10</v>
      </c>
      <c r="J1597" s="13">
        <v>45917</v>
      </c>
      <c r="K1597" t="s">
        <v>528</v>
      </c>
    </row>
    <row r="1598" hidden="1" spans="1:11">
      <c r="A1598" t="s">
        <v>319</v>
      </c>
      <c r="B1598" s="8">
        <v>252601916</v>
      </c>
      <c r="C1598" s="9">
        <v>45905</v>
      </c>
      <c r="D1598" s="8" t="s">
        <v>181</v>
      </c>
      <c r="E1598" s="10">
        <v>60000</v>
      </c>
      <c r="F1598" s="8">
        <v>0.0243</v>
      </c>
      <c r="G1598" s="11">
        <v>45996</v>
      </c>
      <c r="H1598" s="12">
        <f t="shared" si="24"/>
        <v>1458</v>
      </c>
      <c r="I1598" s="10" t="s">
        <v>10</v>
      </c>
      <c r="J1598" s="13">
        <v>45917</v>
      </c>
      <c r="K1598" t="s">
        <v>528</v>
      </c>
    </row>
    <row r="1599" hidden="1" spans="1:11">
      <c r="A1599" t="s">
        <v>319</v>
      </c>
      <c r="B1599" s="8">
        <v>252601916</v>
      </c>
      <c r="C1599" s="9">
        <v>45905</v>
      </c>
      <c r="D1599" s="8" t="s">
        <v>213</v>
      </c>
      <c r="E1599" s="10">
        <v>150000</v>
      </c>
      <c r="F1599" s="8">
        <v>0.042</v>
      </c>
      <c r="G1599" s="11">
        <v>45983</v>
      </c>
      <c r="H1599" s="12">
        <f t="shared" si="24"/>
        <v>6300</v>
      </c>
      <c r="I1599" s="10" t="s">
        <v>10</v>
      </c>
      <c r="J1599" s="13">
        <v>45917</v>
      </c>
      <c r="K1599" t="s">
        <v>528</v>
      </c>
    </row>
    <row r="1600" hidden="1" spans="1:11">
      <c r="A1600" t="s">
        <v>319</v>
      </c>
      <c r="B1600" s="8">
        <v>252601916</v>
      </c>
      <c r="C1600" s="9">
        <v>45905</v>
      </c>
      <c r="D1600" s="8" t="s">
        <v>106</v>
      </c>
      <c r="E1600" s="10">
        <v>100000</v>
      </c>
      <c r="F1600" s="8">
        <v>0.033</v>
      </c>
      <c r="G1600" s="11">
        <v>45983</v>
      </c>
      <c r="H1600" s="12">
        <f t="shared" si="24"/>
        <v>3300</v>
      </c>
      <c r="I1600" s="10" t="s">
        <v>10</v>
      </c>
      <c r="J1600" s="13">
        <v>45917</v>
      </c>
      <c r="K1600" t="s">
        <v>528</v>
      </c>
    </row>
    <row r="1601" hidden="1" spans="1:11">
      <c r="A1601" t="s">
        <v>319</v>
      </c>
      <c r="B1601" s="8">
        <v>252601916</v>
      </c>
      <c r="C1601" s="9">
        <v>45905</v>
      </c>
      <c r="D1601" s="8" t="s">
        <v>127</v>
      </c>
      <c r="E1601" s="10">
        <v>200000</v>
      </c>
      <c r="F1601" s="8">
        <v>0.03</v>
      </c>
      <c r="G1601" s="11">
        <v>45983</v>
      </c>
      <c r="H1601" s="12">
        <f t="shared" si="24"/>
        <v>6000</v>
      </c>
      <c r="I1601" s="10" t="s">
        <v>10</v>
      </c>
      <c r="J1601" s="13">
        <v>45917</v>
      </c>
      <c r="K1601" t="s">
        <v>528</v>
      </c>
    </row>
    <row r="1602" hidden="1" spans="1:11">
      <c r="A1602" t="s">
        <v>319</v>
      </c>
      <c r="B1602" s="8">
        <v>252601916</v>
      </c>
      <c r="C1602" s="9">
        <v>45905</v>
      </c>
      <c r="D1602" s="8" t="s">
        <v>129</v>
      </c>
      <c r="E1602" s="10">
        <v>20000</v>
      </c>
      <c r="F1602" s="8">
        <v>0.025</v>
      </c>
      <c r="G1602" s="11">
        <v>45983</v>
      </c>
      <c r="H1602" s="12">
        <f t="shared" ref="H1602:H1665" si="25">E1602*F1602</f>
        <v>500</v>
      </c>
      <c r="I1602" s="10" t="s">
        <v>10</v>
      </c>
      <c r="J1602" s="13">
        <v>45917</v>
      </c>
      <c r="K1602" t="s">
        <v>528</v>
      </c>
    </row>
    <row r="1603" hidden="1" spans="1:11">
      <c r="A1603" t="s">
        <v>319</v>
      </c>
      <c r="B1603" s="8">
        <v>252601916</v>
      </c>
      <c r="C1603" s="9">
        <v>45905</v>
      </c>
      <c r="D1603" s="8" t="s">
        <v>388</v>
      </c>
      <c r="E1603" s="10">
        <v>120000</v>
      </c>
      <c r="F1603" s="8">
        <v>0.035</v>
      </c>
      <c r="G1603" s="11">
        <v>45983</v>
      </c>
      <c r="H1603" s="12">
        <f t="shared" si="25"/>
        <v>4200</v>
      </c>
      <c r="I1603" s="10" t="s">
        <v>10</v>
      </c>
      <c r="J1603" s="9">
        <v>45912</v>
      </c>
      <c r="K1603" t="s">
        <v>528</v>
      </c>
    </row>
    <row r="1604" hidden="1" spans="1:11">
      <c r="A1604" t="s">
        <v>319</v>
      </c>
      <c r="B1604" s="8">
        <v>252601916</v>
      </c>
      <c r="C1604" s="9">
        <v>45905</v>
      </c>
      <c r="D1604" s="8" t="s">
        <v>386</v>
      </c>
      <c r="E1604" s="10">
        <v>70000</v>
      </c>
      <c r="F1604" s="8">
        <v>0.03</v>
      </c>
      <c r="G1604" s="11">
        <v>45983</v>
      </c>
      <c r="H1604" s="12">
        <f t="shared" si="25"/>
        <v>2100</v>
      </c>
      <c r="I1604" s="10" t="s">
        <v>10</v>
      </c>
      <c r="J1604" s="13">
        <v>45917</v>
      </c>
      <c r="K1604" t="s">
        <v>528</v>
      </c>
    </row>
    <row r="1605" hidden="1" spans="1:11">
      <c r="A1605" t="s">
        <v>319</v>
      </c>
      <c r="B1605" s="8">
        <v>252601916</v>
      </c>
      <c r="C1605" s="9">
        <v>45905</v>
      </c>
      <c r="D1605" s="8" t="s">
        <v>387</v>
      </c>
      <c r="E1605" s="10">
        <v>80000</v>
      </c>
      <c r="F1605" s="8">
        <v>0.025</v>
      </c>
      <c r="G1605" s="11">
        <v>45983</v>
      </c>
      <c r="H1605" s="12">
        <f t="shared" si="25"/>
        <v>2000</v>
      </c>
      <c r="I1605" s="10" t="s">
        <v>10</v>
      </c>
      <c r="J1605" s="13">
        <v>45917</v>
      </c>
      <c r="K1605" t="s">
        <v>528</v>
      </c>
    </row>
    <row r="1606" hidden="1" spans="1:11">
      <c r="A1606" t="s">
        <v>319</v>
      </c>
      <c r="B1606" s="8">
        <v>252601916</v>
      </c>
      <c r="C1606" s="9">
        <v>45905</v>
      </c>
      <c r="D1606" s="8" t="s">
        <v>516</v>
      </c>
      <c r="E1606" s="10">
        <v>120000</v>
      </c>
      <c r="F1606" s="8">
        <v>0.032</v>
      </c>
      <c r="G1606" s="11">
        <v>45983</v>
      </c>
      <c r="H1606" s="12">
        <f t="shared" si="25"/>
        <v>3840</v>
      </c>
      <c r="I1606" s="10" t="s">
        <v>10</v>
      </c>
      <c r="J1606" s="9">
        <v>45912</v>
      </c>
      <c r="K1606" t="s">
        <v>528</v>
      </c>
    </row>
    <row r="1607" hidden="1" spans="1:11">
      <c r="A1607" t="s">
        <v>319</v>
      </c>
      <c r="B1607" s="8">
        <v>252601916</v>
      </c>
      <c r="C1607" s="9">
        <v>45905</v>
      </c>
      <c r="D1607" s="8" t="s">
        <v>282</v>
      </c>
      <c r="E1607" s="10">
        <v>30000</v>
      </c>
      <c r="F1607" s="8">
        <v>0.0304</v>
      </c>
      <c r="G1607" s="11">
        <v>45983</v>
      </c>
      <c r="H1607" s="12">
        <f t="shared" si="25"/>
        <v>912</v>
      </c>
      <c r="I1607" s="10" t="s">
        <v>10</v>
      </c>
      <c r="J1607" s="13">
        <v>45917</v>
      </c>
      <c r="K1607" t="s">
        <v>528</v>
      </c>
    </row>
    <row r="1608" hidden="1" spans="1:11">
      <c r="A1608" t="s">
        <v>319</v>
      </c>
      <c r="B1608" s="8">
        <v>252601916</v>
      </c>
      <c r="C1608" s="9">
        <v>45905</v>
      </c>
      <c r="D1608" s="8" t="s">
        <v>31</v>
      </c>
      <c r="E1608" s="10">
        <v>100000</v>
      </c>
      <c r="F1608" s="8">
        <v>0.024</v>
      </c>
      <c r="G1608" s="11">
        <v>45983</v>
      </c>
      <c r="H1608" s="12">
        <f t="shared" si="25"/>
        <v>2400</v>
      </c>
      <c r="I1608" s="10" t="s">
        <v>10</v>
      </c>
      <c r="J1608" s="13">
        <v>45917</v>
      </c>
      <c r="K1608" t="s">
        <v>528</v>
      </c>
    </row>
    <row r="1609" hidden="1" spans="1:11">
      <c r="A1609" t="s">
        <v>319</v>
      </c>
      <c r="B1609" s="8">
        <v>252601917</v>
      </c>
      <c r="C1609" s="9">
        <v>45905</v>
      </c>
      <c r="D1609" s="8" t="s">
        <v>25</v>
      </c>
      <c r="E1609" s="10">
        <v>20000</v>
      </c>
      <c r="F1609" s="8">
        <v>0.016</v>
      </c>
      <c r="G1609" s="11">
        <v>45952</v>
      </c>
      <c r="H1609" s="12">
        <f t="shared" si="25"/>
        <v>320</v>
      </c>
      <c r="I1609" s="10" t="s">
        <v>10</v>
      </c>
      <c r="J1609" s="9">
        <v>45912</v>
      </c>
      <c r="K1609" t="s">
        <v>528</v>
      </c>
    </row>
    <row r="1610" hidden="1" spans="1:11">
      <c r="A1610" t="s">
        <v>319</v>
      </c>
      <c r="B1610" s="8">
        <v>252601917</v>
      </c>
      <c r="C1610" s="9">
        <v>45905</v>
      </c>
      <c r="D1610" s="8" t="s">
        <v>100</v>
      </c>
      <c r="E1610" s="10">
        <v>40000</v>
      </c>
      <c r="F1610" s="8">
        <v>0.0224</v>
      </c>
      <c r="G1610" s="11">
        <v>45952</v>
      </c>
      <c r="H1610" s="12">
        <f t="shared" si="25"/>
        <v>896</v>
      </c>
      <c r="I1610" s="10" t="s">
        <v>10</v>
      </c>
      <c r="J1610" s="13">
        <v>45917</v>
      </c>
      <c r="K1610" t="s">
        <v>528</v>
      </c>
    </row>
    <row r="1611" hidden="1" spans="1:11">
      <c r="A1611" t="s">
        <v>319</v>
      </c>
      <c r="B1611" s="8">
        <v>252601917</v>
      </c>
      <c r="C1611" s="9">
        <v>45905</v>
      </c>
      <c r="D1611" s="8" t="s">
        <v>515</v>
      </c>
      <c r="E1611" s="10">
        <v>200000</v>
      </c>
      <c r="F1611" s="8">
        <v>0.0238</v>
      </c>
      <c r="G1611" s="11">
        <v>45952</v>
      </c>
      <c r="H1611" s="12">
        <f t="shared" si="25"/>
        <v>4760</v>
      </c>
      <c r="I1611" s="10" t="s">
        <v>10</v>
      </c>
      <c r="J1611" s="9">
        <v>45912</v>
      </c>
      <c r="K1611" t="s">
        <v>528</v>
      </c>
    </row>
    <row r="1612" hidden="1" spans="1:11">
      <c r="A1612" t="s">
        <v>319</v>
      </c>
      <c r="B1612" s="8">
        <v>252601917</v>
      </c>
      <c r="C1612" s="9">
        <v>45905</v>
      </c>
      <c r="D1612" s="8" t="s">
        <v>31</v>
      </c>
      <c r="E1612" s="10">
        <v>200000</v>
      </c>
      <c r="F1612" s="8">
        <v>0.024</v>
      </c>
      <c r="G1612" s="11">
        <v>45952</v>
      </c>
      <c r="H1612" s="12">
        <f t="shared" si="25"/>
        <v>4800</v>
      </c>
      <c r="I1612" s="10" t="s">
        <v>10</v>
      </c>
      <c r="J1612" s="13">
        <v>45917</v>
      </c>
      <c r="K1612" t="s">
        <v>528</v>
      </c>
    </row>
    <row r="1613" hidden="1" spans="1:11">
      <c r="A1613" t="s">
        <v>319</v>
      </c>
      <c r="B1613" s="8">
        <v>252601917</v>
      </c>
      <c r="C1613" s="9">
        <v>45905</v>
      </c>
      <c r="D1613" s="8" t="s">
        <v>31</v>
      </c>
      <c r="E1613" s="10">
        <v>100000</v>
      </c>
      <c r="F1613" s="8">
        <v>0.024</v>
      </c>
      <c r="G1613" s="11">
        <v>45952</v>
      </c>
      <c r="H1613" s="12">
        <f t="shared" si="25"/>
        <v>2400</v>
      </c>
      <c r="I1613" s="10" t="s">
        <v>10</v>
      </c>
      <c r="J1613" s="13">
        <v>45917</v>
      </c>
      <c r="K1613" t="s">
        <v>528</v>
      </c>
    </row>
    <row r="1614" hidden="1" spans="1:11">
      <c r="A1614" t="s">
        <v>319</v>
      </c>
      <c r="B1614" s="8">
        <v>252601917</v>
      </c>
      <c r="C1614" s="9">
        <v>45905</v>
      </c>
      <c r="D1614" s="8" t="s">
        <v>181</v>
      </c>
      <c r="E1614" s="10">
        <v>60000</v>
      </c>
      <c r="F1614" s="8">
        <v>0.0243</v>
      </c>
      <c r="G1614" s="11">
        <v>45952</v>
      </c>
      <c r="H1614" s="12">
        <f t="shared" si="25"/>
        <v>1458</v>
      </c>
      <c r="I1614" s="10" t="s">
        <v>10</v>
      </c>
      <c r="J1614" s="13">
        <v>45917</v>
      </c>
      <c r="K1614" t="s">
        <v>528</v>
      </c>
    </row>
    <row r="1615" hidden="1" spans="1:11">
      <c r="A1615" t="s">
        <v>319</v>
      </c>
      <c r="B1615" s="8">
        <v>252601917</v>
      </c>
      <c r="C1615" s="9">
        <v>45905</v>
      </c>
      <c r="D1615" s="8" t="s">
        <v>70</v>
      </c>
      <c r="E1615" s="10">
        <v>20000</v>
      </c>
      <c r="F1615" s="8">
        <v>0.028</v>
      </c>
      <c r="G1615" s="11">
        <v>45950</v>
      </c>
      <c r="H1615" s="12">
        <f t="shared" si="25"/>
        <v>560</v>
      </c>
      <c r="I1615" s="10" t="s">
        <v>10</v>
      </c>
      <c r="J1615" s="9">
        <v>45912</v>
      </c>
      <c r="K1615" t="s">
        <v>528</v>
      </c>
    </row>
    <row r="1616" hidden="1" spans="1:11">
      <c r="A1616" t="s">
        <v>319</v>
      </c>
      <c r="B1616" s="8">
        <v>252601917</v>
      </c>
      <c r="C1616" s="9">
        <v>45905</v>
      </c>
      <c r="D1616" s="8" t="s">
        <v>213</v>
      </c>
      <c r="E1616" s="10">
        <v>180000</v>
      </c>
      <c r="F1616" s="8">
        <v>0.042</v>
      </c>
      <c r="G1616" s="11">
        <v>45952</v>
      </c>
      <c r="H1616" s="12">
        <f t="shared" si="25"/>
        <v>7560</v>
      </c>
      <c r="I1616" s="10" t="s">
        <v>10</v>
      </c>
      <c r="J1616" s="13">
        <v>45917</v>
      </c>
      <c r="K1616" t="s">
        <v>528</v>
      </c>
    </row>
    <row r="1617" hidden="1" spans="1:11">
      <c r="A1617" t="s">
        <v>319</v>
      </c>
      <c r="B1617" s="8">
        <v>252601917</v>
      </c>
      <c r="C1617" s="9">
        <v>45905</v>
      </c>
      <c r="D1617" s="8" t="s">
        <v>106</v>
      </c>
      <c r="E1617" s="10">
        <v>100000</v>
      </c>
      <c r="F1617" s="8">
        <v>0.033</v>
      </c>
      <c r="G1617" s="11">
        <v>45952</v>
      </c>
      <c r="H1617" s="12">
        <f t="shared" si="25"/>
        <v>3300</v>
      </c>
      <c r="I1617" s="10" t="s">
        <v>10</v>
      </c>
      <c r="J1617" s="13">
        <v>45917</v>
      </c>
      <c r="K1617" t="s">
        <v>528</v>
      </c>
    </row>
    <row r="1618" hidden="1" spans="1:11">
      <c r="A1618" t="s">
        <v>319</v>
      </c>
      <c r="B1618" s="8">
        <v>252601917</v>
      </c>
      <c r="C1618" s="9">
        <v>45905</v>
      </c>
      <c r="D1618" s="8" t="s">
        <v>127</v>
      </c>
      <c r="E1618" s="10">
        <v>200000</v>
      </c>
      <c r="F1618" s="8">
        <v>0.03</v>
      </c>
      <c r="G1618" s="11">
        <v>45952</v>
      </c>
      <c r="H1618" s="12">
        <f t="shared" si="25"/>
        <v>6000</v>
      </c>
      <c r="I1618" s="10" t="s">
        <v>10</v>
      </c>
      <c r="J1618" s="13">
        <v>45917</v>
      </c>
      <c r="K1618" t="s">
        <v>528</v>
      </c>
    </row>
    <row r="1619" hidden="1" spans="1:11">
      <c r="A1619" t="s">
        <v>319</v>
      </c>
      <c r="B1619" s="8">
        <v>252601917</v>
      </c>
      <c r="C1619" s="9">
        <v>45905</v>
      </c>
      <c r="D1619" s="8" t="s">
        <v>129</v>
      </c>
      <c r="E1619" s="10">
        <v>100000</v>
      </c>
      <c r="F1619" s="8">
        <v>0.025</v>
      </c>
      <c r="G1619" s="11">
        <v>45952</v>
      </c>
      <c r="H1619" s="12">
        <f t="shared" si="25"/>
        <v>2500</v>
      </c>
      <c r="I1619" s="10" t="s">
        <v>10</v>
      </c>
      <c r="J1619" s="13">
        <v>45917</v>
      </c>
      <c r="K1619" t="s">
        <v>528</v>
      </c>
    </row>
    <row r="1620" hidden="1" spans="1:11">
      <c r="A1620" t="s">
        <v>319</v>
      </c>
      <c r="B1620" s="8">
        <v>252601917</v>
      </c>
      <c r="C1620" s="9">
        <v>45905</v>
      </c>
      <c r="D1620" s="8" t="s">
        <v>388</v>
      </c>
      <c r="E1620" s="10">
        <v>200000</v>
      </c>
      <c r="F1620" s="8">
        <v>0.035</v>
      </c>
      <c r="G1620" s="11">
        <v>45952</v>
      </c>
      <c r="H1620" s="12">
        <f t="shared" si="25"/>
        <v>7000</v>
      </c>
      <c r="I1620" s="10" t="s">
        <v>10</v>
      </c>
      <c r="J1620" s="9">
        <v>45912</v>
      </c>
      <c r="K1620" t="s">
        <v>528</v>
      </c>
    </row>
    <row r="1621" hidden="1" spans="1:11">
      <c r="A1621" t="s">
        <v>319</v>
      </c>
      <c r="B1621" s="8">
        <v>252601917</v>
      </c>
      <c r="C1621" s="9">
        <v>45905</v>
      </c>
      <c r="D1621" s="8" t="s">
        <v>386</v>
      </c>
      <c r="E1621" s="10">
        <v>70000</v>
      </c>
      <c r="F1621" s="8">
        <v>0.03</v>
      </c>
      <c r="G1621" s="11">
        <v>45952</v>
      </c>
      <c r="H1621" s="12">
        <f t="shared" si="25"/>
        <v>2100</v>
      </c>
      <c r="I1621" s="10" t="s">
        <v>10</v>
      </c>
      <c r="J1621" s="13">
        <v>45917</v>
      </c>
      <c r="K1621" t="s">
        <v>528</v>
      </c>
    </row>
    <row r="1622" hidden="1" spans="1:11">
      <c r="A1622" t="s">
        <v>319</v>
      </c>
      <c r="B1622" s="8">
        <v>252601917</v>
      </c>
      <c r="C1622" s="9">
        <v>45905</v>
      </c>
      <c r="D1622" s="8" t="s">
        <v>282</v>
      </c>
      <c r="E1622" s="10">
        <v>30000</v>
      </c>
      <c r="F1622" s="8">
        <v>0.0304</v>
      </c>
      <c r="G1622" s="11">
        <v>45952</v>
      </c>
      <c r="H1622" s="12">
        <f t="shared" si="25"/>
        <v>912</v>
      </c>
      <c r="I1622" s="10" t="s">
        <v>10</v>
      </c>
      <c r="J1622" s="13">
        <v>45917</v>
      </c>
      <c r="K1622" t="s">
        <v>528</v>
      </c>
    </row>
    <row r="1623" hidden="1" spans="1:11">
      <c r="A1623" t="s">
        <v>319</v>
      </c>
      <c r="B1623" s="8">
        <v>252601919</v>
      </c>
      <c r="C1623" s="66">
        <v>45909</v>
      </c>
      <c r="D1623" s="8" t="s">
        <v>30</v>
      </c>
      <c r="E1623" s="67">
        <v>800000</v>
      </c>
      <c r="F1623" s="8">
        <v>0.022</v>
      </c>
      <c r="G1623" s="11">
        <v>45922</v>
      </c>
      <c r="H1623" s="68">
        <f t="shared" si="25"/>
        <v>17600</v>
      </c>
      <c r="I1623" s="67" t="s">
        <v>10</v>
      </c>
      <c r="J1623" s="75">
        <v>45918</v>
      </c>
      <c r="K1623" s="76" t="s">
        <v>445</v>
      </c>
    </row>
    <row r="1624" hidden="1" spans="1:11">
      <c r="A1624" t="s">
        <v>319</v>
      </c>
      <c r="B1624" s="8">
        <v>252601919</v>
      </c>
      <c r="C1624" s="66">
        <v>45909</v>
      </c>
      <c r="D1624" s="8" t="s">
        <v>30</v>
      </c>
      <c r="E1624" s="67">
        <v>500000</v>
      </c>
      <c r="F1624" s="8">
        <v>0.022</v>
      </c>
      <c r="G1624" s="11">
        <v>45952</v>
      </c>
      <c r="H1624" s="68">
        <f t="shared" si="25"/>
        <v>11000</v>
      </c>
      <c r="I1624" s="67" t="s">
        <v>10</v>
      </c>
      <c r="J1624" s="75">
        <v>45918</v>
      </c>
      <c r="K1624" s="76" t="s">
        <v>445</v>
      </c>
    </row>
    <row r="1625" hidden="1" spans="1:11">
      <c r="A1625" t="s">
        <v>319</v>
      </c>
      <c r="B1625" s="8">
        <v>252601919</v>
      </c>
      <c r="C1625" s="66">
        <v>45909</v>
      </c>
      <c r="D1625" s="8" t="s">
        <v>30</v>
      </c>
      <c r="E1625" s="67">
        <v>500000</v>
      </c>
      <c r="F1625" s="8">
        <v>0.022</v>
      </c>
      <c r="G1625" s="11">
        <v>45983</v>
      </c>
      <c r="H1625" s="68">
        <f t="shared" si="25"/>
        <v>11000</v>
      </c>
      <c r="I1625" s="67" t="s">
        <v>10</v>
      </c>
      <c r="J1625" s="75">
        <v>45918</v>
      </c>
      <c r="K1625" s="76" t="s">
        <v>445</v>
      </c>
    </row>
    <row r="1626" hidden="1" spans="1:11">
      <c r="A1626" t="s">
        <v>319</v>
      </c>
      <c r="B1626" s="8">
        <v>252601935</v>
      </c>
      <c r="C1626" s="66">
        <v>45911</v>
      </c>
      <c r="D1626" s="8" t="s">
        <v>162</v>
      </c>
      <c r="E1626" s="67">
        <v>100000</v>
      </c>
      <c r="F1626" s="8">
        <v>0.05</v>
      </c>
      <c r="G1626" s="11">
        <v>46013</v>
      </c>
      <c r="H1626" s="68">
        <f t="shared" si="25"/>
        <v>5000</v>
      </c>
      <c r="I1626" s="67" t="s">
        <v>10</v>
      </c>
      <c r="J1626" s="75">
        <v>45919</v>
      </c>
      <c r="K1626" s="76" t="s">
        <v>377</v>
      </c>
    </row>
    <row r="1627" hidden="1" spans="1:11">
      <c r="A1627" t="s">
        <v>319</v>
      </c>
      <c r="B1627" s="8">
        <v>252601935</v>
      </c>
      <c r="C1627" s="66">
        <v>45911</v>
      </c>
      <c r="D1627" s="8" t="s">
        <v>502</v>
      </c>
      <c r="E1627" s="67">
        <v>20000</v>
      </c>
      <c r="F1627" s="8">
        <v>0.1</v>
      </c>
      <c r="G1627" s="11">
        <v>46013</v>
      </c>
      <c r="H1627" s="68">
        <f t="shared" si="25"/>
        <v>2000</v>
      </c>
      <c r="I1627" s="67" t="s">
        <v>10</v>
      </c>
      <c r="J1627" s="75">
        <v>45919</v>
      </c>
      <c r="K1627" s="76" t="s">
        <v>377</v>
      </c>
    </row>
    <row r="1628" hidden="1" spans="1:11">
      <c r="A1628" t="s">
        <v>319</v>
      </c>
      <c r="B1628" s="8">
        <v>252601935</v>
      </c>
      <c r="C1628" s="66">
        <v>45911</v>
      </c>
      <c r="D1628" s="8" t="s">
        <v>509</v>
      </c>
      <c r="E1628" s="67">
        <v>20000</v>
      </c>
      <c r="F1628" s="8">
        <v>0.16</v>
      </c>
      <c r="G1628" s="11">
        <v>46013</v>
      </c>
      <c r="H1628" s="68">
        <f t="shared" si="25"/>
        <v>3200</v>
      </c>
      <c r="I1628" s="67" t="s">
        <v>10</v>
      </c>
      <c r="J1628" s="75">
        <v>45919</v>
      </c>
      <c r="K1628" s="76" t="s">
        <v>377</v>
      </c>
    </row>
    <row r="1629" hidden="1" spans="1:11">
      <c r="A1629" t="s">
        <v>319</v>
      </c>
      <c r="B1629" s="8">
        <v>252601935</v>
      </c>
      <c r="C1629" s="66">
        <v>45911</v>
      </c>
      <c r="D1629" s="8" t="s">
        <v>497</v>
      </c>
      <c r="E1629" s="67">
        <v>20000</v>
      </c>
      <c r="F1629" s="8">
        <v>0.17</v>
      </c>
      <c r="G1629" s="11">
        <v>46013</v>
      </c>
      <c r="H1629" s="68">
        <f t="shared" si="25"/>
        <v>3400</v>
      </c>
      <c r="I1629" s="67" t="s">
        <v>10</v>
      </c>
      <c r="J1629" s="75">
        <v>45919</v>
      </c>
      <c r="K1629" s="76" t="s">
        <v>377</v>
      </c>
    </row>
    <row r="1630" hidden="1" spans="1:11">
      <c r="A1630" t="s">
        <v>319</v>
      </c>
      <c r="B1630" s="8">
        <v>252601936</v>
      </c>
      <c r="C1630" s="9">
        <v>45911</v>
      </c>
      <c r="D1630" s="8" t="s">
        <v>111</v>
      </c>
      <c r="E1630" s="10">
        <v>50000</v>
      </c>
      <c r="F1630" s="8">
        <v>0.045</v>
      </c>
      <c r="G1630" s="11">
        <v>45952</v>
      </c>
      <c r="H1630" s="12">
        <f t="shared" si="25"/>
        <v>2250</v>
      </c>
      <c r="I1630" s="10" t="s">
        <v>10</v>
      </c>
      <c r="J1630" s="13">
        <v>45915</v>
      </c>
      <c r="K1630" t="s">
        <v>377</v>
      </c>
    </row>
    <row r="1631" hidden="1" spans="1:11">
      <c r="A1631" t="s">
        <v>319</v>
      </c>
      <c r="B1631" s="8">
        <v>252601936</v>
      </c>
      <c r="C1631" s="9">
        <v>45911</v>
      </c>
      <c r="D1631" s="8" t="s">
        <v>111</v>
      </c>
      <c r="E1631" s="10">
        <v>50000</v>
      </c>
      <c r="F1631" s="8">
        <v>0.045</v>
      </c>
      <c r="G1631" s="11">
        <v>45983</v>
      </c>
      <c r="H1631" s="12">
        <f t="shared" si="25"/>
        <v>2250</v>
      </c>
      <c r="I1631" s="10" t="s">
        <v>10</v>
      </c>
      <c r="J1631" s="13">
        <v>45915</v>
      </c>
      <c r="K1631" t="s">
        <v>377</v>
      </c>
    </row>
    <row r="1632" hidden="1" spans="1:11">
      <c r="A1632" t="s">
        <v>319</v>
      </c>
      <c r="B1632" s="8">
        <v>252601936</v>
      </c>
      <c r="C1632" s="9">
        <v>45911</v>
      </c>
      <c r="D1632" s="8" t="s">
        <v>558</v>
      </c>
      <c r="E1632" s="10">
        <v>50000</v>
      </c>
      <c r="F1632" s="8">
        <v>0.07</v>
      </c>
      <c r="G1632" s="11">
        <v>45922</v>
      </c>
      <c r="H1632" s="12">
        <f t="shared" si="25"/>
        <v>3500</v>
      </c>
      <c r="I1632" s="10" t="s">
        <v>10</v>
      </c>
      <c r="J1632" s="13">
        <v>45917</v>
      </c>
      <c r="K1632" t="s">
        <v>377</v>
      </c>
    </row>
    <row r="1633" hidden="1" spans="1:11">
      <c r="A1633" t="s">
        <v>319</v>
      </c>
      <c r="B1633" s="8">
        <v>252601936</v>
      </c>
      <c r="C1633" s="9">
        <v>45911</v>
      </c>
      <c r="D1633" s="8" t="s">
        <v>558</v>
      </c>
      <c r="E1633" s="10">
        <v>50000</v>
      </c>
      <c r="F1633" s="8">
        <v>0.07</v>
      </c>
      <c r="G1633" s="11">
        <v>45983</v>
      </c>
      <c r="H1633" s="12">
        <f t="shared" si="25"/>
        <v>3500</v>
      </c>
      <c r="I1633" s="10" t="s">
        <v>10</v>
      </c>
      <c r="J1633" s="13">
        <v>45917</v>
      </c>
      <c r="K1633" t="s">
        <v>377</v>
      </c>
    </row>
    <row r="1634" hidden="1" spans="1:11">
      <c r="A1634" t="s">
        <v>319</v>
      </c>
      <c r="B1634" s="8">
        <v>252601936</v>
      </c>
      <c r="C1634" s="9">
        <v>45911</v>
      </c>
      <c r="D1634" s="8" t="s">
        <v>162</v>
      </c>
      <c r="E1634" s="10">
        <v>150000</v>
      </c>
      <c r="F1634" s="8">
        <v>0.05</v>
      </c>
      <c r="G1634" s="11">
        <v>45983</v>
      </c>
      <c r="H1634" s="12">
        <f t="shared" si="25"/>
        <v>7500</v>
      </c>
      <c r="I1634" s="10" t="s">
        <v>10</v>
      </c>
      <c r="J1634" s="13">
        <v>45915</v>
      </c>
      <c r="K1634" t="s">
        <v>377</v>
      </c>
    </row>
    <row r="1635" hidden="1" spans="1:11">
      <c r="A1635" t="s">
        <v>319</v>
      </c>
      <c r="B1635" s="8">
        <v>252601936</v>
      </c>
      <c r="C1635" s="9">
        <v>45911</v>
      </c>
      <c r="D1635" s="8" t="s">
        <v>105</v>
      </c>
      <c r="E1635" s="10">
        <v>62000</v>
      </c>
      <c r="F1635" s="8">
        <v>0.18</v>
      </c>
      <c r="G1635" s="11">
        <v>45983</v>
      </c>
      <c r="H1635" s="12">
        <f t="shared" si="25"/>
        <v>11160</v>
      </c>
      <c r="I1635" s="10" t="s">
        <v>10</v>
      </c>
      <c r="J1635" s="13">
        <v>45915</v>
      </c>
      <c r="K1635" t="s">
        <v>377</v>
      </c>
    </row>
    <row r="1636" hidden="1" spans="1:11">
      <c r="A1636" t="s">
        <v>319</v>
      </c>
      <c r="B1636" s="8">
        <v>252601936</v>
      </c>
      <c r="C1636" s="9">
        <v>45911</v>
      </c>
      <c r="D1636" s="8" t="s">
        <v>183</v>
      </c>
      <c r="E1636" s="10">
        <v>30000</v>
      </c>
      <c r="F1636" s="8">
        <v>0.5</v>
      </c>
      <c r="G1636" s="11">
        <v>45983</v>
      </c>
      <c r="H1636" s="12">
        <f t="shared" si="25"/>
        <v>15000</v>
      </c>
      <c r="I1636" s="10" t="s">
        <v>10</v>
      </c>
      <c r="J1636" s="13">
        <v>45917</v>
      </c>
      <c r="K1636" t="s">
        <v>377</v>
      </c>
    </row>
    <row r="1637" hidden="1" spans="1:11">
      <c r="A1637" t="s">
        <v>319</v>
      </c>
      <c r="B1637" s="8">
        <v>252601961</v>
      </c>
      <c r="C1637" s="66">
        <v>45911</v>
      </c>
      <c r="D1637" s="8" t="s">
        <v>128</v>
      </c>
      <c r="E1637" s="67">
        <v>70000</v>
      </c>
      <c r="F1637" s="8">
        <v>0.025</v>
      </c>
      <c r="G1637" s="11">
        <v>45952</v>
      </c>
      <c r="H1637" s="68">
        <f t="shared" si="25"/>
        <v>1750</v>
      </c>
      <c r="I1637" s="67" t="s">
        <v>10</v>
      </c>
      <c r="J1637" s="75">
        <v>45919</v>
      </c>
      <c r="K1637" s="76" t="s">
        <v>528</v>
      </c>
    </row>
    <row r="1638" hidden="1" spans="1:11">
      <c r="A1638" t="s">
        <v>319</v>
      </c>
      <c r="B1638" s="8">
        <v>252601961</v>
      </c>
      <c r="C1638" s="66">
        <v>45911</v>
      </c>
      <c r="D1638" s="8" t="s">
        <v>128</v>
      </c>
      <c r="E1638" s="67">
        <v>50000</v>
      </c>
      <c r="F1638" s="8">
        <v>0.025</v>
      </c>
      <c r="G1638" s="11">
        <v>45983</v>
      </c>
      <c r="H1638" s="68">
        <f t="shared" si="25"/>
        <v>1250</v>
      </c>
      <c r="I1638" s="67" t="s">
        <v>10</v>
      </c>
      <c r="J1638" s="75">
        <v>45919</v>
      </c>
      <c r="K1638" s="76" t="s">
        <v>528</v>
      </c>
    </row>
    <row r="1639" hidden="1" spans="1:11">
      <c r="A1639" t="s">
        <v>319</v>
      </c>
      <c r="B1639" s="8">
        <v>252601987</v>
      </c>
      <c r="C1639" s="66">
        <v>45912</v>
      </c>
      <c r="D1639" s="8" t="s">
        <v>285</v>
      </c>
      <c r="E1639" s="67">
        <v>24000</v>
      </c>
      <c r="F1639" s="8">
        <v>0.02</v>
      </c>
      <c r="G1639" s="11">
        <v>45966</v>
      </c>
      <c r="H1639" s="68">
        <f t="shared" si="25"/>
        <v>480</v>
      </c>
      <c r="I1639" s="67" t="s">
        <v>10</v>
      </c>
      <c r="J1639" s="75">
        <v>45918</v>
      </c>
      <c r="K1639" s="76" t="s">
        <v>469</v>
      </c>
    </row>
    <row r="1640" hidden="1" spans="1:11">
      <c r="A1640" t="s">
        <v>319</v>
      </c>
      <c r="B1640" s="8">
        <v>252601987</v>
      </c>
      <c r="C1640" s="66">
        <v>45912</v>
      </c>
      <c r="D1640" s="8" t="s">
        <v>286</v>
      </c>
      <c r="E1640" s="67">
        <v>24000</v>
      </c>
      <c r="F1640" s="8">
        <v>0.0235</v>
      </c>
      <c r="G1640" s="11">
        <v>45966</v>
      </c>
      <c r="H1640" s="68">
        <f t="shared" si="25"/>
        <v>564</v>
      </c>
      <c r="I1640" s="67" t="s">
        <v>10</v>
      </c>
      <c r="J1640" s="75">
        <v>45918</v>
      </c>
      <c r="K1640" s="76" t="s">
        <v>469</v>
      </c>
    </row>
    <row r="1641" hidden="1" spans="1:11">
      <c r="A1641" t="s">
        <v>319</v>
      </c>
      <c r="B1641" s="8">
        <v>252601988</v>
      </c>
      <c r="C1641" s="66">
        <v>45912</v>
      </c>
      <c r="D1641" s="8" t="s">
        <v>555</v>
      </c>
      <c r="E1641" s="67">
        <v>20000</v>
      </c>
      <c r="F1641" s="8">
        <v>0.028</v>
      </c>
      <c r="G1641" s="11">
        <v>45952</v>
      </c>
      <c r="H1641" s="68">
        <f t="shared" si="25"/>
        <v>560</v>
      </c>
      <c r="I1641" s="67" t="s">
        <v>10</v>
      </c>
      <c r="J1641" s="75">
        <v>45919</v>
      </c>
      <c r="K1641" s="76" t="s">
        <v>467</v>
      </c>
    </row>
    <row r="1642" hidden="1" spans="1:11">
      <c r="A1642" t="s">
        <v>319</v>
      </c>
      <c r="B1642" s="8">
        <v>252601988</v>
      </c>
      <c r="C1642" s="66">
        <v>45912</v>
      </c>
      <c r="D1642" s="8" t="s">
        <v>555</v>
      </c>
      <c r="E1642" s="67">
        <v>20000</v>
      </c>
      <c r="F1642" s="8">
        <v>0.028</v>
      </c>
      <c r="G1642" s="11">
        <v>45983</v>
      </c>
      <c r="H1642" s="68">
        <f t="shared" si="25"/>
        <v>560</v>
      </c>
      <c r="I1642" s="67" t="s">
        <v>10</v>
      </c>
      <c r="J1642" s="75">
        <v>45919</v>
      </c>
      <c r="K1642" s="76" t="s">
        <v>467</v>
      </c>
    </row>
    <row r="1643" hidden="1" spans="1:11">
      <c r="A1643" t="s">
        <v>319</v>
      </c>
      <c r="B1643" s="8">
        <v>252601988</v>
      </c>
      <c r="C1643" s="66">
        <v>45912</v>
      </c>
      <c r="D1643" s="8" t="s">
        <v>555</v>
      </c>
      <c r="E1643" s="67">
        <v>20000</v>
      </c>
      <c r="F1643" s="8">
        <v>0.028</v>
      </c>
      <c r="G1643" s="11">
        <v>46013</v>
      </c>
      <c r="H1643" s="68">
        <f t="shared" si="25"/>
        <v>560</v>
      </c>
      <c r="I1643" s="67" t="s">
        <v>10</v>
      </c>
      <c r="J1643" s="75">
        <v>45919</v>
      </c>
      <c r="K1643" s="76" t="s">
        <v>467</v>
      </c>
    </row>
    <row r="1644" hidden="1" spans="1:11">
      <c r="A1644" t="s">
        <v>319</v>
      </c>
      <c r="B1644" s="8">
        <v>252601988</v>
      </c>
      <c r="C1644" s="66">
        <v>45912</v>
      </c>
      <c r="D1644" s="8" t="s">
        <v>34</v>
      </c>
      <c r="E1644" s="67">
        <v>80000</v>
      </c>
      <c r="F1644" s="8">
        <v>0.0368</v>
      </c>
      <c r="G1644" s="11">
        <v>45952</v>
      </c>
      <c r="H1644" s="68">
        <f t="shared" si="25"/>
        <v>2944</v>
      </c>
      <c r="I1644" s="67" t="s">
        <v>10</v>
      </c>
      <c r="J1644" s="75">
        <v>45919</v>
      </c>
      <c r="K1644" s="76" t="s">
        <v>467</v>
      </c>
    </row>
    <row r="1645" hidden="1" spans="1:11">
      <c r="B1645" s="14">
        <v>252601994</v>
      </c>
      <c r="C1645" s="13">
        <v>45915</v>
      </c>
      <c r="D1645" s="14" t="s">
        <v>588</v>
      </c>
      <c r="E1645" s="15">
        <v>2000</v>
      </c>
      <c r="F1645" s="14">
        <v>0.063</v>
      </c>
      <c r="G1645" s="16">
        <v>45922</v>
      </c>
      <c r="H1645" s="17">
        <f t="shared" si="25"/>
        <v>126</v>
      </c>
      <c r="I1645" s="15" t="s">
        <v>51</v>
      </c>
      <c r="J1645" s="15"/>
      <c r="K1645" t="s">
        <v>377</v>
      </c>
    </row>
    <row r="1646" hidden="1" spans="1:11">
      <c r="A1646" t="s">
        <v>319</v>
      </c>
      <c r="B1646" s="8">
        <v>252602015</v>
      </c>
      <c r="C1646" s="66">
        <v>45916</v>
      </c>
      <c r="D1646" s="8" t="s">
        <v>390</v>
      </c>
      <c r="E1646" s="67">
        <v>20000</v>
      </c>
      <c r="F1646" s="8">
        <v>0.04</v>
      </c>
      <c r="G1646" s="11">
        <v>45922</v>
      </c>
      <c r="H1646" s="68">
        <f t="shared" si="25"/>
        <v>800</v>
      </c>
      <c r="I1646" s="67" t="s">
        <v>10</v>
      </c>
      <c r="J1646" s="75">
        <v>45919</v>
      </c>
      <c r="K1646" s="76" t="s">
        <v>405</v>
      </c>
    </row>
    <row r="1647" hidden="1" spans="1:11">
      <c r="A1647" t="s">
        <v>319</v>
      </c>
      <c r="B1647" s="8">
        <v>252602015</v>
      </c>
      <c r="C1647" s="66">
        <v>45916</v>
      </c>
      <c r="D1647" s="8" t="s">
        <v>390</v>
      </c>
      <c r="E1647" s="67">
        <v>20000</v>
      </c>
      <c r="F1647" s="8">
        <v>0.04</v>
      </c>
      <c r="G1647" s="11">
        <v>45935</v>
      </c>
      <c r="H1647" s="68">
        <f t="shared" si="25"/>
        <v>800</v>
      </c>
      <c r="I1647" s="67" t="s">
        <v>10</v>
      </c>
      <c r="J1647" s="75">
        <v>45919</v>
      </c>
      <c r="K1647" s="76" t="s">
        <v>405</v>
      </c>
    </row>
    <row r="1648" hidden="1" spans="1:11">
      <c r="A1648" t="s">
        <v>319</v>
      </c>
      <c r="B1648" s="8">
        <v>252602016</v>
      </c>
      <c r="C1648" s="66">
        <v>45916</v>
      </c>
      <c r="D1648" s="8" t="s">
        <v>390</v>
      </c>
      <c r="E1648" s="67">
        <v>30000</v>
      </c>
      <c r="F1648" s="8">
        <v>0.04</v>
      </c>
      <c r="G1648" s="11">
        <v>45952</v>
      </c>
      <c r="H1648" s="68">
        <f t="shared" si="25"/>
        <v>1200</v>
      </c>
      <c r="I1648" s="67" t="s">
        <v>10</v>
      </c>
      <c r="J1648" s="75">
        <v>45919</v>
      </c>
      <c r="K1648" s="76" t="s">
        <v>405</v>
      </c>
    </row>
    <row r="1649" hidden="1" spans="1:11">
      <c r="A1649" t="s">
        <v>319</v>
      </c>
      <c r="B1649" s="8">
        <v>252602016</v>
      </c>
      <c r="C1649" s="66">
        <v>45916</v>
      </c>
      <c r="D1649" s="8" t="s">
        <v>390</v>
      </c>
      <c r="E1649" s="67">
        <v>30000</v>
      </c>
      <c r="F1649" s="8">
        <v>0.04</v>
      </c>
      <c r="G1649" s="11">
        <v>45983</v>
      </c>
      <c r="H1649" s="68">
        <f t="shared" si="25"/>
        <v>1200</v>
      </c>
      <c r="I1649" s="67" t="s">
        <v>10</v>
      </c>
      <c r="J1649" s="75">
        <v>45919</v>
      </c>
      <c r="K1649" s="76" t="s">
        <v>405</v>
      </c>
    </row>
    <row r="1650" hidden="1" spans="1:11">
      <c r="A1650" t="s">
        <v>319</v>
      </c>
      <c r="B1650" s="8">
        <v>252602025</v>
      </c>
      <c r="C1650" s="66">
        <v>45916</v>
      </c>
      <c r="D1650" s="8" t="s">
        <v>30</v>
      </c>
      <c r="E1650" s="67">
        <v>30000</v>
      </c>
      <c r="F1650" s="8">
        <v>0.022</v>
      </c>
      <c r="G1650" s="11">
        <v>45966</v>
      </c>
      <c r="H1650" s="68">
        <f t="shared" si="25"/>
        <v>660</v>
      </c>
      <c r="I1650" s="67" t="s">
        <v>10</v>
      </c>
      <c r="J1650" s="75">
        <v>45919</v>
      </c>
      <c r="K1650" s="76" t="s">
        <v>405</v>
      </c>
    </row>
    <row r="1651" hidden="1" spans="1:11">
      <c r="A1651" t="s">
        <v>319</v>
      </c>
      <c r="B1651" s="8">
        <v>252602025</v>
      </c>
      <c r="C1651" s="66">
        <v>45916</v>
      </c>
      <c r="D1651" s="8" t="s">
        <v>30</v>
      </c>
      <c r="E1651" s="67">
        <v>30000</v>
      </c>
      <c r="F1651" s="8">
        <v>0.022</v>
      </c>
      <c r="G1651" s="11">
        <v>45996</v>
      </c>
      <c r="H1651" s="68">
        <f t="shared" si="25"/>
        <v>660</v>
      </c>
      <c r="I1651" s="67" t="s">
        <v>10</v>
      </c>
      <c r="J1651" s="75">
        <v>45919</v>
      </c>
      <c r="K1651" s="76" t="s">
        <v>405</v>
      </c>
    </row>
    <row r="1652" hidden="1" spans="1:11">
      <c r="A1652" t="s">
        <v>319</v>
      </c>
      <c r="B1652" s="8">
        <v>252602025</v>
      </c>
      <c r="C1652" s="66">
        <v>45916</v>
      </c>
      <c r="D1652" s="8" t="s">
        <v>553</v>
      </c>
      <c r="E1652" s="67">
        <v>20000</v>
      </c>
      <c r="F1652" s="8">
        <v>0.05</v>
      </c>
      <c r="G1652" s="11">
        <v>45996</v>
      </c>
      <c r="H1652" s="68">
        <f t="shared" si="25"/>
        <v>1000</v>
      </c>
      <c r="I1652" s="67" t="s">
        <v>10</v>
      </c>
      <c r="J1652" s="75">
        <v>45919</v>
      </c>
      <c r="K1652" s="76" t="s">
        <v>405</v>
      </c>
    </row>
    <row r="1653" hidden="1" spans="1:11">
      <c r="A1653" t="s">
        <v>319</v>
      </c>
      <c r="B1653" s="8">
        <v>252602036</v>
      </c>
      <c r="C1653" s="66">
        <v>45918</v>
      </c>
      <c r="D1653" s="8" t="s">
        <v>38</v>
      </c>
      <c r="E1653" s="67">
        <v>20000</v>
      </c>
      <c r="F1653" s="8">
        <v>0.01</v>
      </c>
      <c r="G1653" s="11">
        <v>45952</v>
      </c>
      <c r="H1653" s="68">
        <f t="shared" si="25"/>
        <v>200</v>
      </c>
      <c r="I1653" s="67" t="s">
        <v>10</v>
      </c>
      <c r="J1653" s="13">
        <v>45929</v>
      </c>
      <c r="K1653" t="s">
        <v>369</v>
      </c>
    </row>
    <row r="1654" hidden="1" spans="1:11">
      <c r="A1654" t="s">
        <v>319</v>
      </c>
      <c r="B1654" s="8">
        <v>252602036</v>
      </c>
      <c r="C1654" s="66">
        <v>45918</v>
      </c>
      <c r="D1654" s="8" t="s">
        <v>38</v>
      </c>
      <c r="E1654" s="67">
        <v>20000</v>
      </c>
      <c r="F1654" s="8">
        <v>0.01</v>
      </c>
      <c r="G1654" s="11">
        <v>45983</v>
      </c>
      <c r="H1654" s="68">
        <f t="shared" si="25"/>
        <v>200</v>
      </c>
      <c r="I1654" s="67" t="s">
        <v>10</v>
      </c>
      <c r="J1654" s="13">
        <v>45929</v>
      </c>
      <c r="K1654" t="s">
        <v>369</v>
      </c>
    </row>
    <row r="1655" hidden="1" spans="1:11">
      <c r="A1655" t="s">
        <v>319</v>
      </c>
      <c r="B1655" s="8">
        <v>252602037</v>
      </c>
      <c r="C1655" s="66">
        <v>45918</v>
      </c>
      <c r="D1655" s="8" t="s">
        <v>45</v>
      </c>
      <c r="E1655" s="67">
        <v>24000</v>
      </c>
      <c r="F1655" s="8">
        <v>0.024</v>
      </c>
      <c r="G1655" s="11">
        <v>45952</v>
      </c>
      <c r="H1655" s="68">
        <f t="shared" si="25"/>
        <v>576</v>
      </c>
      <c r="I1655" s="67" t="s">
        <v>10</v>
      </c>
      <c r="J1655" s="13">
        <v>45929</v>
      </c>
      <c r="K1655" t="s">
        <v>369</v>
      </c>
    </row>
    <row r="1656" hidden="1" spans="1:11">
      <c r="A1656" t="s">
        <v>319</v>
      </c>
      <c r="B1656" s="8">
        <v>252602037</v>
      </c>
      <c r="C1656" s="66">
        <v>45918</v>
      </c>
      <c r="D1656" s="8" t="s">
        <v>45</v>
      </c>
      <c r="E1656" s="67">
        <v>24000</v>
      </c>
      <c r="F1656" s="8">
        <v>0.024</v>
      </c>
      <c r="G1656" s="11">
        <v>45983</v>
      </c>
      <c r="H1656" s="68">
        <f t="shared" si="25"/>
        <v>576</v>
      </c>
      <c r="I1656" s="67" t="s">
        <v>10</v>
      </c>
      <c r="J1656" s="13">
        <v>45929</v>
      </c>
      <c r="K1656" t="s">
        <v>369</v>
      </c>
    </row>
    <row r="1657" hidden="1" spans="1:11">
      <c r="A1657" t="s">
        <v>319</v>
      </c>
      <c r="B1657" s="8">
        <v>252602041</v>
      </c>
      <c r="C1657" s="66">
        <v>45918</v>
      </c>
      <c r="D1657" s="8" t="s">
        <v>179</v>
      </c>
      <c r="E1657" s="67">
        <v>500000</v>
      </c>
      <c r="F1657" s="8">
        <v>0.065</v>
      </c>
      <c r="G1657" s="11">
        <v>46013</v>
      </c>
      <c r="H1657" s="68">
        <f t="shared" si="25"/>
        <v>32500</v>
      </c>
      <c r="I1657" s="10" t="s">
        <v>10</v>
      </c>
      <c r="J1657" s="13">
        <v>45944</v>
      </c>
      <c r="K1657" t="s">
        <v>337</v>
      </c>
    </row>
    <row r="1658" hidden="1" spans="1:11">
      <c r="A1658" t="s">
        <v>319</v>
      </c>
      <c r="B1658" s="8">
        <v>252602041</v>
      </c>
      <c r="C1658" s="66">
        <v>45918</v>
      </c>
      <c r="D1658" s="8" t="s">
        <v>41</v>
      </c>
      <c r="E1658" s="67">
        <v>150000</v>
      </c>
      <c r="F1658" s="8">
        <v>0.285</v>
      </c>
      <c r="G1658" s="11">
        <v>46013</v>
      </c>
      <c r="H1658" s="68">
        <f t="shared" si="25"/>
        <v>42750</v>
      </c>
      <c r="I1658" s="10" t="s">
        <v>10</v>
      </c>
      <c r="J1658" s="13">
        <v>45944</v>
      </c>
      <c r="K1658" t="s">
        <v>337</v>
      </c>
    </row>
    <row r="1659" hidden="1" spans="1:11">
      <c r="A1659" t="s">
        <v>319</v>
      </c>
      <c r="B1659" s="8">
        <v>252602041</v>
      </c>
      <c r="C1659" s="66">
        <v>45918</v>
      </c>
      <c r="D1659" s="8" t="s">
        <v>179</v>
      </c>
      <c r="E1659" s="67">
        <v>500000</v>
      </c>
      <c r="F1659" s="8">
        <v>0.065</v>
      </c>
      <c r="G1659" s="11">
        <v>46044</v>
      </c>
      <c r="H1659" s="68">
        <f t="shared" si="25"/>
        <v>32500</v>
      </c>
      <c r="I1659" s="10" t="s">
        <v>10</v>
      </c>
      <c r="J1659" s="13">
        <v>45944</v>
      </c>
      <c r="K1659" t="s">
        <v>337</v>
      </c>
    </row>
    <row r="1660" hidden="1" spans="1:11">
      <c r="A1660" t="s">
        <v>319</v>
      </c>
      <c r="B1660" s="8">
        <v>252602042</v>
      </c>
      <c r="C1660" s="66">
        <v>45918</v>
      </c>
      <c r="D1660" s="8" t="s">
        <v>483</v>
      </c>
      <c r="E1660" s="67">
        <v>60000</v>
      </c>
      <c r="F1660" s="8">
        <v>0.06</v>
      </c>
      <c r="G1660" s="11">
        <v>45983</v>
      </c>
      <c r="H1660" s="68">
        <f t="shared" si="25"/>
        <v>3600</v>
      </c>
      <c r="I1660" s="67" t="s">
        <v>10</v>
      </c>
      <c r="J1660" s="13">
        <v>45929</v>
      </c>
      <c r="K1660" t="s">
        <v>337</v>
      </c>
    </row>
    <row r="1661" hidden="1" spans="1:11">
      <c r="A1661" t="s">
        <v>319</v>
      </c>
      <c r="B1661" s="8">
        <v>252602042</v>
      </c>
      <c r="C1661" s="66">
        <v>45918</v>
      </c>
      <c r="D1661" s="8" t="s">
        <v>483</v>
      </c>
      <c r="E1661" s="67">
        <v>60000</v>
      </c>
      <c r="F1661" s="8">
        <v>0.06</v>
      </c>
      <c r="G1661" s="11">
        <v>46013</v>
      </c>
      <c r="H1661" s="68">
        <f t="shared" si="25"/>
        <v>3600</v>
      </c>
      <c r="I1661" s="67" t="s">
        <v>10</v>
      </c>
      <c r="J1661" s="13">
        <v>45929</v>
      </c>
      <c r="K1661" t="s">
        <v>337</v>
      </c>
    </row>
    <row r="1662" hidden="1" spans="1:11">
      <c r="A1662" t="s">
        <v>319</v>
      </c>
      <c r="B1662" s="8">
        <v>252602058</v>
      </c>
      <c r="C1662" s="66">
        <v>45922</v>
      </c>
      <c r="D1662" s="8" t="s">
        <v>533</v>
      </c>
      <c r="E1662" s="67">
        <v>24000</v>
      </c>
      <c r="F1662" s="8">
        <v>0.028</v>
      </c>
      <c r="G1662" s="11">
        <v>45945</v>
      </c>
      <c r="H1662" s="68">
        <f t="shared" si="25"/>
        <v>672</v>
      </c>
      <c r="I1662" s="10" t="s">
        <v>10</v>
      </c>
      <c r="J1662" s="13">
        <v>45944</v>
      </c>
      <c r="K1662" t="s">
        <v>378</v>
      </c>
    </row>
    <row r="1663" hidden="1" spans="1:11">
      <c r="A1663" t="s">
        <v>319</v>
      </c>
      <c r="B1663" s="8">
        <v>252602058</v>
      </c>
      <c r="C1663" s="66">
        <v>45922</v>
      </c>
      <c r="D1663" s="8" t="s">
        <v>533</v>
      </c>
      <c r="E1663" s="67">
        <v>20000</v>
      </c>
      <c r="F1663" s="8">
        <v>0.028</v>
      </c>
      <c r="G1663" s="11">
        <v>45945</v>
      </c>
      <c r="H1663" s="68">
        <f t="shared" si="25"/>
        <v>560</v>
      </c>
      <c r="I1663" s="10" t="s">
        <v>10</v>
      </c>
      <c r="J1663" s="13">
        <v>45944</v>
      </c>
      <c r="K1663" t="s">
        <v>378</v>
      </c>
    </row>
    <row r="1664" hidden="1" spans="1:11">
      <c r="A1664" t="s">
        <v>319</v>
      </c>
      <c r="B1664" s="8">
        <v>252602059</v>
      </c>
      <c r="C1664" s="66">
        <v>45922</v>
      </c>
      <c r="D1664" s="8" t="s">
        <v>128</v>
      </c>
      <c r="E1664" s="67">
        <v>40000</v>
      </c>
      <c r="F1664" s="8">
        <v>0.025</v>
      </c>
      <c r="G1664" s="11">
        <v>45945</v>
      </c>
      <c r="H1664" s="68">
        <f t="shared" si="25"/>
        <v>1000</v>
      </c>
      <c r="I1664" s="10" t="s">
        <v>10</v>
      </c>
      <c r="J1664" s="13">
        <v>45944</v>
      </c>
      <c r="K1664" t="s">
        <v>378</v>
      </c>
    </row>
    <row r="1665" hidden="1" spans="1:12">
      <c r="A1665" t="s">
        <v>319</v>
      </c>
      <c r="B1665" s="8">
        <v>252602059</v>
      </c>
      <c r="C1665" s="66">
        <v>45922</v>
      </c>
      <c r="D1665" s="8" t="s">
        <v>128</v>
      </c>
      <c r="E1665" s="67">
        <v>30000</v>
      </c>
      <c r="F1665" s="8">
        <v>0.025</v>
      </c>
      <c r="G1665" s="11">
        <v>45945</v>
      </c>
      <c r="H1665" s="68">
        <f t="shared" si="25"/>
        <v>750</v>
      </c>
      <c r="I1665" s="10" t="s">
        <v>10</v>
      </c>
      <c r="J1665" s="13">
        <v>45944</v>
      </c>
      <c r="K1665" t="s">
        <v>378</v>
      </c>
    </row>
    <row r="1666" hidden="1" spans="1:12">
      <c r="A1666" t="s">
        <v>319</v>
      </c>
      <c r="B1666" s="8">
        <v>252602060</v>
      </c>
      <c r="C1666" s="66">
        <v>45922</v>
      </c>
      <c r="D1666" s="8" t="s">
        <v>128</v>
      </c>
      <c r="E1666" s="67">
        <v>36000</v>
      </c>
      <c r="F1666" s="8">
        <v>0.025</v>
      </c>
      <c r="G1666" s="11">
        <v>45966</v>
      </c>
      <c r="H1666" s="68">
        <f t="shared" ref="H1666:H1729" si="26">E1666*F1666</f>
        <v>900</v>
      </c>
      <c r="I1666" s="10" t="s">
        <v>10</v>
      </c>
      <c r="J1666" s="13">
        <v>45944</v>
      </c>
      <c r="K1666" t="s">
        <v>378</v>
      </c>
    </row>
    <row r="1667" hidden="1" spans="1:12">
      <c r="A1667" t="s">
        <v>319</v>
      </c>
      <c r="B1667" s="8">
        <v>252602060</v>
      </c>
      <c r="C1667" s="66">
        <v>45922</v>
      </c>
      <c r="D1667" s="8" t="s">
        <v>128</v>
      </c>
      <c r="E1667" s="67">
        <v>28000</v>
      </c>
      <c r="F1667" s="8">
        <v>0.025</v>
      </c>
      <c r="G1667" s="11">
        <v>45996</v>
      </c>
      <c r="H1667" s="68">
        <f t="shared" si="26"/>
        <v>700</v>
      </c>
      <c r="I1667" s="10" t="s">
        <v>10</v>
      </c>
      <c r="J1667" s="13">
        <v>45944</v>
      </c>
      <c r="K1667" t="s">
        <v>378</v>
      </c>
    </row>
    <row r="1668" hidden="1" spans="1:12">
      <c r="A1668" t="s">
        <v>319</v>
      </c>
      <c r="B1668" s="8">
        <v>252602069</v>
      </c>
      <c r="C1668" s="66">
        <v>45923</v>
      </c>
      <c r="D1668" s="8" t="s">
        <v>39</v>
      </c>
      <c r="E1668" s="67">
        <v>400000</v>
      </c>
      <c r="F1668" s="8">
        <v>0.022</v>
      </c>
      <c r="G1668" s="11">
        <v>46013</v>
      </c>
      <c r="H1668" s="68">
        <f t="shared" si="26"/>
        <v>8800</v>
      </c>
      <c r="I1668" s="67" t="s">
        <v>10</v>
      </c>
      <c r="J1668" s="13">
        <v>45929</v>
      </c>
      <c r="K1668" t="s">
        <v>337</v>
      </c>
    </row>
    <row r="1669" hidden="1" spans="1:12">
      <c r="A1669" t="s">
        <v>319</v>
      </c>
      <c r="B1669" s="8">
        <v>252602071</v>
      </c>
      <c r="C1669" s="66">
        <v>45922</v>
      </c>
      <c r="D1669" s="8" t="s">
        <v>387</v>
      </c>
      <c r="E1669" s="67">
        <v>32000</v>
      </c>
      <c r="F1669" s="8">
        <v>0.025</v>
      </c>
      <c r="G1669" s="11">
        <v>45945</v>
      </c>
      <c r="H1669" s="68">
        <f t="shared" si="26"/>
        <v>800</v>
      </c>
      <c r="I1669" s="10" t="s">
        <v>10</v>
      </c>
      <c r="J1669" s="13">
        <v>45944</v>
      </c>
      <c r="K1669" t="s">
        <v>378</v>
      </c>
    </row>
    <row r="1670" hidden="1" spans="1:12">
      <c r="A1670" t="s">
        <v>319</v>
      </c>
      <c r="B1670" s="8">
        <v>252602071</v>
      </c>
      <c r="C1670" s="66">
        <v>45922</v>
      </c>
      <c r="D1670" s="8" t="s">
        <v>387</v>
      </c>
      <c r="E1670" s="67">
        <v>32000</v>
      </c>
      <c r="F1670" s="8">
        <v>0.025</v>
      </c>
      <c r="G1670" s="11">
        <v>45966</v>
      </c>
      <c r="H1670" s="68">
        <f t="shared" si="26"/>
        <v>800</v>
      </c>
      <c r="I1670" s="10" t="s">
        <v>10</v>
      </c>
      <c r="J1670" s="13">
        <v>45944</v>
      </c>
      <c r="K1670" t="s">
        <v>378</v>
      </c>
      <c r="L1670">
        <f>180+102</f>
        <v>282</v>
      </c>
    </row>
    <row r="1671" hidden="1" spans="1:12">
      <c r="A1671" t="s">
        <v>319</v>
      </c>
      <c r="B1671" s="8">
        <v>252602072</v>
      </c>
      <c r="C1671" s="66">
        <v>45922</v>
      </c>
      <c r="D1671" s="8" t="s">
        <v>387</v>
      </c>
      <c r="E1671" s="67">
        <v>24000</v>
      </c>
      <c r="F1671" s="8">
        <v>0.025</v>
      </c>
      <c r="G1671" s="11">
        <v>45925</v>
      </c>
      <c r="H1671" s="68">
        <f t="shared" si="26"/>
        <v>600</v>
      </c>
      <c r="I1671" s="10" t="s">
        <v>10</v>
      </c>
      <c r="J1671" s="13">
        <v>45944</v>
      </c>
      <c r="K1671" t="s">
        <v>378</v>
      </c>
    </row>
    <row r="1672" hidden="1" spans="1:12">
      <c r="A1672" t="s">
        <v>319</v>
      </c>
      <c r="B1672" s="8">
        <v>252602072</v>
      </c>
      <c r="C1672" s="66">
        <v>45922</v>
      </c>
      <c r="D1672" s="8" t="s">
        <v>387</v>
      </c>
      <c r="E1672" s="67">
        <v>20000</v>
      </c>
      <c r="F1672" s="8">
        <v>0.025</v>
      </c>
      <c r="G1672" s="11">
        <v>45925</v>
      </c>
      <c r="H1672" s="68">
        <f t="shared" si="26"/>
        <v>500</v>
      </c>
      <c r="I1672" s="10" t="s">
        <v>10</v>
      </c>
      <c r="J1672" s="13">
        <v>45944</v>
      </c>
      <c r="K1672" t="s">
        <v>378</v>
      </c>
    </row>
    <row r="1673" hidden="1" spans="1:12">
      <c r="A1673" t="s">
        <v>319</v>
      </c>
      <c r="B1673" s="8">
        <v>252602077</v>
      </c>
      <c r="C1673" s="66">
        <v>45923</v>
      </c>
      <c r="D1673" s="8" t="s">
        <v>33</v>
      </c>
      <c r="E1673" s="67">
        <v>200000</v>
      </c>
      <c r="F1673" s="8">
        <v>0.018</v>
      </c>
      <c r="G1673" s="11">
        <v>45983</v>
      </c>
      <c r="H1673" s="68">
        <f t="shared" si="26"/>
        <v>3600</v>
      </c>
      <c r="I1673" s="10" t="s">
        <v>10</v>
      </c>
      <c r="J1673" s="13">
        <v>45944</v>
      </c>
      <c r="K1673" t="s">
        <v>467</v>
      </c>
    </row>
    <row r="1674" hidden="1" spans="1:12">
      <c r="A1674" t="s">
        <v>319</v>
      </c>
      <c r="B1674" s="8">
        <v>252602077</v>
      </c>
      <c r="C1674" s="66">
        <v>45923</v>
      </c>
      <c r="D1674" s="8" t="s">
        <v>33</v>
      </c>
      <c r="E1674" s="67">
        <v>200000</v>
      </c>
      <c r="F1674" s="8">
        <v>0.018</v>
      </c>
      <c r="G1674" s="11">
        <v>46013</v>
      </c>
      <c r="H1674" s="68">
        <f t="shared" si="26"/>
        <v>3600</v>
      </c>
      <c r="I1674" s="10" t="s">
        <v>10</v>
      </c>
      <c r="J1674" s="13">
        <v>45944</v>
      </c>
      <c r="K1674" t="s">
        <v>467</v>
      </c>
    </row>
    <row r="1675" hidden="1" spans="1:12">
      <c r="A1675" t="s">
        <v>319</v>
      </c>
      <c r="B1675" s="8">
        <v>252602077</v>
      </c>
      <c r="C1675" s="66">
        <v>45923</v>
      </c>
      <c r="D1675" s="8" t="s">
        <v>33</v>
      </c>
      <c r="E1675" s="67">
        <v>200000</v>
      </c>
      <c r="F1675" s="8">
        <v>0.018</v>
      </c>
      <c r="G1675" s="11">
        <v>46044</v>
      </c>
      <c r="H1675" s="68">
        <f t="shared" si="26"/>
        <v>3600</v>
      </c>
      <c r="I1675" s="10" t="s">
        <v>10</v>
      </c>
      <c r="J1675" s="13">
        <v>45944</v>
      </c>
      <c r="K1675" t="s">
        <v>467</v>
      </c>
    </row>
    <row r="1676" hidden="1" spans="1:12">
      <c r="A1676" t="s">
        <v>319</v>
      </c>
      <c r="B1676" s="8">
        <v>252602078</v>
      </c>
      <c r="C1676" s="66">
        <v>45923</v>
      </c>
      <c r="D1676" s="8" t="s">
        <v>100</v>
      </c>
      <c r="E1676" s="67">
        <v>20000</v>
      </c>
      <c r="F1676" s="8">
        <v>0.0224</v>
      </c>
      <c r="G1676" s="11">
        <v>45983</v>
      </c>
      <c r="H1676" s="68">
        <f t="shared" si="26"/>
        <v>448</v>
      </c>
      <c r="I1676" s="10" t="s">
        <v>10</v>
      </c>
      <c r="J1676" s="13">
        <v>45944</v>
      </c>
      <c r="K1676" t="s">
        <v>467</v>
      </c>
    </row>
    <row r="1677" hidden="1" spans="1:12">
      <c r="A1677" t="s">
        <v>319</v>
      </c>
      <c r="B1677" s="8">
        <v>252602078</v>
      </c>
      <c r="C1677" s="66">
        <v>45923</v>
      </c>
      <c r="D1677" s="8" t="s">
        <v>100</v>
      </c>
      <c r="E1677" s="67">
        <v>20000</v>
      </c>
      <c r="F1677" s="8">
        <v>0.0224</v>
      </c>
      <c r="G1677" s="11">
        <v>46013</v>
      </c>
      <c r="H1677" s="68">
        <f t="shared" si="26"/>
        <v>448</v>
      </c>
      <c r="I1677" s="10" t="s">
        <v>10</v>
      </c>
      <c r="J1677" s="13">
        <v>45944</v>
      </c>
      <c r="K1677" t="s">
        <v>467</v>
      </c>
    </row>
    <row r="1678" hidden="1" spans="1:12">
      <c r="A1678" t="s">
        <v>319</v>
      </c>
      <c r="B1678" s="8">
        <v>252602079</v>
      </c>
      <c r="C1678" s="9">
        <v>45923</v>
      </c>
      <c r="D1678" s="8" t="s">
        <v>100</v>
      </c>
      <c r="E1678" s="10">
        <v>20000</v>
      </c>
      <c r="F1678" s="8">
        <v>0.0224</v>
      </c>
      <c r="G1678" s="11">
        <v>46044</v>
      </c>
      <c r="H1678" s="12">
        <f t="shared" si="26"/>
        <v>448</v>
      </c>
      <c r="I1678" s="10" t="s">
        <v>10</v>
      </c>
      <c r="J1678" s="13">
        <v>45947</v>
      </c>
      <c r="K1678" t="s">
        <v>467</v>
      </c>
    </row>
    <row r="1679" hidden="1" spans="1:12">
      <c r="B1679" s="14">
        <v>252602082</v>
      </c>
      <c r="C1679" s="13">
        <v>45924</v>
      </c>
      <c r="D1679" s="14" t="s">
        <v>589</v>
      </c>
      <c r="E1679" s="15">
        <v>1000</v>
      </c>
      <c r="F1679" s="14">
        <v>0.019</v>
      </c>
      <c r="G1679" s="16">
        <v>45924</v>
      </c>
      <c r="H1679" s="17">
        <f t="shared" si="26"/>
        <v>19</v>
      </c>
      <c r="I1679" s="15" t="s">
        <v>51</v>
      </c>
      <c r="J1679" s="15"/>
      <c r="K1679" t="s">
        <v>590</v>
      </c>
    </row>
    <row r="1680" hidden="1" spans="1:12">
      <c r="B1680" s="14">
        <v>252602082</v>
      </c>
      <c r="C1680" s="13">
        <v>45924</v>
      </c>
      <c r="D1680" s="14" t="s">
        <v>591</v>
      </c>
      <c r="E1680" s="15">
        <v>1000</v>
      </c>
      <c r="F1680" s="14">
        <v>0.021</v>
      </c>
      <c r="G1680" s="16">
        <v>45924</v>
      </c>
      <c r="H1680" s="17">
        <f t="shared" si="26"/>
        <v>21</v>
      </c>
      <c r="I1680" s="15" t="s">
        <v>51</v>
      </c>
      <c r="J1680" s="15"/>
      <c r="K1680" t="s">
        <v>590</v>
      </c>
    </row>
    <row r="1681" hidden="1" spans="1:11">
      <c r="B1681" s="14">
        <v>252602082</v>
      </c>
      <c r="C1681" s="13">
        <v>45924</v>
      </c>
      <c r="D1681" s="14" t="s">
        <v>592</v>
      </c>
      <c r="E1681" s="15">
        <v>915</v>
      </c>
      <c r="F1681" s="14">
        <v>0.028</v>
      </c>
      <c r="G1681" s="16">
        <v>45924</v>
      </c>
      <c r="H1681" s="17">
        <f t="shared" si="26"/>
        <v>25.62</v>
      </c>
      <c r="I1681" s="15" t="s">
        <v>51</v>
      </c>
      <c r="J1681" s="15"/>
      <c r="K1681" t="s">
        <v>590</v>
      </c>
    </row>
    <row r="1682" hidden="1" spans="1:11">
      <c r="B1682" s="14">
        <v>252602084</v>
      </c>
      <c r="C1682" s="13">
        <v>45924</v>
      </c>
      <c r="D1682" s="14" t="s">
        <v>593</v>
      </c>
      <c r="E1682" s="15">
        <v>20000</v>
      </c>
      <c r="F1682" s="14">
        <v>0.0152</v>
      </c>
      <c r="G1682" s="16">
        <v>45935</v>
      </c>
      <c r="H1682" s="17">
        <f t="shared" si="26"/>
        <v>304</v>
      </c>
      <c r="I1682" s="15" t="s">
        <v>317</v>
      </c>
      <c r="J1682" s="15" t="s">
        <v>501</v>
      </c>
      <c r="K1682" t="s">
        <v>594</v>
      </c>
    </row>
    <row r="1683" hidden="1" spans="1:11">
      <c r="A1683" t="s">
        <v>319</v>
      </c>
      <c r="B1683" s="8">
        <v>252602086</v>
      </c>
      <c r="C1683" s="66">
        <v>45923</v>
      </c>
      <c r="D1683" s="8" t="s">
        <v>78</v>
      </c>
      <c r="E1683" s="67">
        <v>30000</v>
      </c>
      <c r="F1683" s="8">
        <v>0.016</v>
      </c>
      <c r="G1683" s="11">
        <v>45983</v>
      </c>
      <c r="H1683" s="68">
        <f t="shared" si="26"/>
        <v>480</v>
      </c>
      <c r="I1683" s="10" t="s">
        <v>10</v>
      </c>
      <c r="J1683" s="13">
        <v>45944</v>
      </c>
      <c r="K1683" t="s">
        <v>467</v>
      </c>
    </row>
    <row r="1684" hidden="1" spans="1:11">
      <c r="A1684" t="s">
        <v>319</v>
      </c>
      <c r="B1684" s="8">
        <v>252602086</v>
      </c>
      <c r="C1684" s="66">
        <v>45923</v>
      </c>
      <c r="D1684" s="8" t="s">
        <v>78</v>
      </c>
      <c r="E1684" s="67">
        <v>30000</v>
      </c>
      <c r="F1684" s="8">
        <v>0.016</v>
      </c>
      <c r="G1684" s="11">
        <v>46013</v>
      </c>
      <c r="H1684" s="68">
        <f t="shared" si="26"/>
        <v>480</v>
      </c>
      <c r="I1684" s="10" t="s">
        <v>10</v>
      </c>
      <c r="J1684" s="13">
        <v>45944</v>
      </c>
      <c r="K1684" t="s">
        <v>467</v>
      </c>
    </row>
    <row r="1685" hidden="1" spans="1:11">
      <c r="A1685" t="s">
        <v>319</v>
      </c>
      <c r="B1685" s="8">
        <v>252602087</v>
      </c>
      <c r="C1685" s="9">
        <v>45923</v>
      </c>
      <c r="D1685" s="8" t="s">
        <v>78</v>
      </c>
      <c r="E1685" s="10">
        <v>30000</v>
      </c>
      <c r="F1685" s="8">
        <v>0.016</v>
      </c>
      <c r="G1685" s="11">
        <v>46044</v>
      </c>
      <c r="H1685" s="12">
        <f t="shared" si="26"/>
        <v>480</v>
      </c>
      <c r="I1685" s="10" t="s">
        <v>10</v>
      </c>
      <c r="J1685" s="13">
        <v>45947</v>
      </c>
      <c r="K1685" t="s">
        <v>467</v>
      </c>
    </row>
    <row r="1686" hidden="1" spans="1:11">
      <c r="A1686" t="s">
        <v>319</v>
      </c>
      <c r="B1686" s="8">
        <v>252602094</v>
      </c>
      <c r="C1686" s="66">
        <v>45925</v>
      </c>
      <c r="D1686" s="8" t="s">
        <v>58</v>
      </c>
      <c r="E1686" s="67">
        <v>40000</v>
      </c>
      <c r="F1686" s="8">
        <v>0.014</v>
      </c>
      <c r="G1686" s="11">
        <v>45966</v>
      </c>
      <c r="H1686" s="68">
        <f t="shared" si="26"/>
        <v>560</v>
      </c>
      <c r="I1686" s="10" t="s">
        <v>10</v>
      </c>
      <c r="J1686" s="13">
        <v>45944</v>
      </c>
      <c r="K1686" t="s">
        <v>528</v>
      </c>
    </row>
    <row r="1687" hidden="1" spans="1:11">
      <c r="A1687" t="s">
        <v>319</v>
      </c>
      <c r="B1687" s="8">
        <v>252602094</v>
      </c>
      <c r="C1687" s="66">
        <v>45925</v>
      </c>
      <c r="D1687" s="8" t="s">
        <v>58</v>
      </c>
      <c r="E1687" s="67">
        <v>40000</v>
      </c>
      <c r="F1687" s="8">
        <v>0.014</v>
      </c>
      <c r="G1687" s="11">
        <v>45996</v>
      </c>
      <c r="H1687" s="68">
        <f t="shared" si="26"/>
        <v>560</v>
      </c>
      <c r="I1687" s="10" t="s">
        <v>10</v>
      </c>
      <c r="J1687" s="13">
        <v>45944</v>
      </c>
      <c r="K1687" t="s">
        <v>528</v>
      </c>
    </row>
    <row r="1688" hidden="1" spans="1:11">
      <c r="A1688" t="s">
        <v>319</v>
      </c>
      <c r="B1688" s="8">
        <v>252602094</v>
      </c>
      <c r="C1688" s="66">
        <v>45925</v>
      </c>
      <c r="D1688" s="8" t="s">
        <v>127</v>
      </c>
      <c r="E1688" s="67">
        <v>100000</v>
      </c>
      <c r="F1688" s="8">
        <v>0.03</v>
      </c>
      <c r="G1688" s="11">
        <v>45996</v>
      </c>
      <c r="H1688" s="68">
        <f t="shared" si="26"/>
        <v>3000</v>
      </c>
      <c r="I1688" s="10" t="s">
        <v>10</v>
      </c>
      <c r="J1688" s="13">
        <v>45944</v>
      </c>
      <c r="K1688" t="s">
        <v>528</v>
      </c>
    </row>
    <row r="1689" hidden="1" spans="1:11">
      <c r="A1689" t="s">
        <v>319</v>
      </c>
      <c r="B1689" s="8">
        <v>252602094</v>
      </c>
      <c r="C1689" s="66">
        <v>45925</v>
      </c>
      <c r="D1689" s="8" t="s">
        <v>386</v>
      </c>
      <c r="E1689" s="67">
        <v>70000</v>
      </c>
      <c r="F1689" s="8">
        <v>0.03</v>
      </c>
      <c r="G1689" s="11">
        <v>45996</v>
      </c>
      <c r="H1689" s="68">
        <f t="shared" si="26"/>
        <v>2100</v>
      </c>
      <c r="I1689" s="10" t="s">
        <v>10</v>
      </c>
      <c r="J1689" s="13">
        <v>45944</v>
      </c>
      <c r="K1689" t="s">
        <v>528</v>
      </c>
    </row>
    <row r="1690" hidden="1" spans="1:11">
      <c r="A1690" t="s">
        <v>319</v>
      </c>
      <c r="B1690" s="8">
        <v>252602094</v>
      </c>
      <c r="C1690" s="66">
        <v>45925</v>
      </c>
      <c r="D1690" s="8" t="s">
        <v>129</v>
      </c>
      <c r="E1690" s="67">
        <v>30000</v>
      </c>
      <c r="F1690" s="8">
        <v>0.025</v>
      </c>
      <c r="G1690" s="11">
        <v>45996</v>
      </c>
      <c r="H1690" s="68">
        <f t="shared" si="26"/>
        <v>750</v>
      </c>
      <c r="I1690" s="10" t="s">
        <v>10</v>
      </c>
      <c r="J1690" s="13">
        <v>45944</v>
      </c>
      <c r="K1690" t="s">
        <v>528</v>
      </c>
    </row>
    <row r="1691" hidden="1" spans="1:11">
      <c r="A1691" t="s">
        <v>319</v>
      </c>
      <c r="B1691" s="8">
        <v>252602094</v>
      </c>
      <c r="C1691" s="66">
        <v>45925</v>
      </c>
      <c r="D1691" s="8" t="s">
        <v>282</v>
      </c>
      <c r="E1691" s="67">
        <v>20000</v>
      </c>
      <c r="F1691" s="8">
        <v>0.0304</v>
      </c>
      <c r="G1691" s="11">
        <v>45996</v>
      </c>
      <c r="H1691" s="68">
        <f t="shared" si="26"/>
        <v>608</v>
      </c>
      <c r="I1691" s="10" t="s">
        <v>10</v>
      </c>
      <c r="J1691" s="13">
        <v>45944</v>
      </c>
      <c r="K1691" t="s">
        <v>528</v>
      </c>
    </row>
    <row r="1692" hidden="1" spans="1:11">
      <c r="A1692" t="s">
        <v>319</v>
      </c>
      <c r="B1692" s="8">
        <v>252602094</v>
      </c>
      <c r="C1692" s="66">
        <v>45925</v>
      </c>
      <c r="D1692" s="8" t="s">
        <v>32</v>
      </c>
      <c r="E1692" s="67">
        <v>80000</v>
      </c>
      <c r="F1692" s="8">
        <v>0.014</v>
      </c>
      <c r="G1692" s="11">
        <v>45966</v>
      </c>
      <c r="H1692" s="68">
        <f t="shared" si="26"/>
        <v>1120</v>
      </c>
      <c r="I1692" s="10" t="s">
        <v>10</v>
      </c>
      <c r="J1692" s="13">
        <v>45944</v>
      </c>
      <c r="K1692" t="s">
        <v>528</v>
      </c>
    </row>
    <row r="1693" hidden="1" spans="1:11">
      <c r="A1693" t="s">
        <v>319</v>
      </c>
      <c r="B1693" s="8">
        <v>252602094</v>
      </c>
      <c r="C1693" s="66">
        <v>45925</v>
      </c>
      <c r="D1693" s="8" t="s">
        <v>32</v>
      </c>
      <c r="E1693" s="67">
        <v>80000</v>
      </c>
      <c r="F1693" s="8">
        <v>0.014</v>
      </c>
      <c r="G1693" s="11">
        <v>45996</v>
      </c>
      <c r="H1693" s="68">
        <f t="shared" si="26"/>
        <v>1120</v>
      </c>
      <c r="I1693" s="10" t="s">
        <v>10</v>
      </c>
      <c r="J1693" s="13">
        <v>45944</v>
      </c>
      <c r="K1693" t="s">
        <v>528</v>
      </c>
    </row>
    <row r="1694" hidden="1" spans="1:11">
      <c r="A1694" t="s">
        <v>319</v>
      </c>
      <c r="B1694" s="8">
        <v>252602094</v>
      </c>
      <c r="C1694" s="66">
        <v>45925</v>
      </c>
      <c r="D1694" s="8" t="s">
        <v>388</v>
      </c>
      <c r="E1694" s="67">
        <v>150000</v>
      </c>
      <c r="F1694" s="8">
        <v>0.035</v>
      </c>
      <c r="G1694" s="11">
        <v>45996</v>
      </c>
      <c r="H1694" s="68">
        <f t="shared" si="26"/>
        <v>5250</v>
      </c>
      <c r="I1694" s="10" t="s">
        <v>10</v>
      </c>
      <c r="J1694" s="13">
        <v>45944</v>
      </c>
      <c r="K1694" t="s">
        <v>528</v>
      </c>
    </row>
    <row r="1695" hidden="1" spans="1:11">
      <c r="A1695" t="s">
        <v>319</v>
      </c>
      <c r="B1695" s="8">
        <v>252602094</v>
      </c>
      <c r="C1695" s="66">
        <v>45925</v>
      </c>
      <c r="D1695" s="8" t="s">
        <v>213</v>
      </c>
      <c r="E1695" s="67">
        <v>150000</v>
      </c>
      <c r="F1695" s="8">
        <v>0.042</v>
      </c>
      <c r="G1695" s="11">
        <v>45996</v>
      </c>
      <c r="H1695" s="68">
        <f t="shared" si="26"/>
        <v>6300</v>
      </c>
      <c r="I1695" s="10" t="s">
        <v>10</v>
      </c>
      <c r="J1695" s="13">
        <v>45944</v>
      </c>
      <c r="K1695" t="s">
        <v>528</v>
      </c>
    </row>
    <row r="1696" hidden="1" spans="1:11">
      <c r="A1696" t="s">
        <v>319</v>
      </c>
      <c r="B1696" s="8">
        <v>252602094</v>
      </c>
      <c r="C1696" s="66">
        <v>45925</v>
      </c>
      <c r="D1696" s="8" t="s">
        <v>181</v>
      </c>
      <c r="E1696" s="67">
        <v>60000</v>
      </c>
      <c r="F1696" s="8">
        <v>0.0243</v>
      </c>
      <c r="G1696" s="11">
        <v>45966</v>
      </c>
      <c r="H1696" s="68">
        <f t="shared" si="26"/>
        <v>1458</v>
      </c>
      <c r="I1696" s="10" t="s">
        <v>10</v>
      </c>
      <c r="J1696" s="13">
        <v>45944</v>
      </c>
      <c r="K1696" t="s">
        <v>528</v>
      </c>
    </row>
    <row r="1697" hidden="1" spans="1:11">
      <c r="A1697" t="s">
        <v>319</v>
      </c>
      <c r="B1697" s="8">
        <v>252602094</v>
      </c>
      <c r="C1697" s="66">
        <v>45925</v>
      </c>
      <c r="D1697" s="8" t="s">
        <v>181</v>
      </c>
      <c r="E1697" s="67">
        <v>60000</v>
      </c>
      <c r="F1697" s="8">
        <v>0.0243</v>
      </c>
      <c r="G1697" s="11">
        <v>45996</v>
      </c>
      <c r="H1697" s="68">
        <f t="shared" si="26"/>
        <v>1458</v>
      </c>
      <c r="I1697" s="10" t="s">
        <v>10</v>
      </c>
      <c r="J1697" s="13">
        <v>45944</v>
      </c>
      <c r="K1697" t="s">
        <v>528</v>
      </c>
    </row>
    <row r="1698" hidden="1" spans="1:11">
      <c r="A1698" t="s">
        <v>319</v>
      </c>
      <c r="B1698" s="8">
        <v>252602094</v>
      </c>
      <c r="C1698" s="66">
        <v>45925</v>
      </c>
      <c r="D1698" s="8" t="s">
        <v>31</v>
      </c>
      <c r="E1698" s="67">
        <v>200000</v>
      </c>
      <c r="F1698" s="8">
        <v>0.024</v>
      </c>
      <c r="G1698" s="11">
        <v>45996</v>
      </c>
      <c r="H1698" s="68">
        <f t="shared" si="26"/>
        <v>4800</v>
      </c>
      <c r="I1698" s="10" t="s">
        <v>10</v>
      </c>
      <c r="J1698" s="13">
        <v>45944</v>
      </c>
      <c r="K1698" t="s">
        <v>528</v>
      </c>
    </row>
    <row r="1699" hidden="1" spans="1:11">
      <c r="A1699" t="s">
        <v>319</v>
      </c>
      <c r="B1699" s="8">
        <v>252602094</v>
      </c>
      <c r="C1699" s="66">
        <v>45925</v>
      </c>
      <c r="D1699" s="8" t="s">
        <v>31</v>
      </c>
      <c r="E1699" s="67">
        <v>100000</v>
      </c>
      <c r="F1699" s="8">
        <v>0.024</v>
      </c>
      <c r="G1699" s="11">
        <v>45996</v>
      </c>
      <c r="H1699" s="68">
        <f t="shared" si="26"/>
        <v>2400</v>
      </c>
      <c r="I1699" s="10" t="s">
        <v>10</v>
      </c>
      <c r="J1699" s="13">
        <v>45944</v>
      </c>
      <c r="K1699" t="s">
        <v>528</v>
      </c>
    </row>
    <row r="1700" hidden="1" spans="1:11">
      <c r="A1700" t="s">
        <v>319</v>
      </c>
      <c r="B1700" s="8">
        <v>252602094</v>
      </c>
      <c r="C1700" s="66">
        <v>45925</v>
      </c>
      <c r="D1700" s="8" t="s">
        <v>25</v>
      </c>
      <c r="E1700" s="67">
        <v>20000</v>
      </c>
      <c r="F1700" s="8">
        <v>0.016</v>
      </c>
      <c r="G1700" s="11">
        <v>45966</v>
      </c>
      <c r="H1700" s="68">
        <f t="shared" si="26"/>
        <v>320</v>
      </c>
      <c r="I1700" s="10" t="s">
        <v>10</v>
      </c>
      <c r="J1700" s="13">
        <v>45944</v>
      </c>
      <c r="K1700" t="s">
        <v>528</v>
      </c>
    </row>
    <row r="1701" hidden="1" spans="1:11">
      <c r="A1701" t="s">
        <v>319</v>
      </c>
      <c r="B1701" s="8">
        <v>252602094</v>
      </c>
      <c r="C1701" s="66">
        <v>45925</v>
      </c>
      <c r="D1701" s="8" t="s">
        <v>106</v>
      </c>
      <c r="E1701" s="67">
        <v>100000</v>
      </c>
      <c r="F1701" s="8">
        <v>0.033</v>
      </c>
      <c r="G1701" s="11">
        <v>45966</v>
      </c>
      <c r="H1701" s="68">
        <f t="shared" si="26"/>
        <v>3300</v>
      </c>
      <c r="I1701" s="10" t="s">
        <v>10</v>
      </c>
      <c r="J1701" s="13">
        <v>45944</v>
      </c>
      <c r="K1701" t="s">
        <v>528</v>
      </c>
    </row>
    <row r="1702" hidden="1" spans="1:11">
      <c r="A1702" t="s">
        <v>319</v>
      </c>
      <c r="B1702" s="8">
        <v>252602094</v>
      </c>
      <c r="C1702" s="66">
        <v>45925</v>
      </c>
      <c r="D1702" s="8" t="s">
        <v>106</v>
      </c>
      <c r="E1702" s="67">
        <v>100000</v>
      </c>
      <c r="F1702" s="8">
        <v>0.033</v>
      </c>
      <c r="G1702" s="11">
        <v>45996</v>
      </c>
      <c r="H1702" s="68">
        <f t="shared" si="26"/>
        <v>3300</v>
      </c>
      <c r="I1702" s="10" t="s">
        <v>10</v>
      </c>
      <c r="J1702" s="13">
        <v>45944</v>
      </c>
      <c r="K1702" t="s">
        <v>528</v>
      </c>
    </row>
    <row r="1703" hidden="1" spans="1:11">
      <c r="A1703" t="s">
        <v>319</v>
      </c>
      <c r="B1703" s="8">
        <v>252602095</v>
      </c>
      <c r="C1703" s="9">
        <v>45925</v>
      </c>
      <c r="D1703" s="8" t="s">
        <v>58</v>
      </c>
      <c r="E1703" s="10">
        <v>40000</v>
      </c>
      <c r="F1703" s="8">
        <v>0.014</v>
      </c>
      <c r="G1703" s="11">
        <v>46027</v>
      </c>
      <c r="H1703" s="12">
        <f t="shared" si="26"/>
        <v>560</v>
      </c>
      <c r="I1703" s="10" t="s">
        <v>10</v>
      </c>
      <c r="J1703" s="13">
        <v>45947</v>
      </c>
      <c r="K1703" t="s">
        <v>528</v>
      </c>
    </row>
    <row r="1704" hidden="1" spans="1:11">
      <c r="A1704" t="s">
        <v>319</v>
      </c>
      <c r="B1704" s="8">
        <v>252602095</v>
      </c>
      <c r="C1704" s="9">
        <v>45925</v>
      </c>
      <c r="D1704" s="8" t="s">
        <v>108</v>
      </c>
      <c r="E1704" s="10">
        <v>20000</v>
      </c>
      <c r="F1704" s="8">
        <v>0.04</v>
      </c>
      <c r="G1704" s="11">
        <v>46027</v>
      </c>
      <c r="H1704" s="12">
        <f t="shared" si="26"/>
        <v>800</v>
      </c>
      <c r="I1704" s="10" t="s">
        <v>10</v>
      </c>
      <c r="J1704" s="13">
        <v>45947</v>
      </c>
      <c r="K1704" t="s">
        <v>528</v>
      </c>
    </row>
    <row r="1705" hidden="1" spans="1:11">
      <c r="A1705" t="s">
        <v>319</v>
      </c>
      <c r="B1705" s="8">
        <v>252602095</v>
      </c>
      <c r="C1705" s="9">
        <v>45925</v>
      </c>
      <c r="D1705" s="8" t="s">
        <v>127</v>
      </c>
      <c r="E1705" s="10">
        <v>50000</v>
      </c>
      <c r="F1705" s="8">
        <v>0.03</v>
      </c>
      <c r="G1705" s="11">
        <v>46027</v>
      </c>
      <c r="H1705" s="12">
        <f t="shared" si="26"/>
        <v>1500</v>
      </c>
      <c r="I1705" s="10" t="s">
        <v>10</v>
      </c>
      <c r="J1705" s="13">
        <v>45947</v>
      </c>
      <c r="K1705" t="s">
        <v>528</v>
      </c>
    </row>
    <row r="1706" hidden="1" spans="1:11">
      <c r="A1706" t="s">
        <v>319</v>
      </c>
      <c r="B1706" s="8">
        <v>252602095</v>
      </c>
      <c r="C1706" s="9">
        <v>45925</v>
      </c>
      <c r="D1706" s="8" t="s">
        <v>386</v>
      </c>
      <c r="E1706" s="10">
        <v>30000</v>
      </c>
      <c r="F1706" s="8">
        <v>0.03</v>
      </c>
      <c r="G1706" s="11">
        <v>46027</v>
      </c>
      <c r="H1706" s="12">
        <f t="shared" si="26"/>
        <v>900</v>
      </c>
      <c r="I1706" s="10" t="s">
        <v>10</v>
      </c>
      <c r="J1706" s="13">
        <v>45947</v>
      </c>
      <c r="K1706" t="s">
        <v>528</v>
      </c>
    </row>
    <row r="1707" hidden="1" spans="1:11">
      <c r="A1707" t="s">
        <v>319</v>
      </c>
      <c r="B1707" s="8">
        <v>252602095</v>
      </c>
      <c r="C1707" s="9">
        <v>45925</v>
      </c>
      <c r="D1707" s="8" t="s">
        <v>129</v>
      </c>
      <c r="E1707" s="10">
        <v>30000</v>
      </c>
      <c r="F1707" s="8">
        <v>0.025</v>
      </c>
      <c r="G1707" s="11">
        <v>46027</v>
      </c>
      <c r="H1707" s="12">
        <f t="shared" si="26"/>
        <v>750</v>
      </c>
      <c r="I1707" s="10" t="s">
        <v>10</v>
      </c>
      <c r="J1707" s="13">
        <v>45947</v>
      </c>
      <c r="K1707" t="s">
        <v>528</v>
      </c>
    </row>
    <row r="1708" hidden="1" spans="1:11">
      <c r="A1708" t="s">
        <v>319</v>
      </c>
      <c r="B1708" s="8">
        <v>252602095</v>
      </c>
      <c r="C1708" s="9">
        <v>45925</v>
      </c>
      <c r="D1708" s="8" t="s">
        <v>387</v>
      </c>
      <c r="E1708" s="10">
        <v>30000</v>
      </c>
      <c r="F1708" s="8">
        <v>0.025</v>
      </c>
      <c r="G1708" s="11">
        <v>46027</v>
      </c>
      <c r="H1708" s="12">
        <f t="shared" si="26"/>
        <v>750</v>
      </c>
      <c r="I1708" s="10" t="s">
        <v>10</v>
      </c>
      <c r="J1708" s="13">
        <v>45947</v>
      </c>
      <c r="K1708" t="s">
        <v>528</v>
      </c>
    </row>
    <row r="1709" hidden="1" spans="1:11">
      <c r="A1709" t="s">
        <v>319</v>
      </c>
      <c r="B1709" s="8">
        <v>252602095</v>
      </c>
      <c r="C1709" s="9">
        <v>45925</v>
      </c>
      <c r="D1709" s="8" t="s">
        <v>128</v>
      </c>
      <c r="E1709" s="10">
        <v>30000</v>
      </c>
      <c r="F1709" s="8">
        <v>0.025</v>
      </c>
      <c r="G1709" s="11">
        <v>46027</v>
      </c>
      <c r="H1709" s="12">
        <f t="shared" si="26"/>
        <v>750</v>
      </c>
      <c r="I1709" s="10" t="s">
        <v>10</v>
      </c>
      <c r="J1709" s="13">
        <v>45947</v>
      </c>
      <c r="K1709" t="s">
        <v>528</v>
      </c>
    </row>
    <row r="1710" hidden="1" spans="1:11">
      <c r="A1710" t="s">
        <v>319</v>
      </c>
      <c r="B1710" s="8">
        <v>252602095</v>
      </c>
      <c r="C1710" s="9">
        <v>45925</v>
      </c>
      <c r="D1710" s="8" t="s">
        <v>516</v>
      </c>
      <c r="E1710" s="10">
        <v>40000</v>
      </c>
      <c r="F1710" s="8">
        <v>0.032</v>
      </c>
      <c r="G1710" s="11">
        <v>46027</v>
      </c>
      <c r="H1710" s="12">
        <f t="shared" si="26"/>
        <v>1280</v>
      </c>
      <c r="I1710" s="10" t="s">
        <v>10</v>
      </c>
      <c r="J1710" s="13">
        <v>45947</v>
      </c>
      <c r="K1710" t="s">
        <v>528</v>
      </c>
    </row>
    <row r="1711" hidden="1" spans="1:11">
      <c r="A1711" t="s">
        <v>319</v>
      </c>
      <c r="B1711" s="8">
        <v>252602095</v>
      </c>
      <c r="C1711" s="9">
        <v>45925</v>
      </c>
      <c r="D1711" s="8" t="s">
        <v>282</v>
      </c>
      <c r="E1711" s="10">
        <v>20000</v>
      </c>
      <c r="F1711" s="8">
        <v>0.0304</v>
      </c>
      <c r="G1711" s="11">
        <v>46027</v>
      </c>
      <c r="H1711" s="12">
        <f t="shared" si="26"/>
        <v>608</v>
      </c>
      <c r="I1711" s="10" t="s">
        <v>10</v>
      </c>
      <c r="J1711" s="13">
        <v>45947</v>
      </c>
      <c r="K1711" t="s">
        <v>528</v>
      </c>
    </row>
    <row r="1712" hidden="1" spans="1:11">
      <c r="A1712" t="s">
        <v>319</v>
      </c>
      <c r="B1712" s="8">
        <v>252602095</v>
      </c>
      <c r="C1712" s="9">
        <v>45925</v>
      </c>
      <c r="D1712" s="8" t="s">
        <v>32</v>
      </c>
      <c r="E1712" s="10">
        <v>80000</v>
      </c>
      <c r="F1712" s="8">
        <v>0.014</v>
      </c>
      <c r="G1712" s="11">
        <v>46027</v>
      </c>
      <c r="H1712" s="12">
        <f t="shared" si="26"/>
        <v>1120</v>
      </c>
      <c r="I1712" s="10" t="s">
        <v>10</v>
      </c>
      <c r="J1712" s="13">
        <v>45947</v>
      </c>
      <c r="K1712" t="s">
        <v>528</v>
      </c>
    </row>
    <row r="1713" hidden="1" spans="1:11">
      <c r="A1713" t="s">
        <v>319</v>
      </c>
      <c r="B1713" s="8">
        <v>252602095</v>
      </c>
      <c r="C1713" s="9">
        <v>45925</v>
      </c>
      <c r="D1713" s="8" t="s">
        <v>515</v>
      </c>
      <c r="E1713" s="10">
        <v>100000</v>
      </c>
      <c r="F1713" s="8">
        <v>0.0238</v>
      </c>
      <c r="G1713" s="11">
        <v>46027</v>
      </c>
      <c r="H1713" s="12">
        <f t="shared" si="26"/>
        <v>2380</v>
      </c>
      <c r="I1713" s="10" t="s">
        <v>10</v>
      </c>
      <c r="J1713" s="13">
        <v>45947</v>
      </c>
      <c r="K1713" t="s">
        <v>528</v>
      </c>
    </row>
    <row r="1714" hidden="1" spans="1:11">
      <c r="A1714" t="s">
        <v>319</v>
      </c>
      <c r="B1714" s="8">
        <v>252602095</v>
      </c>
      <c r="C1714" s="9">
        <v>45925</v>
      </c>
      <c r="D1714" s="8" t="s">
        <v>388</v>
      </c>
      <c r="E1714" s="10">
        <v>100000</v>
      </c>
      <c r="F1714" s="8">
        <v>0.035</v>
      </c>
      <c r="G1714" s="11">
        <v>46027</v>
      </c>
      <c r="H1714" s="12">
        <f t="shared" si="26"/>
        <v>3500</v>
      </c>
      <c r="I1714" s="10" t="s">
        <v>10</v>
      </c>
      <c r="J1714" s="13">
        <v>45947</v>
      </c>
      <c r="K1714" t="s">
        <v>528</v>
      </c>
    </row>
    <row r="1715" hidden="1" spans="1:11">
      <c r="A1715" t="s">
        <v>319</v>
      </c>
      <c r="B1715" s="8">
        <v>252602095</v>
      </c>
      <c r="C1715" s="9">
        <v>45925</v>
      </c>
      <c r="D1715" s="8" t="s">
        <v>213</v>
      </c>
      <c r="E1715" s="10">
        <v>100000</v>
      </c>
      <c r="F1715" s="8">
        <v>0.042</v>
      </c>
      <c r="G1715" s="11">
        <v>46027</v>
      </c>
      <c r="H1715" s="12">
        <f t="shared" si="26"/>
        <v>4200</v>
      </c>
      <c r="I1715" s="10" t="s">
        <v>10</v>
      </c>
      <c r="J1715" s="13">
        <v>45947</v>
      </c>
      <c r="K1715" t="s">
        <v>528</v>
      </c>
    </row>
    <row r="1716" hidden="1" spans="1:11">
      <c r="A1716" t="s">
        <v>319</v>
      </c>
      <c r="B1716" s="8">
        <v>252602095</v>
      </c>
      <c r="C1716" s="9">
        <v>45925</v>
      </c>
      <c r="D1716" s="8" t="s">
        <v>181</v>
      </c>
      <c r="E1716" s="10">
        <v>60000</v>
      </c>
      <c r="F1716" s="8">
        <v>0.0243</v>
      </c>
      <c r="G1716" s="11">
        <v>46027</v>
      </c>
      <c r="H1716" s="12">
        <f t="shared" si="26"/>
        <v>1458</v>
      </c>
      <c r="I1716" s="10" t="s">
        <v>10</v>
      </c>
      <c r="J1716" s="13">
        <v>45947</v>
      </c>
      <c r="K1716" t="s">
        <v>528</v>
      </c>
    </row>
    <row r="1717" hidden="1" spans="1:11">
      <c r="A1717" t="s">
        <v>319</v>
      </c>
      <c r="B1717" s="8">
        <v>252602095</v>
      </c>
      <c r="C1717" s="9">
        <v>45925</v>
      </c>
      <c r="D1717" s="8" t="s">
        <v>31</v>
      </c>
      <c r="E1717" s="10">
        <v>200000</v>
      </c>
      <c r="F1717" s="8">
        <v>0.024</v>
      </c>
      <c r="G1717" s="11">
        <v>46027</v>
      </c>
      <c r="H1717" s="12">
        <f t="shared" si="26"/>
        <v>4800</v>
      </c>
      <c r="I1717" s="10" t="s">
        <v>10</v>
      </c>
      <c r="J1717" s="13">
        <v>45947</v>
      </c>
      <c r="K1717" t="s">
        <v>528</v>
      </c>
    </row>
    <row r="1718" hidden="1" spans="1:11">
      <c r="A1718" t="s">
        <v>319</v>
      </c>
      <c r="B1718" s="8">
        <v>252602095</v>
      </c>
      <c r="C1718" s="9">
        <v>45925</v>
      </c>
      <c r="D1718" s="8" t="s">
        <v>31</v>
      </c>
      <c r="E1718" s="10">
        <v>100000</v>
      </c>
      <c r="F1718" s="8">
        <v>0.024</v>
      </c>
      <c r="G1718" s="11">
        <v>46027</v>
      </c>
      <c r="H1718" s="12">
        <f t="shared" si="26"/>
        <v>2400</v>
      </c>
      <c r="I1718" s="10" t="s">
        <v>10</v>
      </c>
      <c r="J1718" s="13">
        <v>45947</v>
      </c>
      <c r="K1718" t="s">
        <v>528</v>
      </c>
    </row>
    <row r="1719" hidden="1" spans="1:11">
      <c r="A1719" t="s">
        <v>319</v>
      </c>
      <c r="B1719" s="8">
        <v>252602095</v>
      </c>
      <c r="C1719" s="9">
        <v>45925</v>
      </c>
      <c r="D1719" s="8" t="s">
        <v>25</v>
      </c>
      <c r="E1719" s="10">
        <v>20000</v>
      </c>
      <c r="F1719" s="8">
        <v>0.016</v>
      </c>
      <c r="G1719" s="11">
        <v>46027</v>
      </c>
      <c r="H1719" s="12">
        <f t="shared" si="26"/>
        <v>320</v>
      </c>
      <c r="I1719" s="10" t="s">
        <v>10</v>
      </c>
      <c r="J1719" s="13">
        <v>45947</v>
      </c>
      <c r="K1719" t="s">
        <v>528</v>
      </c>
    </row>
    <row r="1720" hidden="1" spans="1:11">
      <c r="A1720" t="s">
        <v>319</v>
      </c>
      <c r="B1720" s="8">
        <v>252602095</v>
      </c>
      <c r="C1720" s="9">
        <v>45925</v>
      </c>
      <c r="D1720" s="8" t="s">
        <v>106</v>
      </c>
      <c r="E1720" s="10">
        <v>100000</v>
      </c>
      <c r="F1720" s="8">
        <v>0.033</v>
      </c>
      <c r="G1720" s="11">
        <v>46027</v>
      </c>
      <c r="H1720" s="12">
        <f t="shared" si="26"/>
        <v>3300</v>
      </c>
      <c r="I1720" s="10" t="s">
        <v>10</v>
      </c>
      <c r="J1720" s="13">
        <v>45947</v>
      </c>
      <c r="K1720" t="s">
        <v>528</v>
      </c>
    </row>
    <row r="1721" hidden="1" spans="1:11">
      <c r="A1721" t="s">
        <v>319</v>
      </c>
      <c r="B1721" s="8">
        <v>252602101</v>
      </c>
      <c r="C1721" s="66">
        <v>45925</v>
      </c>
      <c r="D1721" s="8" t="s">
        <v>181</v>
      </c>
      <c r="E1721" s="67">
        <v>200000</v>
      </c>
      <c r="F1721" s="8">
        <v>0.0243</v>
      </c>
      <c r="G1721" s="11">
        <v>45945</v>
      </c>
      <c r="H1721" s="68">
        <f t="shared" si="26"/>
        <v>4860</v>
      </c>
      <c r="I1721" s="10" t="s">
        <v>10</v>
      </c>
      <c r="J1721" s="13">
        <v>45944</v>
      </c>
      <c r="K1721" t="s">
        <v>439</v>
      </c>
    </row>
    <row r="1722" hidden="1" spans="1:11">
      <c r="A1722" t="s">
        <v>319</v>
      </c>
      <c r="B1722" s="8">
        <v>252602101</v>
      </c>
      <c r="C1722" s="66">
        <v>45925</v>
      </c>
      <c r="D1722" s="8" t="s">
        <v>181</v>
      </c>
      <c r="E1722" s="67">
        <v>100000</v>
      </c>
      <c r="F1722" s="8">
        <v>0.0243</v>
      </c>
      <c r="G1722" s="11">
        <v>45966</v>
      </c>
      <c r="H1722" s="68">
        <f t="shared" si="26"/>
        <v>2430</v>
      </c>
      <c r="I1722" s="10" t="s">
        <v>10</v>
      </c>
      <c r="J1722" s="13">
        <v>45944</v>
      </c>
      <c r="K1722" t="s">
        <v>439</v>
      </c>
    </row>
    <row r="1723" hidden="1" spans="1:11">
      <c r="A1723" t="s">
        <v>319</v>
      </c>
      <c r="B1723" s="8">
        <v>252602110</v>
      </c>
      <c r="C1723" s="9">
        <v>45925</v>
      </c>
      <c r="D1723" s="8" t="s">
        <v>466</v>
      </c>
      <c r="E1723" s="10">
        <v>1178</v>
      </c>
      <c r="F1723" s="8">
        <v>0.12</v>
      </c>
      <c r="G1723" s="11">
        <v>45935</v>
      </c>
      <c r="H1723" s="12">
        <f t="shared" si="26"/>
        <v>141.36</v>
      </c>
      <c r="I1723" s="10" t="s">
        <v>10</v>
      </c>
      <c r="J1723" s="13">
        <v>45961</v>
      </c>
      <c r="K1723" t="s">
        <v>365</v>
      </c>
    </row>
    <row r="1724" hidden="1" spans="1:11">
      <c r="B1724" s="14">
        <v>252602112</v>
      </c>
      <c r="C1724" s="13">
        <v>45926</v>
      </c>
      <c r="D1724" s="14" t="s">
        <v>595</v>
      </c>
      <c r="E1724" s="15">
        <v>300</v>
      </c>
      <c r="F1724" s="14">
        <v>0.032</v>
      </c>
      <c r="G1724" s="16">
        <v>45935</v>
      </c>
      <c r="H1724" s="17">
        <f t="shared" si="26"/>
        <v>9.6</v>
      </c>
      <c r="I1724" s="15" t="s">
        <v>51</v>
      </c>
      <c r="J1724" s="15"/>
      <c r="K1724" t="s">
        <v>486</v>
      </c>
    </row>
    <row r="1725" hidden="1" spans="1:11">
      <c r="B1725" s="14">
        <v>252602112</v>
      </c>
      <c r="C1725" s="13">
        <v>45926</v>
      </c>
      <c r="D1725" s="14" t="s">
        <v>596</v>
      </c>
      <c r="E1725" s="15">
        <v>300</v>
      </c>
      <c r="F1725" s="14">
        <v>0.034</v>
      </c>
      <c r="G1725" s="16">
        <v>45935</v>
      </c>
      <c r="H1725" s="17">
        <f t="shared" si="26"/>
        <v>10.2</v>
      </c>
      <c r="I1725" s="15" t="s">
        <v>51</v>
      </c>
      <c r="J1725" s="15"/>
      <c r="K1725" t="s">
        <v>486</v>
      </c>
    </row>
    <row r="1726" hidden="1" spans="1:11">
      <c r="B1726" s="14">
        <v>252602112</v>
      </c>
      <c r="C1726" s="13">
        <v>45926</v>
      </c>
      <c r="D1726" s="14" t="s">
        <v>597</v>
      </c>
      <c r="E1726" s="15">
        <v>300</v>
      </c>
      <c r="F1726" s="14">
        <v>0.031</v>
      </c>
      <c r="G1726" s="16">
        <v>45935</v>
      </c>
      <c r="H1726" s="17">
        <f t="shared" si="26"/>
        <v>9.3</v>
      </c>
      <c r="I1726" s="15" t="s">
        <v>51</v>
      </c>
      <c r="J1726" s="15"/>
      <c r="K1726" t="s">
        <v>486</v>
      </c>
    </row>
    <row r="1727" hidden="1" spans="1:11">
      <c r="B1727" s="14">
        <v>252602112</v>
      </c>
      <c r="C1727" s="13">
        <v>45926</v>
      </c>
      <c r="D1727" s="14" t="s">
        <v>598</v>
      </c>
      <c r="E1727" s="15">
        <v>300</v>
      </c>
      <c r="F1727" s="14">
        <v>0.0315</v>
      </c>
      <c r="G1727" s="16">
        <v>45935</v>
      </c>
      <c r="H1727" s="17">
        <f t="shared" si="26"/>
        <v>9.45</v>
      </c>
      <c r="I1727" s="15" t="s">
        <v>51</v>
      </c>
      <c r="J1727" s="15"/>
      <c r="K1727" t="s">
        <v>486</v>
      </c>
    </row>
    <row r="1728" hidden="1" spans="1:11">
      <c r="B1728" s="14">
        <v>252602112</v>
      </c>
      <c r="C1728" s="13">
        <v>45926</v>
      </c>
      <c r="D1728" s="14" t="s">
        <v>599</v>
      </c>
      <c r="E1728" s="15">
        <v>300</v>
      </c>
      <c r="F1728" s="14">
        <v>0.033</v>
      </c>
      <c r="G1728" s="16">
        <v>45935</v>
      </c>
      <c r="H1728" s="17">
        <f t="shared" si="26"/>
        <v>9.9</v>
      </c>
      <c r="I1728" s="15" t="s">
        <v>51</v>
      </c>
      <c r="J1728" s="15"/>
      <c r="K1728" t="s">
        <v>486</v>
      </c>
    </row>
    <row r="1729" hidden="1" spans="1:13">
      <c r="B1729" s="14">
        <v>252602112</v>
      </c>
      <c r="C1729" s="13">
        <v>45926</v>
      </c>
      <c r="D1729" s="14" t="s">
        <v>600</v>
      </c>
      <c r="E1729" s="15">
        <v>300</v>
      </c>
      <c r="F1729" s="14">
        <v>0.038</v>
      </c>
      <c r="G1729" s="16">
        <v>45935</v>
      </c>
      <c r="H1729" s="17">
        <f t="shared" si="26"/>
        <v>11.4</v>
      </c>
      <c r="I1729" s="15" t="s">
        <v>51</v>
      </c>
      <c r="J1729" s="15"/>
      <c r="K1729" t="s">
        <v>486</v>
      </c>
    </row>
    <row r="1730" hidden="1" spans="1:13">
      <c r="A1730" t="s">
        <v>319</v>
      </c>
      <c r="B1730" s="8">
        <v>252602125</v>
      </c>
      <c r="C1730" s="66">
        <v>45929</v>
      </c>
      <c r="D1730" s="8" t="s">
        <v>45</v>
      </c>
      <c r="E1730" s="67">
        <v>200000</v>
      </c>
      <c r="F1730" s="8">
        <v>0.024</v>
      </c>
      <c r="G1730" s="11">
        <v>45983</v>
      </c>
      <c r="H1730" s="68">
        <f t="shared" ref="H1730:H1793" si="27">E1730*F1730</f>
        <v>4800</v>
      </c>
      <c r="I1730" s="10" t="s">
        <v>10</v>
      </c>
      <c r="J1730" s="13">
        <v>45944</v>
      </c>
      <c r="K1730" t="s">
        <v>380</v>
      </c>
    </row>
    <row r="1731" hidden="1" spans="1:13">
      <c r="A1731" t="s">
        <v>319</v>
      </c>
      <c r="B1731" s="8">
        <v>252602125</v>
      </c>
      <c r="C1731" s="66">
        <v>45929</v>
      </c>
      <c r="D1731" s="8" t="s">
        <v>45</v>
      </c>
      <c r="E1731" s="67">
        <v>100000</v>
      </c>
      <c r="F1731" s="8">
        <v>0.024</v>
      </c>
      <c r="G1731" s="11">
        <v>45983</v>
      </c>
      <c r="H1731" s="68">
        <f t="shared" si="27"/>
        <v>2400</v>
      </c>
      <c r="I1731" s="10" t="s">
        <v>10</v>
      </c>
      <c r="J1731" s="13">
        <v>45944</v>
      </c>
      <c r="K1731" t="s">
        <v>380</v>
      </c>
    </row>
    <row r="1732" hidden="1" spans="1:13">
      <c r="A1732" t="s">
        <v>319</v>
      </c>
      <c r="B1732" s="8">
        <v>252602125</v>
      </c>
      <c r="C1732" s="66">
        <v>45929</v>
      </c>
      <c r="D1732" s="8" t="s">
        <v>45</v>
      </c>
      <c r="E1732" s="67">
        <v>200000</v>
      </c>
      <c r="F1732" s="8">
        <v>0.024</v>
      </c>
      <c r="G1732" s="11">
        <v>46013</v>
      </c>
      <c r="H1732" s="68">
        <f t="shared" si="27"/>
        <v>4800</v>
      </c>
      <c r="I1732" s="10" t="s">
        <v>10</v>
      </c>
      <c r="J1732" s="13">
        <v>45944</v>
      </c>
      <c r="K1732" t="s">
        <v>380</v>
      </c>
    </row>
    <row r="1733" hidden="1" spans="1:13">
      <c r="A1733" t="s">
        <v>319</v>
      </c>
      <c r="B1733" s="8">
        <v>252602125</v>
      </c>
      <c r="C1733" s="66">
        <v>45929</v>
      </c>
      <c r="D1733" s="8" t="s">
        <v>45</v>
      </c>
      <c r="E1733" s="67">
        <v>200000</v>
      </c>
      <c r="F1733" s="8">
        <v>0.024</v>
      </c>
      <c r="G1733" s="11">
        <v>46013</v>
      </c>
      <c r="H1733" s="68">
        <f t="shared" si="27"/>
        <v>4800</v>
      </c>
      <c r="I1733" s="10" t="s">
        <v>10</v>
      </c>
      <c r="J1733" s="13">
        <v>45944</v>
      </c>
      <c r="K1733" t="s">
        <v>380</v>
      </c>
    </row>
    <row r="1734" hidden="1" spans="1:13">
      <c r="A1734" t="s">
        <v>319</v>
      </c>
      <c r="B1734" s="8">
        <v>252602125</v>
      </c>
      <c r="C1734" s="66">
        <v>45929</v>
      </c>
      <c r="D1734" s="8" t="s">
        <v>40</v>
      </c>
      <c r="E1734" s="67">
        <v>200000</v>
      </c>
      <c r="F1734" s="8">
        <v>0.035</v>
      </c>
      <c r="G1734" s="11">
        <v>45983</v>
      </c>
      <c r="H1734" s="68">
        <f t="shared" si="27"/>
        <v>7000</v>
      </c>
      <c r="I1734" s="10" t="s">
        <v>10</v>
      </c>
      <c r="J1734" s="13">
        <v>45947</v>
      </c>
      <c r="K1734" t="s">
        <v>380</v>
      </c>
    </row>
    <row r="1735" hidden="1" spans="1:13">
      <c r="A1735" t="s">
        <v>319</v>
      </c>
      <c r="B1735" s="8">
        <v>252602125</v>
      </c>
      <c r="C1735" s="66">
        <v>45929</v>
      </c>
      <c r="D1735" s="8" t="s">
        <v>40</v>
      </c>
      <c r="E1735" s="67">
        <v>100000</v>
      </c>
      <c r="F1735" s="8">
        <v>0.035</v>
      </c>
      <c r="G1735" s="11">
        <v>45983</v>
      </c>
      <c r="H1735" s="68">
        <f t="shared" si="27"/>
        <v>3500</v>
      </c>
      <c r="I1735" s="10" t="s">
        <v>10</v>
      </c>
      <c r="J1735" s="13">
        <v>45947</v>
      </c>
      <c r="K1735" t="s">
        <v>380</v>
      </c>
      <c r="M1735" t="s">
        <v>601</v>
      </c>
    </row>
    <row r="1736" hidden="1" spans="1:13">
      <c r="A1736" t="s">
        <v>319</v>
      </c>
      <c r="B1736" s="8">
        <v>252602125</v>
      </c>
      <c r="C1736" s="66">
        <v>45929</v>
      </c>
      <c r="D1736" s="8" t="s">
        <v>40</v>
      </c>
      <c r="E1736" s="67">
        <v>200000</v>
      </c>
      <c r="F1736" s="8">
        <v>0.035</v>
      </c>
      <c r="G1736" s="11">
        <v>46013</v>
      </c>
      <c r="H1736" s="68">
        <f t="shared" si="27"/>
        <v>7000</v>
      </c>
      <c r="I1736" s="10" t="s">
        <v>10</v>
      </c>
      <c r="J1736" s="13">
        <v>45947</v>
      </c>
      <c r="K1736" t="s">
        <v>380</v>
      </c>
    </row>
    <row r="1737" hidden="1" spans="1:13">
      <c r="A1737" t="s">
        <v>319</v>
      </c>
      <c r="B1737" s="8">
        <v>252602125</v>
      </c>
      <c r="C1737" s="66">
        <v>45929</v>
      </c>
      <c r="D1737" s="8" t="s">
        <v>40</v>
      </c>
      <c r="E1737" s="67">
        <v>200000</v>
      </c>
      <c r="F1737" s="8">
        <v>0.035</v>
      </c>
      <c r="G1737" s="11">
        <v>46013</v>
      </c>
      <c r="H1737" s="68">
        <f t="shared" si="27"/>
        <v>7000</v>
      </c>
      <c r="I1737" s="10" t="s">
        <v>10</v>
      </c>
      <c r="J1737" s="13">
        <v>45947</v>
      </c>
      <c r="K1737" t="s">
        <v>380</v>
      </c>
    </row>
    <row r="1738" hidden="1" spans="1:13">
      <c r="A1738" t="s">
        <v>319</v>
      </c>
      <c r="B1738" s="8">
        <v>252602125</v>
      </c>
      <c r="C1738" s="66">
        <v>45929</v>
      </c>
      <c r="D1738" s="8" t="s">
        <v>96</v>
      </c>
      <c r="E1738" s="67">
        <v>112000</v>
      </c>
      <c r="F1738" s="8">
        <v>0.003</v>
      </c>
      <c r="G1738" s="11">
        <v>46013</v>
      </c>
      <c r="H1738" s="68">
        <f t="shared" si="27"/>
        <v>336</v>
      </c>
      <c r="I1738" s="10" t="s">
        <v>10</v>
      </c>
      <c r="J1738" s="13">
        <v>45947</v>
      </c>
      <c r="K1738" t="s">
        <v>380</v>
      </c>
    </row>
    <row r="1739" hidden="1" spans="1:13">
      <c r="A1739" t="s">
        <v>319</v>
      </c>
      <c r="B1739" s="8">
        <v>252602125</v>
      </c>
      <c r="C1739" s="66">
        <v>45929</v>
      </c>
      <c r="D1739" s="8" t="s">
        <v>46</v>
      </c>
      <c r="E1739" s="67">
        <v>200000</v>
      </c>
      <c r="F1739" s="8">
        <v>0.02</v>
      </c>
      <c r="G1739" s="11">
        <v>46013</v>
      </c>
      <c r="H1739" s="68">
        <f t="shared" si="27"/>
        <v>4000</v>
      </c>
      <c r="I1739" s="10" t="s">
        <v>10</v>
      </c>
      <c r="J1739" s="13">
        <v>45944</v>
      </c>
      <c r="K1739" t="s">
        <v>380</v>
      </c>
    </row>
    <row r="1740" hidden="1" spans="1:13">
      <c r="A1740" t="s">
        <v>319</v>
      </c>
      <c r="B1740" s="8">
        <v>252602125</v>
      </c>
      <c r="C1740" s="66">
        <v>45929</v>
      </c>
      <c r="D1740" s="8" t="s">
        <v>46</v>
      </c>
      <c r="E1740" s="67">
        <v>100000</v>
      </c>
      <c r="F1740" s="8">
        <v>0.02</v>
      </c>
      <c r="G1740" s="11">
        <v>46013</v>
      </c>
      <c r="H1740" s="68">
        <f t="shared" si="27"/>
        <v>2000</v>
      </c>
      <c r="I1740" s="10" t="s">
        <v>10</v>
      </c>
      <c r="J1740" s="13">
        <v>45944</v>
      </c>
      <c r="K1740" t="s">
        <v>380</v>
      </c>
    </row>
    <row r="1741" hidden="1" spans="1:13">
      <c r="A1741" t="s">
        <v>319</v>
      </c>
      <c r="B1741" s="8">
        <v>252602125</v>
      </c>
      <c r="C1741" s="66">
        <v>45929</v>
      </c>
      <c r="D1741" s="8" t="s">
        <v>62</v>
      </c>
      <c r="E1741" s="67">
        <v>208000</v>
      </c>
      <c r="F1741" s="8">
        <v>0.005</v>
      </c>
      <c r="G1741" s="11">
        <v>46013</v>
      </c>
      <c r="H1741" s="68">
        <f t="shared" si="27"/>
        <v>1040</v>
      </c>
      <c r="I1741" s="10" t="s">
        <v>10</v>
      </c>
      <c r="J1741" s="13">
        <v>45947</v>
      </c>
      <c r="K1741" t="s">
        <v>380</v>
      </c>
    </row>
    <row r="1742" hidden="1" spans="1:13">
      <c r="A1742" t="s">
        <v>319</v>
      </c>
      <c r="B1742" s="8">
        <v>252602125</v>
      </c>
      <c r="C1742" s="66">
        <v>45929</v>
      </c>
      <c r="D1742" s="8" t="s">
        <v>163</v>
      </c>
      <c r="E1742" s="67">
        <v>192000</v>
      </c>
      <c r="F1742" s="8">
        <v>0.0025</v>
      </c>
      <c r="G1742" s="11">
        <v>46013</v>
      </c>
      <c r="H1742" s="68">
        <f t="shared" si="27"/>
        <v>480</v>
      </c>
      <c r="I1742" s="10" t="s">
        <v>10</v>
      </c>
      <c r="J1742" s="13">
        <v>45944</v>
      </c>
      <c r="K1742" t="s">
        <v>380</v>
      </c>
    </row>
    <row r="1743" hidden="1" spans="1:13">
      <c r="A1743" t="s">
        <v>319</v>
      </c>
      <c r="B1743" s="8">
        <v>252602125</v>
      </c>
      <c r="C1743" s="66">
        <v>45929</v>
      </c>
      <c r="D1743" s="8" t="s">
        <v>163</v>
      </c>
      <c r="E1743" s="67">
        <v>112000</v>
      </c>
      <c r="F1743" s="8">
        <v>0.0025</v>
      </c>
      <c r="G1743" s="11">
        <v>46013</v>
      </c>
      <c r="H1743" s="68">
        <f t="shared" si="27"/>
        <v>280</v>
      </c>
      <c r="I1743" s="10" t="s">
        <v>10</v>
      </c>
      <c r="J1743" s="13">
        <v>45944</v>
      </c>
      <c r="K1743" t="s">
        <v>380</v>
      </c>
    </row>
    <row r="1744" hidden="1" spans="1:13">
      <c r="A1744" t="s">
        <v>319</v>
      </c>
      <c r="B1744" s="8">
        <v>252602127</v>
      </c>
      <c r="C1744" s="9">
        <v>45929</v>
      </c>
      <c r="D1744" s="8" t="s">
        <v>96</v>
      </c>
      <c r="E1744" s="10">
        <v>96000</v>
      </c>
      <c r="F1744" s="8">
        <v>0.003</v>
      </c>
      <c r="G1744" s="11">
        <v>46044</v>
      </c>
      <c r="H1744" s="12">
        <f t="shared" si="27"/>
        <v>288</v>
      </c>
      <c r="I1744" s="10" t="s">
        <v>10</v>
      </c>
      <c r="J1744" s="13">
        <v>45947</v>
      </c>
      <c r="K1744" t="s">
        <v>380</v>
      </c>
    </row>
    <row r="1745" hidden="1" spans="1:11">
      <c r="A1745" t="s">
        <v>319</v>
      </c>
      <c r="B1745" s="8">
        <v>252602127</v>
      </c>
      <c r="C1745" s="9">
        <v>45929</v>
      </c>
      <c r="D1745" s="8" t="s">
        <v>46</v>
      </c>
      <c r="E1745" s="10">
        <v>200000</v>
      </c>
      <c r="F1745" s="8">
        <v>0.02</v>
      </c>
      <c r="G1745" s="11">
        <v>46044</v>
      </c>
      <c r="H1745" s="12">
        <f t="shared" si="27"/>
        <v>4000</v>
      </c>
      <c r="I1745" s="10" t="s">
        <v>10</v>
      </c>
      <c r="J1745" s="13">
        <v>45947</v>
      </c>
      <c r="K1745" t="s">
        <v>380</v>
      </c>
    </row>
    <row r="1746" hidden="1" spans="1:11">
      <c r="A1746" t="s">
        <v>319</v>
      </c>
      <c r="B1746" s="8">
        <v>252602127</v>
      </c>
      <c r="C1746" s="9">
        <v>45929</v>
      </c>
      <c r="D1746" s="8" t="s">
        <v>62</v>
      </c>
      <c r="E1746" s="10">
        <v>192000</v>
      </c>
      <c r="F1746" s="8">
        <v>0.005</v>
      </c>
      <c r="G1746" s="11">
        <v>46044</v>
      </c>
      <c r="H1746" s="12">
        <f t="shared" si="27"/>
        <v>960</v>
      </c>
      <c r="I1746" s="10" t="s">
        <v>10</v>
      </c>
      <c r="J1746" s="13">
        <v>45947</v>
      </c>
      <c r="K1746" t="s">
        <v>380</v>
      </c>
    </row>
    <row r="1747" hidden="1" spans="1:11">
      <c r="A1747" t="s">
        <v>319</v>
      </c>
      <c r="B1747" s="8">
        <v>252602127</v>
      </c>
      <c r="C1747" s="9">
        <v>45929</v>
      </c>
      <c r="D1747" s="8" t="s">
        <v>163</v>
      </c>
      <c r="E1747" s="10">
        <v>192000</v>
      </c>
      <c r="F1747" s="8">
        <v>0.0025</v>
      </c>
      <c r="G1747" s="11">
        <v>46044</v>
      </c>
      <c r="H1747" s="12">
        <f t="shared" si="27"/>
        <v>480</v>
      </c>
      <c r="I1747" s="10" t="s">
        <v>10</v>
      </c>
      <c r="J1747" s="13">
        <v>45947</v>
      </c>
      <c r="K1747" t="s">
        <v>380</v>
      </c>
    </row>
    <row r="1748" hidden="1" spans="1:11">
      <c r="A1748" t="s">
        <v>319</v>
      </c>
      <c r="B1748" s="64">
        <v>252602141</v>
      </c>
      <c r="C1748" s="65">
        <v>45930</v>
      </c>
      <c r="D1748" s="64" t="s">
        <v>530</v>
      </c>
      <c r="E1748" s="77">
        <v>120000</v>
      </c>
      <c r="F1748" s="64">
        <v>0.015</v>
      </c>
      <c r="G1748" s="78">
        <v>45966</v>
      </c>
      <c r="H1748" s="79">
        <f t="shared" si="27"/>
        <v>1800</v>
      </c>
      <c r="I1748" s="77" t="s">
        <v>10</v>
      </c>
      <c r="J1748" s="13">
        <v>45934</v>
      </c>
      <c r="K1748" t="s">
        <v>445</v>
      </c>
    </row>
    <row r="1749" hidden="1" spans="1:11">
      <c r="A1749" t="s">
        <v>319</v>
      </c>
      <c r="B1749" s="64">
        <v>252602141</v>
      </c>
      <c r="C1749" s="65">
        <v>45930</v>
      </c>
      <c r="D1749" s="64" t="s">
        <v>530</v>
      </c>
      <c r="E1749" s="77">
        <v>120000</v>
      </c>
      <c r="F1749" s="64">
        <v>0.015</v>
      </c>
      <c r="G1749" s="78">
        <v>45996</v>
      </c>
      <c r="H1749" s="79">
        <f t="shared" si="27"/>
        <v>1800</v>
      </c>
      <c r="I1749" s="77" t="s">
        <v>10</v>
      </c>
      <c r="J1749" s="13">
        <v>45934</v>
      </c>
      <c r="K1749" t="s">
        <v>445</v>
      </c>
    </row>
    <row r="1750" hidden="1" spans="1:11">
      <c r="A1750" t="s">
        <v>319</v>
      </c>
      <c r="B1750" s="8">
        <v>252602142</v>
      </c>
      <c r="C1750" s="66">
        <v>45930</v>
      </c>
      <c r="D1750" s="8" t="s">
        <v>530</v>
      </c>
      <c r="E1750" s="67">
        <v>120000</v>
      </c>
      <c r="F1750" s="8">
        <v>0.015</v>
      </c>
      <c r="G1750" s="11">
        <v>46027</v>
      </c>
      <c r="H1750" s="68">
        <f t="shared" si="27"/>
        <v>1800</v>
      </c>
      <c r="I1750" s="10" t="s">
        <v>10</v>
      </c>
      <c r="J1750" s="13">
        <v>45944</v>
      </c>
      <c r="K1750" t="s">
        <v>445</v>
      </c>
    </row>
    <row r="1751" hidden="1" spans="1:11">
      <c r="A1751" t="s">
        <v>319</v>
      </c>
      <c r="B1751" s="8">
        <v>252602145</v>
      </c>
      <c r="C1751" s="66">
        <v>45930</v>
      </c>
      <c r="D1751" s="8" t="s">
        <v>30</v>
      </c>
      <c r="E1751" s="67">
        <v>40000</v>
      </c>
      <c r="F1751" s="8">
        <v>0.022</v>
      </c>
      <c r="G1751" s="11">
        <v>45966</v>
      </c>
      <c r="H1751" s="68">
        <f t="shared" si="27"/>
        <v>880</v>
      </c>
      <c r="I1751" s="10" t="s">
        <v>10</v>
      </c>
      <c r="J1751" s="13">
        <v>45944</v>
      </c>
      <c r="K1751" t="s">
        <v>486</v>
      </c>
    </row>
    <row r="1752" hidden="1" spans="1:11">
      <c r="A1752" t="s">
        <v>319</v>
      </c>
      <c r="B1752" s="64">
        <v>252602147</v>
      </c>
      <c r="C1752" s="65">
        <v>45930</v>
      </c>
      <c r="D1752" s="64" t="s">
        <v>512</v>
      </c>
      <c r="E1752" s="77">
        <v>20000</v>
      </c>
      <c r="F1752" s="64">
        <v>0.031</v>
      </c>
      <c r="G1752" s="78">
        <v>46011</v>
      </c>
      <c r="H1752" s="79">
        <f t="shared" si="27"/>
        <v>620</v>
      </c>
      <c r="I1752" s="77" t="s">
        <v>10</v>
      </c>
      <c r="J1752" s="13">
        <v>45934</v>
      </c>
      <c r="K1752" t="s">
        <v>491</v>
      </c>
    </row>
    <row r="1753" hidden="1" spans="1:11">
      <c r="A1753" t="s">
        <v>319</v>
      </c>
      <c r="B1753" s="64">
        <v>252602147</v>
      </c>
      <c r="C1753" s="65">
        <v>45930</v>
      </c>
      <c r="D1753" s="64" t="s">
        <v>242</v>
      </c>
      <c r="E1753" s="77">
        <v>20000</v>
      </c>
      <c r="F1753" s="64">
        <v>0.043</v>
      </c>
      <c r="G1753" s="78">
        <v>46011</v>
      </c>
      <c r="H1753" s="79">
        <f t="shared" si="27"/>
        <v>860</v>
      </c>
      <c r="I1753" s="77" t="s">
        <v>10</v>
      </c>
      <c r="J1753" s="13">
        <v>45934</v>
      </c>
      <c r="K1753" t="s">
        <v>491</v>
      </c>
    </row>
    <row r="1754" hidden="1" spans="1:11">
      <c r="A1754" t="s">
        <v>319</v>
      </c>
      <c r="B1754" s="8">
        <v>252602173</v>
      </c>
      <c r="C1754" s="9">
        <v>45933</v>
      </c>
      <c r="D1754" s="8" t="s">
        <v>45</v>
      </c>
      <c r="E1754" s="10">
        <v>200000</v>
      </c>
      <c r="F1754" s="8">
        <v>0.024</v>
      </c>
      <c r="G1754" s="11">
        <v>45983</v>
      </c>
      <c r="H1754" s="12">
        <f t="shared" si="27"/>
        <v>4800</v>
      </c>
      <c r="I1754" s="10" t="s">
        <v>10</v>
      </c>
      <c r="J1754" s="13">
        <v>45944</v>
      </c>
      <c r="K1754" t="s">
        <v>337</v>
      </c>
    </row>
    <row r="1755" hidden="1" spans="1:11">
      <c r="A1755" t="s">
        <v>319</v>
      </c>
      <c r="B1755" s="8">
        <v>252602173</v>
      </c>
      <c r="C1755" s="9">
        <v>45933</v>
      </c>
      <c r="D1755" s="8" t="s">
        <v>45</v>
      </c>
      <c r="E1755" s="10">
        <v>200000</v>
      </c>
      <c r="F1755" s="8">
        <v>0.024</v>
      </c>
      <c r="G1755" s="11">
        <v>46013</v>
      </c>
      <c r="H1755" s="12">
        <f t="shared" si="27"/>
        <v>4800</v>
      </c>
      <c r="I1755" s="10" t="s">
        <v>10</v>
      </c>
      <c r="J1755" s="13">
        <v>45944</v>
      </c>
      <c r="K1755" t="s">
        <v>337</v>
      </c>
    </row>
    <row r="1756" hidden="1" spans="1:11">
      <c r="A1756" t="s">
        <v>319</v>
      </c>
      <c r="B1756" s="8">
        <v>252602174</v>
      </c>
      <c r="C1756" s="9">
        <v>45933</v>
      </c>
      <c r="D1756" s="8" t="s">
        <v>38</v>
      </c>
      <c r="E1756" s="10">
        <v>52000</v>
      </c>
      <c r="F1756" s="8">
        <v>0.01</v>
      </c>
      <c r="G1756" s="11">
        <v>46013</v>
      </c>
      <c r="H1756" s="12">
        <f t="shared" si="27"/>
        <v>520</v>
      </c>
      <c r="I1756" s="10" t="s">
        <v>10</v>
      </c>
      <c r="J1756" s="13">
        <v>45944</v>
      </c>
      <c r="K1756" t="s">
        <v>377</v>
      </c>
    </row>
    <row r="1757" hidden="1" spans="1:11">
      <c r="A1757" t="s">
        <v>319</v>
      </c>
      <c r="B1757" s="8">
        <v>252602176</v>
      </c>
      <c r="C1757" s="9">
        <v>45931</v>
      </c>
      <c r="D1757" s="8" t="s">
        <v>577</v>
      </c>
      <c r="E1757" s="10">
        <v>46000</v>
      </c>
      <c r="F1757" s="8">
        <v>0.055</v>
      </c>
      <c r="G1757" s="11">
        <v>45966</v>
      </c>
      <c r="H1757" s="12">
        <f t="shared" si="27"/>
        <v>2530</v>
      </c>
      <c r="I1757" s="10" t="s">
        <v>10</v>
      </c>
      <c r="J1757" s="13">
        <v>45944</v>
      </c>
      <c r="K1757" t="s">
        <v>528</v>
      </c>
    </row>
    <row r="1758" hidden="1" spans="1:11">
      <c r="A1758" t="s">
        <v>319</v>
      </c>
      <c r="B1758" s="8">
        <v>252602176</v>
      </c>
      <c r="C1758" s="9">
        <v>45931</v>
      </c>
      <c r="D1758" s="8" t="s">
        <v>577</v>
      </c>
      <c r="E1758" s="10">
        <v>44000</v>
      </c>
      <c r="F1758" s="8">
        <v>0.055</v>
      </c>
      <c r="G1758" s="11">
        <v>45996</v>
      </c>
      <c r="H1758" s="12">
        <f t="shared" si="27"/>
        <v>2420</v>
      </c>
      <c r="I1758" s="10" t="s">
        <v>10</v>
      </c>
      <c r="J1758" s="13">
        <v>45944</v>
      </c>
      <c r="K1758" t="s">
        <v>528</v>
      </c>
    </row>
    <row r="1759" hidden="1" spans="1:11">
      <c r="A1759" t="s">
        <v>319</v>
      </c>
      <c r="B1759" s="8">
        <v>252602176</v>
      </c>
      <c r="C1759" s="9">
        <v>45931</v>
      </c>
      <c r="D1759" s="8" t="s">
        <v>581</v>
      </c>
      <c r="E1759" s="10">
        <v>20000</v>
      </c>
      <c r="F1759" s="8">
        <v>0.03</v>
      </c>
      <c r="G1759" s="11">
        <v>45940</v>
      </c>
      <c r="H1759" s="12">
        <f t="shared" si="27"/>
        <v>600</v>
      </c>
      <c r="I1759" s="10" t="s">
        <v>10</v>
      </c>
      <c r="J1759" s="13">
        <v>45944</v>
      </c>
      <c r="K1759" t="s">
        <v>528</v>
      </c>
    </row>
    <row r="1760" hidden="1" spans="1:11">
      <c r="A1760" t="s">
        <v>319</v>
      </c>
      <c r="B1760" s="8">
        <v>252602182</v>
      </c>
      <c r="C1760" s="9">
        <v>45931</v>
      </c>
      <c r="D1760" s="8" t="s">
        <v>111</v>
      </c>
      <c r="E1760" s="10">
        <v>70000</v>
      </c>
      <c r="F1760" s="8">
        <v>0.045</v>
      </c>
      <c r="G1760" s="11">
        <v>45996</v>
      </c>
      <c r="H1760" s="12">
        <f t="shared" si="27"/>
        <v>3150</v>
      </c>
      <c r="I1760" s="10" t="s">
        <v>10</v>
      </c>
      <c r="J1760" s="13">
        <v>45944</v>
      </c>
      <c r="K1760" t="s">
        <v>377</v>
      </c>
    </row>
    <row r="1761" hidden="1" spans="1:11">
      <c r="A1761" t="s">
        <v>319</v>
      </c>
      <c r="B1761" s="8">
        <v>252602182</v>
      </c>
      <c r="C1761" s="9">
        <v>45931</v>
      </c>
      <c r="D1761" s="8" t="s">
        <v>105</v>
      </c>
      <c r="E1761" s="10">
        <v>40000</v>
      </c>
      <c r="F1761" s="8">
        <v>0.18</v>
      </c>
      <c r="G1761" s="11">
        <v>45996</v>
      </c>
      <c r="H1761" s="12">
        <f t="shared" si="27"/>
        <v>7200</v>
      </c>
      <c r="I1761" s="10" t="s">
        <v>10</v>
      </c>
      <c r="J1761" s="13">
        <v>45944</v>
      </c>
      <c r="K1761" t="s">
        <v>377</v>
      </c>
    </row>
    <row r="1762" hidden="1" spans="1:11">
      <c r="A1762" t="s">
        <v>319</v>
      </c>
      <c r="B1762" s="8">
        <v>252602182</v>
      </c>
      <c r="C1762" s="9">
        <v>45931</v>
      </c>
      <c r="D1762" s="8" t="s">
        <v>162</v>
      </c>
      <c r="E1762" s="10">
        <v>200000</v>
      </c>
      <c r="F1762" s="8">
        <v>0.05</v>
      </c>
      <c r="G1762" s="11">
        <v>45996</v>
      </c>
      <c r="H1762" s="12">
        <f t="shared" si="27"/>
        <v>10000</v>
      </c>
      <c r="I1762" s="10" t="s">
        <v>10</v>
      </c>
      <c r="J1762" s="13">
        <v>45944</v>
      </c>
      <c r="K1762" t="s">
        <v>377</v>
      </c>
    </row>
    <row r="1763" hidden="1" spans="1:11">
      <c r="A1763" t="s">
        <v>319</v>
      </c>
      <c r="B1763" s="8">
        <v>252602182</v>
      </c>
      <c r="C1763" s="9">
        <v>45931</v>
      </c>
      <c r="D1763" s="8" t="s">
        <v>162</v>
      </c>
      <c r="E1763" s="10">
        <v>200000</v>
      </c>
      <c r="F1763" s="8">
        <v>0.05</v>
      </c>
      <c r="G1763" s="11">
        <v>46027</v>
      </c>
      <c r="H1763" s="12">
        <f t="shared" si="27"/>
        <v>10000</v>
      </c>
      <c r="I1763" s="10" t="s">
        <v>10</v>
      </c>
      <c r="J1763" s="13">
        <v>45944</v>
      </c>
      <c r="K1763" t="s">
        <v>377</v>
      </c>
    </row>
    <row r="1764" hidden="1" spans="1:11">
      <c r="A1764" t="s">
        <v>319</v>
      </c>
      <c r="B1764" s="8">
        <v>252602183</v>
      </c>
      <c r="C1764" s="9">
        <v>45931</v>
      </c>
      <c r="D1764" s="8" t="s">
        <v>35</v>
      </c>
      <c r="E1764" s="10">
        <v>50000</v>
      </c>
      <c r="F1764" s="8">
        <v>0.05</v>
      </c>
      <c r="G1764" s="11">
        <v>45996</v>
      </c>
      <c r="H1764" s="12">
        <f t="shared" si="27"/>
        <v>2500</v>
      </c>
      <c r="I1764" s="10" t="s">
        <v>10</v>
      </c>
      <c r="J1764" s="13">
        <v>45947</v>
      </c>
      <c r="K1764" t="s">
        <v>486</v>
      </c>
    </row>
    <row r="1765" hidden="1" spans="1:11">
      <c r="A1765" t="s">
        <v>319</v>
      </c>
      <c r="B1765" s="8">
        <v>252602183</v>
      </c>
      <c r="C1765" s="9">
        <v>45931</v>
      </c>
      <c r="D1765" s="8" t="s">
        <v>35</v>
      </c>
      <c r="E1765" s="10">
        <v>50000</v>
      </c>
      <c r="F1765" s="8">
        <v>0.05</v>
      </c>
      <c r="G1765" s="11">
        <v>46027</v>
      </c>
      <c r="H1765" s="12">
        <f t="shared" si="27"/>
        <v>2500</v>
      </c>
      <c r="I1765" s="10" t="s">
        <v>10</v>
      </c>
      <c r="J1765" s="13">
        <v>45947</v>
      </c>
      <c r="K1765" t="s">
        <v>486</v>
      </c>
    </row>
    <row r="1766" hidden="1" spans="1:11">
      <c r="A1766" t="s">
        <v>319</v>
      </c>
      <c r="B1766" s="8">
        <v>252602189</v>
      </c>
      <c r="C1766" s="9">
        <v>45936</v>
      </c>
      <c r="D1766" s="8" t="s">
        <v>181</v>
      </c>
      <c r="E1766" s="10">
        <v>20000</v>
      </c>
      <c r="F1766" s="8">
        <v>0.0243</v>
      </c>
      <c r="G1766" s="11">
        <v>45952</v>
      </c>
      <c r="H1766" s="12">
        <f t="shared" si="27"/>
        <v>486</v>
      </c>
      <c r="I1766" s="10" t="s">
        <v>10</v>
      </c>
      <c r="J1766" s="13">
        <v>45947</v>
      </c>
      <c r="K1766" t="s">
        <v>493</v>
      </c>
    </row>
    <row r="1767" hidden="1" spans="1:11">
      <c r="A1767" t="s">
        <v>319</v>
      </c>
      <c r="B1767" s="8">
        <v>252602189</v>
      </c>
      <c r="C1767" s="9">
        <v>45936</v>
      </c>
      <c r="D1767" s="8" t="s">
        <v>58</v>
      </c>
      <c r="E1767" s="10">
        <v>20000</v>
      </c>
      <c r="F1767" s="8">
        <v>0.014</v>
      </c>
      <c r="G1767" s="11">
        <v>45952</v>
      </c>
      <c r="H1767" s="12">
        <f t="shared" si="27"/>
        <v>280</v>
      </c>
      <c r="I1767" s="10" t="s">
        <v>10</v>
      </c>
      <c r="J1767" s="13">
        <v>45947</v>
      </c>
      <c r="K1767" t="s">
        <v>493</v>
      </c>
    </row>
    <row r="1768" hidden="1" spans="1:11">
      <c r="A1768" t="s">
        <v>319</v>
      </c>
      <c r="B1768" s="8">
        <v>252602190</v>
      </c>
      <c r="C1768" s="9">
        <v>45936</v>
      </c>
      <c r="D1768" s="8" t="s">
        <v>181</v>
      </c>
      <c r="E1768" s="10">
        <v>24000</v>
      </c>
      <c r="F1768" s="8">
        <v>0.0243</v>
      </c>
      <c r="G1768" s="11">
        <v>45966</v>
      </c>
      <c r="H1768" s="12">
        <f t="shared" si="27"/>
        <v>583.2</v>
      </c>
      <c r="I1768" s="10" t="s">
        <v>10</v>
      </c>
      <c r="J1768" s="13">
        <v>45947</v>
      </c>
      <c r="K1768" t="s">
        <v>493</v>
      </c>
    </row>
    <row r="1769" hidden="1" spans="1:11">
      <c r="A1769" t="s">
        <v>319</v>
      </c>
      <c r="B1769" s="8">
        <v>252602200</v>
      </c>
      <c r="C1769" s="9">
        <v>45937</v>
      </c>
      <c r="D1769" s="8" t="s">
        <v>602</v>
      </c>
      <c r="E1769" s="10">
        <v>80000</v>
      </c>
      <c r="F1769" s="8">
        <v>0.022</v>
      </c>
      <c r="G1769" s="11">
        <v>45966</v>
      </c>
      <c r="H1769" s="12">
        <f t="shared" si="27"/>
        <v>1760</v>
      </c>
      <c r="I1769" s="67" t="s">
        <v>10</v>
      </c>
      <c r="J1769" s="13">
        <v>45966</v>
      </c>
      <c r="K1769" t="s">
        <v>435</v>
      </c>
    </row>
    <row r="1770" hidden="1" spans="1:11">
      <c r="A1770" t="s">
        <v>319</v>
      </c>
      <c r="B1770" s="8">
        <v>252602200</v>
      </c>
      <c r="C1770" s="9">
        <v>45937</v>
      </c>
      <c r="D1770" s="50" t="s">
        <v>603</v>
      </c>
      <c r="E1770" s="10">
        <v>80000</v>
      </c>
      <c r="F1770" s="8">
        <v>0.025</v>
      </c>
      <c r="G1770" s="11">
        <v>45966</v>
      </c>
      <c r="H1770" s="12">
        <f t="shared" si="27"/>
        <v>2000</v>
      </c>
      <c r="I1770" s="67" t="s">
        <v>10</v>
      </c>
      <c r="J1770" s="13">
        <v>45992</v>
      </c>
      <c r="K1770" t="s">
        <v>435</v>
      </c>
    </row>
    <row r="1771" hidden="1" spans="1:11">
      <c r="A1771" t="s">
        <v>319</v>
      </c>
      <c r="B1771" s="8">
        <v>252602207</v>
      </c>
      <c r="C1771" s="9">
        <v>45937</v>
      </c>
      <c r="D1771" s="8" t="s">
        <v>461</v>
      </c>
      <c r="E1771" s="10">
        <v>36000</v>
      </c>
      <c r="F1771" s="8">
        <v>0.06</v>
      </c>
      <c r="G1771" s="11">
        <v>45966</v>
      </c>
      <c r="H1771" s="12">
        <f t="shared" si="27"/>
        <v>2160</v>
      </c>
      <c r="I1771" s="10" t="s">
        <v>10</v>
      </c>
      <c r="J1771" s="13">
        <v>45944</v>
      </c>
      <c r="K1771" t="s">
        <v>437</v>
      </c>
    </row>
    <row r="1772" hidden="1" spans="1:11">
      <c r="A1772" t="s">
        <v>319</v>
      </c>
      <c r="B1772" s="8">
        <v>252602207</v>
      </c>
      <c r="C1772" s="9">
        <v>45937</v>
      </c>
      <c r="D1772" s="8" t="s">
        <v>587</v>
      </c>
      <c r="E1772" s="10">
        <v>20000</v>
      </c>
      <c r="F1772" s="8">
        <v>0.028</v>
      </c>
      <c r="G1772" s="11">
        <v>45966</v>
      </c>
      <c r="H1772" s="12">
        <f t="shared" si="27"/>
        <v>560</v>
      </c>
      <c r="I1772" s="10" t="s">
        <v>10</v>
      </c>
      <c r="J1772" s="13">
        <v>45944</v>
      </c>
      <c r="K1772" t="s">
        <v>437</v>
      </c>
    </row>
    <row r="1773" hidden="1" spans="1:11">
      <c r="A1773" t="s">
        <v>319</v>
      </c>
      <c r="B1773" s="8">
        <v>252602220</v>
      </c>
      <c r="C1773" s="9">
        <v>45938</v>
      </c>
      <c r="D1773" s="8" t="s">
        <v>50</v>
      </c>
      <c r="E1773" s="10">
        <v>150000</v>
      </c>
      <c r="F1773" s="8">
        <v>0.08</v>
      </c>
      <c r="G1773" s="11">
        <v>46013</v>
      </c>
      <c r="H1773" s="12">
        <f t="shared" si="27"/>
        <v>12000</v>
      </c>
      <c r="I1773" s="10" t="s">
        <v>10</v>
      </c>
      <c r="J1773" s="13">
        <v>45947</v>
      </c>
      <c r="K1773" t="s">
        <v>377</v>
      </c>
    </row>
    <row r="1774" hidden="1" spans="1:11">
      <c r="A1774" t="s">
        <v>319</v>
      </c>
      <c r="B1774" s="8">
        <v>252602220</v>
      </c>
      <c r="C1774" s="9">
        <v>45938</v>
      </c>
      <c r="D1774" s="8" t="s">
        <v>502</v>
      </c>
      <c r="E1774" s="10">
        <v>40000</v>
      </c>
      <c r="F1774" s="8">
        <v>0.1</v>
      </c>
      <c r="G1774" s="11">
        <v>46044</v>
      </c>
      <c r="H1774" s="12">
        <f t="shared" si="27"/>
        <v>4000</v>
      </c>
      <c r="I1774" s="10" t="s">
        <v>10</v>
      </c>
      <c r="J1774" s="13">
        <v>45947</v>
      </c>
      <c r="K1774" t="s">
        <v>377</v>
      </c>
    </row>
    <row r="1775" hidden="1" spans="1:11">
      <c r="A1775" t="s">
        <v>319</v>
      </c>
      <c r="B1775" s="8">
        <v>252602220</v>
      </c>
      <c r="C1775" s="9">
        <v>45938</v>
      </c>
      <c r="D1775" s="8" t="s">
        <v>557</v>
      </c>
      <c r="E1775" s="10">
        <v>40000</v>
      </c>
      <c r="F1775" s="8">
        <v>0.026</v>
      </c>
      <c r="G1775" s="11">
        <v>46013</v>
      </c>
      <c r="H1775" s="12">
        <f t="shared" si="27"/>
        <v>1040</v>
      </c>
      <c r="I1775" s="67" t="s">
        <v>10</v>
      </c>
      <c r="J1775" s="13">
        <v>45966</v>
      </c>
      <c r="K1775" t="s">
        <v>377</v>
      </c>
    </row>
    <row r="1776" hidden="1" spans="1:11">
      <c r="A1776" t="s">
        <v>319</v>
      </c>
      <c r="B1776" s="8">
        <v>252602220</v>
      </c>
      <c r="C1776" s="9">
        <v>45938</v>
      </c>
      <c r="D1776" s="8" t="s">
        <v>557</v>
      </c>
      <c r="E1776" s="10">
        <v>54000</v>
      </c>
      <c r="F1776" s="8">
        <v>0.026</v>
      </c>
      <c r="G1776" s="11">
        <v>46044</v>
      </c>
      <c r="H1776" s="12">
        <f t="shared" si="27"/>
        <v>1404</v>
      </c>
      <c r="I1776" s="67" t="s">
        <v>10</v>
      </c>
      <c r="J1776" s="13">
        <v>45966</v>
      </c>
      <c r="K1776" t="s">
        <v>377</v>
      </c>
    </row>
    <row r="1777" hidden="1" spans="1:11">
      <c r="A1777" t="s">
        <v>319</v>
      </c>
      <c r="B1777" s="8">
        <v>252602222</v>
      </c>
      <c r="C1777" s="9">
        <v>45938</v>
      </c>
      <c r="D1777" s="8" t="s">
        <v>502</v>
      </c>
      <c r="E1777" s="10">
        <v>40000</v>
      </c>
      <c r="F1777" s="8">
        <v>0.1</v>
      </c>
      <c r="G1777" s="11">
        <v>46075</v>
      </c>
      <c r="H1777" s="12">
        <f t="shared" si="27"/>
        <v>4000</v>
      </c>
      <c r="I1777" s="10" t="s">
        <v>10</v>
      </c>
      <c r="J1777" s="13">
        <v>45947</v>
      </c>
      <c r="K1777" t="s">
        <v>377</v>
      </c>
    </row>
    <row r="1778" hidden="1" spans="1:11">
      <c r="A1778" t="s">
        <v>319</v>
      </c>
      <c r="B1778" s="8">
        <v>252602234</v>
      </c>
      <c r="C1778" s="9">
        <v>45938</v>
      </c>
      <c r="D1778" s="8" t="s">
        <v>31</v>
      </c>
      <c r="E1778" s="10">
        <v>200000</v>
      </c>
      <c r="F1778" s="8">
        <v>0.024</v>
      </c>
      <c r="G1778" s="11">
        <v>45996</v>
      </c>
      <c r="H1778" s="12">
        <f t="shared" si="27"/>
        <v>4800</v>
      </c>
      <c r="I1778" s="10" t="s">
        <v>10</v>
      </c>
      <c r="J1778" s="13">
        <v>45947</v>
      </c>
      <c r="K1778" t="s">
        <v>467</v>
      </c>
    </row>
    <row r="1779" hidden="1" spans="1:11">
      <c r="A1779" t="s">
        <v>319</v>
      </c>
      <c r="B1779" s="8">
        <v>252602234</v>
      </c>
      <c r="C1779" s="9">
        <v>45938</v>
      </c>
      <c r="D1779" s="8" t="s">
        <v>31</v>
      </c>
      <c r="E1779" s="10">
        <v>200000</v>
      </c>
      <c r="F1779" s="8">
        <v>0.024</v>
      </c>
      <c r="G1779" s="11">
        <v>45996</v>
      </c>
      <c r="H1779" s="12">
        <f t="shared" si="27"/>
        <v>4800</v>
      </c>
      <c r="I1779" s="10" t="s">
        <v>10</v>
      </c>
      <c r="J1779" s="13">
        <v>45947</v>
      </c>
      <c r="K1779" t="s">
        <v>467</v>
      </c>
    </row>
    <row r="1780" hidden="1" spans="1:11">
      <c r="A1780" t="s">
        <v>319</v>
      </c>
      <c r="B1780" s="8">
        <v>252602234</v>
      </c>
      <c r="C1780" s="9">
        <v>45938</v>
      </c>
      <c r="D1780" s="8" t="s">
        <v>31</v>
      </c>
      <c r="E1780" s="10">
        <v>200000</v>
      </c>
      <c r="F1780" s="8">
        <v>0.024</v>
      </c>
      <c r="G1780" s="11">
        <v>46027</v>
      </c>
      <c r="H1780" s="12">
        <f t="shared" si="27"/>
        <v>4800</v>
      </c>
      <c r="I1780" s="10" t="s">
        <v>10</v>
      </c>
      <c r="J1780" s="13">
        <v>45947</v>
      </c>
      <c r="K1780" t="s">
        <v>467</v>
      </c>
    </row>
    <row r="1781" hidden="1" spans="1:11">
      <c r="A1781" t="s">
        <v>319</v>
      </c>
      <c r="B1781" s="8">
        <v>252602234</v>
      </c>
      <c r="C1781" s="9">
        <v>45938</v>
      </c>
      <c r="D1781" s="8" t="s">
        <v>31</v>
      </c>
      <c r="E1781" s="10">
        <v>200000</v>
      </c>
      <c r="F1781" s="8">
        <v>0.024</v>
      </c>
      <c r="G1781" s="11">
        <v>46027</v>
      </c>
      <c r="H1781" s="12">
        <f t="shared" si="27"/>
        <v>4800</v>
      </c>
      <c r="I1781" s="10" t="s">
        <v>10</v>
      </c>
      <c r="J1781" s="13">
        <v>45947</v>
      </c>
      <c r="K1781" t="s">
        <v>467</v>
      </c>
    </row>
    <row r="1782" hidden="1" spans="1:11">
      <c r="A1782" t="s">
        <v>319</v>
      </c>
      <c r="B1782" s="8">
        <v>252602234</v>
      </c>
      <c r="C1782" s="9">
        <v>45938</v>
      </c>
      <c r="D1782" s="8" t="s">
        <v>78</v>
      </c>
      <c r="E1782" s="10">
        <v>150000</v>
      </c>
      <c r="F1782" s="8">
        <v>0.016</v>
      </c>
      <c r="G1782" s="11">
        <v>45996</v>
      </c>
      <c r="H1782" s="12">
        <f t="shared" si="27"/>
        <v>2400</v>
      </c>
      <c r="I1782" s="10" t="s">
        <v>10</v>
      </c>
      <c r="J1782" s="13">
        <v>45947</v>
      </c>
      <c r="K1782" t="s">
        <v>467</v>
      </c>
    </row>
    <row r="1783" hidden="1" spans="1:11">
      <c r="A1783" t="s">
        <v>319</v>
      </c>
      <c r="B1783" s="8">
        <v>252602234</v>
      </c>
      <c r="C1783" s="9">
        <v>45938</v>
      </c>
      <c r="D1783" s="8" t="s">
        <v>78</v>
      </c>
      <c r="E1783" s="10">
        <v>150000</v>
      </c>
      <c r="F1783" s="8">
        <v>0.016</v>
      </c>
      <c r="G1783" s="11">
        <v>46027</v>
      </c>
      <c r="H1783" s="12">
        <f t="shared" si="27"/>
        <v>2400</v>
      </c>
      <c r="I1783" s="10" t="s">
        <v>10</v>
      </c>
      <c r="J1783" s="13">
        <v>45947</v>
      </c>
      <c r="K1783" t="s">
        <v>467</v>
      </c>
    </row>
    <row r="1784" hidden="1" spans="1:11">
      <c r="A1784" t="s">
        <v>319</v>
      </c>
      <c r="B1784" s="8">
        <v>252602234</v>
      </c>
      <c r="C1784" s="9">
        <v>45938</v>
      </c>
      <c r="D1784" s="8" t="s">
        <v>468</v>
      </c>
      <c r="E1784" s="10">
        <v>30000</v>
      </c>
      <c r="F1784" s="8">
        <v>0.028</v>
      </c>
      <c r="G1784" s="11">
        <v>45966</v>
      </c>
      <c r="H1784" s="12">
        <f t="shared" si="27"/>
        <v>840</v>
      </c>
      <c r="I1784" s="10" t="s">
        <v>10</v>
      </c>
      <c r="J1784" s="13">
        <v>45947</v>
      </c>
      <c r="K1784" t="s">
        <v>467</v>
      </c>
    </row>
    <row r="1785" hidden="1" spans="1:11">
      <c r="A1785" t="s">
        <v>319</v>
      </c>
      <c r="B1785" s="8">
        <v>252602234</v>
      </c>
      <c r="C1785" s="9">
        <v>45938</v>
      </c>
      <c r="D1785" s="8" t="s">
        <v>468</v>
      </c>
      <c r="E1785" s="10">
        <v>30000</v>
      </c>
      <c r="F1785" s="8">
        <v>0.028</v>
      </c>
      <c r="G1785" s="11">
        <v>45996</v>
      </c>
      <c r="H1785" s="12">
        <f t="shared" si="27"/>
        <v>840</v>
      </c>
      <c r="I1785" s="10" t="s">
        <v>10</v>
      </c>
      <c r="J1785" s="13">
        <v>45947</v>
      </c>
      <c r="K1785" t="s">
        <v>467</v>
      </c>
    </row>
    <row r="1786" hidden="1" spans="1:11">
      <c r="A1786" t="s">
        <v>319</v>
      </c>
      <c r="B1786" s="8">
        <v>252602234</v>
      </c>
      <c r="C1786" s="9">
        <v>45938</v>
      </c>
      <c r="D1786" s="8" t="s">
        <v>468</v>
      </c>
      <c r="E1786" s="10">
        <v>20000</v>
      </c>
      <c r="F1786" s="8">
        <v>0.028</v>
      </c>
      <c r="G1786" s="11">
        <v>46027</v>
      </c>
      <c r="H1786" s="12">
        <f t="shared" si="27"/>
        <v>560</v>
      </c>
      <c r="I1786" s="10" t="s">
        <v>10</v>
      </c>
      <c r="J1786" s="13">
        <v>45947</v>
      </c>
      <c r="K1786" t="s">
        <v>467</v>
      </c>
    </row>
    <row r="1787" hidden="1" spans="1:11">
      <c r="A1787" t="s">
        <v>319</v>
      </c>
      <c r="B1787" s="8">
        <v>252602234</v>
      </c>
      <c r="C1787" s="9">
        <v>45938</v>
      </c>
      <c r="D1787" s="8" t="s">
        <v>181</v>
      </c>
      <c r="E1787" s="10">
        <v>120000</v>
      </c>
      <c r="F1787" s="8">
        <v>0.0243</v>
      </c>
      <c r="G1787" s="11">
        <v>45996</v>
      </c>
      <c r="H1787" s="12">
        <f t="shared" si="27"/>
        <v>2916</v>
      </c>
      <c r="I1787" s="10" t="s">
        <v>10</v>
      </c>
      <c r="J1787" s="13">
        <v>45947</v>
      </c>
      <c r="K1787" t="s">
        <v>467</v>
      </c>
    </row>
    <row r="1788" hidden="1" spans="1:11">
      <c r="A1788" t="s">
        <v>319</v>
      </c>
      <c r="B1788" s="8">
        <v>252602234</v>
      </c>
      <c r="C1788" s="9">
        <v>45938</v>
      </c>
      <c r="D1788" s="8" t="s">
        <v>181</v>
      </c>
      <c r="E1788" s="10">
        <v>120000</v>
      </c>
      <c r="F1788" s="8">
        <v>0.0243</v>
      </c>
      <c r="G1788" s="11">
        <v>46027</v>
      </c>
      <c r="H1788" s="12">
        <f t="shared" si="27"/>
        <v>2916</v>
      </c>
      <c r="I1788" s="10" t="s">
        <v>10</v>
      </c>
      <c r="J1788" s="13">
        <v>45947</v>
      </c>
      <c r="K1788" t="s">
        <v>467</v>
      </c>
    </row>
    <row r="1789" hidden="1" spans="1:11">
      <c r="A1789" t="s">
        <v>319</v>
      </c>
      <c r="B1789" s="8">
        <v>252602239</v>
      </c>
      <c r="C1789" s="9">
        <v>45939</v>
      </c>
      <c r="D1789" s="8" t="s">
        <v>181</v>
      </c>
      <c r="E1789" s="10">
        <v>20000</v>
      </c>
      <c r="F1789" s="8">
        <v>0.0243</v>
      </c>
      <c r="G1789" s="11">
        <v>45952</v>
      </c>
      <c r="H1789" s="12">
        <f t="shared" si="27"/>
        <v>486</v>
      </c>
      <c r="I1789" s="10" t="s">
        <v>10</v>
      </c>
      <c r="J1789" s="13">
        <v>45947</v>
      </c>
      <c r="K1789" t="s">
        <v>493</v>
      </c>
    </row>
    <row r="1790" hidden="1" spans="1:11">
      <c r="A1790" t="s">
        <v>319</v>
      </c>
      <c r="B1790" s="8">
        <v>252602244</v>
      </c>
      <c r="C1790" s="9">
        <v>45940</v>
      </c>
      <c r="D1790" s="8" t="s">
        <v>11</v>
      </c>
      <c r="E1790" s="10">
        <v>46000</v>
      </c>
      <c r="F1790" s="8">
        <v>0.032</v>
      </c>
      <c r="G1790" s="11">
        <v>45952</v>
      </c>
      <c r="H1790" s="12">
        <f t="shared" si="27"/>
        <v>1472</v>
      </c>
      <c r="I1790" s="10" t="s">
        <v>10</v>
      </c>
      <c r="J1790" s="13">
        <v>45947</v>
      </c>
      <c r="K1790" t="s">
        <v>378</v>
      </c>
    </row>
    <row r="1791" hidden="1" spans="1:11">
      <c r="A1791" t="s">
        <v>319</v>
      </c>
      <c r="B1791" s="8">
        <v>252602284</v>
      </c>
      <c r="C1791" s="9">
        <v>45945</v>
      </c>
      <c r="D1791" s="8" t="s">
        <v>285</v>
      </c>
      <c r="E1791" s="10">
        <v>24000</v>
      </c>
      <c r="F1791" s="8">
        <v>0.02</v>
      </c>
      <c r="G1791" s="11">
        <v>46027</v>
      </c>
      <c r="H1791" s="12">
        <f t="shared" si="27"/>
        <v>480</v>
      </c>
      <c r="I1791" s="10" t="s">
        <v>10</v>
      </c>
      <c r="J1791" s="13">
        <v>45960</v>
      </c>
      <c r="K1791" t="s">
        <v>469</v>
      </c>
    </row>
    <row r="1792" hidden="1" spans="1:11">
      <c r="A1792" t="s">
        <v>319</v>
      </c>
      <c r="B1792" s="8">
        <v>252602284</v>
      </c>
      <c r="C1792" s="9">
        <v>45945</v>
      </c>
      <c r="D1792" s="8" t="s">
        <v>285</v>
      </c>
      <c r="E1792" s="10">
        <v>24000</v>
      </c>
      <c r="F1792" s="8">
        <v>0.02</v>
      </c>
      <c r="G1792" s="11">
        <v>46058</v>
      </c>
      <c r="H1792" s="12">
        <f t="shared" si="27"/>
        <v>480</v>
      </c>
      <c r="I1792" s="10" t="s">
        <v>10</v>
      </c>
      <c r="J1792" s="13">
        <v>45960</v>
      </c>
      <c r="K1792" t="s">
        <v>469</v>
      </c>
    </row>
    <row r="1793" hidden="1" spans="1:11">
      <c r="A1793" t="s">
        <v>319</v>
      </c>
      <c r="B1793" s="8">
        <v>252602284</v>
      </c>
      <c r="C1793" s="9">
        <v>45945</v>
      </c>
      <c r="D1793" s="8" t="s">
        <v>286</v>
      </c>
      <c r="E1793" s="10">
        <v>24000</v>
      </c>
      <c r="F1793" s="8">
        <v>0.0235</v>
      </c>
      <c r="G1793" s="11">
        <v>46027</v>
      </c>
      <c r="H1793" s="12">
        <f t="shared" si="27"/>
        <v>564</v>
      </c>
      <c r="I1793" s="10" t="s">
        <v>10</v>
      </c>
      <c r="J1793" s="13">
        <v>45960</v>
      </c>
      <c r="K1793" t="s">
        <v>469</v>
      </c>
    </row>
    <row r="1794" hidden="1" spans="1:11">
      <c r="A1794" t="s">
        <v>319</v>
      </c>
      <c r="B1794" s="8">
        <v>252602284</v>
      </c>
      <c r="C1794" s="9">
        <v>45945</v>
      </c>
      <c r="D1794" s="8" t="s">
        <v>286</v>
      </c>
      <c r="E1794" s="10">
        <v>24000</v>
      </c>
      <c r="F1794" s="8">
        <v>0.0235</v>
      </c>
      <c r="G1794" s="11">
        <v>46058</v>
      </c>
      <c r="H1794" s="12">
        <f t="shared" ref="H1794:H1857" si="28">E1794*F1794</f>
        <v>564</v>
      </c>
      <c r="I1794" s="10" t="s">
        <v>10</v>
      </c>
      <c r="J1794" s="13">
        <v>45960</v>
      </c>
      <c r="K1794" t="s">
        <v>469</v>
      </c>
    </row>
    <row r="1795" hidden="1" spans="1:11">
      <c r="A1795" t="s">
        <v>319</v>
      </c>
      <c r="B1795" s="8">
        <v>252602284</v>
      </c>
      <c r="C1795" s="9">
        <v>45945</v>
      </c>
      <c r="D1795" s="8" t="s">
        <v>465</v>
      </c>
      <c r="E1795" s="10">
        <v>24000</v>
      </c>
      <c r="F1795" s="8">
        <v>0.018</v>
      </c>
      <c r="G1795" s="11">
        <v>46027</v>
      </c>
      <c r="H1795" s="12">
        <f t="shared" si="28"/>
        <v>432</v>
      </c>
      <c r="I1795" s="10" t="s">
        <v>10</v>
      </c>
      <c r="J1795" s="13">
        <v>45960</v>
      </c>
      <c r="K1795" t="s">
        <v>469</v>
      </c>
    </row>
    <row r="1796" hidden="1" spans="1:11">
      <c r="A1796" t="s">
        <v>319</v>
      </c>
      <c r="B1796" s="8">
        <v>252602284</v>
      </c>
      <c r="C1796" s="9">
        <v>45945</v>
      </c>
      <c r="D1796" s="8" t="s">
        <v>465</v>
      </c>
      <c r="E1796" s="10">
        <v>24000</v>
      </c>
      <c r="F1796" s="8">
        <v>0.018</v>
      </c>
      <c r="G1796" s="11">
        <v>46058</v>
      </c>
      <c r="H1796" s="12">
        <f t="shared" si="28"/>
        <v>432</v>
      </c>
      <c r="I1796" s="10" t="s">
        <v>10</v>
      </c>
      <c r="J1796" s="13">
        <v>45960</v>
      </c>
      <c r="K1796" t="s">
        <v>469</v>
      </c>
    </row>
    <row r="1797" hidden="1" spans="1:11">
      <c r="A1797" t="s">
        <v>319</v>
      </c>
      <c r="B1797" s="8">
        <v>252602284</v>
      </c>
      <c r="C1797" s="9">
        <v>45945</v>
      </c>
      <c r="D1797" s="8" t="s">
        <v>288</v>
      </c>
      <c r="E1797" s="10">
        <v>24000</v>
      </c>
      <c r="F1797" s="8">
        <v>0.022</v>
      </c>
      <c r="G1797" s="11">
        <v>46027</v>
      </c>
      <c r="H1797" s="12">
        <f t="shared" si="28"/>
        <v>528</v>
      </c>
      <c r="I1797" s="10" t="s">
        <v>10</v>
      </c>
      <c r="J1797" s="13">
        <v>45960</v>
      </c>
      <c r="K1797" t="s">
        <v>469</v>
      </c>
    </row>
    <row r="1798" hidden="1" spans="1:11">
      <c r="A1798" t="s">
        <v>319</v>
      </c>
      <c r="B1798" s="8">
        <v>252602284</v>
      </c>
      <c r="C1798" s="9">
        <v>45945</v>
      </c>
      <c r="D1798" s="8" t="s">
        <v>288</v>
      </c>
      <c r="E1798" s="10">
        <v>24000</v>
      </c>
      <c r="F1798" s="8">
        <v>0.022</v>
      </c>
      <c r="G1798" s="11">
        <v>46058</v>
      </c>
      <c r="H1798" s="12">
        <f t="shared" si="28"/>
        <v>528</v>
      </c>
      <c r="I1798" s="10" t="s">
        <v>10</v>
      </c>
      <c r="J1798" s="13">
        <v>45960</v>
      </c>
      <c r="K1798" t="s">
        <v>469</v>
      </c>
    </row>
    <row r="1799" hidden="1" spans="1:11">
      <c r="A1799" t="s">
        <v>319</v>
      </c>
      <c r="B1799" s="8">
        <v>252602285</v>
      </c>
      <c r="C1799" s="9">
        <v>45945</v>
      </c>
      <c r="D1799" s="8" t="s">
        <v>285</v>
      </c>
      <c r="E1799" s="10">
        <v>24000</v>
      </c>
      <c r="F1799" s="8">
        <v>0.02</v>
      </c>
      <c r="G1799" s="11">
        <v>45996</v>
      </c>
      <c r="H1799" s="12">
        <f t="shared" si="28"/>
        <v>480</v>
      </c>
      <c r="I1799" s="10" t="s">
        <v>10</v>
      </c>
      <c r="J1799" s="13">
        <v>45947</v>
      </c>
      <c r="K1799" t="s">
        <v>469</v>
      </c>
    </row>
    <row r="1800" hidden="1" spans="1:11">
      <c r="A1800" t="s">
        <v>319</v>
      </c>
      <c r="B1800" s="8">
        <v>252602285</v>
      </c>
      <c r="C1800" s="9">
        <v>45945</v>
      </c>
      <c r="D1800" s="8" t="s">
        <v>465</v>
      </c>
      <c r="E1800" s="10">
        <v>24000</v>
      </c>
      <c r="F1800" s="8">
        <v>0.018</v>
      </c>
      <c r="G1800" s="11">
        <v>45996</v>
      </c>
      <c r="H1800" s="12">
        <f t="shared" si="28"/>
        <v>432</v>
      </c>
      <c r="I1800" s="10" t="s">
        <v>10</v>
      </c>
      <c r="J1800" s="13">
        <v>45947</v>
      </c>
      <c r="K1800" t="s">
        <v>469</v>
      </c>
    </row>
    <row r="1801" hidden="1" spans="1:11">
      <c r="A1801" t="s">
        <v>319</v>
      </c>
      <c r="B1801" s="8">
        <v>252602285</v>
      </c>
      <c r="C1801" s="9">
        <v>45945</v>
      </c>
      <c r="D1801" s="8" t="s">
        <v>288</v>
      </c>
      <c r="E1801" s="10">
        <v>24000</v>
      </c>
      <c r="F1801" s="8">
        <v>0.022</v>
      </c>
      <c r="G1801" s="11">
        <v>45996</v>
      </c>
      <c r="H1801" s="12">
        <f t="shared" si="28"/>
        <v>528</v>
      </c>
      <c r="I1801" s="10" t="s">
        <v>10</v>
      </c>
      <c r="J1801" s="13">
        <v>45947</v>
      </c>
      <c r="K1801" t="s">
        <v>469</v>
      </c>
    </row>
    <row r="1802" hidden="1" spans="1:11">
      <c r="A1802" t="s">
        <v>319</v>
      </c>
      <c r="B1802" s="8">
        <v>252602287</v>
      </c>
      <c r="C1802" s="9">
        <v>45945</v>
      </c>
      <c r="D1802" s="8" t="s">
        <v>30</v>
      </c>
      <c r="E1802" s="10">
        <v>50000</v>
      </c>
      <c r="F1802" s="8">
        <v>0.022</v>
      </c>
      <c r="G1802" s="11">
        <v>46013</v>
      </c>
      <c r="H1802" s="12">
        <f t="shared" si="28"/>
        <v>1100</v>
      </c>
      <c r="I1802" s="10" t="s">
        <v>10</v>
      </c>
      <c r="J1802" s="13">
        <v>45947</v>
      </c>
      <c r="K1802" t="s">
        <v>369</v>
      </c>
    </row>
    <row r="1803" hidden="1" spans="1:11">
      <c r="A1803" t="s">
        <v>319</v>
      </c>
      <c r="B1803" s="8">
        <v>252602287</v>
      </c>
      <c r="C1803" s="9">
        <v>45945</v>
      </c>
      <c r="D1803" s="8" t="s">
        <v>30</v>
      </c>
      <c r="E1803" s="10">
        <v>50000</v>
      </c>
      <c r="F1803" s="8">
        <v>0.022</v>
      </c>
      <c r="G1803" s="11">
        <v>46044</v>
      </c>
      <c r="H1803" s="12">
        <f t="shared" si="28"/>
        <v>1100</v>
      </c>
      <c r="I1803" s="10" t="s">
        <v>10</v>
      </c>
      <c r="J1803" s="13">
        <v>45947</v>
      </c>
      <c r="K1803" t="s">
        <v>369</v>
      </c>
    </row>
    <row r="1804" hidden="1" spans="1:11">
      <c r="A1804" t="s">
        <v>319</v>
      </c>
      <c r="B1804" s="8">
        <v>252602288</v>
      </c>
      <c r="C1804" s="9">
        <v>45946</v>
      </c>
      <c r="D1804" s="8" t="s">
        <v>97</v>
      </c>
      <c r="E1804" s="10">
        <v>20000</v>
      </c>
      <c r="F1804" s="8">
        <v>0.065</v>
      </c>
      <c r="G1804" s="11">
        <v>45955</v>
      </c>
      <c r="H1804" s="12">
        <f t="shared" si="28"/>
        <v>1300</v>
      </c>
      <c r="I1804" s="10" t="s">
        <v>10</v>
      </c>
      <c r="J1804" s="13">
        <v>45947</v>
      </c>
      <c r="K1804" t="s">
        <v>391</v>
      </c>
    </row>
    <row r="1805" hidden="1" spans="1:11">
      <c r="A1805" t="s">
        <v>319</v>
      </c>
      <c r="B1805" s="8">
        <v>252602288</v>
      </c>
      <c r="C1805" s="9">
        <v>45946</v>
      </c>
      <c r="D1805" s="8" t="s">
        <v>97</v>
      </c>
      <c r="E1805" s="10">
        <v>20000</v>
      </c>
      <c r="F1805" s="8">
        <v>0.065</v>
      </c>
      <c r="G1805" s="11">
        <v>45955</v>
      </c>
      <c r="H1805" s="12">
        <f t="shared" si="28"/>
        <v>1300</v>
      </c>
      <c r="I1805" s="10" t="s">
        <v>10</v>
      </c>
      <c r="J1805" s="13">
        <v>45947</v>
      </c>
      <c r="K1805" t="s">
        <v>391</v>
      </c>
    </row>
    <row r="1806" hidden="1" spans="1:11">
      <c r="A1806" t="s">
        <v>319</v>
      </c>
      <c r="B1806" s="8">
        <v>252602291</v>
      </c>
      <c r="C1806" s="9">
        <v>45946</v>
      </c>
      <c r="D1806" s="8" t="s">
        <v>39</v>
      </c>
      <c r="E1806" s="10">
        <v>200000</v>
      </c>
      <c r="F1806" s="8">
        <v>0.022</v>
      </c>
      <c r="G1806" s="11">
        <v>45983</v>
      </c>
      <c r="H1806" s="12">
        <f t="shared" si="28"/>
        <v>4400</v>
      </c>
      <c r="I1806" s="10" t="s">
        <v>10</v>
      </c>
      <c r="J1806" s="13">
        <v>45950</v>
      </c>
      <c r="K1806" t="s">
        <v>431</v>
      </c>
    </row>
    <row r="1807" hidden="1" spans="1:11">
      <c r="A1807" t="s">
        <v>319</v>
      </c>
      <c r="B1807" s="8">
        <v>252602291</v>
      </c>
      <c r="C1807" s="9">
        <v>45946</v>
      </c>
      <c r="D1807" s="8" t="s">
        <v>39</v>
      </c>
      <c r="E1807" s="10">
        <v>200000</v>
      </c>
      <c r="F1807" s="8">
        <v>0.022</v>
      </c>
      <c r="G1807" s="11">
        <v>45983</v>
      </c>
      <c r="H1807" s="12">
        <f t="shared" si="28"/>
        <v>4400</v>
      </c>
      <c r="I1807" s="10" t="s">
        <v>10</v>
      </c>
      <c r="J1807" s="13">
        <v>45950</v>
      </c>
      <c r="K1807" t="s">
        <v>431</v>
      </c>
    </row>
    <row r="1808" hidden="1" spans="1:11">
      <c r="A1808" t="s">
        <v>319</v>
      </c>
      <c r="B1808" s="8">
        <v>252602291</v>
      </c>
      <c r="C1808" s="9">
        <v>45946</v>
      </c>
      <c r="D1808" s="8" t="s">
        <v>39</v>
      </c>
      <c r="E1808" s="10">
        <v>200000</v>
      </c>
      <c r="F1808" s="8">
        <v>0.022</v>
      </c>
      <c r="G1808" s="11">
        <v>45983</v>
      </c>
      <c r="H1808" s="12">
        <f t="shared" si="28"/>
        <v>4400</v>
      </c>
      <c r="I1808" s="10" t="s">
        <v>10</v>
      </c>
      <c r="J1808" s="13">
        <v>45950</v>
      </c>
      <c r="K1808" t="s">
        <v>431</v>
      </c>
    </row>
    <row r="1809" hidden="1" spans="1:11">
      <c r="A1809" t="s">
        <v>319</v>
      </c>
      <c r="B1809" s="8">
        <v>252602291</v>
      </c>
      <c r="C1809" s="9">
        <v>45946</v>
      </c>
      <c r="D1809" s="8" t="s">
        <v>39</v>
      </c>
      <c r="E1809" s="10">
        <v>200000</v>
      </c>
      <c r="F1809" s="8">
        <v>0.022</v>
      </c>
      <c r="G1809" s="11">
        <v>45983</v>
      </c>
      <c r="H1809" s="12">
        <f t="shared" si="28"/>
        <v>4400</v>
      </c>
      <c r="I1809" s="10" t="s">
        <v>10</v>
      </c>
      <c r="J1809" s="13">
        <v>45950</v>
      </c>
      <c r="K1809" t="s">
        <v>431</v>
      </c>
    </row>
    <row r="1810" hidden="1" spans="1:11">
      <c r="A1810" t="s">
        <v>319</v>
      </c>
      <c r="B1810" s="8">
        <v>252602291</v>
      </c>
      <c r="C1810" s="9">
        <v>45946</v>
      </c>
      <c r="D1810" s="8" t="s">
        <v>39</v>
      </c>
      <c r="E1810" s="10">
        <v>200000</v>
      </c>
      <c r="F1810" s="8">
        <v>0.022</v>
      </c>
      <c r="G1810" s="11">
        <v>45983</v>
      </c>
      <c r="H1810" s="12">
        <f t="shared" si="28"/>
        <v>4400</v>
      </c>
      <c r="I1810" s="10" t="s">
        <v>10</v>
      </c>
      <c r="J1810" s="13">
        <v>45950</v>
      </c>
      <c r="K1810" t="s">
        <v>431</v>
      </c>
    </row>
    <row r="1811" hidden="1" spans="1:11">
      <c r="A1811" t="s">
        <v>319</v>
      </c>
      <c r="B1811" s="8">
        <v>252602291</v>
      </c>
      <c r="C1811" s="9">
        <v>45946</v>
      </c>
      <c r="D1811" s="8" t="s">
        <v>39</v>
      </c>
      <c r="E1811" s="10">
        <v>200000</v>
      </c>
      <c r="F1811" s="8">
        <v>0.022</v>
      </c>
      <c r="G1811" s="11">
        <v>45983</v>
      </c>
      <c r="H1811" s="12">
        <f t="shared" si="28"/>
        <v>4400</v>
      </c>
      <c r="I1811" s="10" t="s">
        <v>10</v>
      </c>
      <c r="J1811" s="13">
        <v>45950</v>
      </c>
      <c r="K1811" t="s">
        <v>431</v>
      </c>
    </row>
    <row r="1812" hidden="1" spans="1:11">
      <c r="A1812" t="s">
        <v>319</v>
      </c>
      <c r="B1812" s="8">
        <v>252602291</v>
      </c>
      <c r="C1812" s="9">
        <v>45946</v>
      </c>
      <c r="D1812" s="8" t="s">
        <v>39</v>
      </c>
      <c r="E1812" s="10">
        <v>200000</v>
      </c>
      <c r="F1812" s="8">
        <v>0.022</v>
      </c>
      <c r="G1812" s="11">
        <v>46013</v>
      </c>
      <c r="H1812" s="12">
        <f t="shared" si="28"/>
        <v>4400</v>
      </c>
      <c r="I1812" s="10" t="s">
        <v>10</v>
      </c>
      <c r="J1812" s="13">
        <v>45950</v>
      </c>
      <c r="K1812" t="s">
        <v>431</v>
      </c>
    </row>
    <row r="1813" hidden="1" spans="1:11">
      <c r="A1813" t="s">
        <v>319</v>
      </c>
      <c r="B1813" s="8">
        <v>252602291</v>
      </c>
      <c r="C1813" s="9">
        <v>45946</v>
      </c>
      <c r="D1813" s="8" t="s">
        <v>39</v>
      </c>
      <c r="E1813" s="10">
        <v>200000</v>
      </c>
      <c r="F1813" s="8">
        <v>0.022</v>
      </c>
      <c r="G1813" s="11">
        <v>46013</v>
      </c>
      <c r="H1813" s="12">
        <f t="shared" si="28"/>
        <v>4400</v>
      </c>
      <c r="I1813" s="10" t="s">
        <v>10</v>
      </c>
      <c r="J1813" s="13">
        <v>45950</v>
      </c>
      <c r="K1813" t="s">
        <v>431</v>
      </c>
    </row>
    <row r="1814" hidden="1" spans="1:11">
      <c r="A1814" t="s">
        <v>319</v>
      </c>
      <c r="B1814" s="8">
        <v>252602291</v>
      </c>
      <c r="C1814" s="9">
        <v>45946</v>
      </c>
      <c r="D1814" s="8" t="s">
        <v>39</v>
      </c>
      <c r="E1814" s="10">
        <v>200000</v>
      </c>
      <c r="F1814" s="8">
        <v>0.022</v>
      </c>
      <c r="G1814" s="11">
        <v>46013</v>
      </c>
      <c r="H1814" s="12">
        <f t="shared" si="28"/>
        <v>4400</v>
      </c>
      <c r="I1814" s="10" t="s">
        <v>10</v>
      </c>
      <c r="J1814" s="13">
        <v>45950</v>
      </c>
      <c r="K1814" t="s">
        <v>431</v>
      </c>
    </row>
    <row r="1815" hidden="1" spans="1:11">
      <c r="A1815" t="s">
        <v>319</v>
      </c>
      <c r="B1815" s="8">
        <v>252602291</v>
      </c>
      <c r="C1815" s="9">
        <v>45946</v>
      </c>
      <c r="D1815" s="8" t="s">
        <v>39</v>
      </c>
      <c r="E1815" s="10">
        <v>200000</v>
      </c>
      <c r="F1815" s="8">
        <v>0.022</v>
      </c>
      <c r="G1815" s="11">
        <v>46013</v>
      </c>
      <c r="H1815" s="12">
        <f t="shared" si="28"/>
        <v>4400</v>
      </c>
      <c r="I1815" s="10" t="s">
        <v>10</v>
      </c>
      <c r="J1815" s="13">
        <v>45950</v>
      </c>
      <c r="K1815" t="s">
        <v>431</v>
      </c>
    </row>
    <row r="1816" hidden="1" spans="1:11">
      <c r="A1816" t="s">
        <v>319</v>
      </c>
      <c r="B1816" s="8">
        <v>252602291</v>
      </c>
      <c r="C1816" s="9">
        <v>45946</v>
      </c>
      <c r="D1816" s="8" t="s">
        <v>39</v>
      </c>
      <c r="E1816" s="10">
        <v>200000</v>
      </c>
      <c r="F1816" s="8">
        <v>0.022</v>
      </c>
      <c r="G1816" s="11">
        <v>46013</v>
      </c>
      <c r="H1816" s="12">
        <f t="shared" si="28"/>
        <v>4400</v>
      </c>
      <c r="I1816" s="10" t="s">
        <v>10</v>
      </c>
      <c r="J1816" s="13">
        <v>45950</v>
      </c>
      <c r="K1816" t="s">
        <v>431</v>
      </c>
    </row>
    <row r="1817" hidden="1" spans="1:11">
      <c r="A1817" t="s">
        <v>319</v>
      </c>
      <c r="B1817" s="8">
        <v>252602291</v>
      </c>
      <c r="C1817" s="9">
        <v>45946</v>
      </c>
      <c r="D1817" s="8" t="s">
        <v>39</v>
      </c>
      <c r="E1817" s="10">
        <v>200000</v>
      </c>
      <c r="F1817" s="8">
        <v>0.022</v>
      </c>
      <c r="G1817" s="11">
        <v>46013</v>
      </c>
      <c r="H1817" s="12">
        <f t="shared" si="28"/>
        <v>4400</v>
      </c>
      <c r="I1817" s="10" t="s">
        <v>10</v>
      </c>
      <c r="J1817" s="13">
        <v>45950</v>
      </c>
      <c r="K1817" t="s">
        <v>431</v>
      </c>
    </row>
    <row r="1818" hidden="1" spans="1:11">
      <c r="A1818" t="s">
        <v>319</v>
      </c>
      <c r="B1818" s="8">
        <v>252602292</v>
      </c>
      <c r="C1818" s="9">
        <v>45946</v>
      </c>
      <c r="D1818" s="8" t="s">
        <v>39</v>
      </c>
      <c r="E1818" s="10">
        <v>200000</v>
      </c>
      <c r="F1818" s="8">
        <v>0.022</v>
      </c>
      <c r="G1818" s="11">
        <v>46044</v>
      </c>
      <c r="H1818" s="12">
        <f t="shared" si="28"/>
        <v>4400</v>
      </c>
      <c r="I1818" s="10" t="s">
        <v>10</v>
      </c>
      <c r="J1818" s="13">
        <v>45950</v>
      </c>
      <c r="K1818" t="s">
        <v>431</v>
      </c>
    </row>
    <row r="1819" hidden="1" spans="1:11">
      <c r="A1819" t="s">
        <v>319</v>
      </c>
      <c r="B1819" s="8">
        <v>252602292</v>
      </c>
      <c r="C1819" s="9">
        <v>45946</v>
      </c>
      <c r="D1819" s="8" t="s">
        <v>39</v>
      </c>
      <c r="E1819" s="10">
        <v>200000</v>
      </c>
      <c r="F1819" s="8">
        <v>0.022</v>
      </c>
      <c r="G1819" s="11">
        <v>46044</v>
      </c>
      <c r="H1819" s="12">
        <f t="shared" si="28"/>
        <v>4400</v>
      </c>
      <c r="I1819" s="10" t="s">
        <v>10</v>
      </c>
      <c r="J1819" s="13">
        <v>45950</v>
      </c>
      <c r="K1819" t="s">
        <v>431</v>
      </c>
    </row>
    <row r="1820" hidden="1" spans="1:11">
      <c r="A1820" t="s">
        <v>319</v>
      </c>
      <c r="B1820" s="8">
        <v>252602292</v>
      </c>
      <c r="C1820" s="9">
        <v>45946</v>
      </c>
      <c r="D1820" s="8" t="s">
        <v>39</v>
      </c>
      <c r="E1820" s="10">
        <v>200000</v>
      </c>
      <c r="F1820" s="8">
        <v>0.022</v>
      </c>
      <c r="G1820" s="11">
        <v>46044</v>
      </c>
      <c r="H1820" s="12">
        <f t="shared" si="28"/>
        <v>4400</v>
      </c>
      <c r="I1820" s="10" t="s">
        <v>10</v>
      </c>
      <c r="J1820" s="13">
        <v>45950</v>
      </c>
      <c r="K1820" t="s">
        <v>431</v>
      </c>
    </row>
    <row r="1821" hidden="1" spans="1:11">
      <c r="A1821" t="s">
        <v>319</v>
      </c>
      <c r="B1821" s="8">
        <v>252602292</v>
      </c>
      <c r="C1821" s="9">
        <v>45946</v>
      </c>
      <c r="D1821" s="8" t="s">
        <v>39</v>
      </c>
      <c r="E1821" s="10">
        <v>200000</v>
      </c>
      <c r="F1821" s="8">
        <v>0.022</v>
      </c>
      <c r="G1821" s="11">
        <v>46044</v>
      </c>
      <c r="H1821" s="12">
        <f t="shared" si="28"/>
        <v>4400</v>
      </c>
      <c r="I1821" s="10" t="s">
        <v>10</v>
      </c>
      <c r="J1821" s="13">
        <v>45950</v>
      </c>
      <c r="K1821" t="s">
        <v>431</v>
      </c>
    </row>
    <row r="1822" hidden="1" spans="1:11">
      <c r="A1822" t="s">
        <v>319</v>
      </c>
      <c r="B1822" s="8">
        <v>252602292</v>
      </c>
      <c r="C1822" s="9">
        <v>45946</v>
      </c>
      <c r="D1822" s="8" t="s">
        <v>39</v>
      </c>
      <c r="E1822" s="10">
        <v>200000</v>
      </c>
      <c r="F1822" s="8">
        <v>0.022</v>
      </c>
      <c r="G1822" s="11">
        <v>46044</v>
      </c>
      <c r="H1822" s="12">
        <f t="shared" si="28"/>
        <v>4400</v>
      </c>
      <c r="I1822" s="10" t="s">
        <v>10</v>
      </c>
      <c r="J1822" s="13">
        <v>45950</v>
      </c>
      <c r="K1822" t="s">
        <v>431</v>
      </c>
    </row>
    <row r="1823" hidden="1" spans="1:11">
      <c r="A1823" t="s">
        <v>319</v>
      </c>
      <c r="B1823" s="8">
        <v>252602301</v>
      </c>
      <c r="C1823" s="9">
        <v>45946</v>
      </c>
      <c r="D1823" s="8" t="s">
        <v>35</v>
      </c>
      <c r="E1823" s="10">
        <v>40000</v>
      </c>
      <c r="F1823" s="8">
        <v>0.05</v>
      </c>
      <c r="G1823" s="11">
        <v>46037</v>
      </c>
      <c r="H1823" s="12">
        <f t="shared" si="28"/>
        <v>2000</v>
      </c>
      <c r="I1823" s="10" t="s">
        <v>10</v>
      </c>
      <c r="J1823" s="13">
        <v>45993</v>
      </c>
      <c r="K1823" t="s">
        <v>486</v>
      </c>
    </row>
    <row r="1824" hidden="1" spans="1:11">
      <c r="A1824" t="s">
        <v>319</v>
      </c>
      <c r="B1824" s="8">
        <v>252602317</v>
      </c>
      <c r="C1824" s="9">
        <v>45952</v>
      </c>
      <c r="D1824" s="8" t="s">
        <v>182</v>
      </c>
      <c r="E1824" s="10">
        <v>232000</v>
      </c>
      <c r="F1824" s="8">
        <v>0.025</v>
      </c>
      <c r="G1824" s="11">
        <v>45983</v>
      </c>
      <c r="H1824" s="12">
        <f t="shared" si="28"/>
        <v>5800</v>
      </c>
      <c r="I1824" s="10" t="s">
        <v>10</v>
      </c>
      <c r="J1824" s="13">
        <v>45966</v>
      </c>
      <c r="K1824" t="s">
        <v>391</v>
      </c>
    </row>
    <row r="1825" hidden="1" spans="1:11">
      <c r="A1825" t="s">
        <v>319</v>
      </c>
      <c r="B1825" s="8">
        <v>252602317</v>
      </c>
      <c r="C1825" s="9">
        <v>45952</v>
      </c>
      <c r="D1825" s="8" t="s">
        <v>182</v>
      </c>
      <c r="E1825" s="10">
        <v>144000</v>
      </c>
      <c r="F1825" s="8">
        <v>0.025</v>
      </c>
      <c r="G1825" s="11">
        <v>45996</v>
      </c>
      <c r="H1825" s="12">
        <f t="shared" si="28"/>
        <v>3600</v>
      </c>
      <c r="I1825" s="10" t="s">
        <v>10</v>
      </c>
      <c r="J1825" s="13">
        <v>45966</v>
      </c>
      <c r="K1825" t="s">
        <v>391</v>
      </c>
    </row>
    <row r="1826" hidden="1" spans="1:11">
      <c r="A1826" t="s">
        <v>319</v>
      </c>
      <c r="B1826" s="8">
        <v>252602318</v>
      </c>
      <c r="C1826" s="9">
        <v>45952</v>
      </c>
      <c r="D1826" s="8" t="s">
        <v>182</v>
      </c>
      <c r="E1826" s="10">
        <v>100000</v>
      </c>
      <c r="F1826" s="8">
        <v>0.025</v>
      </c>
      <c r="G1826" s="11">
        <v>46044</v>
      </c>
      <c r="H1826" s="12">
        <f t="shared" si="28"/>
        <v>2500</v>
      </c>
      <c r="I1826" s="10" t="s">
        <v>10</v>
      </c>
      <c r="J1826" s="13">
        <v>45988</v>
      </c>
      <c r="K1826" t="s">
        <v>391</v>
      </c>
    </row>
    <row r="1827" hidden="1" spans="1:11">
      <c r="A1827" t="s">
        <v>319</v>
      </c>
      <c r="B1827" s="8">
        <v>252602318</v>
      </c>
      <c r="C1827" s="9">
        <v>45952</v>
      </c>
      <c r="D1827" s="8" t="s">
        <v>182</v>
      </c>
      <c r="E1827" s="10">
        <v>100000</v>
      </c>
      <c r="F1827" s="8">
        <v>0.025</v>
      </c>
      <c r="G1827" s="11">
        <v>46075</v>
      </c>
      <c r="H1827" s="12">
        <f t="shared" si="28"/>
        <v>2500</v>
      </c>
      <c r="I1827" s="10" t="s">
        <v>10</v>
      </c>
      <c r="J1827" s="13">
        <v>45988</v>
      </c>
      <c r="K1827" t="s">
        <v>391</v>
      </c>
    </row>
    <row r="1828" hidden="1" spans="1:11">
      <c r="A1828" t="s">
        <v>319</v>
      </c>
      <c r="B1828" s="8">
        <v>252602325</v>
      </c>
      <c r="C1828" s="9">
        <v>45954</v>
      </c>
      <c r="D1828" s="8" t="s">
        <v>289</v>
      </c>
      <c r="E1828" s="10">
        <v>200000</v>
      </c>
      <c r="F1828" s="8">
        <v>0.033</v>
      </c>
      <c r="G1828" s="11">
        <v>45983</v>
      </c>
      <c r="H1828" s="12">
        <f t="shared" si="28"/>
        <v>6600</v>
      </c>
      <c r="I1828" s="10" t="s">
        <v>10</v>
      </c>
      <c r="J1828" s="13">
        <v>45961</v>
      </c>
      <c r="K1828" t="s">
        <v>435</v>
      </c>
    </row>
    <row r="1829" hidden="1" spans="1:11">
      <c r="A1829" t="s">
        <v>319</v>
      </c>
      <c r="B1829" s="8">
        <v>252602325</v>
      </c>
      <c r="C1829" s="9">
        <v>45954</v>
      </c>
      <c r="D1829" s="8" t="s">
        <v>289</v>
      </c>
      <c r="E1829" s="10">
        <v>200000</v>
      </c>
      <c r="F1829" s="8">
        <v>0.033</v>
      </c>
      <c r="G1829" s="11">
        <v>45983</v>
      </c>
      <c r="H1829" s="12">
        <f t="shared" si="28"/>
        <v>6600</v>
      </c>
      <c r="I1829" s="10" t="s">
        <v>10</v>
      </c>
      <c r="J1829" s="13">
        <v>45961</v>
      </c>
      <c r="K1829" t="s">
        <v>435</v>
      </c>
    </row>
    <row r="1830" hidden="1" spans="1:11">
      <c r="A1830" t="s">
        <v>319</v>
      </c>
      <c r="B1830" s="8">
        <v>252602325</v>
      </c>
      <c r="C1830" s="9">
        <v>45954</v>
      </c>
      <c r="D1830" s="8" t="s">
        <v>289</v>
      </c>
      <c r="E1830" s="10">
        <v>100000</v>
      </c>
      <c r="F1830" s="8">
        <v>0.033</v>
      </c>
      <c r="G1830" s="11">
        <v>45983</v>
      </c>
      <c r="H1830" s="12">
        <f t="shared" si="28"/>
        <v>3300</v>
      </c>
      <c r="I1830" s="10" t="s">
        <v>10</v>
      </c>
      <c r="J1830" s="13">
        <v>45961</v>
      </c>
      <c r="K1830" t="s">
        <v>435</v>
      </c>
    </row>
    <row r="1831" hidden="1" spans="1:11">
      <c r="A1831" t="s">
        <v>319</v>
      </c>
      <c r="B1831" s="8">
        <v>252602325</v>
      </c>
      <c r="C1831" s="9">
        <v>45954</v>
      </c>
      <c r="D1831" s="8" t="s">
        <v>289</v>
      </c>
      <c r="E1831" s="10">
        <v>200000</v>
      </c>
      <c r="F1831" s="8">
        <v>0.033</v>
      </c>
      <c r="G1831" s="11">
        <v>45996</v>
      </c>
      <c r="H1831" s="12">
        <f t="shared" si="28"/>
        <v>6600</v>
      </c>
      <c r="I1831" s="10" t="s">
        <v>10</v>
      </c>
      <c r="J1831" s="13">
        <v>45961</v>
      </c>
      <c r="K1831" t="s">
        <v>435</v>
      </c>
    </row>
    <row r="1832" hidden="1" spans="1:11">
      <c r="A1832" t="s">
        <v>319</v>
      </c>
      <c r="B1832" s="8">
        <v>252602325</v>
      </c>
      <c r="C1832" s="9">
        <v>45954</v>
      </c>
      <c r="D1832" s="8" t="s">
        <v>289</v>
      </c>
      <c r="E1832" s="10">
        <v>200000</v>
      </c>
      <c r="F1832" s="8">
        <v>0.033</v>
      </c>
      <c r="G1832" s="11">
        <v>45996</v>
      </c>
      <c r="H1832" s="12">
        <f t="shared" si="28"/>
        <v>6600</v>
      </c>
      <c r="I1832" s="10" t="s">
        <v>10</v>
      </c>
      <c r="J1832" s="13">
        <v>45961</v>
      </c>
      <c r="K1832" t="s">
        <v>435</v>
      </c>
    </row>
    <row r="1833" hidden="1" spans="1:11">
      <c r="A1833" t="s">
        <v>319</v>
      </c>
      <c r="B1833" s="8">
        <v>252602325</v>
      </c>
      <c r="C1833" s="9">
        <v>45954</v>
      </c>
      <c r="D1833" s="8" t="s">
        <v>289</v>
      </c>
      <c r="E1833" s="10">
        <v>100000</v>
      </c>
      <c r="F1833" s="8">
        <v>0.033</v>
      </c>
      <c r="G1833" s="11">
        <v>45996</v>
      </c>
      <c r="H1833" s="12">
        <f t="shared" si="28"/>
        <v>3300</v>
      </c>
      <c r="I1833" s="10" t="s">
        <v>10</v>
      </c>
      <c r="J1833" s="13">
        <v>45961</v>
      </c>
      <c r="K1833" t="s">
        <v>435</v>
      </c>
    </row>
    <row r="1834" hidden="1" spans="1:11">
      <c r="A1834" t="s">
        <v>319</v>
      </c>
      <c r="B1834" s="8">
        <v>252602325</v>
      </c>
      <c r="C1834" s="9">
        <v>45954</v>
      </c>
      <c r="D1834" s="8" t="s">
        <v>136</v>
      </c>
      <c r="E1834" s="10">
        <v>200000</v>
      </c>
      <c r="F1834" s="8">
        <v>0.028</v>
      </c>
      <c r="G1834" s="11">
        <v>45983</v>
      </c>
      <c r="H1834" s="12">
        <f t="shared" si="28"/>
        <v>5600</v>
      </c>
      <c r="I1834" s="10" t="s">
        <v>10</v>
      </c>
      <c r="J1834" s="13">
        <v>45961</v>
      </c>
      <c r="K1834" t="s">
        <v>435</v>
      </c>
    </row>
    <row r="1835" hidden="1" spans="1:11">
      <c r="A1835" t="s">
        <v>319</v>
      </c>
      <c r="B1835" s="8">
        <v>252602325</v>
      </c>
      <c r="C1835" s="9">
        <v>45954</v>
      </c>
      <c r="D1835" s="8" t="s">
        <v>136</v>
      </c>
      <c r="E1835" s="10">
        <v>200000</v>
      </c>
      <c r="F1835" s="8">
        <v>0.028</v>
      </c>
      <c r="G1835" s="11">
        <v>45983</v>
      </c>
      <c r="H1835" s="12">
        <f t="shared" si="28"/>
        <v>5600</v>
      </c>
      <c r="I1835" s="10" t="s">
        <v>10</v>
      </c>
      <c r="J1835" s="13">
        <v>45961</v>
      </c>
      <c r="K1835" t="s">
        <v>435</v>
      </c>
    </row>
    <row r="1836" hidden="1" spans="1:11">
      <c r="A1836" t="s">
        <v>319</v>
      </c>
      <c r="B1836" s="8">
        <v>252602325</v>
      </c>
      <c r="C1836" s="9">
        <v>45954</v>
      </c>
      <c r="D1836" s="8" t="s">
        <v>136</v>
      </c>
      <c r="E1836" s="10">
        <v>200000</v>
      </c>
      <c r="F1836" s="8">
        <v>0.028</v>
      </c>
      <c r="G1836" s="11">
        <v>45996</v>
      </c>
      <c r="H1836" s="12">
        <f t="shared" si="28"/>
        <v>5600</v>
      </c>
      <c r="I1836" s="10" t="s">
        <v>10</v>
      </c>
      <c r="J1836" s="13">
        <v>45961</v>
      </c>
      <c r="K1836" t="s">
        <v>435</v>
      </c>
    </row>
    <row r="1837" hidden="1" spans="1:11">
      <c r="A1837" t="s">
        <v>319</v>
      </c>
      <c r="B1837" s="8">
        <v>252602325</v>
      </c>
      <c r="C1837" s="9">
        <v>45954</v>
      </c>
      <c r="D1837" s="8" t="s">
        <v>136</v>
      </c>
      <c r="E1837" s="10">
        <v>200000</v>
      </c>
      <c r="F1837" s="8">
        <v>0.028</v>
      </c>
      <c r="G1837" s="11">
        <v>45996</v>
      </c>
      <c r="H1837" s="12">
        <f t="shared" si="28"/>
        <v>5600</v>
      </c>
      <c r="I1837" s="10" t="s">
        <v>10</v>
      </c>
      <c r="J1837" s="13">
        <v>45961</v>
      </c>
      <c r="K1837" t="s">
        <v>435</v>
      </c>
    </row>
    <row r="1838" hidden="1" spans="1:11">
      <c r="A1838" t="s">
        <v>319</v>
      </c>
      <c r="B1838" s="8">
        <v>252602326</v>
      </c>
      <c r="C1838" s="9">
        <v>45954</v>
      </c>
      <c r="D1838" s="8" t="s">
        <v>181</v>
      </c>
      <c r="E1838" s="10">
        <v>200000</v>
      </c>
      <c r="F1838" s="8">
        <v>0.0243</v>
      </c>
      <c r="G1838" s="11">
        <v>45983</v>
      </c>
      <c r="H1838" s="12">
        <f t="shared" si="28"/>
        <v>4860</v>
      </c>
      <c r="I1838" s="67" t="s">
        <v>10</v>
      </c>
      <c r="J1838" s="13">
        <v>45966</v>
      </c>
      <c r="K1838" t="s">
        <v>435</v>
      </c>
    </row>
    <row r="1839" hidden="1" spans="1:11">
      <c r="A1839" t="s">
        <v>319</v>
      </c>
      <c r="B1839" s="8">
        <v>252602326</v>
      </c>
      <c r="C1839" s="9">
        <v>45954</v>
      </c>
      <c r="D1839" s="8" t="s">
        <v>181</v>
      </c>
      <c r="E1839" s="10">
        <v>200000</v>
      </c>
      <c r="F1839" s="8">
        <v>0.0243</v>
      </c>
      <c r="G1839" s="11">
        <v>45983</v>
      </c>
      <c r="H1839" s="12">
        <f t="shared" si="28"/>
        <v>4860</v>
      </c>
      <c r="I1839" s="67" t="s">
        <v>10</v>
      </c>
      <c r="J1839" s="13">
        <v>45966</v>
      </c>
      <c r="K1839" t="s">
        <v>435</v>
      </c>
    </row>
    <row r="1840" hidden="1" spans="1:11">
      <c r="A1840" t="s">
        <v>319</v>
      </c>
      <c r="B1840" s="8">
        <v>252602326</v>
      </c>
      <c r="C1840" s="9">
        <v>45954</v>
      </c>
      <c r="D1840" s="8" t="s">
        <v>181</v>
      </c>
      <c r="E1840" s="10">
        <v>200000</v>
      </c>
      <c r="F1840" s="8">
        <v>0.0243</v>
      </c>
      <c r="G1840" s="11">
        <v>45983</v>
      </c>
      <c r="H1840" s="12">
        <f t="shared" si="28"/>
        <v>4860</v>
      </c>
      <c r="I1840" s="67" t="s">
        <v>10</v>
      </c>
      <c r="J1840" s="13">
        <v>45966</v>
      </c>
      <c r="K1840" t="s">
        <v>435</v>
      </c>
    </row>
    <row r="1841" hidden="1" spans="1:11">
      <c r="A1841" t="s">
        <v>319</v>
      </c>
      <c r="B1841" s="8">
        <v>252602326</v>
      </c>
      <c r="C1841" s="9">
        <v>45954</v>
      </c>
      <c r="D1841" s="8" t="s">
        <v>181</v>
      </c>
      <c r="E1841" s="10">
        <v>200000</v>
      </c>
      <c r="F1841" s="8">
        <v>0.0243</v>
      </c>
      <c r="G1841" s="11">
        <v>45996</v>
      </c>
      <c r="H1841" s="12">
        <f t="shared" si="28"/>
        <v>4860</v>
      </c>
      <c r="I1841" s="67" t="s">
        <v>10</v>
      </c>
      <c r="J1841" s="13">
        <v>45966</v>
      </c>
      <c r="K1841" t="s">
        <v>435</v>
      </c>
    </row>
    <row r="1842" hidden="1" spans="1:11">
      <c r="A1842" t="s">
        <v>319</v>
      </c>
      <c r="B1842" s="8">
        <v>252602326</v>
      </c>
      <c r="C1842" s="9">
        <v>45954</v>
      </c>
      <c r="D1842" s="8" t="s">
        <v>181</v>
      </c>
      <c r="E1842" s="10">
        <v>200000</v>
      </c>
      <c r="F1842" s="8">
        <v>0.0243</v>
      </c>
      <c r="G1842" s="11">
        <v>45996</v>
      </c>
      <c r="H1842" s="12">
        <f t="shared" si="28"/>
        <v>4860</v>
      </c>
      <c r="I1842" s="67" t="s">
        <v>10</v>
      </c>
      <c r="J1842" s="13">
        <v>45966</v>
      </c>
      <c r="K1842" t="s">
        <v>435</v>
      </c>
    </row>
    <row r="1843" hidden="1" spans="1:11">
      <c r="A1843" t="s">
        <v>319</v>
      </c>
      <c r="B1843" s="8">
        <v>252602326</v>
      </c>
      <c r="C1843" s="9">
        <v>45954</v>
      </c>
      <c r="D1843" s="8" t="s">
        <v>181</v>
      </c>
      <c r="E1843" s="10">
        <v>200000</v>
      </c>
      <c r="F1843" s="8">
        <v>0.0243</v>
      </c>
      <c r="G1843" s="11">
        <v>45996</v>
      </c>
      <c r="H1843" s="12">
        <f t="shared" si="28"/>
        <v>4860</v>
      </c>
      <c r="I1843" s="67" t="s">
        <v>10</v>
      </c>
      <c r="J1843" s="13">
        <v>45966</v>
      </c>
      <c r="K1843" t="s">
        <v>435</v>
      </c>
    </row>
    <row r="1844" hidden="1" spans="1:11">
      <c r="A1844" t="s">
        <v>319</v>
      </c>
      <c r="B1844" s="8">
        <v>252602327</v>
      </c>
      <c r="C1844" s="9">
        <v>45954</v>
      </c>
      <c r="D1844" s="8" t="s">
        <v>181</v>
      </c>
      <c r="E1844" s="10">
        <v>200000</v>
      </c>
      <c r="F1844" s="8">
        <v>0.0243</v>
      </c>
      <c r="G1844" s="11">
        <v>46027</v>
      </c>
      <c r="H1844" s="12">
        <f t="shared" si="28"/>
        <v>4860</v>
      </c>
      <c r="I1844" s="10" t="s">
        <v>10</v>
      </c>
      <c r="J1844" s="13">
        <v>45978</v>
      </c>
      <c r="K1844" t="s">
        <v>435</v>
      </c>
    </row>
    <row r="1845" hidden="1" spans="1:11">
      <c r="A1845" t="s">
        <v>319</v>
      </c>
      <c r="B1845" s="8">
        <v>252602327</v>
      </c>
      <c r="C1845" s="9">
        <v>45954</v>
      </c>
      <c r="D1845" s="8" t="s">
        <v>181</v>
      </c>
      <c r="E1845" s="10">
        <v>200000</v>
      </c>
      <c r="F1845" s="8">
        <v>0.0243</v>
      </c>
      <c r="G1845" s="11">
        <v>46027</v>
      </c>
      <c r="H1845" s="12">
        <f t="shared" si="28"/>
        <v>4860</v>
      </c>
      <c r="I1845" s="10" t="s">
        <v>10</v>
      </c>
      <c r="J1845" s="13">
        <v>45978</v>
      </c>
      <c r="K1845" t="s">
        <v>435</v>
      </c>
    </row>
    <row r="1846" hidden="1" spans="1:11">
      <c r="A1846" t="s">
        <v>319</v>
      </c>
      <c r="B1846" s="8">
        <v>252602327</v>
      </c>
      <c r="C1846" s="9">
        <v>45954</v>
      </c>
      <c r="D1846" s="8" t="s">
        <v>181</v>
      </c>
      <c r="E1846" s="10">
        <v>200000</v>
      </c>
      <c r="F1846" s="8">
        <v>0.0243</v>
      </c>
      <c r="G1846" s="11">
        <v>46027</v>
      </c>
      <c r="H1846" s="12">
        <f t="shared" si="28"/>
        <v>4860</v>
      </c>
      <c r="I1846" s="10" t="s">
        <v>10</v>
      </c>
      <c r="J1846" s="13">
        <v>45978</v>
      </c>
      <c r="K1846" t="s">
        <v>435</v>
      </c>
    </row>
    <row r="1847" hidden="1" spans="1:11">
      <c r="A1847" t="s">
        <v>319</v>
      </c>
      <c r="B1847" s="8">
        <v>252602335</v>
      </c>
      <c r="C1847" s="9">
        <v>45952</v>
      </c>
      <c r="D1847" s="8" t="s">
        <v>47</v>
      </c>
      <c r="E1847" s="10">
        <v>100000</v>
      </c>
      <c r="F1847" s="8">
        <v>0.022</v>
      </c>
      <c r="G1847" s="11">
        <v>45981</v>
      </c>
      <c r="H1847" s="12">
        <f t="shared" si="28"/>
        <v>2200</v>
      </c>
      <c r="I1847" s="10" t="s">
        <v>10</v>
      </c>
      <c r="J1847" s="13">
        <v>45980</v>
      </c>
      <c r="K1847" t="s">
        <v>499</v>
      </c>
    </row>
    <row r="1848" hidden="1" spans="1:11">
      <c r="A1848" t="s">
        <v>319</v>
      </c>
      <c r="B1848" s="8">
        <v>252602335</v>
      </c>
      <c r="C1848" s="9">
        <v>45952</v>
      </c>
      <c r="D1848" s="8" t="s">
        <v>47</v>
      </c>
      <c r="E1848" s="10">
        <v>100000</v>
      </c>
      <c r="F1848" s="8">
        <v>0.022</v>
      </c>
      <c r="G1848" s="11">
        <v>46009</v>
      </c>
      <c r="H1848" s="12">
        <f t="shared" si="28"/>
        <v>2200</v>
      </c>
      <c r="I1848" s="10" t="s">
        <v>10</v>
      </c>
      <c r="J1848" s="13">
        <v>45980</v>
      </c>
      <c r="K1848" t="s">
        <v>499</v>
      </c>
    </row>
    <row r="1849" hidden="1" spans="1:11">
      <c r="A1849" t="s">
        <v>319</v>
      </c>
      <c r="B1849" s="8">
        <v>252602335</v>
      </c>
      <c r="C1849" s="9">
        <v>45952</v>
      </c>
      <c r="D1849" s="8" t="s">
        <v>46</v>
      </c>
      <c r="E1849" s="10">
        <v>100000</v>
      </c>
      <c r="F1849" s="8">
        <v>0.02</v>
      </c>
      <c r="G1849" s="11">
        <v>45981</v>
      </c>
      <c r="H1849" s="12">
        <f t="shared" si="28"/>
        <v>2000</v>
      </c>
      <c r="I1849" s="10" t="s">
        <v>10</v>
      </c>
      <c r="J1849" s="13">
        <v>45980</v>
      </c>
      <c r="K1849" t="s">
        <v>499</v>
      </c>
    </row>
    <row r="1850" hidden="1" spans="1:11">
      <c r="A1850" t="s">
        <v>319</v>
      </c>
      <c r="B1850" s="8">
        <v>252602335</v>
      </c>
      <c r="C1850" s="9">
        <v>45952</v>
      </c>
      <c r="D1850" s="8" t="s">
        <v>46</v>
      </c>
      <c r="E1850" s="10">
        <v>100000</v>
      </c>
      <c r="F1850" s="8">
        <v>0.02</v>
      </c>
      <c r="G1850" s="11">
        <v>45981</v>
      </c>
      <c r="H1850" s="12">
        <f t="shared" si="28"/>
        <v>2000</v>
      </c>
      <c r="I1850" s="10" t="s">
        <v>10</v>
      </c>
      <c r="J1850" s="13">
        <v>45980</v>
      </c>
      <c r="K1850" t="s">
        <v>499</v>
      </c>
    </row>
    <row r="1851" hidden="1" spans="1:11">
      <c r="A1851" t="s">
        <v>319</v>
      </c>
      <c r="B1851" s="8">
        <v>252602335</v>
      </c>
      <c r="C1851" s="9">
        <v>45952</v>
      </c>
      <c r="D1851" s="8" t="s">
        <v>60</v>
      </c>
      <c r="E1851" s="10">
        <v>96000</v>
      </c>
      <c r="F1851" s="8">
        <v>0.006</v>
      </c>
      <c r="G1851" s="11">
        <v>45981</v>
      </c>
      <c r="H1851" s="12">
        <f t="shared" si="28"/>
        <v>576</v>
      </c>
      <c r="I1851" s="10" t="s">
        <v>10</v>
      </c>
      <c r="J1851" s="13">
        <v>45980</v>
      </c>
      <c r="K1851" t="s">
        <v>499</v>
      </c>
    </row>
    <row r="1852" hidden="1" spans="1:11">
      <c r="A1852" t="s">
        <v>319</v>
      </c>
      <c r="B1852" s="8">
        <v>252602335</v>
      </c>
      <c r="C1852" s="9">
        <v>45952</v>
      </c>
      <c r="D1852" s="8" t="s">
        <v>511</v>
      </c>
      <c r="E1852" s="10">
        <v>20000</v>
      </c>
      <c r="F1852" s="8">
        <v>0.041</v>
      </c>
      <c r="G1852" s="11">
        <v>45981</v>
      </c>
      <c r="H1852" s="12">
        <f t="shared" si="28"/>
        <v>820</v>
      </c>
      <c r="I1852" s="10" t="s">
        <v>10</v>
      </c>
      <c r="J1852" s="13">
        <v>45980</v>
      </c>
      <c r="K1852" t="s">
        <v>499</v>
      </c>
    </row>
    <row r="1853" hidden="1" spans="1:11">
      <c r="A1853" t="s">
        <v>319</v>
      </c>
      <c r="B1853" s="8">
        <v>252602338</v>
      </c>
      <c r="C1853" s="9">
        <v>45952</v>
      </c>
      <c r="D1853" s="8" t="s">
        <v>40</v>
      </c>
      <c r="E1853" s="10">
        <v>300000</v>
      </c>
      <c r="F1853" s="8">
        <v>0.035</v>
      </c>
      <c r="G1853" s="11">
        <v>45967</v>
      </c>
      <c r="H1853" s="12">
        <f t="shared" si="28"/>
        <v>10500</v>
      </c>
      <c r="I1853" s="10" t="s">
        <v>10</v>
      </c>
      <c r="J1853" s="13">
        <v>45971</v>
      </c>
      <c r="K1853" t="s">
        <v>365</v>
      </c>
    </row>
    <row r="1854" hidden="1" spans="1:11">
      <c r="A1854" t="s">
        <v>319</v>
      </c>
      <c r="B1854" s="8">
        <v>252602338</v>
      </c>
      <c r="C1854" s="9">
        <v>45952</v>
      </c>
      <c r="D1854" s="8" t="s">
        <v>40</v>
      </c>
      <c r="E1854" s="10">
        <v>250000</v>
      </c>
      <c r="F1854" s="8">
        <v>0.035</v>
      </c>
      <c r="G1854" s="11">
        <v>46009</v>
      </c>
      <c r="H1854" s="12">
        <f t="shared" si="28"/>
        <v>8750</v>
      </c>
      <c r="I1854" s="10" t="s">
        <v>10</v>
      </c>
      <c r="J1854" s="13">
        <v>45971</v>
      </c>
      <c r="K1854" t="s">
        <v>365</v>
      </c>
    </row>
    <row r="1855" hidden="1" spans="1:11">
      <c r="A1855" t="s">
        <v>319</v>
      </c>
      <c r="B1855" s="8">
        <v>252602338</v>
      </c>
      <c r="C1855" s="9">
        <v>45952</v>
      </c>
      <c r="D1855" s="8" t="s">
        <v>30</v>
      </c>
      <c r="E1855" s="10">
        <v>60000</v>
      </c>
      <c r="F1855" s="8">
        <v>0.022</v>
      </c>
      <c r="G1855" s="11">
        <v>45967</v>
      </c>
      <c r="H1855" s="12">
        <f t="shared" si="28"/>
        <v>1320</v>
      </c>
      <c r="I1855" s="10" t="s">
        <v>10</v>
      </c>
      <c r="J1855" s="13">
        <v>45971</v>
      </c>
      <c r="K1855" t="s">
        <v>365</v>
      </c>
    </row>
    <row r="1856" hidden="1" spans="1:11">
      <c r="A1856" t="s">
        <v>319</v>
      </c>
      <c r="B1856" s="8">
        <v>252602338</v>
      </c>
      <c r="C1856" s="9">
        <v>45952</v>
      </c>
      <c r="D1856" s="8" t="s">
        <v>30</v>
      </c>
      <c r="E1856" s="10">
        <v>60000</v>
      </c>
      <c r="F1856" s="8">
        <v>0.022</v>
      </c>
      <c r="G1856" s="11">
        <v>46009</v>
      </c>
      <c r="H1856" s="12">
        <f t="shared" si="28"/>
        <v>1320</v>
      </c>
      <c r="I1856" s="10" t="s">
        <v>10</v>
      </c>
      <c r="J1856" s="13">
        <v>45971</v>
      </c>
      <c r="K1856" t="s">
        <v>365</v>
      </c>
    </row>
    <row r="1857" hidden="1" spans="1:11">
      <c r="A1857" t="s">
        <v>319</v>
      </c>
      <c r="B1857" s="8">
        <v>252602344</v>
      </c>
      <c r="C1857" s="9">
        <v>45954</v>
      </c>
      <c r="D1857" s="8" t="s">
        <v>47</v>
      </c>
      <c r="E1857" s="10">
        <v>100000</v>
      </c>
      <c r="F1857" s="8">
        <v>0.022</v>
      </c>
      <c r="G1857" s="11">
        <v>46037</v>
      </c>
      <c r="H1857" s="12">
        <f t="shared" si="28"/>
        <v>2200</v>
      </c>
      <c r="I1857" s="10" t="s">
        <v>10</v>
      </c>
      <c r="J1857" s="13">
        <v>45980</v>
      </c>
      <c r="K1857" t="s">
        <v>499</v>
      </c>
    </row>
    <row r="1858" hidden="1" spans="1:11">
      <c r="A1858" t="s">
        <v>319</v>
      </c>
      <c r="B1858" s="8">
        <v>252602353</v>
      </c>
      <c r="C1858" s="9">
        <v>45957</v>
      </c>
      <c r="D1858" s="8" t="s">
        <v>78</v>
      </c>
      <c r="E1858" s="10">
        <v>40000</v>
      </c>
      <c r="F1858" s="8">
        <v>0.016</v>
      </c>
      <c r="G1858" s="11">
        <v>46013</v>
      </c>
      <c r="H1858" s="12">
        <f t="shared" ref="H1858:H1921" si="29">E1858*F1858</f>
        <v>640</v>
      </c>
      <c r="I1858" s="10" t="s">
        <v>10</v>
      </c>
      <c r="J1858" s="13">
        <v>45971</v>
      </c>
      <c r="K1858" t="s">
        <v>467</v>
      </c>
    </row>
    <row r="1859" hidden="1" spans="1:11">
      <c r="A1859" t="s">
        <v>319</v>
      </c>
      <c r="B1859" s="8">
        <v>252602353</v>
      </c>
      <c r="C1859" s="9">
        <v>45957</v>
      </c>
      <c r="D1859" s="8" t="s">
        <v>78</v>
      </c>
      <c r="E1859" s="10">
        <v>40000</v>
      </c>
      <c r="F1859" s="8">
        <v>0.016</v>
      </c>
      <c r="G1859" s="11">
        <v>46044</v>
      </c>
      <c r="H1859" s="12">
        <f t="shared" si="29"/>
        <v>640</v>
      </c>
      <c r="I1859" s="10" t="s">
        <v>10</v>
      </c>
      <c r="J1859" s="13">
        <v>45971</v>
      </c>
      <c r="K1859" t="s">
        <v>467</v>
      </c>
    </row>
    <row r="1860" hidden="1" spans="1:11">
      <c r="A1860" t="s">
        <v>319</v>
      </c>
      <c r="B1860" s="8">
        <v>252602353</v>
      </c>
      <c r="C1860" s="9">
        <v>45957</v>
      </c>
      <c r="D1860" s="8" t="s">
        <v>31</v>
      </c>
      <c r="E1860" s="10">
        <v>20000</v>
      </c>
      <c r="F1860" s="8">
        <v>0.024</v>
      </c>
      <c r="G1860" s="11">
        <v>46013</v>
      </c>
      <c r="H1860" s="12">
        <f t="shared" si="29"/>
        <v>480</v>
      </c>
      <c r="I1860" s="10" t="s">
        <v>10</v>
      </c>
      <c r="J1860" s="13">
        <v>45971</v>
      </c>
      <c r="K1860" t="s">
        <v>467</v>
      </c>
    </row>
    <row r="1861" hidden="1" spans="1:11">
      <c r="A1861" t="s">
        <v>319</v>
      </c>
      <c r="B1861" s="8">
        <v>252602353</v>
      </c>
      <c r="C1861" s="9">
        <v>45957</v>
      </c>
      <c r="D1861" s="8" t="s">
        <v>100</v>
      </c>
      <c r="E1861" s="10">
        <v>40000</v>
      </c>
      <c r="F1861" s="8">
        <v>0.0224</v>
      </c>
      <c r="G1861" s="11">
        <v>46013</v>
      </c>
      <c r="H1861" s="12">
        <f t="shared" si="29"/>
        <v>896</v>
      </c>
      <c r="I1861" s="10" t="s">
        <v>10</v>
      </c>
      <c r="J1861" s="13">
        <v>45971</v>
      </c>
      <c r="K1861" t="s">
        <v>467</v>
      </c>
    </row>
    <row r="1862" hidden="1" spans="1:11">
      <c r="A1862" t="s">
        <v>319</v>
      </c>
      <c r="B1862" s="8">
        <v>252602354</v>
      </c>
      <c r="C1862" s="9">
        <v>45957</v>
      </c>
      <c r="D1862" s="8" t="s">
        <v>78</v>
      </c>
      <c r="E1862" s="10">
        <v>40000</v>
      </c>
      <c r="F1862" s="8">
        <v>0.016</v>
      </c>
      <c r="G1862" s="11">
        <v>46075</v>
      </c>
      <c r="H1862" s="12">
        <f t="shared" si="29"/>
        <v>640</v>
      </c>
      <c r="I1862" s="10" t="s">
        <v>10</v>
      </c>
      <c r="J1862" s="13">
        <v>45978</v>
      </c>
      <c r="K1862" t="s">
        <v>467</v>
      </c>
    </row>
    <row r="1863" hidden="1" spans="1:11">
      <c r="A1863" t="s">
        <v>319</v>
      </c>
      <c r="B1863" s="8">
        <v>252602362</v>
      </c>
      <c r="C1863" s="9">
        <v>45957</v>
      </c>
      <c r="D1863" s="8" t="s">
        <v>30</v>
      </c>
      <c r="E1863" s="10">
        <v>20000</v>
      </c>
      <c r="F1863" s="8">
        <v>0.022</v>
      </c>
      <c r="G1863" s="11">
        <v>46086</v>
      </c>
      <c r="H1863" s="12">
        <f t="shared" si="29"/>
        <v>440</v>
      </c>
      <c r="I1863" s="10" t="s">
        <v>10</v>
      </c>
      <c r="J1863" s="13">
        <v>46050</v>
      </c>
      <c r="K1863" t="s">
        <v>486</v>
      </c>
    </row>
    <row r="1864" hidden="1" spans="1:11">
      <c r="A1864" t="s">
        <v>319</v>
      </c>
      <c r="B1864" s="8">
        <v>252602362</v>
      </c>
      <c r="C1864" s="9">
        <v>45957</v>
      </c>
      <c r="D1864" s="8" t="s">
        <v>30</v>
      </c>
      <c r="E1864" s="10">
        <v>20000</v>
      </c>
      <c r="F1864" s="8">
        <v>0.022</v>
      </c>
      <c r="G1864" s="11">
        <v>46117</v>
      </c>
      <c r="H1864" s="12">
        <f t="shared" si="29"/>
        <v>440</v>
      </c>
      <c r="I1864" s="10" t="s">
        <v>10</v>
      </c>
      <c r="J1864" s="13">
        <v>46050</v>
      </c>
      <c r="K1864" t="s">
        <v>486</v>
      </c>
    </row>
    <row r="1865" hidden="1" spans="1:11">
      <c r="A1865" t="s">
        <v>319</v>
      </c>
      <c r="B1865" s="8">
        <v>252602363</v>
      </c>
      <c r="C1865" s="9">
        <v>45957</v>
      </c>
      <c r="D1865" s="8" t="s">
        <v>282</v>
      </c>
      <c r="E1865" s="10">
        <v>200000</v>
      </c>
      <c r="F1865" s="8">
        <v>0.0304</v>
      </c>
      <c r="G1865" s="11">
        <v>45996</v>
      </c>
      <c r="H1865" s="12">
        <f t="shared" si="29"/>
        <v>6080</v>
      </c>
      <c r="I1865" s="10" t="s">
        <v>10</v>
      </c>
      <c r="J1865" s="13">
        <v>45971</v>
      </c>
      <c r="K1865" t="s">
        <v>392</v>
      </c>
    </row>
    <row r="1866" hidden="1" spans="1:11">
      <c r="A1866" t="s">
        <v>319</v>
      </c>
      <c r="B1866" s="8">
        <v>252602363</v>
      </c>
      <c r="C1866" s="9">
        <v>45957</v>
      </c>
      <c r="D1866" s="8" t="s">
        <v>282</v>
      </c>
      <c r="E1866" s="10">
        <v>200000</v>
      </c>
      <c r="F1866" s="8">
        <v>0.0304</v>
      </c>
      <c r="G1866" s="11">
        <v>45996</v>
      </c>
      <c r="H1866" s="12">
        <f t="shared" si="29"/>
        <v>6080</v>
      </c>
      <c r="I1866" s="10" t="s">
        <v>10</v>
      </c>
      <c r="J1866" s="13">
        <v>45971</v>
      </c>
      <c r="K1866" t="s">
        <v>392</v>
      </c>
    </row>
    <row r="1867" hidden="1" spans="1:11">
      <c r="A1867" t="s">
        <v>319</v>
      </c>
      <c r="B1867" s="8">
        <v>252602363</v>
      </c>
      <c r="C1867" s="9">
        <v>45957</v>
      </c>
      <c r="D1867" s="8" t="s">
        <v>282</v>
      </c>
      <c r="E1867" s="10">
        <v>200000</v>
      </c>
      <c r="F1867" s="8">
        <v>0.0304</v>
      </c>
      <c r="G1867" s="11">
        <v>46027</v>
      </c>
      <c r="H1867" s="12">
        <f t="shared" si="29"/>
        <v>6080</v>
      </c>
      <c r="I1867" s="10" t="s">
        <v>10</v>
      </c>
      <c r="J1867" s="13">
        <v>45971</v>
      </c>
      <c r="K1867" t="s">
        <v>392</v>
      </c>
    </row>
    <row r="1868" hidden="1" spans="1:11">
      <c r="A1868" t="s">
        <v>319</v>
      </c>
      <c r="B1868" s="8">
        <v>252602363</v>
      </c>
      <c r="C1868" s="9">
        <v>45957</v>
      </c>
      <c r="D1868" s="8" t="s">
        <v>282</v>
      </c>
      <c r="E1868" s="10">
        <v>100000</v>
      </c>
      <c r="F1868" s="8">
        <v>0.0304</v>
      </c>
      <c r="G1868" s="11">
        <v>46027</v>
      </c>
      <c r="H1868" s="12">
        <f t="shared" si="29"/>
        <v>3040</v>
      </c>
      <c r="I1868" s="10" t="s">
        <v>10</v>
      </c>
      <c r="J1868" s="13">
        <v>45971</v>
      </c>
      <c r="K1868" t="s">
        <v>392</v>
      </c>
    </row>
    <row r="1869" hidden="1" spans="1:11">
      <c r="A1869" t="s">
        <v>319</v>
      </c>
      <c r="B1869" s="8">
        <v>252602363</v>
      </c>
      <c r="C1869" s="9">
        <v>45957</v>
      </c>
      <c r="D1869" s="8" t="s">
        <v>11</v>
      </c>
      <c r="E1869" s="10">
        <v>200000</v>
      </c>
      <c r="F1869" s="8">
        <v>0.032</v>
      </c>
      <c r="G1869" s="11">
        <v>45996</v>
      </c>
      <c r="H1869" s="12">
        <f t="shared" si="29"/>
        <v>6400</v>
      </c>
      <c r="I1869" s="10" t="s">
        <v>10</v>
      </c>
      <c r="J1869" s="13">
        <v>45971</v>
      </c>
      <c r="K1869" t="s">
        <v>392</v>
      </c>
    </row>
    <row r="1870" hidden="1" spans="1:11">
      <c r="A1870" t="s">
        <v>319</v>
      </c>
      <c r="B1870" s="8">
        <v>252602363</v>
      </c>
      <c r="C1870" s="9">
        <v>45957</v>
      </c>
      <c r="D1870" s="8" t="s">
        <v>11</v>
      </c>
      <c r="E1870" s="10">
        <v>200000</v>
      </c>
      <c r="F1870" s="8">
        <v>0.032</v>
      </c>
      <c r="G1870" s="11">
        <v>45996</v>
      </c>
      <c r="H1870" s="12">
        <f t="shared" si="29"/>
        <v>6400</v>
      </c>
      <c r="I1870" s="10" t="s">
        <v>10</v>
      </c>
      <c r="J1870" s="13">
        <v>45971</v>
      </c>
      <c r="K1870" t="s">
        <v>392</v>
      </c>
    </row>
    <row r="1871" hidden="1" spans="1:11">
      <c r="A1871" t="s">
        <v>319</v>
      </c>
      <c r="B1871" s="8">
        <v>252602363</v>
      </c>
      <c r="C1871" s="9">
        <v>45957</v>
      </c>
      <c r="D1871" s="8" t="s">
        <v>11</v>
      </c>
      <c r="E1871" s="10">
        <v>200000</v>
      </c>
      <c r="F1871" s="8">
        <v>0.032</v>
      </c>
      <c r="G1871" s="11">
        <v>46027</v>
      </c>
      <c r="H1871" s="12">
        <f t="shared" si="29"/>
        <v>6400</v>
      </c>
      <c r="I1871" s="10" t="s">
        <v>10</v>
      </c>
      <c r="J1871" s="13">
        <v>45971</v>
      </c>
      <c r="K1871" t="s">
        <v>392</v>
      </c>
    </row>
    <row r="1872" hidden="1" spans="1:11">
      <c r="A1872" t="s">
        <v>319</v>
      </c>
      <c r="B1872" s="8">
        <v>252602363</v>
      </c>
      <c r="C1872" s="9">
        <v>45957</v>
      </c>
      <c r="D1872" s="8" t="s">
        <v>11</v>
      </c>
      <c r="E1872" s="10">
        <v>100000</v>
      </c>
      <c r="F1872" s="8">
        <v>0.032</v>
      </c>
      <c r="G1872" s="11">
        <v>46027</v>
      </c>
      <c r="H1872" s="12">
        <f t="shared" si="29"/>
        <v>3200</v>
      </c>
      <c r="I1872" s="10" t="s">
        <v>10</v>
      </c>
      <c r="J1872" s="13">
        <v>45971</v>
      </c>
      <c r="K1872" t="s">
        <v>392</v>
      </c>
    </row>
    <row r="1873" hidden="1" spans="1:11">
      <c r="A1873" t="s">
        <v>319</v>
      </c>
      <c r="B1873" s="8">
        <v>252602363</v>
      </c>
      <c r="C1873" s="9">
        <v>45957</v>
      </c>
      <c r="D1873" s="8" t="s">
        <v>31</v>
      </c>
      <c r="E1873" s="10">
        <v>200000</v>
      </c>
      <c r="F1873" s="8">
        <v>0.024</v>
      </c>
      <c r="G1873" s="11">
        <v>45996</v>
      </c>
      <c r="H1873" s="12">
        <f t="shared" si="29"/>
        <v>4800</v>
      </c>
      <c r="I1873" s="10" t="s">
        <v>10</v>
      </c>
      <c r="J1873" s="13">
        <v>45971</v>
      </c>
      <c r="K1873" t="s">
        <v>392</v>
      </c>
    </row>
    <row r="1874" hidden="1" spans="1:11">
      <c r="A1874" t="s">
        <v>319</v>
      </c>
      <c r="B1874" s="8">
        <v>252602363</v>
      </c>
      <c r="C1874" s="9">
        <v>45957</v>
      </c>
      <c r="D1874" s="8" t="s">
        <v>31</v>
      </c>
      <c r="E1874" s="10">
        <v>200000</v>
      </c>
      <c r="F1874" s="8">
        <v>0.024</v>
      </c>
      <c r="G1874" s="11">
        <v>46027</v>
      </c>
      <c r="H1874" s="12">
        <f t="shared" si="29"/>
        <v>4800</v>
      </c>
      <c r="I1874" s="10" t="s">
        <v>10</v>
      </c>
      <c r="J1874" s="13">
        <v>45971</v>
      </c>
      <c r="K1874" t="s">
        <v>392</v>
      </c>
    </row>
    <row r="1875" hidden="1" spans="1:11">
      <c r="A1875" t="s">
        <v>319</v>
      </c>
      <c r="B1875" s="8">
        <v>252602364</v>
      </c>
      <c r="C1875" s="9">
        <v>45957</v>
      </c>
      <c r="D1875" s="8" t="s">
        <v>282</v>
      </c>
      <c r="E1875" s="10">
        <v>200000</v>
      </c>
      <c r="F1875" s="8">
        <v>0.0304</v>
      </c>
      <c r="G1875" s="11">
        <v>46058</v>
      </c>
      <c r="H1875" s="12">
        <f t="shared" si="29"/>
        <v>6080</v>
      </c>
      <c r="I1875" s="10" t="s">
        <v>10</v>
      </c>
      <c r="J1875" s="13">
        <v>45978</v>
      </c>
      <c r="K1875" t="s">
        <v>392</v>
      </c>
    </row>
    <row r="1876" hidden="1" spans="1:11">
      <c r="A1876" t="s">
        <v>319</v>
      </c>
      <c r="B1876" s="8">
        <v>252602364</v>
      </c>
      <c r="C1876" s="9">
        <v>45957</v>
      </c>
      <c r="D1876" s="8" t="s">
        <v>11</v>
      </c>
      <c r="E1876" s="10">
        <v>200000</v>
      </c>
      <c r="F1876" s="8">
        <v>0.032</v>
      </c>
      <c r="G1876" s="11">
        <v>46058</v>
      </c>
      <c r="H1876" s="12">
        <f t="shared" si="29"/>
        <v>6400</v>
      </c>
      <c r="I1876" s="10" t="s">
        <v>10</v>
      </c>
      <c r="J1876" s="13">
        <v>45978</v>
      </c>
      <c r="K1876" t="s">
        <v>392</v>
      </c>
    </row>
    <row r="1877" hidden="1" spans="1:11">
      <c r="A1877" t="s">
        <v>319</v>
      </c>
      <c r="B1877" s="8">
        <v>252602364</v>
      </c>
      <c r="C1877" s="9">
        <v>45957</v>
      </c>
      <c r="D1877" s="8" t="s">
        <v>31</v>
      </c>
      <c r="E1877" s="10">
        <v>200000</v>
      </c>
      <c r="F1877" s="8">
        <v>0.024</v>
      </c>
      <c r="G1877" s="11">
        <v>46058</v>
      </c>
      <c r="H1877" s="12">
        <f t="shared" si="29"/>
        <v>4800</v>
      </c>
      <c r="I1877" s="10" t="s">
        <v>10</v>
      </c>
      <c r="J1877" s="13">
        <v>45978</v>
      </c>
      <c r="K1877" t="s">
        <v>392</v>
      </c>
    </row>
    <row r="1878" hidden="1" spans="1:11">
      <c r="A1878" t="s">
        <v>319</v>
      </c>
      <c r="B1878" s="8">
        <v>252602364</v>
      </c>
      <c r="C1878" s="9">
        <v>45957</v>
      </c>
      <c r="D1878" s="8" t="s">
        <v>78</v>
      </c>
      <c r="E1878" s="10">
        <v>200000</v>
      </c>
      <c r="F1878" s="8">
        <v>0.016</v>
      </c>
      <c r="G1878" s="11">
        <v>46058</v>
      </c>
      <c r="H1878" s="12">
        <f t="shared" si="29"/>
        <v>3200</v>
      </c>
      <c r="I1878" s="10" t="s">
        <v>10</v>
      </c>
      <c r="J1878" s="13">
        <v>45978</v>
      </c>
      <c r="K1878" t="s">
        <v>392</v>
      </c>
    </row>
    <row r="1879" hidden="1" spans="1:11">
      <c r="A1879" t="s">
        <v>319</v>
      </c>
      <c r="B1879" s="8">
        <v>252602364</v>
      </c>
      <c r="C1879" s="9">
        <v>45957</v>
      </c>
      <c r="D1879" s="8" t="s">
        <v>33</v>
      </c>
      <c r="E1879" s="10">
        <v>200000</v>
      </c>
      <c r="F1879" s="8">
        <v>0.018</v>
      </c>
      <c r="G1879" s="11">
        <v>46058</v>
      </c>
      <c r="H1879" s="12">
        <f t="shared" si="29"/>
        <v>3600</v>
      </c>
      <c r="I1879" s="10" t="s">
        <v>10</v>
      </c>
      <c r="J1879" s="13">
        <v>45978</v>
      </c>
      <c r="K1879" t="s">
        <v>392</v>
      </c>
    </row>
    <row r="1880" hidden="1" spans="1:11">
      <c r="A1880" t="s">
        <v>319</v>
      </c>
      <c r="B1880" s="8">
        <v>252602368</v>
      </c>
      <c r="C1880" s="9">
        <v>45957</v>
      </c>
      <c r="D1880" s="8" t="s">
        <v>78</v>
      </c>
      <c r="E1880" s="10">
        <v>200000</v>
      </c>
      <c r="F1880" s="8">
        <v>0.016</v>
      </c>
      <c r="G1880" s="11">
        <v>45996</v>
      </c>
      <c r="H1880" s="12">
        <f t="shared" si="29"/>
        <v>3200</v>
      </c>
      <c r="I1880" s="10" t="s">
        <v>10</v>
      </c>
      <c r="J1880" s="13">
        <v>45971</v>
      </c>
      <c r="K1880" t="s">
        <v>392</v>
      </c>
    </row>
    <row r="1881" hidden="1" spans="1:11">
      <c r="A1881" t="s">
        <v>319</v>
      </c>
      <c r="B1881" s="8">
        <v>252602368</v>
      </c>
      <c r="C1881" s="9">
        <v>45957</v>
      </c>
      <c r="D1881" s="8" t="s">
        <v>78</v>
      </c>
      <c r="E1881" s="10">
        <v>200000</v>
      </c>
      <c r="F1881" s="8">
        <v>0.016</v>
      </c>
      <c r="G1881" s="11">
        <v>45996</v>
      </c>
      <c r="H1881" s="12">
        <f t="shared" si="29"/>
        <v>3200</v>
      </c>
      <c r="I1881" s="10" t="s">
        <v>10</v>
      </c>
      <c r="J1881" s="13">
        <v>45971</v>
      </c>
      <c r="K1881" t="s">
        <v>392</v>
      </c>
    </row>
    <row r="1882" hidden="1" spans="1:11">
      <c r="A1882" t="s">
        <v>319</v>
      </c>
      <c r="B1882" s="8">
        <v>252602368</v>
      </c>
      <c r="C1882" s="9">
        <v>45957</v>
      </c>
      <c r="D1882" s="8" t="s">
        <v>78</v>
      </c>
      <c r="E1882" s="10">
        <v>200000</v>
      </c>
      <c r="F1882" s="8">
        <v>0.016</v>
      </c>
      <c r="G1882" s="11">
        <v>46027</v>
      </c>
      <c r="H1882" s="12">
        <f t="shared" si="29"/>
        <v>3200</v>
      </c>
      <c r="I1882" s="10" t="s">
        <v>10</v>
      </c>
      <c r="J1882" s="13">
        <v>45971</v>
      </c>
      <c r="K1882" t="s">
        <v>392</v>
      </c>
    </row>
    <row r="1883" hidden="1" spans="1:11">
      <c r="A1883" t="s">
        <v>319</v>
      </c>
      <c r="B1883" s="8">
        <v>252602368</v>
      </c>
      <c r="C1883" s="9">
        <v>45957</v>
      </c>
      <c r="D1883" s="8" t="s">
        <v>33</v>
      </c>
      <c r="E1883" s="10">
        <v>200000</v>
      </c>
      <c r="F1883" s="8">
        <v>0.018</v>
      </c>
      <c r="G1883" s="11">
        <v>45996</v>
      </c>
      <c r="H1883" s="12">
        <f t="shared" si="29"/>
        <v>3600</v>
      </c>
      <c r="I1883" s="10" t="s">
        <v>10</v>
      </c>
      <c r="J1883" s="13">
        <v>45971</v>
      </c>
      <c r="K1883" t="s">
        <v>392</v>
      </c>
    </row>
    <row r="1884" hidden="1" spans="1:11">
      <c r="A1884" t="s">
        <v>319</v>
      </c>
      <c r="B1884" s="8">
        <v>252602368</v>
      </c>
      <c r="C1884" s="9">
        <v>45957</v>
      </c>
      <c r="D1884" s="8" t="s">
        <v>33</v>
      </c>
      <c r="E1884" s="10">
        <v>100000</v>
      </c>
      <c r="F1884" s="8">
        <v>0.018</v>
      </c>
      <c r="G1884" s="11">
        <v>45996</v>
      </c>
      <c r="H1884" s="12">
        <f t="shared" si="29"/>
        <v>1800</v>
      </c>
      <c r="I1884" s="10" t="s">
        <v>10</v>
      </c>
      <c r="J1884" s="13">
        <v>45971</v>
      </c>
      <c r="K1884" t="s">
        <v>392</v>
      </c>
    </row>
    <row r="1885" hidden="1" spans="1:11">
      <c r="A1885" t="s">
        <v>319</v>
      </c>
      <c r="B1885" s="8">
        <v>252602368</v>
      </c>
      <c r="C1885" s="9">
        <v>45957</v>
      </c>
      <c r="D1885" s="8" t="s">
        <v>33</v>
      </c>
      <c r="E1885" s="10">
        <v>200000</v>
      </c>
      <c r="F1885" s="8">
        <v>0.018</v>
      </c>
      <c r="G1885" s="11">
        <v>46027</v>
      </c>
      <c r="H1885" s="12">
        <f t="shared" si="29"/>
        <v>3600</v>
      </c>
      <c r="I1885" s="10" t="s">
        <v>10</v>
      </c>
      <c r="J1885" s="13">
        <v>45971</v>
      </c>
      <c r="K1885" t="s">
        <v>392</v>
      </c>
    </row>
    <row r="1886" hidden="1" spans="1:11">
      <c r="A1886" t="s">
        <v>319</v>
      </c>
      <c r="B1886" s="8">
        <v>252602368</v>
      </c>
      <c r="C1886" s="9">
        <v>45957</v>
      </c>
      <c r="D1886" s="8" t="s">
        <v>100</v>
      </c>
      <c r="E1886" s="10">
        <v>50000</v>
      </c>
      <c r="F1886" s="8">
        <v>0.0224</v>
      </c>
      <c r="G1886" s="11">
        <v>45996</v>
      </c>
      <c r="H1886" s="12">
        <f t="shared" si="29"/>
        <v>1120</v>
      </c>
      <c r="I1886" s="10" t="s">
        <v>10</v>
      </c>
      <c r="J1886" s="13">
        <v>45971</v>
      </c>
      <c r="K1886" t="s">
        <v>392</v>
      </c>
    </row>
    <row r="1887" hidden="1" spans="1:11">
      <c r="A1887" t="s">
        <v>319</v>
      </c>
      <c r="B1887" s="8">
        <v>252602374</v>
      </c>
      <c r="C1887" s="9">
        <v>45957</v>
      </c>
      <c r="D1887" s="8" t="s">
        <v>181</v>
      </c>
      <c r="E1887" s="10">
        <v>60000</v>
      </c>
      <c r="F1887" s="8">
        <v>0.0243</v>
      </c>
      <c r="G1887" s="11">
        <v>45975</v>
      </c>
      <c r="H1887" s="12">
        <f t="shared" si="29"/>
        <v>1458</v>
      </c>
      <c r="I1887" s="10" t="s">
        <v>10</v>
      </c>
      <c r="J1887" s="13">
        <v>45971</v>
      </c>
      <c r="K1887" t="s">
        <v>493</v>
      </c>
    </row>
    <row r="1888" hidden="1" spans="1:11">
      <c r="A1888" t="s">
        <v>319</v>
      </c>
      <c r="B1888" s="8">
        <v>252602374</v>
      </c>
      <c r="C1888" s="9">
        <v>45957</v>
      </c>
      <c r="D1888" s="8" t="s">
        <v>58</v>
      </c>
      <c r="E1888" s="10">
        <v>20000</v>
      </c>
      <c r="F1888" s="8">
        <v>0.014</v>
      </c>
      <c r="G1888" s="11">
        <v>45975</v>
      </c>
      <c r="H1888" s="12">
        <f t="shared" si="29"/>
        <v>280</v>
      </c>
      <c r="I1888" s="10" t="s">
        <v>10</v>
      </c>
      <c r="J1888" s="13">
        <v>45971</v>
      </c>
      <c r="K1888" t="s">
        <v>493</v>
      </c>
    </row>
    <row r="1889" hidden="1" spans="1:11">
      <c r="A1889" t="s">
        <v>319</v>
      </c>
      <c r="B1889" s="8">
        <v>252602379</v>
      </c>
      <c r="C1889" s="9">
        <v>45958</v>
      </c>
      <c r="D1889" s="8" t="s">
        <v>30</v>
      </c>
      <c r="E1889" s="10">
        <v>200000</v>
      </c>
      <c r="F1889" s="8">
        <v>0.022</v>
      </c>
      <c r="G1889" s="11">
        <v>45983</v>
      </c>
      <c r="H1889" s="12">
        <f t="shared" si="29"/>
        <v>4400</v>
      </c>
      <c r="I1889" s="67" t="s">
        <v>10</v>
      </c>
      <c r="J1889" s="13">
        <v>45966</v>
      </c>
      <c r="K1889" t="s">
        <v>445</v>
      </c>
    </row>
    <row r="1890" hidden="1" spans="1:11">
      <c r="A1890" t="s">
        <v>319</v>
      </c>
      <c r="B1890" s="8">
        <v>252602379</v>
      </c>
      <c r="C1890" s="9">
        <v>45958</v>
      </c>
      <c r="D1890" s="8" t="s">
        <v>30</v>
      </c>
      <c r="E1890" s="10">
        <v>200000</v>
      </c>
      <c r="F1890" s="8">
        <v>0.022</v>
      </c>
      <c r="G1890" s="11">
        <v>45983</v>
      </c>
      <c r="H1890" s="12">
        <f t="shared" si="29"/>
        <v>4400</v>
      </c>
      <c r="I1890" s="67" t="s">
        <v>10</v>
      </c>
      <c r="J1890" s="13">
        <v>45966</v>
      </c>
      <c r="K1890" t="s">
        <v>445</v>
      </c>
    </row>
    <row r="1891" hidden="1" spans="1:11">
      <c r="A1891" t="s">
        <v>319</v>
      </c>
      <c r="B1891" s="8">
        <v>252602379</v>
      </c>
      <c r="C1891" s="9">
        <v>45958</v>
      </c>
      <c r="D1891" s="8" t="s">
        <v>30</v>
      </c>
      <c r="E1891" s="10">
        <v>200000</v>
      </c>
      <c r="F1891" s="8">
        <v>0.022</v>
      </c>
      <c r="G1891" s="11">
        <v>45983</v>
      </c>
      <c r="H1891" s="12">
        <f t="shared" si="29"/>
        <v>4400</v>
      </c>
      <c r="I1891" s="67" t="s">
        <v>10</v>
      </c>
      <c r="J1891" s="13">
        <v>45966</v>
      </c>
      <c r="K1891" t="s">
        <v>445</v>
      </c>
    </row>
    <row r="1892" hidden="1" spans="1:11">
      <c r="A1892" t="s">
        <v>319</v>
      </c>
      <c r="B1892" s="8">
        <v>252602379</v>
      </c>
      <c r="C1892" s="9">
        <v>45958</v>
      </c>
      <c r="D1892" s="8" t="s">
        <v>30</v>
      </c>
      <c r="E1892" s="10">
        <v>200000</v>
      </c>
      <c r="F1892" s="8">
        <v>0.022</v>
      </c>
      <c r="G1892" s="11">
        <v>45983</v>
      </c>
      <c r="H1892" s="12">
        <f t="shared" si="29"/>
        <v>4400</v>
      </c>
      <c r="I1892" s="67" t="s">
        <v>10</v>
      </c>
      <c r="J1892" s="13">
        <v>45966</v>
      </c>
      <c r="K1892" t="s">
        <v>445</v>
      </c>
    </row>
    <row r="1893" hidden="1" spans="1:11">
      <c r="A1893" t="s">
        <v>319</v>
      </c>
      <c r="B1893" s="8">
        <v>252602379</v>
      </c>
      <c r="C1893" s="9">
        <v>45958</v>
      </c>
      <c r="D1893" s="8" t="s">
        <v>30</v>
      </c>
      <c r="E1893" s="10">
        <v>200000</v>
      </c>
      <c r="F1893" s="8">
        <v>0.022</v>
      </c>
      <c r="G1893" s="11">
        <v>45996</v>
      </c>
      <c r="H1893" s="12">
        <f t="shared" si="29"/>
        <v>4400</v>
      </c>
      <c r="I1893" s="67" t="s">
        <v>10</v>
      </c>
      <c r="J1893" s="13">
        <v>45966</v>
      </c>
      <c r="K1893" t="s">
        <v>445</v>
      </c>
    </row>
    <row r="1894" hidden="1" spans="1:11">
      <c r="A1894" t="s">
        <v>319</v>
      </c>
      <c r="B1894" s="8">
        <v>252602379</v>
      </c>
      <c r="C1894" s="9">
        <v>45958</v>
      </c>
      <c r="D1894" s="8" t="s">
        <v>30</v>
      </c>
      <c r="E1894" s="10">
        <v>200000</v>
      </c>
      <c r="F1894" s="8">
        <v>0.022</v>
      </c>
      <c r="G1894" s="11">
        <v>45996</v>
      </c>
      <c r="H1894" s="12">
        <f t="shared" si="29"/>
        <v>4400</v>
      </c>
      <c r="I1894" s="67" t="s">
        <v>10</v>
      </c>
      <c r="J1894" s="13">
        <v>45966</v>
      </c>
      <c r="K1894" t="s">
        <v>445</v>
      </c>
    </row>
    <row r="1895" hidden="1" spans="1:11">
      <c r="A1895" t="s">
        <v>319</v>
      </c>
      <c r="B1895" s="8">
        <v>252602379</v>
      </c>
      <c r="C1895" s="9">
        <v>45958</v>
      </c>
      <c r="D1895" s="8" t="s">
        <v>30</v>
      </c>
      <c r="E1895" s="10">
        <v>200000</v>
      </c>
      <c r="F1895" s="8">
        <v>0.022</v>
      </c>
      <c r="G1895" s="11">
        <v>45996</v>
      </c>
      <c r="H1895" s="12">
        <f t="shared" si="29"/>
        <v>4400</v>
      </c>
      <c r="I1895" s="67" t="s">
        <v>10</v>
      </c>
      <c r="J1895" s="13">
        <v>45966</v>
      </c>
      <c r="K1895" t="s">
        <v>445</v>
      </c>
    </row>
    <row r="1896" hidden="1" spans="1:11">
      <c r="A1896" t="s">
        <v>319</v>
      </c>
      <c r="B1896" s="8">
        <v>252602379</v>
      </c>
      <c r="C1896" s="9">
        <v>45958</v>
      </c>
      <c r="D1896" s="8" t="s">
        <v>30</v>
      </c>
      <c r="E1896" s="10">
        <v>200000</v>
      </c>
      <c r="F1896" s="8">
        <v>0.022</v>
      </c>
      <c r="G1896" s="11">
        <v>45996</v>
      </c>
      <c r="H1896" s="12">
        <f t="shared" si="29"/>
        <v>4400</v>
      </c>
      <c r="I1896" s="67" t="s">
        <v>10</v>
      </c>
      <c r="J1896" s="13">
        <v>45966</v>
      </c>
      <c r="K1896" t="s">
        <v>445</v>
      </c>
    </row>
    <row r="1897" hidden="1" spans="1:11">
      <c r="A1897" t="s">
        <v>319</v>
      </c>
      <c r="B1897" s="8">
        <v>252602379</v>
      </c>
      <c r="C1897" s="9">
        <v>45958</v>
      </c>
      <c r="D1897" s="8" t="s">
        <v>604</v>
      </c>
      <c r="E1897" s="10">
        <v>200000</v>
      </c>
      <c r="F1897" s="8">
        <v>0.015</v>
      </c>
      <c r="G1897" s="11">
        <v>45996</v>
      </c>
      <c r="H1897" s="12">
        <f t="shared" si="29"/>
        <v>3000</v>
      </c>
      <c r="I1897" s="10" t="s">
        <v>10</v>
      </c>
      <c r="J1897" s="13">
        <v>45985</v>
      </c>
      <c r="K1897" t="s">
        <v>445</v>
      </c>
    </row>
    <row r="1898" hidden="1" spans="1:11">
      <c r="A1898" t="s">
        <v>319</v>
      </c>
      <c r="B1898" s="8">
        <v>252602380</v>
      </c>
      <c r="C1898" s="9">
        <v>45958</v>
      </c>
      <c r="D1898" s="8" t="s">
        <v>30</v>
      </c>
      <c r="E1898" s="10">
        <v>200000</v>
      </c>
      <c r="F1898" s="8">
        <v>0.022</v>
      </c>
      <c r="G1898" s="11">
        <v>46044</v>
      </c>
      <c r="H1898" s="12">
        <f t="shared" si="29"/>
        <v>4400</v>
      </c>
      <c r="I1898" s="67" t="s">
        <v>10</v>
      </c>
      <c r="J1898" s="13">
        <v>45992</v>
      </c>
      <c r="K1898" t="s">
        <v>445</v>
      </c>
    </row>
    <row r="1899" hidden="1" spans="1:11">
      <c r="A1899" t="s">
        <v>319</v>
      </c>
      <c r="B1899" s="8">
        <v>252602380</v>
      </c>
      <c r="C1899" s="9">
        <v>45958</v>
      </c>
      <c r="D1899" s="8" t="s">
        <v>30</v>
      </c>
      <c r="E1899" s="10">
        <v>200000</v>
      </c>
      <c r="F1899" s="8">
        <v>0.022</v>
      </c>
      <c r="G1899" s="11">
        <v>46044</v>
      </c>
      <c r="H1899" s="12">
        <f t="shared" si="29"/>
        <v>4400</v>
      </c>
      <c r="I1899" s="67" t="s">
        <v>10</v>
      </c>
      <c r="J1899" s="13">
        <v>45992</v>
      </c>
      <c r="K1899" t="s">
        <v>445</v>
      </c>
    </row>
    <row r="1900" hidden="1" spans="1:11">
      <c r="A1900" t="s">
        <v>319</v>
      </c>
      <c r="B1900" s="8">
        <v>252602380</v>
      </c>
      <c r="C1900" s="9">
        <v>45958</v>
      </c>
      <c r="D1900" s="8" t="s">
        <v>30</v>
      </c>
      <c r="E1900" s="10">
        <v>200000</v>
      </c>
      <c r="F1900" s="8">
        <v>0.022</v>
      </c>
      <c r="G1900" s="11">
        <v>46044</v>
      </c>
      <c r="H1900" s="12">
        <f t="shared" si="29"/>
        <v>4400</v>
      </c>
      <c r="I1900" s="67" t="s">
        <v>10</v>
      </c>
      <c r="J1900" s="13">
        <v>45992</v>
      </c>
      <c r="K1900" t="s">
        <v>445</v>
      </c>
    </row>
    <row r="1901" hidden="1" spans="1:11">
      <c r="A1901" t="s">
        <v>319</v>
      </c>
      <c r="B1901" s="8">
        <v>252602380</v>
      </c>
      <c r="C1901" s="9">
        <v>45958</v>
      </c>
      <c r="D1901" s="8" t="s">
        <v>30</v>
      </c>
      <c r="E1901" s="10">
        <v>200000</v>
      </c>
      <c r="F1901" s="8">
        <v>0.022</v>
      </c>
      <c r="G1901" s="11">
        <v>46044</v>
      </c>
      <c r="H1901" s="12">
        <f t="shared" si="29"/>
        <v>4400</v>
      </c>
      <c r="I1901" s="67" t="s">
        <v>10</v>
      </c>
      <c r="J1901" s="13">
        <v>45992</v>
      </c>
      <c r="K1901" t="s">
        <v>445</v>
      </c>
    </row>
    <row r="1902" hidden="1" spans="1:11">
      <c r="A1902" t="s">
        <v>319</v>
      </c>
      <c r="B1902" s="8">
        <v>252602380</v>
      </c>
      <c r="C1902" s="9">
        <v>45958</v>
      </c>
      <c r="D1902" s="8" t="s">
        <v>30</v>
      </c>
      <c r="E1902" s="10">
        <v>200000</v>
      </c>
      <c r="F1902" s="8">
        <v>0.022</v>
      </c>
      <c r="G1902" s="11">
        <v>46103</v>
      </c>
      <c r="H1902" s="12">
        <f t="shared" si="29"/>
        <v>4400</v>
      </c>
      <c r="I1902" s="67" t="s">
        <v>10</v>
      </c>
      <c r="J1902" s="13">
        <v>45992</v>
      </c>
      <c r="K1902" t="s">
        <v>445</v>
      </c>
    </row>
    <row r="1903" hidden="1" spans="1:11">
      <c r="A1903" t="s">
        <v>319</v>
      </c>
      <c r="B1903" s="8">
        <v>252602380</v>
      </c>
      <c r="C1903" s="9">
        <v>45958</v>
      </c>
      <c r="D1903" s="8" t="s">
        <v>30</v>
      </c>
      <c r="E1903" s="10">
        <v>200000</v>
      </c>
      <c r="F1903" s="8">
        <v>0.022</v>
      </c>
      <c r="G1903" s="11">
        <v>46103</v>
      </c>
      <c r="H1903" s="12">
        <f t="shared" si="29"/>
        <v>4400</v>
      </c>
      <c r="I1903" s="67" t="s">
        <v>10</v>
      </c>
      <c r="J1903" s="13">
        <v>45992</v>
      </c>
      <c r="K1903" t="s">
        <v>445</v>
      </c>
    </row>
    <row r="1904" hidden="1" spans="1:11">
      <c r="A1904" t="s">
        <v>319</v>
      </c>
      <c r="B1904" s="8">
        <v>252602380</v>
      </c>
      <c r="C1904" s="9">
        <v>45958</v>
      </c>
      <c r="D1904" s="8" t="s">
        <v>30</v>
      </c>
      <c r="E1904" s="10">
        <v>200000</v>
      </c>
      <c r="F1904" s="8">
        <v>0.022</v>
      </c>
      <c r="G1904" s="11">
        <v>46103</v>
      </c>
      <c r="H1904" s="12">
        <f t="shared" si="29"/>
        <v>4400</v>
      </c>
      <c r="I1904" s="67" t="s">
        <v>10</v>
      </c>
      <c r="J1904" s="13">
        <v>45992</v>
      </c>
      <c r="K1904" t="s">
        <v>445</v>
      </c>
    </row>
    <row r="1905" hidden="1" spans="1:11">
      <c r="A1905" t="s">
        <v>319</v>
      </c>
      <c r="B1905" s="8">
        <v>252602380</v>
      </c>
      <c r="C1905" s="9">
        <v>45958</v>
      </c>
      <c r="D1905" s="8" t="s">
        <v>30</v>
      </c>
      <c r="E1905" s="10">
        <v>200000</v>
      </c>
      <c r="F1905" s="8">
        <v>0.022</v>
      </c>
      <c r="G1905" s="11">
        <v>46103</v>
      </c>
      <c r="H1905" s="12">
        <f t="shared" si="29"/>
        <v>4400</v>
      </c>
      <c r="I1905" s="67" t="s">
        <v>10</v>
      </c>
      <c r="J1905" s="13">
        <v>45992</v>
      </c>
      <c r="K1905" t="s">
        <v>445</v>
      </c>
    </row>
    <row r="1906" hidden="1" spans="1:11">
      <c r="A1906" t="s">
        <v>319</v>
      </c>
      <c r="B1906" s="8">
        <v>252602380</v>
      </c>
      <c r="C1906" s="9">
        <v>45958</v>
      </c>
      <c r="D1906" s="8" t="s">
        <v>604</v>
      </c>
      <c r="E1906" s="10">
        <v>200000</v>
      </c>
      <c r="F1906" s="8">
        <v>0.015</v>
      </c>
      <c r="G1906" s="11">
        <v>46044</v>
      </c>
      <c r="H1906" s="12">
        <f t="shared" si="29"/>
        <v>3000</v>
      </c>
      <c r="I1906" s="10" t="s">
        <v>10</v>
      </c>
      <c r="J1906" s="13">
        <v>45988</v>
      </c>
      <c r="K1906" t="s">
        <v>445</v>
      </c>
    </row>
    <row r="1907" hidden="1" spans="1:11">
      <c r="A1907" t="s">
        <v>319</v>
      </c>
      <c r="B1907" s="8">
        <v>252602380</v>
      </c>
      <c r="C1907" s="9">
        <v>45958</v>
      </c>
      <c r="D1907" s="8" t="s">
        <v>604</v>
      </c>
      <c r="E1907" s="10">
        <v>200000</v>
      </c>
      <c r="F1907" s="8">
        <v>0.015</v>
      </c>
      <c r="G1907" s="11">
        <v>46103</v>
      </c>
      <c r="H1907" s="12">
        <f t="shared" si="29"/>
        <v>3000</v>
      </c>
      <c r="I1907" s="10" t="s">
        <v>10</v>
      </c>
      <c r="J1907" s="13">
        <v>45988</v>
      </c>
      <c r="K1907" t="s">
        <v>445</v>
      </c>
    </row>
    <row r="1908" hidden="1" spans="1:11">
      <c r="A1908" t="s">
        <v>319</v>
      </c>
      <c r="B1908" s="8">
        <v>252602381</v>
      </c>
      <c r="C1908" s="9">
        <v>45958</v>
      </c>
      <c r="D1908" s="8" t="s">
        <v>182</v>
      </c>
      <c r="E1908" s="10">
        <v>200000</v>
      </c>
      <c r="F1908" s="8">
        <v>0.025</v>
      </c>
      <c r="G1908" s="11">
        <v>46044</v>
      </c>
      <c r="H1908" s="12">
        <f t="shared" si="29"/>
        <v>5000</v>
      </c>
      <c r="I1908" s="10" t="s">
        <v>10</v>
      </c>
      <c r="J1908" s="13">
        <v>45993</v>
      </c>
      <c r="K1908" t="s">
        <v>391</v>
      </c>
    </row>
    <row r="1909" hidden="1" spans="1:11">
      <c r="A1909" t="s">
        <v>319</v>
      </c>
      <c r="B1909" s="8">
        <v>252602381</v>
      </c>
      <c r="C1909" s="9">
        <v>45958</v>
      </c>
      <c r="D1909" s="8" t="s">
        <v>182</v>
      </c>
      <c r="E1909" s="10">
        <v>100000</v>
      </c>
      <c r="F1909" s="8">
        <v>0.025</v>
      </c>
      <c r="G1909" s="11">
        <v>46058</v>
      </c>
      <c r="H1909" s="12">
        <f t="shared" si="29"/>
        <v>2500</v>
      </c>
      <c r="I1909" s="10" t="s">
        <v>10</v>
      </c>
      <c r="J1909" s="13">
        <v>45993</v>
      </c>
      <c r="K1909" t="s">
        <v>391</v>
      </c>
    </row>
    <row r="1910" hidden="1" spans="1:11">
      <c r="A1910" t="s">
        <v>319</v>
      </c>
      <c r="B1910" s="8">
        <v>252602382</v>
      </c>
      <c r="C1910" s="9">
        <v>45958</v>
      </c>
      <c r="D1910" s="8" t="s">
        <v>70</v>
      </c>
      <c r="E1910" s="10">
        <v>20000</v>
      </c>
      <c r="F1910" s="8">
        <v>0.028</v>
      </c>
      <c r="G1910" s="11">
        <v>46013</v>
      </c>
      <c r="H1910" s="12">
        <f t="shared" si="29"/>
        <v>560</v>
      </c>
      <c r="I1910" s="10" t="s">
        <v>10</v>
      </c>
      <c r="J1910" s="13">
        <v>45966</v>
      </c>
      <c r="K1910" t="s">
        <v>391</v>
      </c>
    </row>
    <row r="1911" hidden="1" spans="1:11">
      <c r="A1911" t="s">
        <v>319</v>
      </c>
      <c r="B1911" s="8">
        <v>252602383</v>
      </c>
      <c r="C1911" s="9">
        <v>45958</v>
      </c>
      <c r="D1911" s="8" t="s">
        <v>40</v>
      </c>
      <c r="E1911" s="10">
        <v>200000</v>
      </c>
      <c r="F1911" s="8">
        <v>0.035</v>
      </c>
      <c r="G1911" s="11">
        <v>46027</v>
      </c>
      <c r="H1911" s="12">
        <f t="shared" si="29"/>
        <v>7000</v>
      </c>
      <c r="I1911" s="10" t="s">
        <v>10</v>
      </c>
      <c r="J1911" s="13">
        <v>45980</v>
      </c>
      <c r="K1911" t="s">
        <v>380</v>
      </c>
    </row>
    <row r="1912" hidden="1" spans="1:11">
      <c r="A1912" t="s">
        <v>319</v>
      </c>
      <c r="B1912" s="8">
        <v>252602383</v>
      </c>
      <c r="C1912" s="9">
        <v>45958</v>
      </c>
      <c r="D1912" s="8" t="s">
        <v>40</v>
      </c>
      <c r="E1912" s="10">
        <v>200000</v>
      </c>
      <c r="F1912" s="8">
        <v>0.035</v>
      </c>
      <c r="G1912" s="11">
        <v>46027</v>
      </c>
      <c r="H1912" s="12">
        <f t="shared" si="29"/>
        <v>7000</v>
      </c>
      <c r="I1912" s="10" t="s">
        <v>10</v>
      </c>
      <c r="J1912" s="13">
        <v>45980</v>
      </c>
      <c r="K1912" t="s">
        <v>380</v>
      </c>
    </row>
    <row r="1913" hidden="1" spans="1:11">
      <c r="A1913" t="s">
        <v>319</v>
      </c>
      <c r="B1913" s="8">
        <v>252602383</v>
      </c>
      <c r="C1913" s="9">
        <v>45958</v>
      </c>
      <c r="D1913" s="8" t="s">
        <v>96</v>
      </c>
      <c r="E1913" s="10">
        <v>208000</v>
      </c>
      <c r="F1913" s="8">
        <v>0.003</v>
      </c>
      <c r="G1913" s="11">
        <v>46027</v>
      </c>
      <c r="H1913" s="12">
        <f t="shared" si="29"/>
        <v>624</v>
      </c>
      <c r="I1913" s="10" t="s">
        <v>10</v>
      </c>
      <c r="J1913" s="13">
        <v>45980</v>
      </c>
      <c r="K1913" t="s">
        <v>380</v>
      </c>
    </row>
    <row r="1914" hidden="1" spans="1:11">
      <c r="A1914" t="s">
        <v>319</v>
      </c>
      <c r="B1914" s="8">
        <v>252602383</v>
      </c>
      <c r="C1914" s="9">
        <v>45958</v>
      </c>
      <c r="D1914" s="8" t="s">
        <v>46</v>
      </c>
      <c r="E1914" s="10">
        <v>200000</v>
      </c>
      <c r="F1914" s="8">
        <v>0.02</v>
      </c>
      <c r="G1914" s="11">
        <v>46027</v>
      </c>
      <c r="H1914" s="12">
        <f t="shared" si="29"/>
        <v>4000</v>
      </c>
      <c r="I1914" s="10" t="s">
        <v>10</v>
      </c>
      <c r="J1914" s="13">
        <v>45980</v>
      </c>
      <c r="K1914" t="s">
        <v>380</v>
      </c>
    </row>
    <row r="1915" hidden="1" spans="1:11">
      <c r="A1915" t="s">
        <v>319</v>
      </c>
      <c r="B1915" s="8">
        <v>252602383</v>
      </c>
      <c r="C1915" s="9">
        <v>45958</v>
      </c>
      <c r="D1915" s="8" t="s">
        <v>46</v>
      </c>
      <c r="E1915" s="10">
        <v>200000</v>
      </c>
      <c r="F1915" s="8">
        <v>0.02</v>
      </c>
      <c r="G1915" s="11">
        <v>46027</v>
      </c>
      <c r="H1915" s="12">
        <f t="shared" si="29"/>
        <v>4000</v>
      </c>
      <c r="I1915" s="10" t="s">
        <v>10</v>
      </c>
      <c r="J1915" s="13">
        <v>45980</v>
      </c>
      <c r="K1915" t="s">
        <v>380</v>
      </c>
    </row>
    <row r="1916" hidden="1" spans="1:11">
      <c r="A1916" t="s">
        <v>319</v>
      </c>
      <c r="B1916" s="8">
        <v>252602383</v>
      </c>
      <c r="C1916" s="9">
        <v>45958</v>
      </c>
      <c r="D1916" s="8" t="s">
        <v>62</v>
      </c>
      <c r="E1916" s="10">
        <v>208000</v>
      </c>
      <c r="F1916" s="8">
        <v>0.005</v>
      </c>
      <c r="G1916" s="11">
        <v>46027</v>
      </c>
      <c r="H1916" s="12">
        <f t="shared" si="29"/>
        <v>1040</v>
      </c>
      <c r="I1916" s="10" t="s">
        <v>10</v>
      </c>
      <c r="J1916" s="13">
        <v>45980</v>
      </c>
      <c r="K1916" t="s">
        <v>380</v>
      </c>
    </row>
    <row r="1917" hidden="1" spans="1:11">
      <c r="A1917" t="s">
        <v>319</v>
      </c>
      <c r="B1917" s="8">
        <v>252602383</v>
      </c>
      <c r="C1917" s="9">
        <v>45958</v>
      </c>
      <c r="D1917" s="8" t="s">
        <v>163</v>
      </c>
      <c r="E1917" s="10">
        <v>208000</v>
      </c>
      <c r="F1917" s="8">
        <v>0.0025</v>
      </c>
      <c r="G1917" s="11">
        <v>46027</v>
      </c>
      <c r="H1917" s="12">
        <f t="shared" si="29"/>
        <v>520</v>
      </c>
      <c r="I1917" s="10" t="s">
        <v>10</v>
      </c>
      <c r="J1917" s="13">
        <v>45980</v>
      </c>
      <c r="K1917" t="s">
        <v>380</v>
      </c>
    </row>
    <row r="1918" hidden="1" spans="1:11">
      <c r="A1918" t="s">
        <v>319</v>
      </c>
      <c r="B1918" s="8">
        <v>252602384</v>
      </c>
      <c r="C1918" s="9">
        <v>45958</v>
      </c>
      <c r="D1918" s="8" t="s">
        <v>40</v>
      </c>
      <c r="E1918" s="10">
        <v>200000</v>
      </c>
      <c r="F1918" s="8">
        <v>0.035</v>
      </c>
      <c r="G1918" s="11">
        <v>46058</v>
      </c>
      <c r="H1918" s="12">
        <f t="shared" si="29"/>
        <v>7000</v>
      </c>
      <c r="I1918" s="10" t="s">
        <v>10</v>
      </c>
      <c r="J1918" s="13">
        <v>45980</v>
      </c>
      <c r="K1918" t="s">
        <v>380</v>
      </c>
    </row>
    <row r="1919" hidden="1" spans="1:11">
      <c r="A1919" t="s">
        <v>319</v>
      </c>
      <c r="B1919" s="8">
        <v>252602384</v>
      </c>
      <c r="C1919" s="9">
        <v>45958</v>
      </c>
      <c r="D1919" s="8" t="s">
        <v>40</v>
      </c>
      <c r="E1919" s="10">
        <v>100000</v>
      </c>
      <c r="F1919" s="8">
        <v>0.035</v>
      </c>
      <c r="G1919" s="11">
        <v>46058</v>
      </c>
      <c r="H1919" s="12">
        <f t="shared" si="29"/>
        <v>3500</v>
      </c>
      <c r="I1919" s="10" t="s">
        <v>10</v>
      </c>
      <c r="J1919" s="13">
        <v>45980</v>
      </c>
      <c r="K1919" t="s">
        <v>380</v>
      </c>
    </row>
    <row r="1920" hidden="1" spans="1:11">
      <c r="A1920" t="s">
        <v>319</v>
      </c>
      <c r="B1920" s="8">
        <v>252602384</v>
      </c>
      <c r="C1920" s="9">
        <v>45958</v>
      </c>
      <c r="D1920" s="8" t="s">
        <v>96</v>
      </c>
      <c r="E1920" s="10">
        <v>96000</v>
      </c>
      <c r="F1920" s="8">
        <v>0.003</v>
      </c>
      <c r="G1920" s="11">
        <v>46058</v>
      </c>
      <c r="H1920" s="12">
        <f t="shared" si="29"/>
        <v>288</v>
      </c>
      <c r="I1920" s="10" t="s">
        <v>10</v>
      </c>
      <c r="J1920" s="13">
        <v>45980</v>
      </c>
      <c r="K1920" t="s">
        <v>380</v>
      </c>
    </row>
    <row r="1921" hidden="1" spans="1:11">
      <c r="A1921" t="s">
        <v>319</v>
      </c>
      <c r="B1921" s="8">
        <v>252602384</v>
      </c>
      <c r="C1921" s="9">
        <v>45958</v>
      </c>
      <c r="D1921" s="8" t="s">
        <v>46</v>
      </c>
      <c r="E1921" s="10">
        <v>200000</v>
      </c>
      <c r="F1921" s="8">
        <v>0.02</v>
      </c>
      <c r="G1921" s="11">
        <v>46058</v>
      </c>
      <c r="H1921" s="12">
        <f t="shared" si="29"/>
        <v>4000</v>
      </c>
      <c r="I1921" s="10" t="s">
        <v>10</v>
      </c>
      <c r="J1921" s="13">
        <v>45980</v>
      </c>
      <c r="K1921" t="s">
        <v>380</v>
      </c>
    </row>
    <row r="1922" hidden="1" spans="1:11">
      <c r="A1922" t="s">
        <v>319</v>
      </c>
      <c r="B1922" s="8">
        <v>252602384</v>
      </c>
      <c r="C1922" s="9">
        <v>45958</v>
      </c>
      <c r="D1922" s="8" t="s">
        <v>46</v>
      </c>
      <c r="E1922" s="10">
        <v>100000</v>
      </c>
      <c r="F1922" s="8">
        <v>0.02</v>
      </c>
      <c r="G1922" s="11">
        <v>46058</v>
      </c>
      <c r="H1922" s="12">
        <f t="shared" ref="H1922:H1985" si="30">E1922*F1922</f>
        <v>2000</v>
      </c>
      <c r="I1922" s="10" t="s">
        <v>10</v>
      </c>
      <c r="J1922" s="13">
        <v>45980</v>
      </c>
      <c r="K1922" t="s">
        <v>380</v>
      </c>
    </row>
    <row r="1923" hidden="1" spans="1:11">
      <c r="A1923" t="s">
        <v>319</v>
      </c>
      <c r="B1923" s="8">
        <v>252602384</v>
      </c>
      <c r="C1923" s="9">
        <v>45958</v>
      </c>
      <c r="D1923" s="8" t="s">
        <v>62</v>
      </c>
      <c r="E1923" s="10">
        <v>192000</v>
      </c>
      <c r="F1923" s="8">
        <v>0.005</v>
      </c>
      <c r="G1923" s="11">
        <v>46058</v>
      </c>
      <c r="H1923" s="12">
        <f t="shared" si="30"/>
        <v>960</v>
      </c>
      <c r="I1923" s="10" t="s">
        <v>10</v>
      </c>
      <c r="J1923" s="13">
        <v>45980</v>
      </c>
      <c r="K1923" t="s">
        <v>380</v>
      </c>
    </row>
    <row r="1924" hidden="1" spans="1:11">
      <c r="A1924" t="s">
        <v>319</v>
      </c>
      <c r="B1924" s="8">
        <v>252602384</v>
      </c>
      <c r="C1924" s="9">
        <v>45958</v>
      </c>
      <c r="D1924" s="8" t="s">
        <v>163</v>
      </c>
      <c r="E1924" s="10">
        <v>208000</v>
      </c>
      <c r="F1924" s="8">
        <v>0.0025</v>
      </c>
      <c r="G1924" s="11">
        <v>46058</v>
      </c>
      <c r="H1924" s="12">
        <f t="shared" si="30"/>
        <v>520</v>
      </c>
      <c r="I1924" s="10" t="s">
        <v>10</v>
      </c>
      <c r="J1924" s="13">
        <v>45980</v>
      </c>
      <c r="K1924" t="s">
        <v>380</v>
      </c>
    </row>
    <row r="1925" hidden="1" spans="1:11">
      <c r="A1925" t="s">
        <v>319</v>
      </c>
      <c r="B1925" s="8">
        <v>252602385</v>
      </c>
      <c r="C1925" s="9">
        <v>45958</v>
      </c>
      <c r="D1925" s="8" t="s">
        <v>58</v>
      </c>
      <c r="E1925" s="10">
        <v>200000</v>
      </c>
      <c r="F1925" s="8">
        <v>0.014</v>
      </c>
      <c r="G1925" s="11">
        <v>46027</v>
      </c>
      <c r="H1925" s="12">
        <f t="shared" si="30"/>
        <v>2800</v>
      </c>
      <c r="I1925" s="10" t="s">
        <v>10</v>
      </c>
      <c r="J1925" s="13">
        <v>45978</v>
      </c>
      <c r="K1925" t="s">
        <v>467</v>
      </c>
    </row>
    <row r="1926" hidden="1" spans="1:11">
      <c r="A1926" t="s">
        <v>319</v>
      </c>
      <c r="B1926" s="8">
        <v>252602385</v>
      </c>
      <c r="C1926" s="9">
        <v>45958</v>
      </c>
      <c r="D1926" s="8" t="s">
        <v>58</v>
      </c>
      <c r="E1926" s="10">
        <v>200000</v>
      </c>
      <c r="F1926" s="8">
        <v>0.014</v>
      </c>
      <c r="G1926" s="11">
        <v>46027</v>
      </c>
      <c r="H1926" s="12">
        <f t="shared" si="30"/>
        <v>2800</v>
      </c>
      <c r="I1926" s="10" t="s">
        <v>10</v>
      </c>
      <c r="J1926" s="13">
        <v>45978</v>
      </c>
      <c r="K1926" t="s">
        <v>467</v>
      </c>
    </row>
    <row r="1927" hidden="1" spans="1:11">
      <c r="A1927" t="s">
        <v>319</v>
      </c>
      <c r="B1927" s="8">
        <v>252602385</v>
      </c>
      <c r="C1927" s="9">
        <v>45958</v>
      </c>
      <c r="D1927" s="8" t="s">
        <v>58</v>
      </c>
      <c r="E1927" s="10">
        <v>200000</v>
      </c>
      <c r="F1927" s="8">
        <v>0.014</v>
      </c>
      <c r="G1927" s="11">
        <v>46027</v>
      </c>
      <c r="H1927" s="12">
        <f t="shared" si="30"/>
        <v>2800</v>
      </c>
      <c r="I1927" s="10" t="s">
        <v>10</v>
      </c>
      <c r="J1927" s="13">
        <v>45978</v>
      </c>
      <c r="K1927" t="s">
        <v>467</v>
      </c>
    </row>
    <row r="1928" hidden="1" spans="1:11">
      <c r="A1928" t="s">
        <v>319</v>
      </c>
      <c r="B1928" s="8">
        <v>252602385</v>
      </c>
      <c r="C1928" s="9">
        <v>45958</v>
      </c>
      <c r="D1928" s="8" t="s">
        <v>58</v>
      </c>
      <c r="E1928" s="10">
        <v>100000</v>
      </c>
      <c r="F1928" s="8">
        <v>0.014</v>
      </c>
      <c r="G1928" s="11">
        <v>46027</v>
      </c>
      <c r="H1928" s="12">
        <f t="shared" si="30"/>
        <v>1400</v>
      </c>
      <c r="I1928" s="10" t="s">
        <v>10</v>
      </c>
      <c r="J1928" s="13">
        <v>45978</v>
      </c>
      <c r="K1928" t="s">
        <v>467</v>
      </c>
    </row>
    <row r="1929" hidden="1" spans="1:11">
      <c r="A1929" t="s">
        <v>319</v>
      </c>
      <c r="B1929" s="8">
        <v>252602385</v>
      </c>
      <c r="C1929" s="9">
        <v>45958</v>
      </c>
      <c r="D1929" s="8" t="s">
        <v>58</v>
      </c>
      <c r="E1929" s="10">
        <v>200000</v>
      </c>
      <c r="F1929" s="8">
        <v>0.014</v>
      </c>
      <c r="G1929" s="11">
        <v>46058</v>
      </c>
      <c r="H1929" s="12">
        <f t="shared" si="30"/>
        <v>2800</v>
      </c>
      <c r="I1929" s="10" t="s">
        <v>10</v>
      </c>
      <c r="J1929" s="13">
        <v>45978</v>
      </c>
      <c r="K1929" t="s">
        <v>467</v>
      </c>
    </row>
    <row r="1930" hidden="1" spans="1:11">
      <c r="A1930" t="s">
        <v>319</v>
      </c>
      <c r="B1930" s="8">
        <v>252602385</v>
      </c>
      <c r="C1930" s="9">
        <v>45958</v>
      </c>
      <c r="D1930" s="8" t="s">
        <v>58</v>
      </c>
      <c r="E1930" s="10">
        <v>200000</v>
      </c>
      <c r="F1930" s="8">
        <v>0.014</v>
      </c>
      <c r="G1930" s="11">
        <v>46058</v>
      </c>
      <c r="H1930" s="12">
        <f t="shared" si="30"/>
        <v>2800</v>
      </c>
      <c r="I1930" s="10" t="s">
        <v>10</v>
      </c>
      <c r="J1930" s="13">
        <v>45978</v>
      </c>
      <c r="K1930" t="s">
        <v>467</v>
      </c>
    </row>
    <row r="1931" hidden="1" spans="1:11">
      <c r="A1931" t="s">
        <v>319</v>
      </c>
      <c r="B1931" s="8">
        <v>252602385</v>
      </c>
      <c r="C1931" s="9">
        <v>45958</v>
      </c>
      <c r="D1931" s="8" t="s">
        <v>58</v>
      </c>
      <c r="E1931" s="10">
        <v>200000</v>
      </c>
      <c r="F1931" s="8">
        <v>0.014</v>
      </c>
      <c r="G1931" s="11">
        <v>46058</v>
      </c>
      <c r="H1931" s="12">
        <f t="shared" si="30"/>
        <v>2800</v>
      </c>
      <c r="I1931" s="10" t="s">
        <v>10</v>
      </c>
      <c r="J1931" s="13">
        <v>45978</v>
      </c>
      <c r="K1931" t="s">
        <v>467</v>
      </c>
    </row>
    <row r="1932" hidden="1" spans="1:11">
      <c r="A1932" t="s">
        <v>319</v>
      </c>
      <c r="B1932" s="8">
        <v>252602385</v>
      </c>
      <c r="C1932" s="9">
        <v>45958</v>
      </c>
      <c r="D1932" s="8" t="s">
        <v>100</v>
      </c>
      <c r="E1932" s="10">
        <v>20000</v>
      </c>
      <c r="F1932" s="8">
        <v>0.0224</v>
      </c>
      <c r="G1932" s="11">
        <v>46027</v>
      </c>
      <c r="H1932" s="12">
        <f t="shared" si="30"/>
        <v>448</v>
      </c>
      <c r="I1932" s="10" t="s">
        <v>10</v>
      </c>
      <c r="J1932" s="13">
        <v>45978</v>
      </c>
      <c r="K1932" t="s">
        <v>467</v>
      </c>
    </row>
    <row r="1933" hidden="1" spans="1:11">
      <c r="A1933" t="s">
        <v>319</v>
      </c>
      <c r="B1933" s="8">
        <v>252602385</v>
      </c>
      <c r="C1933" s="9">
        <v>45958</v>
      </c>
      <c r="D1933" s="8" t="s">
        <v>181</v>
      </c>
      <c r="E1933" s="10">
        <v>30000</v>
      </c>
      <c r="F1933" s="8">
        <v>0.0243</v>
      </c>
      <c r="G1933" s="11">
        <v>46027</v>
      </c>
      <c r="H1933" s="12">
        <f t="shared" si="30"/>
        <v>729</v>
      </c>
      <c r="I1933" s="10" t="s">
        <v>10</v>
      </c>
      <c r="J1933" s="13">
        <v>45978</v>
      </c>
      <c r="K1933" t="s">
        <v>467</v>
      </c>
    </row>
    <row r="1934" hidden="1" spans="1:11">
      <c r="A1934" t="s">
        <v>319</v>
      </c>
      <c r="B1934" s="8">
        <v>252602385</v>
      </c>
      <c r="C1934" s="9">
        <v>45958</v>
      </c>
      <c r="D1934" s="8" t="s">
        <v>181</v>
      </c>
      <c r="E1934" s="10">
        <v>30000</v>
      </c>
      <c r="F1934" s="8">
        <v>0.0243</v>
      </c>
      <c r="G1934" s="11">
        <v>46058</v>
      </c>
      <c r="H1934" s="12">
        <f t="shared" si="30"/>
        <v>729</v>
      </c>
      <c r="I1934" s="10" t="s">
        <v>10</v>
      </c>
      <c r="J1934" s="13">
        <v>45978</v>
      </c>
      <c r="K1934" t="s">
        <v>467</v>
      </c>
    </row>
    <row r="1935" hidden="1" spans="1:11">
      <c r="A1935" t="s">
        <v>319</v>
      </c>
      <c r="B1935" s="8">
        <v>252602385</v>
      </c>
      <c r="C1935" s="9">
        <v>45958</v>
      </c>
      <c r="D1935" s="8" t="s">
        <v>31</v>
      </c>
      <c r="E1935" s="10">
        <v>200000</v>
      </c>
      <c r="F1935" s="8">
        <v>0.024</v>
      </c>
      <c r="G1935" s="11">
        <v>46027</v>
      </c>
      <c r="H1935" s="12">
        <f t="shared" si="30"/>
        <v>4800</v>
      </c>
      <c r="I1935" s="10" t="s">
        <v>10</v>
      </c>
      <c r="J1935" s="13">
        <v>45978</v>
      </c>
      <c r="K1935" t="s">
        <v>467</v>
      </c>
    </row>
    <row r="1936" hidden="1" spans="1:11">
      <c r="A1936" t="s">
        <v>319</v>
      </c>
      <c r="B1936" s="8">
        <v>252602385</v>
      </c>
      <c r="C1936" s="9">
        <v>45958</v>
      </c>
      <c r="D1936" s="8" t="s">
        <v>31</v>
      </c>
      <c r="E1936" s="10">
        <v>200000</v>
      </c>
      <c r="F1936" s="8">
        <v>0.024</v>
      </c>
      <c r="G1936" s="11">
        <v>46027</v>
      </c>
      <c r="H1936" s="12">
        <f t="shared" si="30"/>
        <v>4800</v>
      </c>
      <c r="I1936" s="10" t="s">
        <v>10</v>
      </c>
      <c r="J1936" s="13">
        <v>45978</v>
      </c>
      <c r="K1936" t="s">
        <v>467</v>
      </c>
    </row>
    <row r="1937" hidden="1" spans="1:11">
      <c r="A1937" t="s">
        <v>319</v>
      </c>
      <c r="B1937" s="8">
        <v>252602385</v>
      </c>
      <c r="C1937" s="9">
        <v>45958</v>
      </c>
      <c r="D1937" s="8" t="s">
        <v>31</v>
      </c>
      <c r="E1937" s="10">
        <v>200000</v>
      </c>
      <c r="F1937" s="8">
        <v>0.024</v>
      </c>
      <c r="G1937" s="11">
        <v>46027</v>
      </c>
      <c r="H1937" s="12">
        <f t="shared" si="30"/>
        <v>4800</v>
      </c>
      <c r="I1937" s="10" t="s">
        <v>10</v>
      </c>
      <c r="J1937" s="13">
        <v>45978</v>
      </c>
      <c r="K1937" t="s">
        <v>467</v>
      </c>
    </row>
    <row r="1938" hidden="1" spans="1:11">
      <c r="A1938" t="s">
        <v>319</v>
      </c>
      <c r="B1938" s="8">
        <v>252602385</v>
      </c>
      <c r="C1938" s="9">
        <v>45958</v>
      </c>
      <c r="D1938" s="8" t="s">
        <v>31</v>
      </c>
      <c r="E1938" s="10">
        <v>200000</v>
      </c>
      <c r="F1938" s="8">
        <v>0.024</v>
      </c>
      <c r="G1938" s="11">
        <v>46027</v>
      </c>
      <c r="H1938" s="12">
        <f t="shared" si="30"/>
        <v>4800</v>
      </c>
      <c r="I1938" s="10" t="s">
        <v>10</v>
      </c>
      <c r="J1938" s="13">
        <v>45978</v>
      </c>
      <c r="K1938" t="s">
        <v>467</v>
      </c>
    </row>
    <row r="1939" hidden="1" spans="1:11">
      <c r="A1939" t="s">
        <v>319</v>
      </c>
      <c r="B1939" s="8">
        <v>252602385</v>
      </c>
      <c r="C1939" s="9">
        <v>45958</v>
      </c>
      <c r="D1939" s="8" t="s">
        <v>31</v>
      </c>
      <c r="E1939" s="10">
        <v>200000</v>
      </c>
      <c r="F1939" s="8">
        <v>0.024</v>
      </c>
      <c r="G1939" s="11">
        <v>46058</v>
      </c>
      <c r="H1939" s="12">
        <f t="shared" si="30"/>
        <v>4800</v>
      </c>
      <c r="I1939" s="10" t="s">
        <v>10</v>
      </c>
      <c r="J1939" s="13">
        <v>45978</v>
      </c>
      <c r="K1939" t="s">
        <v>467</v>
      </c>
    </row>
    <row r="1940" hidden="1" spans="1:11">
      <c r="A1940" t="s">
        <v>319</v>
      </c>
      <c r="B1940" s="8">
        <v>252602385</v>
      </c>
      <c r="C1940" s="9">
        <v>45958</v>
      </c>
      <c r="D1940" s="8" t="s">
        <v>31</v>
      </c>
      <c r="E1940" s="10">
        <v>200000</v>
      </c>
      <c r="F1940" s="8">
        <v>0.024</v>
      </c>
      <c r="G1940" s="11">
        <v>46058</v>
      </c>
      <c r="H1940" s="12">
        <f t="shared" si="30"/>
        <v>4800</v>
      </c>
      <c r="I1940" s="10" t="s">
        <v>10</v>
      </c>
      <c r="J1940" s="13">
        <v>45978</v>
      </c>
      <c r="K1940" t="s">
        <v>467</v>
      </c>
    </row>
    <row r="1941" hidden="1" spans="1:11">
      <c r="A1941" t="s">
        <v>319</v>
      </c>
      <c r="B1941" s="8">
        <v>252602385</v>
      </c>
      <c r="C1941" s="9">
        <v>45958</v>
      </c>
      <c r="D1941" s="8" t="s">
        <v>31</v>
      </c>
      <c r="E1941" s="10">
        <v>200000</v>
      </c>
      <c r="F1941" s="8">
        <v>0.024</v>
      </c>
      <c r="G1941" s="11">
        <v>46058</v>
      </c>
      <c r="H1941" s="12">
        <f t="shared" si="30"/>
        <v>4800</v>
      </c>
      <c r="I1941" s="10" t="s">
        <v>10</v>
      </c>
      <c r="J1941" s="13">
        <v>45978</v>
      </c>
      <c r="K1941" t="s">
        <v>467</v>
      </c>
    </row>
    <row r="1942" hidden="1" spans="1:11">
      <c r="A1942" t="s">
        <v>319</v>
      </c>
      <c r="B1942" s="8">
        <v>252602385</v>
      </c>
      <c r="C1942" s="9">
        <v>45958</v>
      </c>
      <c r="D1942" s="8" t="s">
        <v>31</v>
      </c>
      <c r="E1942" s="10">
        <v>200000</v>
      </c>
      <c r="F1942" s="8">
        <v>0.024</v>
      </c>
      <c r="G1942" s="11">
        <v>46058</v>
      </c>
      <c r="H1942" s="12">
        <f t="shared" si="30"/>
        <v>4800</v>
      </c>
      <c r="I1942" s="10" t="s">
        <v>10</v>
      </c>
      <c r="J1942" s="13">
        <v>45978</v>
      </c>
      <c r="K1942" t="s">
        <v>467</v>
      </c>
    </row>
    <row r="1943" hidden="1" spans="1:11">
      <c r="A1943" t="s">
        <v>319</v>
      </c>
      <c r="B1943" s="8">
        <v>252602386</v>
      </c>
      <c r="C1943" s="9">
        <v>45958</v>
      </c>
      <c r="D1943" s="8" t="s">
        <v>40</v>
      </c>
      <c r="E1943" s="10">
        <v>200000</v>
      </c>
      <c r="F1943" s="8">
        <v>0.035</v>
      </c>
      <c r="G1943" s="11">
        <v>46086</v>
      </c>
      <c r="H1943" s="12">
        <f t="shared" si="30"/>
        <v>7000</v>
      </c>
      <c r="I1943" s="67" t="s">
        <v>10</v>
      </c>
      <c r="J1943" s="13">
        <v>45992</v>
      </c>
      <c r="K1943" t="s">
        <v>380</v>
      </c>
    </row>
    <row r="1944" hidden="1" spans="1:11">
      <c r="A1944" t="s">
        <v>319</v>
      </c>
      <c r="B1944" s="8">
        <v>252602386</v>
      </c>
      <c r="C1944" s="9">
        <v>45958</v>
      </c>
      <c r="D1944" s="8" t="s">
        <v>40</v>
      </c>
      <c r="E1944" s="10">
        <v>100000</v>
      </c>
      <c r="F1944" s="8">
        <v>0.035</v>
      </c>
      <c r="G1944" s="11">
        <v>46086</v>
      </c>
      <c r="H1944" s="12">
        <f t="shared" si="30"/>
        <v>3500</v>
      </c>
      <c r="I1944" s="67" t="s">
        <v>10</v>
      </c>
      <c r="J1944" s="13">
        <v>45992</v>
      </c>
      <c r="K1944" t="s">
        <v>380</v>
      </c>
    </row>
    <row r="1945" hidden="1" spans="1:11">
      <c r="A1945" t="s">
        <v>319</v>
      </c>
      <c r="B1945" s="8">
        <v>252602386</v>
      </c>
      <c r="C1945" s="9">
        <v>45958</v>
      </c>
      <c r="D1945" s="8" t="s">
        <v>96</v>
      </c>
      <c r="E1945" s="10">
        <v>112000</v>
      </c>
      <c r="F1945" s="8">
        <v>0.003</v>
      </c>
      <c r="G1945" s="11">
        <v>46086</v>
      </c>
      <c r="H1945" s="12">
        <f t="shared" si="30"/>
        <v>336</v>
      </c>
      <c r="I1945" s="67" t="s">
        <v>10</v>
      </c>
      <c r="J1945" s="13">
        <v>45992</v>
      </c>
      <c r="K1945" t="s">
        <v>380</v>
      </c>
    </row>
    <row r="1946" hidden="1" spans="1:11">
      <c r="A1946" t="s">
        <v>319</v>
      </c>
      <c r="B1946" s="8">
        <v>252602386</v>
      </c>
      <c r="C1946" s="9">
        <v>45958</v>
      </c>
      <c r="D1946" s="8" t="s">
        <v>46</v>
      </c>
      <c r="E1946" s="10">
        <v>200000</v>
      </c>
      <c r="F1946" s="8">
        <v>0.02</v>
      </c>
      <c r="G1946" s="11">
        <v>46086</v>
      </c>
      <c r="H1946" s="12">
        <f t="shared" si="30"/>
        <v>4000</v>
      </c>
      <c r="I1946" s="10" t="s">
        <v>10</v>
      </c>
      <c r="J1946" s="13">
        <v>45988</v>
      </c>
      <c r="K1946" t="s">
        <v>380</v>
      </c>
    </row>
    <row r="1947" hidden="1" spans="1:11">
      <c r="A1947" t="s">
        <v>319</v>
      </c>
      <c r="B1947" s="8">
        <v>252602386</v>
      </c>
      <c r="C1947" s="9">
        <v>45958</v>
      </c>
      <c r="D1947" s="8" t="s">
        <v>46</v>
      </c>
      <c r="E1947" s="10">
        <v>100000</v>
      </c>
      <c r="F1947" s="8">
        <v>0.02</v>
      </c>
      <c r="G1947" s="11">
        <v>46086</v>
      </c>
      <c r="H1947" s="12">
        <f t="shared" si="30"/>
        <v>2000</v>
      </c>
      <c r="I1947" s="10" t="s">
        <v>10</v>
      </c>
      <c r="J1947" s="13">
        <v>45988</v>
      </c>
      <c r="K1947" t="s">
        <v>380</v>
      </c>
    </row>
    <row r="1948" hidden="1" spans="1:11">
      <c r="A1948" t="s">
        <v>319</v>
      </c>
      <c r="B1948" s="8">
        <v>252602386</v>
      </c>
      <c r="C1948" s="9">
        <v>45958</v>
      </c>
      <c r="D1948" s="8" t="s">
        <v>62</v>
      </c>
      <c r="E1948" s="10">
        <v>208000</v>
      </c>
      <c r="F1948" s="8">
        <v>0.005</v>
      </c>
      <c r="G1948" s="11">
        <v>46086</v>
      </c>
      <c r="H1948" s="12">
        <f t="shared" si="30"/>
        <v>1040</v>
      </c>
      <c r="I1948" s="67" t="s">
        <v>10</v>
      </c>
      <c r="J1948" s="13">
        <v>45992</v>
      </c>
      <c r="K1948" t="s">
        <v>380</v>
      </c>
    </row>
    <row r="1949" hidden="1" spans="1:11">
      <c r="A1949" t="s">
        <v>319</v>
      </c>
      <c r="B1949" s="8">
        <v>252602386</v>
      </c>
      <c r="C1949" s="9">
        <v>45958</v>
      </c>
      <c r="D1949" s="8" t="s">
        <v>163</v>
      </c>
      <c r="E1949" s="10">
        <v>208000</v>
      </c>
      <c r="F1949" s="8">
        <v>0.0025</v>
      </c>
      <c r="G1949" s="11">
        <v>46086</v>
      </c>
      <c r="H1949" s="12">
        <f t="shared" si="30"/>
        <v>520</v>
      </c>
      <c r="I1949" s="10" t="s">
        <v>10</v>
      </c>
      <c r="J1949" s="13">
        <v>45988</v>
      </c>
      <c r="K1949" t="s">
        <v>380</v>
      </c>
    </row>
    <row r="1950" hidden="1" spans="1:11">
      <c r="A1950" t="s">
        <v>319</v>
      </c>
      <c r="B1950" s="8">
        <v>252602387</v>
      </c>
      <c r="C1950" s="9">
        <v>45958</v>
      </c>
      <c r="D1950" s="8" t="s">
        <v>30</v>
      </c>
      <c r="E1950" s="10">
        <v>50000</v>
      </c>
      <c r="F1950" s="8">
        <v>0.022</v>
      </c>
      <c r="G1950" s="11">
        <v>45996</v>
      </c>
      <c r="H1950" s="12">
        <f t="shared" si="30"/>
        <v>1100</v>
      </c>
      <c r="I1950" s="10" t="s">
        <v>10</v>
      </c>
      <c r="J1950" s="13">
        <v>45971</v>
      </c>
      <c r="K1950" t="s">
        <v>405</v>
      </c>
    </row>
    <row r="1951" hidden="1" spans="1:11">
      <c r="A1951" t="s">
        <v>319</v>
      </c>
      <c r="B1951" s="8">
        <v>252602387</v>
      </c>
      <c r="C1951" s="9">
        <v>45958</v>
      </c>
      <c r="D1951" s="8" t="s">
        <v>404</v>
      </c>
      <c r="E1951" s="10">
        <v>60000</v>
      </c>
      <c r="F1951" s="8">
        <v>0.06</v>
      </c>
      <c r="G1951" s="11">
        <v>45996</v>
      </c>
      <c r="H1951" s="12">
        <f t="shared" si="30"/>
        <v>3600</v>
      </c>
      <c r="I1951" s="10" t="s">
        <v>10</v>
      </c>
      <c r="J1951" s="13">
        <v>45968</v>
      </c>
      <c r="K1951" t="s">
        <v>405</v>
      </c>
    </row>
    <row r="1952" hidden="1" spans="1:11">
      <c r="A1952" t="s">
        <v>319</v>
      </c>
      <c r="B1952" s="8">
        <v>252602388</v>
      </c>
      <c r="C1952" s="9">
        <v>45958</v>
      </c>
      <c r="D1952" s="8" t="s">
        <v>16</v>
      </c>
      <c r="E1952" s="10">
        <v>200000</v>
      </c>
      <c r="F1952" s="8">
        <v>0.0292</v>
      </c>
      <c r="G1952" s="11">
        <v>46027</v>
      </c>
      <c r="H1952" s="12">
        <f t="shared" si="30"/>
        <v>5840</v>
      </c>
      <c r="I1952" s="10" t="s">
        <v>10</v>
      </c>
      <c r="J1952" s="13">
        <v>45978</v>
      </c>
      <c r="K1952" t="s">
        <v>405</v>
      </c>
    </row>
    <row r="1953" hidden="1" spans="1:11">
      <c r="A1953" t="s">
        <v>319</v>
      </c>
      <c r="B1953" s="8">
        <v>252602388</v>
      </c>
      <c r="C1953" s="9">
        <v>45958</v>
      </c>
      <c r="D1953" s="8" t="s">
        <v>16</v>
      </c>
      <c r="E1953" s="10">
        <v>200000</v>
      </c>
      <c r="F1953" s="8">
        <v>0.0292</v>
      </c>
      <c r="G1953" s="11">
        <v>46058</v>
      </c>
      <c r="H1953" s="12">
        <f t="shared" si="30"/>
        <v>5840</v>
      </c>
      <c r="I1953" s="10" t="s">
        <v>10</v>
      </c>
      <c r="J1953" s="13">
        <v>45978</v>
      </c>
      <c r="K1953" t="s">
        <v>405</v>
      </c>
    </row>
    <row r="1954" hidden="1" spans="1:11">
      <c r="A1954" t="s">
        <v>319</v>
      </c>
      <c r="B1954" s="8">
        <v>252602388</v>
      </c>
      <c r="C1954" s="9">
        <v>45958</v>
      </c>
      <c r="D1954" s="8" t="s">
        <v>16</v>
      </c>
      <c r="E1954" s="10">
        <v>100000</v>
      </c>
      <c r="F1954" s="8">
        <v>0.0292</v>
      </c>
      <c r="G1954" s="11">
        <v>46058</v>
      </c>
      <c r="H1954" s="12">
        <f t="shared" si="30"/>
        <v>2920</v>
      </c>
      <c r="I1954" s="10" t="s">
        <v>10</v>
      </c>
      <c r="J1954" s="13">
        <v>45978</v>
      </c>
      <c r="K1954" t="s">
        <v>405</v>
      </c>
    </row>
    <row r="1955" hidden="1" spans="1:11">
      <c r="A1955" t="s">
        <v>319</v>
      </c>
      <c r="B1955" s="8">
        <v>252602388</v>
      </c>
      <c r="C1955" s="9">
        <v>45958</v>
      </c>
      <c r="D1955" s="8" t="s">
        <v>103</v>
      </c>
      <c r="E1955" s="10">
        <v>100000</v>
      </c>
      <c r="F1955" s="8">
        <v>0.028</v>
      </c>
      <c r="G1955" s="11">
        <v>46058</v>
      </c>
      <c r="H1955" s="12">
        <f t="shared" si="30"/>
        <v>2800</v>
      </c>
      <c r="I1955" s="10" t="s">
        <v>10</v>
      </c>
      <c r="J1955" s="13">
        <v>45978</v>
      </c>
      <c r="K1955" t="s">
        <v>405</v>
      </c>
    </row>
    <row r="1956" hidden="1" spans="1:11">
      <c r="A1956" t="s">
        <v>319</v>
      </c>
      <c r="B1956" s="8">
        <v>252602388</v>
      </c>
      <c r="C1956" s="9">
        <v>45958</v>
      </c>
      <c r="D1956" s="8" t="s">
        <v>104</v>
      </c>
      <c r="E1956" s="10">
        <v>80000</v>
      </c>
      <c r="F1956" s="8">
        <v>0.028</v>
      </c>
      <c r="G1956" s="11">
        <v>46058</v>
      </c>
      <c r="H1956" s="12">
        <f t="shared" si="30"/>
        <v>2240</v>
      </c>
      <c r="I1956" s="10" t="s">
        <v>10</v>
      </c>
      <c r="J1956" s="13">
        <v>45978</v>
      </c>
      <c r="K1956" t="s">
        <v>405</v>
      </c>
    </row>
    <row r="1957" hidden="1" spans="1:11">
      <c r="A1957" t="s">
        <v>319</v>
      </c>
      <c r="B1957" s="8">
        <v>252602388</v>
      </c>
      <c r="C1957" s="9">
        <v>45958</v>
      </c>
      <c r="D1957" s="8" t="s">
        <v>390</v>
      </c>
      <c r="E1957" s="10">
        <v>30000</v>
      </c>
      <c r="F1957" s="8">
        <v>0.04</v>
      </c>
      <c r="G1957" s="11">
        <v>46058</v>
      </c>
      <c r="H1957" s="12">
        <f t="shared" si="30"/>
        <v>1200</v>
      </c>
      <c r="I1957" s="10" t="s">
        <v>10</v>
      </c>
      <c r="J1957" s="13">
        <v>45978</v>
      </c>
      <c r="K1957" t="s">
        <v>405</v>
      </c>
    </row>
    <row r="1958" hidden="1" spans="1:11">
      <c r="A1958" t="s">
        <v>319</v>
      </c>
      <c r="B1958" s="8">
        <v>252602388</v>
      </c>
      <c r="C1958" s="9">
        <v>45958</v>
      </c>
      <c r="D1958" s="8" t="s">
        <v>404</v>
      </c>
      <c r="E1958" s="10">
        <v>60000</v>
      </c>
      <c r="F1958" s="8">
        <v>0.06</v>
      </c>
      <c r="G1958" s="11">
        <v>46027</v>
      </c>
      <c r="H1958" s="12">
        <f t="shared" si="30"/>
        <v>3600</v>
      </c>
      <c r="I1958" s="10" t="s">
        <v>10</v>
      </c>
      <c r="J1958" s="13">
        <v>45978</v>
      </c>
      <c r="K1958" t="s">
        <v>405</v>
      </c>
    </row>
    <row r="1959" hidden="1" spans="1:11">
      <c r="A1959" t="s">
        <v>319</v>
      </c>
      <c r="B1959" s="8">
        <v>252602388</v>
      </c>
      <c r="C1959" s="9">
        <v>45958</v>
      </c>
      <c r="D1959" s="8" t="s">
        <v>404</v>
      </c>
      <c r="E1959" s="10">
        <v>60000</v>
      </c>
      <c r="F1959" s="8">
        <v>0.06</v>
      </c>
      <c r="G1959" s="11">
        <v>46058</v>
      </c>
      <c r="H1959" s="12">
        <f t="shared" si="30"/>
        <v>3600</v>
      </c>
      <c r="I1959" s="10" t="s">
        <v>10</v>
      </c>
      <c r="J1959" s="13">
        <v>45978</v>
      </c>
      <c r="K1959" t="s">
        <v>405</v>
      </c>
    </row>
    <row r="1960" hidden="1" spans="1:11">
      <c r="A1960" t="s">
        <v>319</v>
      </c>
      <c r="B1960" s="8">
        <v>252602389</v>
      </c>
      <c r="C1960" s="9">
        <v>45958</v>
      </c>
      <c r="D1960" s="8" t="s">
        <v>11</v>
      </c>
      <c r="E1960" s="10">
        <v>100000</v>
      </c>
      <c r="F1960" s="8">
        <v>0.032</v>
      </c>
      <c r="G1960" s="11">
        <v>46027</v>
      </c>
      <c r="H1960" s="12">
        <f t="shared" si="30"/>
        <v>3200</v>
      </c>
      <c r="I1960" s="10" t="s">
        <v>10</v>
      </c>
      <c r="J1960" s="13">
        <v>45978</v>
      </c>
      <c r="K1960" t="s">
        <v>467</v>
      </c>
    </row>
    <row r="1961" hidden="1" spans="1:11">
      <c r="A1961" t="s">
        <v>319</v>
      </c>
      <c r="B1961" s="8">
        <v>252602389</v>
      </c>
      <c r="C1961" s="9">
        <v>45958</v>
      </c>
      <c r="D1961" s="8" t="s">
        <v>11</v>
      </c>
      <c r="E1961" s="10">
        <v>150000</v>
      </c>
      <c r="F1961" s="8">
        <v>0.032</v>
      </c>
      <c r="G1961" s="11">
        <v>46058</v>
      </c>
      <c r="H1961" s="12">
        <f t="shared" si="30"/>
        <v>4800</v>
      </c>
      <c r="I1961" s="10" t="s">
        <v>10</v>
      </c>
      <c r="J1961" s="13">
        <v>45978</v>
      </c>
      <c r="K1961" t="s">
        <v>467</v>
      </c>
    </row>
    <row r="1962" hidden="1" spans="1:11">
      <c r="A1962" t="s">
        <v>319</v>
      </c>
      <c r="B1962" s="8">
        <v>252602389</v>
      </c>
      <c r="C1962" s="9">
        <v>45958</v>
      </c>
      <c r="D1962" s="8" t="s">
        <v>33</v>
      </c>
      <c r="E1962" s="10">
        <v>200000</v>
      </c>
      <c r="F1962" s="8">
        <v>0.018</v>
      </c>
      <c r="G1962" s="11">
        <v>46027</v>
      </c>
      <c r="H1962" s="12">
        <f t="shared" si="30"/>
        <v>3600</v>
      </c>
      <c r="I1962" s="10" t="s">
        <v>10</v>
      </c>
      <c r="J1962" s="13">
        <v>45978</v>
      </c>
      <c r="K1962" t="s">
        <v>467</v>
      </c>
    </row>
    <row r="1963" hidden="1" spans="1:11">
      <c r="A1963" t="s">
        <v>319</v>
      </c>
      <c r="B1963" s="8">
        <v>252602389</v>
      </c>
      <c r="C1963" s="9">
        <v>45958</v>
      </c>
      <c r="D1963" s="8" t="s">
        <v>33</v>
      </c>
      <c r="E1963" s="10">
        <v>200000</v>
      </c>
      <c r="F1963" s="8">
        <v>0.018</v>
      </c>
      <c r="G1963" s="11">
        <v>46027</v>
      </c>
      <c r="H1963" s="12">
        <f t="shared" si="30"/>
        <v>3600</v>
      </c>
      <c r="I1963" s="10" t="s">
        <v>10</v>
      </c>
      <c r="J1963" s="13">
        <v>45978</v>
      </c>
      <c r="K1963" t="s">
        <v>467</v>
      </c>
    </row>
    <row r="1964" hidden="1" spans="1:11">
      <c r="A1964" t="s">
        <v>319</v>
      </c>
      <c r="B1964" s="8">
        <v>252602389</v>
      </c>
      <c r="C1964" s="9">
        <v>45958</v>
      </c>
      <c r="D1964" s="8" t="s">
        <v>33</v>
      </c>
      <c r="E1964" s="10">
        <v>200000</v>
      </c>
      <c r="F1964" s="8">
        <v>0.018</v>
      </c>
      <c r="G1964" s="11">
        <v>46027</v>
      </c>
      <c r="H1964" s="12">
        <f t="shared" si="30"/>
        <v>3600</v>
      </c>
      <c r="I1964" s="10" t="s">
        <v>10</v>
      </c>
      <c r="J1964" s="13">
        <v>45978</v>
      </c>
      <c r="K1964" t="s">
        <v>467</v>
      </c>
    </row>
    <row r="1965" hidden="1" spans="1:11">
      <c r="A1965" t="s">
        <v>319</v>
      </c>
      <c r="B1965" s="8">
        <v>252602389</v>
      </c>
      <c r="C1965" s="9">
        <v>45958</v>
      </c>
      <c r="D1965" s="8" t="s">
        <v>33</v>
      </c>
      <c r="E1965" s="10">
        <v>100000</v>
      </c>
      <c r="F1965" s="8">
        <v>0.018</v>
      </c>
      <c r="G1965" s="11">
        <v>46027</v>
      </c>
      <c r="H1965" s="12">
        <f t="shared" si="30"/>
        <v>1800</v>
      </c>
      <c r="I1965" s="10" t="s">
        <v>10</v>
      </c>
      <c r="J1965" s="13">
        <v>45978</v>
      </c>
      <c r="K1965" t="s">
        <v>467</v>
      </c>
    </row>
    <row r="1966" hidden="1" spans="1:11">
      <c r="A1966" t="s">
        <v>319</v>
      </c>
      <c r="B1966" s="8">
        <v>252602389</v>
      </c>
      <c r="C1966" s="9">
        <v>45958</v>
      </c>
      <c r="D1966" s="8" t="s">
        <v>33</v>
      </c>
      <c r="E1966" s="10">
        <v>200000</v>
      </c>
      <c r="F1966" s="8">
        <v>0.018</v>
      </c>
      <c r="G1966" s="11">
        <v>46058</v>
      </c>
      <c r="H1966" s="12">
        <f t="shared" si="30"/>
        <v>3600</v>
      </c>
      <c r="I1966" s="10" t="s">
        <v>10</v>
      </c>
      <c r="J1966" s="13">
        <v>45978</v>
      </c>
      <c r="K1966" t="s">
        <v>467</v>
      </c>
    </row>
    <row r="1967" hidden="1" spans="1:11">
      <c r="A1967" t="s">
        <v>319</v>
      </c>
      <c r="B1967" s="8">
        <v>252602389</v>
      </c>
      <c r="C1967" s="9">
        <v>45958</v>
      </c>
      <c r="D1967" s="8" t="s">
        <v>33</v>
      </c>
      <c r="E1967" s="10">
        <v>200000</v>
      </c>
      <c r="F1967" s="8">
        <v>0.018</v>
      </c>
      <c r="G1967" s="11">
        <v>46058</v>
      </c>
      <c r="H1967" s="12">
        <f t="shared" si="30"/>
        <v>3600</v>
      </c>
      <c r="I1967" s="10" t="s">
        <v>10</v>
      </c>
      <c r="J1967" s="13">
        <v>45978</v>
      </c>
      <c r="K1967" t="s">
        <v>467</v>
      </c>
    </row>
    <row r="1968" hidden="1" spans="1:11">
      <c r="A1968" t="s">
        <v>319</v>
      </c>
      <c r="B1968" s="8">
        <v>252602389</v>
      </c>
      <c r="C1968" s="9">
        <v>45958</v>
      </c>
      <c r="D1968" s="8" t="s">
        <v>33</v>
      </c>
      <c r="E1968" s="10">
        <v>200000</v>
      </c>
      <c r="F1968" s="8">
        <v>0.018</v>
      </c>
      <c r="G1968" s="11">
        <v>46058</v>
      </c>
      <c r="H1968" s="12">
        <f t="shared" si="30"/>
        <v>3600</v>
      </c>
      <c r="I1968" s="10" t="s">
        <v>10</v>
      </c>
      <c r="J1968" s="13">
        <v>45978</v>
      </c>
      <c r="K1968" t="s">
        <v>467</v>
      </c>
    </row>
    <row r="1969" hidden="1" spans="1:12">
      <c r="A1969" t="s">
        <v>319</v>
      </c>
      <c r="B1969" s="8">
        <v>252602389</v>
      </c>
      <c r="C1969" s="9">
        <v>45958</v>
      </c>
      <c r="D1969" s="8" t="s">
        <v>32</v>
      </c>
      <c r="E1969" s="10">
        <v>200000</v>
      </c>
      <c r="F1969" s="8">
        <v>0.014</v>
      </c>
      <c r="G1969" s="11">
        <v>46027</v>
      </c>
      <c r="H1969" s="12">
        <f t="shared" si="30"/>
        <v>2800</v>
      </c>
      <c r="I1969" s="10" t="s">
        <v>10</v>
      </c>
      <c r="J1969" s="13">
        <v>45978</v>
      </c>
      <c r="K1969" t="s">
        <v>467</v>
      </c>
    </row>
    <row r="1970" hidden="1" spans="1:12">
      <c r="A1970" t="s">
        <v>319</v>
      </c>
      <c r="B1970" s="8">
        <v>252602389</v>
      </c>
      <c r="C1970" s="9">
        <v>45958</v>
      </c>
      <c r="D1970" s="8" t="s">
        <v>32</v>
      </c>
      <c r="E1970" s="10">
        <v>200000</v>
      </c>
      <c r="F1970" s="8">
        <v>0.014</v>
      </c>
      <c r="G1970" s="11">
        <v>46027</v>
      </c>
      <c r="H1970" s="12">
        <f t="shared" si="30"/>
        <v>2800</v>
      </c>
      <c r="I1970" s="10" t="s">
        <v>10</v>
      </c>
      <c r="J1970" s="13">
        <v>45978</v>
      </c>
      <c r="K1970" t="s">
        <v>467</v>
      </c>
    </row>
    <row r="1971" hidden="1" spans="1:12">
      <c r="A1971" t="s">
        <v>319</v>
      </c>
      <c r="B1971" s="8">
        <v>252602389</v>
      </c>
      <c r="C1971" s="9">
        <v>45958</v>
      </c>
      <c r="D1971" s="8" t="s">
        <v>32</v>
      </c>
      <c r="E1971" s="10">
        <v>200000</v>
      </c>
      <c r="F1971" s="8">
        <v>0.014</v>
      </c>
      <c r="G1971" s="11">
        <v>46027</v>
      </c>
      <c r="H1971" s="12">
        <f t="shared" si="30"/>
        <v>2800</v>
      </c>
      <c r="I1971" s="10" t="s">
        <v>10</v>
      </c>
      <c r="J1971" s="13">
        <v>45978</v>
      </c>
      <c r="K1971" t="s">
        <v>467</v>
      </c>
    </row>
    <row r="1972" hidden="1" spans="1:12">
      <c r="A1972" t="s">
        <v>319</v>
      </c>
      <c r="B1972" s="8">
        <v>252602389</v>
      </c>
      <c r="C1972" s="9">
        <v>45958</v>
      </c>
      <c r="D1972" s="8" t="s">
        <v>32</v>
      </c>
      <c r="E1972" s="10">
        <v>200000</v>
      </c>
      <c r="F1972" s="8">
        <v>0.014</v>
      </c>
      <c r="G1972" s="11">
        <v>46027</v>
      </c>
      <c r="H1972" s="12">
        <f t="shared" si="30"/>
        <v>2800</v>
      </c>
      <c r="I1972" s="10" t="s">
        <v>10</v>
      </c>
      <c r="J1972" s="13">
        <v>45978</v>
      </c>
      <c r="K1972" t="s">
        <v>467</v>
      </c>
    </row>
    <row r="1973" hidden="1" spans="1:12">
      <c r="A1973" t="s">
        <v>319</v>
      </c>
      <c r="B1973" s="8">
        <v>252602389</v>
      </c>
      <c r="C1973" s="9">
        <v>45958</v>
      </c>
      <c r="D1973" s="8" t="s">
        <v>32</v>
      </c>
      <c r="E1973" s="10">
        <v>200000</v>
      </c>
      <c r="F1973" s="8">
        <v>0.014</v>
      </c>
      <c r="G1973" s="11">
        <v>46058</v>
      </c>
      <c r="H1973" s="12">
        <f t="shared" si="30"/>
        <v>2800</v>
      </c>
      <c r="I1973" s="10" t="s">
        <v>10</v>
      </c>
      <c r="J1973" s="13">
        <v>45978</v>
      </c>
      <c r="K1973" t="s">
        <v>467</v>
      </c>
    </row>
    <row r="1974" hidden="1" spans="1:12">
      <c r="A1974" t="s">
        <v>319</v>
      </c>
      <c r="B1974" s="8">
        <v>252602389</v>
      </c>
      <c r="C1974" s="9">
        <v>45958</v>
      </c>
      <c r="D1974" s="8" t="s">
        <v>32</v>
      </c>
      <c r="E1974" s="10">
        <v>200000</v>
      </c>
      <c r="F1974" s="8">
        <v>0.014</v>
      </c>
      <c r="G1974" s="11">
        <v>46058</v>
      </c>
      <c r="H1974" s="12">
        <f t="shared" si="30"/>
        <v>2800</v>
      </c>
      <c r="I1974" s="10" t="s">
        <v>10</v>
      </c>
      <c r="J1974" s="13">
        <v>45978</v>
      </c>
      <c r="K1974" t="s">
        <v>467</v>
      </c>
    </row>
    <row r="1975" hidden="1" spans="1:12">
      <c r="A1975" t="s">
        <v>319</v>
      </c>
      <c r="B1975" s="8">
        <v>252602389</v>
      </c>
      <c r="C1975" s="9">
        <v>45958</v>
      </c>
      <c r="D1975" s="8" t="s">
        <v>32</v>
      </c>
      <c r="E1975" s="10">
        <v>200000</v>
      </c>
      <c r="F1975" s="8">
        <v>0.014</v>
      </c>
      <c r="G1975" s="11">
        <v>46058</v>
      </c>
      <c r="H1975" s="12">
        <f t="shared" si="30"/>
        <v>2800</v>
      </c>
      <c r="I1975" s="10" t="s">
        <v>10</v>
      </c>
      <c r="J1975" s="13">
        <v>45978</v>
      </c>
      <c r="K1975" t="s">
        <v>467</v>
      </c>
    </row>
    <row r="1976" hidden="1" spans="1:12">
      <c r="A1976" t="s">
        <v>319</v>
      </c>
      <c r="B1976" s="8">
        <v>252602389</v>
      </c>
      <c r="C1976" s="9">
        <v>45958</v>
      </c>
      <c r="D1976" s="8" t="s">
        <v>32</v>
      </c>
      <c r="E1976" s="10">
        <v>100000</v>
      </c>
      <c r="F1976" s="8">
        <v>0.014</v>
      </c>
      <c r="G1976" s="11">
        <v>46058</v>
      </c>
      <c r="H1976" s="12">
        <f t="shared" si="30"/>
        <v>1400</v>
      </c>
      <c r="I1976" s="10" t="s">
        <v>10</v>
      </c>
      <c r="J1976" s="13">
        <v>45978</v>
      </c>
      <c r="K1976" t="s">
        <v>467</v>
      </c>
    </row>
    <row r="1977" hidden="1" spans="1:12">
      <c r="A1977" t="s">
        <v>319</v>
      </c>
      <c r="B1977" s="8">
        <v>252602390</v>
      </c>
      <c r="C1977" s="9">
        <v>45958</v>
      </c>
      <c r="D1977" s="8" t="s">
        <v>16</v>
      </c>
      <c r="E1977" s="10">
        <v>200000</v>
      </c>
      <c r="F1977" s="8">
        <v>0.0292</v>
      </c>
      <c r="G1977" s="11">
        <v>46086</v>
      </c>
      <c r="H1977" s="12">
        <f t="shared" si="30"/>
        <v>5840</v>
      </c>
      <c r="I1977" s="10" t="s">
        <v>10</v>
      </c>
      <c r="J1977" s="13">
        <v>46037</v>
      </c>
      <c r="K1977" t="s">
        <v>405</v>
      </c>
    </row>
    <row r="1978" hidden="1" spans="1:12">
      <c r="A1978" t="s">
        <v>319</v>
      </c>
      <c r="B1978" s="8">
        <v>252602390</v>
      </c>
      <c r="C1978" s="9">
        <v>45958</v>
      </c>
      <c r="D1978" s="8" t="s">
        <v>16</v>
      </c>
      <c r="E1978" s="10">
        <v>100000</v>
      </c>
      <c r="F1978" s="8">
        <v>0.0292</v>
      </c>
      <c r="G1978" s="11">
        <v>46117</v>
      </c>
      <c r="H1978" s="12">
        <f t="shared" si="30"/>
        <v>2920</v>
      </c>
      <c r="I1978" s="10" t="s">
        <v>10</v>
      </c>
      <c r="J1978" s="13">
        <v>46037</v>
      </c>
      <c r="K1978" t="s">
        <v>405</v>
      </c>
    </row>
    <row r="1979" hidden="1" spans="1:12">
      <c r="A1979" t="s">
        <v>319</v>
      </c>
      <c r="B1979" s="8">
        <v>252602390</v>
      </c>
      <c r="C1979" s="9">
        <v>45958</v>
      </c>
      <c r="D1979" s="8" t="s">
        <v>16</v>
      </c>
      <c r="E1979" s="10">
        <v>200000</v>
      </c>
      <c r="F1979" s="8">
        <v>0.0292</v>
      </c>
      <c r="G1979" s="11">
        <v>46117</v>
      </c>
      <c r="H1979" s="12">
        <f t="shared" si="30"/>
        <v>5840</v>
      </c>
      <c r="I1979" s="10" t="s">
        <v>10</v>
      </c>
      <c r="J1979" s="13">
        <v>46037</v>
      </c>
      <c r="K1979" t="s">
        <v>405</v>
      </c>
    </row>
    <row r="1980" hidden="1" spans="1:12">
      <c r="A1980" t="s">
        <v>319</v>
      </c>
      <c r="B1980" s="8">
        <v>252602390</v>
      </c>
      <c r="C1980" s="9">
        <v>45958</v>
      </c>
      <c r="D1980" s="8" t="s">
        <v>103</v>
      </c>
      <c r="E1980" s="10">
        <v>100000</v>
      </c>
      <c r="F1980" s="8">
        <v>0.028</v>
      </c>
      <c r="G1980" s="11">
        <v>46086</v>
      </c>
      <c r="H1980" s="12">
        <f t="shared" si="30"/>
        <v>2800</v>
      </c>
      <c r="I1980" s="10" t="s">
        <v>10</v>
      </c>
      <c r="J1980" s="13">
        <v>46037</v>
      </c>
      <c r="K1980" t="s">
        <v>405</v>
      </c>
    </row>
    <row r="1981" hidden="1" spans="1:12">
      <c r="A1981" t="s">
        <v>319</v>
      </c>
      <c r="B1981" s="8">
        <v>252602390</v>
      </c>
      <c r="C1981" s="9">
        <v>45958</v>
      </c>
      <c r="D1981" s="8" t="s">
        <v>103</v>
      </c>
      <c r="E1981" s="10">
        <v>100000</v>
      </c>
      <c r="F1981" s="8">
        <v>0.028</v>
      </c>
      <c r="G1981" s="11">
        <v>46117</v>
      </c>
      <c r="H1981" s="12">
        <f t="shared" si="30"/>
        <v>2800</v>
      </c>
      <c r="I1981" s="10" t="s">
        <v>10</v>
      </c>
      <c r="J1981" s="13">
        <v>46037</v>
      </c>
      <c r="K1981" t="s">
        <v>405</v>
      </c>
    </row>
    <row r="1982" hidden="1" spans="1:12">
      <c r="A1982" t="s">
        <v>319</v>
      </c>
      <c r="B1982" s="8">
        <v>252602390</v>
      </c>
      <c r="C1982" s="9">
        <v>45958</v>
      </c>
      <c r="D1982" s="8" t="s">
        <v>104</v>
      </c>
      <c r="E1982" s="10">
        <v>80000</v>
      </c>
      <c r="F1982" s="8">
        <v>0.028</v>
      </c>
      <c r="G1982" s="11">
        <v>46086</v>
      </c>
      <c r="H1982" s="12">
        <f t="shared" si="30"/>
        <v>2240</v>
      </c>
      <c r="I1982" s="10" t="s">
        <v>10</v>
      </c>
      <c r="J1982" s="13">
        <v>46037</v>
      </c>
      <c r="K1982" t="s">
        <v>405</v>
      </c>
      <c r="L1982">
        <f>979-234</f>
        <v>745</v>
      </c>
    </row>
    <row r="1983" hidden="1" spans="1:12">
      <c r="A1983" t="s">
        <v>319</v>
      </c>
      <c r="B1983" s="8">
        <v>252602390</v>
      </c>
      <c r="C1983" s="9">
        <v>45958</v>
      </c>
      <c r="D1983" s="8" t="s">
        <v>104</v>
      </c>
      <c r="E1983" s="10">
        <v>80000</v>
      </c>
      <c r="F1983" s="8">
        <v>0.028</v>
      </c>
      <c r="G1983" s="11">
        <v>46117</v>
      </c>
      <c r="H1983" s="12">
        <f t="shared" si="30"/>
        <v>2240</v>
      </c>
      <c r="I1983" s="10" t="s">
        <v>10</v>
      </c>
      <c r="J1983" s="13">
        <v>46037</v>
      </c>
      <c r="K1983" t="s">
        <v>405</v>
      </c>
    </row>
    <row r="1984" hidden="1" spans="1:12">
      <c r="A1984" t="s">
        <v>319</v>
      </c>
      <c r="B1984" s="8">
        <v>252602390</v>
      </c>
      <c r="C1984" s="9">
        <v>45958</v>
      </c>
      <c r="D1984" s="8" t="s">
        <v>67</v>
      </c>
      <c r="E1984" s="10">
        <v>100000</v>
      </c>
      <c r="F1984" s="8">
        <v>0.028</v>
      </c>
      <c r="G1984" s="11">
        <v>46117</v>
      </c>
      <c r="H1984" s="12">
        <f t="shared" si="30"/>
        <v>2800</v>
      </c>
      <c r="I1984" s="10" t="s">
        <v>10</v>
      </c>
      <c r="J1984" s="13">
        <v>46037</v>
      </c>
      <c r="K1984" t="s">
        <v>405</v>
      </c>
    </row>
    <row r="1985" hidden="1" spans="1:11">
      <c r="A1985" t="s">
        <v>319</v>
      </c>
      <c r="B1985" s="8">
        <v>252602390</v>
      </c>
      <c r="C1985" s="9">
        <v>45958</v>
      </c>
      <c r="D1985" s="8" t="s">
        <v>36</v>
      </c>
      <c r="E1985" s="10">
        <v>201000</v>
      </c>
      <c r="F1985" s="8">
        <v>0.00656</v>
      </c>
      <c r="G1985" s="11">
        <v>46086</v>
      </c>
      <c r="H1985" s="12">
        <f t="shared" si="30"/>
        <v>1318.56</v>
      </c>
      <c r="I1985" s="10" t="s">
        <v>10</v>
      </c>
      <c r="J1985" s="13">
        <v>46038</v>
      </c>
      <c r="K1985" t="s">
        <v>405</v>
      </c>
    </row>
    <row r="1986" hidden="1" spans="1:11">
      <c r="A1986" t="s">
        <v>319</v>
      </c>
      <c r="B1986" s="8">
        <v>252602390</v>
      </c>
      <c r="C1986" s="9">
        <v>45958</v>
      </c>
      <c r="D1986" s="8" t="s">
        <v>36</v>
      </c>
      <c r="E1986" s="10">
        <v>201000</v>
      </c>
      <c r="F1986" s="8">
        <v>0.00656</v>
      </c>
      <c r="G1986" s="11">
        <v>46117</v>
      </c>
      <c r="H1986" s="12">
        <f t="shared" ref="H1986:H2049" si="31">E1986*F1986</f>
        <v>1318.56</v>
      </c>
      <c r="I1986" s="10" t="s">
        <v>10</v>
      </c>
      <c r="J1986" s="13">
        <v>46038</v>
      </c>
      <c r="K1986" t="s">
        <v>405</v>
      </c>
    </row>
    <row r="1987" hidden="1" spans="1:11">
      <c r="A1987" t="s">
        <v>319</v>
      </c>
      <c r="B1987" s="8">
        <v>252602390</v>
      </c>
      <c r="C1987" s="9">
        <v>45958</v>
      </c>
      <c r="D1987" s="8" t="s">
        <v>517</v>
      </c>
      <c r="E1987" s="10">
        <v>120000</v>
      </c>
      <c r="F1987" s="8">
        <v>0.0238</v>
      </c>
      <c r="G1987" s="11">
        <v>46086</v>
      </c>
      <c r="H1987" s="12">
        <f t="shared" si="31"/>
        <v>2856</v>
      </c>
      <c r="I1987" s="10" t="s">
        <v>10</v>
      </c>
      <c r="J1987" s="13">
        <v>46037</v>
      </c>
      <c r="K1987" t="s">
        <v>405</v>
      </c>
    </row>
    <row r="1988" hidden="1" spans="1:11">
      <c r="A1988" t="s">
        <v>319</v>
      </c>
      <c r="B1988" s="8">
        <v>252602390</v>
      </c>
      <c r="C1988" s="9">
        <v>45958</v>
      </c>
      <c r="D1988" s="8" t="s">
        <v>517</v>
      </c>
      <c r="E1988" s="10">
        <v>120000</v>
      </c>
      <c r="F1988" s="8">
        <v>0.0238</v>
      </c>
      <c r="G1988" s="11">
        <v>46117</v>
      </c>
      <c r="H1988" s="12">
        <f t="shared" si="31"/>
        <v>2856</v>
      </c>
      <c r="I1988" s="10" t="s">
        <v>10</v>
      </c>
      <c r="J1988" s="13">
        <v>46037</v>
      </c>
      <c r="K1988" t="s">
        <v>405</v>
      </c>
    </row>
    <row r="1989" hidden="1" spans="1:11">
      <c r="A1989" t="s">
        <v>319</v>
      </c>
      <c r="B1989" s="8">
        <v>252602392</v>
      </c>
      <c r="C1989" s="9">
        <v>45958</v>
      </c>
      <c r="D1989" s="8" t="s">
        <v>605</v>
      </c>
      <c r="E1989" s="10">
        <v>20000</v>
      </c>
      <c r="F1989" s="8">
        <v>0.0097</v>
      </c>
      <c r="G1989" s="11">
        <v>45966</v>
      </c>
      <c r="H1989" s="12">
        <f t="shared" si="31"/>
        <v>194</v>
      </c>
      <c r="I1989" s="10" t="s">
        <v>10</v>
      </c>
      <c r="J1989" s="13">
        <v>46017</v>
      </c>
      <c r="K1989" t="s">
        <v>391</v>
      </c>
    </row>
    <row r="1990" hidden="1" spans="1:11">
      <c r="A1990" t="s">
        <v>319</v>
      </c>
      <c r="B1990" s="8">
        <v>252602393</v>
      </c>
      <c r="C1990" s="9">
        <v>45958</v>
      </c>
      <c r="D1990" s="8" t="s">
        <v>127</v>
      </c>
      <c r="E1990" s="10">
        <v>100000</v>
      </c>
      <c r="F1990" s="8">
        <v>0.03</v>
      </c>
      <c r="G1990" s="11">
        <v>46027</v>
      </c>
      <c r="H1990" s="12">
        <f t="shared" si="31"/>
        <v>3000</v>
      </c>
      <c r="I1990" s="10" t="s">
        <v>10</v>
      </c>
      <c r="J1990" s="13">
        <v>45978</v>
      </c>
      <c r="K1990" t="s">
        <v>528</v>
      </c>
    </row>
    <row r="1991" hidden="1" spans="1:11">
      <c r="A1991" t="s">
        <v>319</v>
      </c>
      <c r="B1991" s="8">
        <v>252602393</v>
      </c>
      <c r="C1991" s="9">
        <v>45958</v>
      </c>
      <c r="D1991" s="8" t="s">
        <v>127</v>
      </c>
      <c r="E1991" s="10">
        <v>100000</v>
      </c>
      <c r="F1991" s="8">
        <v>0.03</v>
      </c>
      <c r="G1991" s="11">
        <v>46058</v>
      </c>
      <c r="H1991" s="12">
        <f t="shared" si="31"/>
        <v>3000</v>
      </c>
      <c r="I1991" s="10" t="s">
        <v>10</v>
      </c>
      <c r="J1991" s="13">
        <v>45978</v>
      </c>
      <c r="K1991" t="s">
        <v>528</v>
      </c>
    </row>
    <row r="1992" hidden="1" spans="1:11">
      <c r="A1992" t="s">
        <v>319</v>
      </c>
      <c r="B1992" s="8">
        <v>252602393</v>
      </c>
      <c r="C1992" s="9">
        <v>45958</v>
      </c>
      <c r="D1992" s="8" t="s">
        <v>128</v>
      </c>
      <c r="E1992" s="10">
        <v>40000</v>
      </c>
      <c r="F1992" s="8">
        <v>0.025</v>
      </c>
      <c r="G1992" s="11">
        <v>46027</v>
      </c>
      <c r="H1992" s="12">
        <f t="shared" si="31"/>
        <v>1000</v>
      </c>
      <c r="I1992" s="10" t="s">
        <v>10</v>
      </c>
      <c r="J1992" s="13">
        <v>45978</v>
      </c>
      <c r="K1992" t="s">
        <v>528</v>
      </c>
    </row>
    <row r="1993" hidden="1" spans="1:11">
      <c r="A1993" t="s">
        <v>319</v>
      </c>
      <c r="B1993" s="8">
        <v>252602393</v>
      </c>
      <c r="C1993" s="9">
        <v>45958</v>
      </c>
      <c r="D1993" s="8" t="s">
        <v>128</v>
      </c>
      <c r="E1993" s="10">
        <v>40000</v>
      </c>
      <c r="F1993" s="8">
        <v>0.025</v>
      </c>
      <c r="G1993" s="11">
        <v>46058</v>
      </c>
      <c r="H1993" s="12">
        <f t="shared" si="31"/>
        <v>1000</v>
      </c>
      <c r="I1993" s="10" t="s">
        <v>10</v>
      </c>
      <c r="J1993" s="13">
        <v>45978</v>
      </c>
      <c r="K1993" t="s">
        <v>528</v>
      </c>
    </row>
    <row r="1994" hidden="1" spans="1:11">
      <c r="A1994" t="s">
        <v>319</v>
      </c>
      <c r="B1994" s="8">
        <v>252602393</v>
      </c>
      <c r="C1994" s="9">
        <v>45958</v>
      </c>
      <c r="D1994" s="8" t="s">
        <v>516</v>
      </c>
      <c r="E1994" s="10">
        <v>90000</v>
      </c>
      <c r="F1994" s="8">
        <v>0.032</v>
      </c>
      <c r="G1994" s="11">
        <v>46027</v>
      </c>
      <c r="H1994" s="12">
        <f t="shared" si="31"/>
        <v>2880</v>
      </c>
      <c r="I1994" s="10" t="s">
        <v>10</v>
      </c>
      <c r="J1994" s="13">
        <v>45978</v>
      </c>
      <c r="K1994" t="s">
        <v>528</v>
      </c>
    </row>
    <row r="1995" hidden="1" spans="1:11">
      <c r="A1995" t="s">
        <v>319</v>
      </c>
      <c r="B1995" s="8">
        <v>252602393</v>
      </c>
      <c r="C1995" s="9">
        <v>45958</v>
      </c>
      <c r="D1995" s="8" t="s">
        <v>516</v>
      </c>
      <c r="E1995" s="10">
        <v>90000</v>
      </c>
      <c r="F1995" s="8">
        <v>0.032</v>
      </c>
      <c r="G1995" s="11">
        <v>46058</v>
      </c>
      <c r="H1995" s="12">
        <f t="shared" si="31"/>
        <v>2880</v>
      </c>
      <c r="I1995" s="10" t="s">
        <v>10</v>
      </c>
      <c r="J1995" s="13">
        <v>45978</v>
      </c>
      <c r="K1995" t="s">
        <v>528</v>
      </c>
    </row>
    <row r="1996" hidden="1" spans="1:11">
      <c r="A1996" t="s">
        <v>319</v>
      </c>
      <c r="B1996" s="8">
        <v>252602393</v>
      </c>
      <c r="C1996" s="9">
        <v>45958</v>
      </c>
      <c r="D1996" s="8" t="s">
        <v>282</v>
      </c>
      <c r="E1996" s="10">
        <v>30000</v>
      </c>
      <c r="F1996" s="8">
        <v>0.0304</v>
      </c>
      <c r="G1996" s="11">
        <v>46058</v>
      </c>
      <c r="H1996" s="12">
        <f t="shared" si="31"/>
        <v>912</v>
      </c>
      <c r="I1996" s="10" t="s">
        <v>10</v>
      </c>
      <c r="J1996" s="13">
        <v>45978</v>
      </c>
      <c r="K1996" t="s">
        <v>528</v>
      </c>
    </row>
    <row r="1997" hidden="1" spans="1:11">
      <c r="A1997" t="s">
        <v>319</v>
      </c>
      <c r="B1997" s="8">
        <v>252602393</v>
      </c>
      <c r="C1997" s="9">
        <v>45958</v>
      </c>
      <c r="D1997" s="8" t="s">
        <v>100</v>
      </c>
      <c r="E1997" s="10">
        <v>100000</v>
      </c>
      <c r="F1997" s="8">
        <v>0.0224</v>
      </c>
      <c r="G1997" s="11">
        <v>46027</v>
      </c>
      <c r="H1997" s="12">
        <f t="shared" si="31"/>
        <v>2240</v>
      </c>
      <c r="I1997" s="10" t="s">
        <v>10</v>
      </c>
      <c r="J1997" s="13">
        <v>45978</v>
      </c>
      <c r="K1997" t="s">
        <v>528</v>
      </c>
    </row>
    <row r="1998" hidden="1" spans="1:11">
      <c r="A1998" t="s">
        <v>319</v>
      </c>
      <c r="B1998" s="8">
        <v>252602394</v>
      </c>
      <c r="C1998" s="9">
        <v>45958</v>
      </c>
      <c r="D1998" s="8" t="s">
        <v>127</v>
      </c>
      <c r="E1998" s="10">
        <v>100000</v>
      </c>
      <c r="F1998" s="8">
        <v>0.03</v>
      </c>
      <c r="G1998" s="11">
        <v>46086</v>
      </c>
      <c r="H1998" s="12">
        <f t="shared" si="31"/>
        <v>3000</v>
      </c>
      <c r="I1998" s="67" t="s">
        <v>10</v>
      </c>
      <c r="J1998" s="13">
        <v>45992</v>
      </c>
      <c r="K1998" t="s">
        <v>528</v>
      </c>
    </row>
    <row r="1999" hidden="1" spans="1:11">
      <c r="A1999" t="s">
        <v>319</v>
      </c>
      <c r="B1999" s="8">
        <v>252602394</v>
      </c>
      <c r="C1999" s="9">
        <v>45958</v>
      </c>
      <c r="D1999" s="8" t="s">
        <v>129</v>
      </c>
      <c r="E1999" s="10">
        <v>80000</v>
      </c>
      <c r="F1999" s="8">
        <v>0.025</v>
      </c>
      <c r="G1999" s="11">
        <v>46086</v>
      </c>
      <c r="H1999" s="12">
        <f t="shared" si="31"/>
        <v>2000</v>
      </c>
      <c r="I1999" s="67" t="s">
        <v>10</v>
      </c>
      <c r="J1999" s="13">
        <v>45992</v>
      </c>
      <c r="K1999" t="s">
        <v>528</v>
      </c>
    </row>
    <row r="2000" hidden="1" spans="1:11">
      <c r="A2000" t="s">
        <v>319</v>
      </c>
      <c r="B2000" s="8">
        <v>252602394</v>
      </c>
      <c r="C2000" s="9">
        <v>45958</v>
      </c>
      <c r="D2000" s="8" t="s">
        <v>387</v>
      </c>
      <c r="E2000" s="10">
        <v>80000</v>
      </c>
      <c r="F2000" s="8">
        <v>0.025</v>
      </c>
      <c r="G2000" s="11">
        <v>46086</v>
      </c>
      <c r="H2000" s="12">
        <f t="shared" si="31"/>
        <v>2000</v>
      </c>
      <c r="I2000" s="67" t="s">
        <v>10</v>
      </c>
      <c r="J2000" s="13">
        <v>45992</v>
      </c>
      <c r="K2000" t="s">
        <v>528</v>
      </c>
    </row>
    <row r="2001" hidden="1" spans="1:11">
      <c r="A2001" t="s">
        <v>319</v>
      </c>
      <c r="B2001" s="8">
        <v>252602394</v>
      </c>
      <c r="C2001" s="9">
        <v>45958</v>
      </c>
      <c r="D2001" s="8" t="s">
        <v>128</v>
      </c>
      <c r="E2001" s="10">
        <v>40000</v>
      </c>
      <c r="F2001" s="8">
        <v>0.025</v>
      </c>
      <c r="G2001" s="11">
        <v>46086</v>
      </c>
      <c r="H2001" s="12">
        <f t="shared" si="31"/>
        <v>1000</v>
      </c>
      <c r="I2001" s="67" t="s">
        <v>10</v>
      </c>
      <c r="J2001" s="13">
        <v>45992</v>
      </c>
      <c r="K2001" t="s">
        <v>528</v>
      </c>
    </row>
    <row r="2002" hidden="1" spans="1:11">
      <c r="A2002" t="s">
        <v>319</v>
      </c>
      <c r="B2002" s="8">
        <v>252602394</v>
      </c>
      <c r="C2002" s="9">
        <v>45958</v>
      </c>
      <c r="D2002" s="8" t="s">
        <v>516</v>
      </c>
      <c r="E2002" s="10">
        <v>90000</v>
      </c>
      <c r="F2002" s="8">
        <v>0.032</v>
      </c>
      <c r="G2002" s="11">
        <v>46086</v>
      </c>
      <c r="H2002" s="12">
        <f t="shared" si="31"/>
        <v>2880</v>
      </c>
      <c r="I2002" s="10" t="s">
        <v>10</v>
      </c>
      <c r="J2002" s="13">
        <v>45988</v>
      </c>
      <c r="K2002" t="s">
        <v>528</v>
      </c>
    </row>
    <row r="2003" hidden="1" spans="1:11">
      <c r="A2003" t="s">
        <v>319</v>
      </c>
      <c r="B2003" s="8">
        <v>252602394</v>
      </c>
      <c r="C2003" s="9">
        <v>45958</v>
      </c>
      <c r="D2003" s="8" t="s">
        <v>282</v>
      </c>
      <c r="E2003" s="10">
        <v>30000</v>
      </c>
      <c r="F2003" s="8">
        <v>0.0304</v>
      </c>
      <c r="G2003" s="11">
        <v>46086</v>
      </c>
      <c r="H2003" s="12">
        <f t="shared" si="31"/>
        <v>912</v>
      </c>
      <c r="I2003" s="67" t="s">
        <v>10</v>
      </c>
      <c r="J2003" s="13">
        <v>45992</v>
      </c>
      <c r="K2003" t="s">
        <v>528</v>
      </c>
    </row>
    <row r="2004" hidden="1" spans="1:11">
      <c r="A2004" t="s">
        <v>319</v>
      </c>
      <c r="B2004" s="8">
        <v>252602395</v>
      </c>
      <c r="C2004" s="9">
        <v>45958</v>
      </c>
      <c r="D2004" s="8" t="s">
        <v>29</v>
      </c>
      <c r="E2004" s="10">
        <v>200000</v>
      </c>
      <c r="F2004" s="8">
        <v>0.0216</v>
      </c>
      <c r="G2004" s="11">
        <v>46027</v>
      </c>
      <c r="H2004" s="12">
        <f t="shared" si="31"/>
        <v>4320</v>
      </c>
      <c r="I2004" s="10" t="s">
        <v>10</v>
      </c>
      <c r="J2004" s="13">
        <v>45971</v>
      </c>
      <c r="K2004" t="s">
        <v>467</v>
      </c>
    </row>
    <row r="2005" hidden="1" spans="1:11">
      <c r="A2005" t="s">
        <v>319</v>
      </c>
      <c r="B2005" s="8">
        <v>252602395</v>
      </c>
      <c r="C2005" s="9">
        <v>45958</v>
      </c>
      <c r="D2005" s="8" t="s">
        <v>29</v>
      </c>
      <c r="E2005" s="10">
        <v>200000</v>
      </c>
      <c r="F2005" s="8">
        <v>0.0216</v>
      </c>
      <c r="G2005" s="11">
        <v>46027</v>
      </c>
      <c r="H2005" s="12">
        <f t="shared" si="31"/>
        <v>4320</v>
      </c>
      <c r="I2005" s="10" t="s">
        <v>10</v>
      </c>
      <c r="J2005" s="13">
        <v>45971</v>
      </c>
      <c r="K2005" t="s">
        <v>467</v>
      </c>
    </row>
    <row r="2006" hidden="1" spans="1:11">
      <c r="A2006" t="s">
        <v>319</v>
      </c>
      <c r="B2006" s="8">
        <v>252602395</v>
      </c>
      <c r="C2006" s="9">
        <v>45958</v>
      </c>
      <c r="D2006" s="8" t="s">
        <v>29</v>
      </c>
      <c r="E2006" s="10">
        <v>200000</v>
      </c>
      <c r="F2006" s="8">
        <v>0.0216</v>
      </c>
      <c r="G2006" s="11">
        <v>46027</v>
      </c>
      <c r="H2006" s="12">
        <f t="shared" si="31"/>
        <v>4320</v>
      </c>
      <c r="I2006" s="10" t="s">
        <v>10</v>
      </c>
      <c r="J2006" s="13">
        <v>45971</v>
      </c>
      <c r="K2006" t="s">
        <v>467</v>
      </c>
    </row>
    <row r="2007" hidden="1" spans="1:11">
      <c r="A2007" t="s">
        <v>319</v>
      </c>
      <c r="B2007" s="8">
        <v>252602395</v>
      </c>
      <c r="C2007" s="9">
        <v>45958</v>
      </c>
      <c r="D2007" s="8" t="s">
        <v>29</v>
      </c>
      <c r="E2007" s="10">
        <v>200000</v>
      </c>
      <c r="F2007" s="8">
        <v>0.0216</v>
      </c>
      <c r="G2007" s="11">
        <v>46027</v>
      </c>
      <c r="H2007" s="12">
        <f t="shared" si="31"/>
        <v>4320</v>
      </c>
      <c r="I2007" s="10" t="s">
        <v>10</v>
      </c>
      <c r="J2007" s="13">
        <v>45971</v>
      </c>
      <c r="K2007" t="s">
        <v>467</v>
      </c>
    </row>
    <row r="2008" hidden="1" spans="1:11">
      <c r="A2008" t="s">
        <v>319</v>
      </c>
      <c r="B2008" s="8">
        <v>252602395</v>
      </c>
      <c r="C2008" s="9">
        <v>45958</v>
      </c>
      <c r="D2008" s="8" t="s">
        <v>29</v>
      </c>
      <c r="E2008" s="10">
        <v>200000</v>
      </c>
      <c r="F2008" s="8">
        <v>0.0216</v>
      </c>
      <c r="G2008" s="11">
        <v>46027</v>
      </c>
      <c r="H2008" s="12">
        <f t="shared" si="31"/>
        <v>4320</v>
      </c>
      <c r="I2008" s="10" t="s">
        <v>10</v>
      </c>
      <c r="J2008" s="13">
        <v>45971</v>
      </c>
      <c r="K2008" t="s">
        <v>467</v>
      </c>
    </row>
    <row r="2009" hidden="1" spans="1:11">
      <c r="A2009" t="s">
        <v>319</v>
      </c>
      <c r="B2009" s="8">
        <v>252602395</v>
      </c>
      <c r="C2009" s="9">
        <v>45958</v>
      </c>
      <c r="D2009" s="8" t="s">
        <v>29</v>
      </c>
      <c r="E2009" s="10">
        <v>200000</v>
      </c>
      <c r="F2009" s="8">
        <v>0.0216</v>
      </c>
      <c r="G2009" s="11">
        <v>46027</v>
      </c>
      <c r="H2009" s="12">
        <f t="shared" si="31"/>
        <v>4320</v>
      </c>
      <c r="I2009" s="10" t="s">
        <v>10</v>
      </c>
      <c r="J2009" s="13">
        <v>45971</v>
      </c>
      <c r="K2009" t="s">
        <v>467</v>
      </c>
    </row>
    <row r="2010" hidden="1" spans="1:11">
      <c r="A2010" t="s">
        <v>319</v>
      </c>
      <c r="B2010" s="8">
        <v>252602395</v>
      </c>
      <c r="C2010" s="9">
        <v>45958</v>
      </c>
      <c r="D2010" s="8" t="s">
        <v>29</v>
      </c>
      <c r="E2010" s="10">
        <v>200000</v>
      </c>
      <c r="F2010" s="8">
        <v>0.0216</v>
      </c>
      <c r="G2010" s="11">
        <v>46027</v>
      </c>
      <c r="H2010" s="12">
        <f t="shared" si="31"/>
        <v>4320</v>
      </c>
      <c r="I2010" s="10" t="s">
        <v>10</v>
      </c>
      <c r="J2010" s="13">
        <v>45971</v>
      </c>
      <c r="K2010" t="s">
        <v>467</v>
      </c>
    </row>
    <row r="2011" hidden="1" spans="1:11">
      <c r="A2011" t="s">
        <v>319</v>
      </c>
      <c r="B2011" s="8">
        <v>252602395</v>
      </c>
      <c r="C2011" s="9">
        <v>45958</v>
      </c>
      <c r="D2011" s="8" t="s">
        <v>29</v>
      </c>
      <c r="E2011" s="10">
        <v>200000</v>
      </c>
      <c r="F2011" s="8">
        <v>0.0216</v>
      </c>
      <c r="G2011" s="11">
        <v>46027</v>
      </c>
      <c r="H2011" s="12">
        <f t="shared" si="31"/>
        <v>4320</v>
      </c>
      <c r="I2011" s="10" t="s">
        <v>10</v>
      </c>
      <c r="J2011" s="13">
        <v>45971</v>
      </c>
      <c r="K2011" t="s">
        <v>467</v>
      </c>
    </row>
    <row r="2012" hidden="1" spans="1:11">
      <c r="A2012" t="s">
        <v>319</v>
      </c>
      <c r="B2012" s="8">
        <v>252602395</v>
      </c>
      <c r="C2012" s="9">
        <v>45958</v>
      </c>
      <c r="D2012" s="8" t="s">
        <v>29</v>
      </c>
      <c r="E2012" s="10">
        <v>200000</v>
      </c>
      <c r="F2012" s="8">
        <v>0.0216</v>
      </c>
      <c r="G2012" s="11">
        <v>46027</v>
      </c>
      <c r="H2012" s="12">
        <f t="shared" si="31"/>
        <v>4320</v>
      </c>
      <c r="I2012" s="10" t="s">
        <v>10</v>
      </c>
      <c r="J2012" s="13">
        <v>45971</v>
      </c>
      <c r="K2012" t="s">
        <v>467</v>
      </c>
    </row>
    <row r="2013" hidden="1" spans="1:11">
      <c r="A2013" t="s">
        <v>319</v>
      </c>
      <c r="B2013" s="8">
        <v>252602395</v>
      </c>
      <c r="C2013" s="9">
        <v>45958</v>
      </c>
      <c r="D2013" s="8" t="s">
        <v>29</v>
      </c>
      <c r="E2013" s="10">
        <v>200000</v>
      </c>
      <c r="F2013" s="8">
        <v>0.0216</v>
      </c>
      <c r="G2013" s="11">
        <v>46027</v>
      </c>
      <c r="H2013" s="12">
        <f t="shared" si="31"/>
        <v>4320</v>
      </c>
      <c r="I2013" s="10" t="s">
        <v>10</v>
      </c>
      <c r="J2013" s="13">
        <v>45971</v>
      </c>
      <c r="K2013" t="s">
        <v>467</v>
      </c>
    </row>
    <row r="2014" hidden="1" spans="1:11">
      <c r="A2014" t="s">
        <v>319</v>
      </c>
      <c r="B2014" s="8">
        <v>252602395</v>
      </c>
      <c r="C2014" s="9">
        <v>45958</v>
      </c>
      <c r="D2014" s="8" t="s">
        <v>29</v>
      </c>
      <c r="E2014" s="10">
        <v>200000</v>
      </c>
      <c r="F2014" s="8">
        <v>0.0216</v>
      </c>
      <c r="G2014" s="11">
        <v>46027</v>
      </c>
      <c r="H2014" s="12">
        <f t="shared" si="31"/>
        <v>4320</v>
      </c>
      <c r="I2014" s="10" t="s">
        <v>10</v>
      </c>
      <c r="J2014" s="13">
        <v>45971</v>
      </c>
      <c r="K2014" t="s">
        <v>467</v>
      </c>
    </row>
    <row r="2015" hidden="1" spans="1:11">
      <c r="A2015" t="s">
        <v>319</v>
      </c>
      <c r="B2015" s="8">
        <v>252602395</v>
      </c>
      <c r="C2015" s="9">
        <v>45958</v>
      </c>
      <c r="D2015" s="8" t="s">
        <v>29</v>
      </c>
      <c r="E2015" s="10">
        <v>200000</v>
      </c>
      <c r="F2015" s="8">
        <v>0.0216</v>
      </c>
      <c r="G2015" s="11">
        <v>46027</v>
      </c>
      <c r="H2015" s="12">
        <f t="shared" si="31"/>
        <v>4320</v>
      </c>
      <c r="I2015" s="10" t="s">
        <v>10</v>
      </c>
      <c r="J2015" s="13">
        <v>45971</v>
      </c>
      <c r="K2015" t="s">
        <v>467</v>
      </c>
    </row>
    <row r="2016" hidden="1" spans="1:11">
      <c r="A2016" t="s">
        <v>319</v>
      </c>
      <c r="B2016" s="8">
        <v>252602395</v>
      </c>
      <c r="C2016" s="9">
        <v>45958</v>
      </c>
      <c r="D2016" s="8" t="s">
        <v>29</v>
      </c>
      <c r="E2016" s="10">
        <v>200000</v>
      </c>
      <c r="F2016" s="8">
        <v>0.0216</v>
      </c>
      <c r="G2016" s="11">
        <v>46027</v>
      </c>
      <c r="H2016" s="12">
        <f t="shared" si="31"/>
        <v>4320</v>
      </c>
      <c r="I2016" s="10" t="s">
        <v>10</v>
      </c>
      <c r="J2016" s="13">
        <v>45971</v>
      </c>
      <c r="K2016" t="s">
        <v>467</v>
      </c>
    </row>
    <row r="2017" hidden="1" spans="1:11">
      <c r="A2017" t="s">
        <v>319</v>
      </c>
      <c r="B2017" s="8">
        <v>252602396</v>
      </c>
      <c r="C2017" s="9">
        <v>45958</v>
      </c>
      <c r="D2017" s="8" t="s">
        <v>46</v>
      </c>
      <c r="E2017" s="10">
        <v>48000</v>
      </c>
      <c r="F2017" s="8">
        <v>0.02</v>
      </c>
      <c r="G2017" s="11">
        <v>45996</v>
      </c>
      <c r="H2017" s="12">
        <f t="shared" si="31"/>
        <v>960</v>
      </c>
      <c r="I2017" s="10" t="s">
        <v>10</v>
      </c>
      <c r="J2017" s="13">
        <v>45968</v>
      </c>
      <c r="K2017" t="s">
        <v>460</v>
      </c>
    </row>
    <row r="2018" hidden="1" spans="1:11">
      <c r="A2018" t="s">
        <v>319</v>
      </c>
      <c r="B2018" s="8">
        <v>252602396</v>
      </c>
      <c r="C2018" s="9">
        <v>45958</v>
      </c>
      <c r="D2018" s="8" t="s">
        <v>551</v>
      </c>
      <c r="E2018" s="10">
        <v>20000</v>
      </c>
      <c r="F2018" s="8">
        <v>0.11</v>
      </c>
      <c r="G2018" s="11">
        <v>45996</v>
      </c>
      <c r="H2018" s="12">
        <f t="shared" si="31"/>
        <v>2200</v>
      </c>
      <c r="I2018" s="10" t="s">
        <v>10</v>
      </c>
      <c r="J2018" s="13">
        <v>45968</v>
      </c>
      <c r="K2018" t="s">
        <v>460</v>
      </c>
    </row>
    <row r="2019" hidden="1" spans="1:11">
      <c r="A2019" t="s">
        <v>319</v>
      </c>
      <c r="B2019" s="8">
        <v>252602397</v>
      </c>
      <c r="C2019" s="9">
        <v>45958</v>
      </c>
      <c r="D2019" s="8" t="s">
        <v>38</v>
      </c>
      <c r="E2019" s="10">
        <v>44000</v>
      </c>
      <c r="F2019" s="8">
        <v>0.01</v>
      </c>
      <c r="G2019" s="11">
        <v>46027</v>
      </c>
      <c r="H2019" s="12">
        <f t="shared" si="31"/>
        <v>440</v>
      </c>
      <c r="I2019" s="10" t="s">
        <v>10</v>
      </c>
      <c r="J2019" s="13">
        <v>45980</v>
      </c>
      <c r="K2019" t="s">
        <v>460</v>
      </c>
    </row>
    <row r="2020" hidden="1" spans="1:11">
      <c r="A2020" t="s">
        <v>319</v>
      </c>
      <c r="B2020" s="8">
        <v>252602397</v>
      </c>
      <c r="C2020" s="9">
        <v>45958</v>
      </c>
      <c r="D2020" s="8" t="s">
        <v>38</v>
      </c>
      <c r="E2020" s="10">
        <v>44000</v>
      </c>
      <c r="F2020" s="8">
        <v>0.01</v>
      </c>
      <c r="G2020" s="11">
        <v>46058</v>
      </c>
      <c r="H2020" s="12">
        <f t="shared" si="31"/>
        <v>440</v>
      </c>
      <c r="I2020" s="10" t="s">
        <v>10</v>
      </c>
      <c r="J2020" s="13">
        <v>45980</v>
      </c>
      <c r="K2020" t="s">
        <v>460</v>
      </c>
    </row>
    <row r="2021" hidden="1" spans="1:11">
      <c r="A2021" t="s">
        <v>319</v>
      </c>
      <c r="B2021" s="8">
        <v>252602398</v>
      </c>
      <c r="C2021" s="9">
        <v>45958</v>
      </c>
      <c r="D2021" s="8" t="s">
        <v>426</v>
      </c>
      <c r="E2021" s="10">
        <v>200000</v>
      </c>
      <c r="F2021" s="8">
        <v>0.032</v>
      </c>
      <c r="G2021" s="11">
        <v>46027</v>
      </c>
      <c r="H2021" s="12">
        <f t="shared" si="31"/>
        <v>6400</v>
      </c>
      <c r="I2021" s="67" t="s">
        <v>10</v>
      </c>
      <c r="J2021" s="13">
        <v>45992</v>
      </c>
      <c r="K2021" t="s">
        <v>495</v>
      </c>
    </row>
    <row r="2022" hidden="1" spans="1:11">
      <c r="A2022" t="s">
        <v>319</v>
      </c>
      <c r="B2022" s="8">
        <v>252602398</v>
      </c>
      <c r="C2022" s="9">
        <v>45958</v>
      </c>
      <c r="D2022" s="8" t="s">
        <v>426</v>
      </c>
      <c r="E2022" s="10">
        <v>200000</v>
      </c>
      <c r="F2022" s="8">
        <v>0.032</v>
      </c>
      <c r="G2022" s="11">
        <v>46027</v>
      </c>
      <c r="H2022" s="12">
        <f t="shared" si="31"/>
        <v>6400</v>
      </c>
      <c r="I2022" s="67" t="s">
        <v>10</v>
      </c>
      <c r="J2022" s="13">
        <v>45992</v>
      </c>
      <c r="K2022" t="s">
        <v>495</v>
      </c>
    </row>
    <row r="2023" hidden="1" spans="1:11">
      <c r="A2023" t="s">
        <v>319</v>
      </c>
      <c r="B2023" s="8">
        <v>252602398</v>
      </c>
      <c r="C2023" s="9">
        <v>45958</v>
      </c>
      <c r="D2023" s="8" t="s">
        <v>426</v>
      </c>
      <c r="E2023" s="10">
        <v>100000</v>
      </c>
      <c r="F2023" s="8">
        <v>0.032</v>
      </c>
      <c r="G2023" s="11">
        <v>46027</v>
      </c>
      <c r="H2023" s="12">
        <f t="shared" si="31"/>
        <v>3200</v>
      </c>
      <c r="I2023" s="67" t="s">
        <v>10</v>
      </c>
      <c r="J2023" s="13">
        <v>45992</v>
      </c>
      <c r="K2023" t="s">
        <v>495</v>
      </c>
    </row>
    <row r="2024" hidden="1" spans="1:11">
      <c r="A2024" t="s">
        <v>319</v>
      </c>
      <c r="B2024" s="8">
        <v>252602399</v>
      </c>
      <c r="C2024" s="9">
        <v>45958</v>
      </c>
      <c r="D2024" s="8" t="s">
        <v>29</v>
      </c>
      <c r="E2024" s="10">
        <v>200000</v>
      </c>
      <c r="F2024" s="8">
        <v>0.0216</v>
      </c>
      <c r="G2024" s="11">
        <v>46058</v>
      </c>
      <c r="H2024" s="12">
        <f t="shared" si="31"/>
        <v>4320</v>
      </c>
      <c r="I2024" s="10" t="s">
        <v>10</v>
      </c>
      <c r="J2024" s="13">
        <v>45996</v>
      </c>
      <c r="K2024" t="s">
        <v>467</v>
      </c>
    </row>
    <row r="2025" hidden="1" spans="1:11">
      <c r="A2025" t="s">
        <v>319</v>
      </c>
      <c r="B2025" s="8">
        <v>252602399</v>
      </c>
      <c r="C2025" s="9">
        <v>45958</v>
      </c>
      <c r="D2025" s="8" t="s">
        <v>29</v>
      </c>
      <c r="E2025" s="10">
        <v>200000</v>
      </c>
      <c r="F2025" s="8">
        <v>0.0216</v>
      </c>
      <c r="G2025" s="11">
        <v>46058</v>
      </c>
      <c r="H2025" s="12">
        <f t="shared" si="31"/>
        <v>4320</v>
      </c>
      <c r="I2025" s="10" t="s">
        <v>10</v>
      </c>
      <c r="J2025" s="13">
        <v>45996</v>
      </c>
      <c r="K2025" t="s">
        <v>467</v>
      </c>
    </row>
    <row r="2026" hidden="1" spans="1:11">
      <c r="A2026" t="s">
        <v>319</v>
      </c>
      <c r="B2026" s="8">
        <v>252602399</v>
      </c>
      <c r="C2026" s="9">
        <v>45958</v>
      </c>
      <c r="D2026" s="8" t="s">
        <v>29</v>
      </c>
      <c r="E2026" s="10">
        <v>200000</v>
      </c>
      <c r="F2026" s="8">
        <v>0.0216</v>
      </c>
      <c r="G2026" s="11">
        <v>46058</v>
      </c>
      <c r="H2026" s="12">
        <f t="shared" si="31"/>
        <v>4320</v>
      </c>
      <c r="I2026" s="10" t="s">
        <v>10</v>
      </c>
      <c r="J2026" s="13">
        <v>45996</v>
      </c>
      <c r="K2026" t="s">
        <v>467</v>
      </c>
    </row>
    <row r="2027" hidden="1" spans="1:11">
      <c r="A2027" t="s">
        <v>319</v>
      </c>
      <c r="B2027" s="8">
        <v>252602399</v>
      </c>
      <c r="C2027" s="9">
        <v>45958</v>
      </c>
      <c r="D2027" s="8" t="s">
        <v>29</v>
      </c>
      <c r="E2027" s="10">
        <v>200000</v>
      </c>
      <c r="F2027" s="8">
        <v>0.0216</v>
      </c>
      <c r="G2027" s="11">
        <v>46058</v>
      </c>
      <c r="H2027" s="12">
        <f t="shared" si="31"/>
        <v>4320</v>
      </c>
      <c r="I2027" s="10" t="s">
        <v>10</v>
      </c>
      <c r="J2027" s="13">
        <v>45996</v>
      </c>
      <c r="K2027" t="s">
        <v>467</v>
      </c>
    </row>
    <row r="2028" hidden="1" spans="1:11">
      <c r="A2028" t="s">
        <v>319</v>
      </c>
      <c r="B2028" s="8">
        <v>252602399</v>
      </c>
      <c r="C2028" s="9">
        <v>45958</v>
      </c>
      <c r="D2028" s="8" t="s">
        <v>29</v>
      </c>
      <c r="E2028" s="10">
        <v>200000</v>
      </c>
      <c r="F2028" s="8">
        <v>0.0216</v>
      </c>
      <c r="G2028" s="11">
        <v>46058</v>
      </c>
      <c r="H2028" s="12">
        <f t="shared" si="31"/>
        <v>4320</v>
      </c>
      <c r="I2028" s="10" t="s">
        <v>10</v>
      </c>
      <c r="J2028" s="13">
        <v>45996</v>
      </c>
      <c r="K2028" t="s">
        <v>467</v>
      </c>
    </row>
    <row r="2029" hidden="1" spans="1:11">
      <c r="A2029" t="s">
        <v>319</v>
      </c>
      <c r="B2029" s="8">
        <v>252602399</v>
      </c>
      <c r="C2029" s="9">
        <v>45958</v>
      </c>
      <c r="D2029" s="8" t="s">
        <v>29</v>
      </c>
      <c r="E2029" s="10">
        <v>200000</v>
      </c>
      <c r="F2029" s="8">
        <v>0.0216</v>
      </c>
      <c r="G2029" s="11">
        <v>46058</v>
      </c>
      <c r="H2029" s="12">
        <f t="shared" si="31"/>
        <v>4320</v>
      </c>
      <c r="I2029" s="10" t="s">
        <v>10</v>
      </c>
      <c r="J2029" s="13">
        <v>45996</v>
      </c>
      <c r="K2029" t="s">
        <v>467</v>
      </c>
    </row>
    <row r="2030" hidden="1" spans="1:11">
      <c r="A2030" t="s">
        <v>319</v>
      </c>
      <c r="B2030" s="8">
        <v>252602399</v>
      </c>
      <c r="C2030" s="9">
        <v>45958</v>
      </c>
      <c r="D2030" s="8" t="s">
        <v>29</v>
      </c>
      <c r="E2030" s="10">
        <v>200000</v>
      </c>
      <c r="F2030" s="8">
        <v>0.0216</v>
      </c>
      <c r="G2030" s="11">
        <v>46058</v>
      </c>
      <c r="H2030" s="12">
        <f t="shared" si="31"/>
        <v>4320</v>
      </c>
      <c r="I2030" s="10" t="s">
        <v>10</v>
      </c>
      <c r="J2030" s="13">
        <v>45996</v>
      </c>
      <c r="K2030" t="s">
        <v>467</v>
      </c>
    </row>
    <row r="2031" hidden="1" spans="1:11">
      <c r="A2031" t="s">
        <v>319</v>
      </c>
      <c r="B2031" s="8">
        <v>252602399</v>
      </c>
      <c r="C2031" s="9">
        <v>45958</v>
      </c>
      <c r="D2031" s="8" t="s">
        <v>29</v>
      </c>
      <c r="E2031" s="10">
        <v>200000</v>
      </c>
      <c r="F2031" s="8">
        <v>0.0216</v>
      </c>
      <c r="G2031" s="11">
        <v>46058</v>
      </c>
      <c r="H2031" s="12">
        <f t="shared" si="31"/>
        <v>4320</v>
      </c>
      <c r="I2031" s="10" t="s">
        <v>10</v>
      </c>
      <c r="J2031" s="13">
        <v>45996</v>
      </c>
      <c r="K2031" t="s">
        <v>467</v>
      </c>
    </row>
    <row r="2032" hidden="1" spans="1:11">
      <c r="A2032" t="s">
        <v>319</v>
      </c>
      <c r="B2032" s="8">
        <v>252602399</v>
      </c>
      <c r="C2032" s="9">
        <v>45958</v>
      </c>
      <c r="D2032" s="8" t="s">
        <v>29</v>
      </c>
      <c r="E2032" s="10">
        <v>200000</v>
      </c>
      <c r="F2032" s="8">
        <v>0.0216</v>
      </c>
      <c r="G2032" s="11">
        <v>46058</v>
      </c>
      <c r="H2032" s="12">
        <f t="shared" si="31"/>
        <v>4320</v>
      </c>
      <c r="I2032" s="10" t="s">
        <v>10</v>
      </c>
      <c r="J2032" s="13">
        <v>45996</v>
      </c>
      <c r="K2032" t="s">
        <v>467</v>
      </c>
    </row>
    <row r="2033" hidden="1" spans="1:11">
      <c r="A2033" t="s">
        <v>319</v>
      </c>
      <c r="B2033" s="8">
        <v>252602399</v>
      </c>
      <c r="C2033" s="9">
        <v>45958</v>
      </c>
      <c r="D2033" s="8" t="s">
        <v>29</v>
      </c>
      <c r="E2033" s="10">
        <v>200000</v>
      </c>
      <c r="F2033" s="8">
        <v>0.0216</v>
      </c>
      <c r="G2033" s="11">
        <v>46058</v>
      </c>
      <c r="H2033" s="12">
        <f t="shared" si="31"/>
        <v>4320</v>
      </c>
      <c r="I2033" s="10" t="s">
        <v>10</v>
      </c>
      <c r="J2033" s="13">
        <v>45996</v>
      </c>
      <c r="K2033" t="s">
        <v>467</v>
      </c>
    </row>
    <row r="2034" hidden="1" spans="1:11">
      <c r="A2034" t="s">
        <v>319</v>
      </c>
      <c r="B2034" s="8">
        <v>252602399</v>
      </c>
      <c r="C2034" s="9">
        <v>45958</v>
      </c>
      <c r="D2034" s="8" t="s">
        <v>78</v>
      </c>
      <c r="E2034" s="10">
        <v>40000</v>
      </c>
      <c r="F2034" s="8">
        <v>0.016</v>
      </c>
      <c r="G2034" s="11">
        <v>46027</v>
      </c>
      <c r="H2034" s="12">
        <f t="shared" si="31"/>
        <v>640</v>
      </c>
      <c r="I2034" s="10" t="s">
        <v>10</v>
      </c>
      <c r="J2034" s="13">
        <v>45996</v>
      </c>
      <c r="K2034" t="s">
        <v>467</v>
      </c>
    </row>
    <row r="2035" hidden="1" spans="1:11">
      <c r="A2035" t="s">
        <v>319</v>
      </c>
      <c r="B2035" s="8">
        <v>252602399</v>
      </c>
      <c r="C2035" s="9">
        <v>45958</v>
      </c>
      <c r="D2035" s="8" t="s">
        <v>78</v>
      </c>
      <c r="E2035" s="10">
        <v>40000</v>
      </c>
      <c r="F2035" s="8">
        <v>0.016</v>
      </c>
      <c r="G2035" s="11">
        <v>46058</v>
      </c>
      <c r="H2035" s="12">
        <f t="shared" si="31"/>
        <v>640</v>
      </c>
      <c r="I2035" s="10" t="s">
        <v>10</v>
      </c>
      <c r="J2035" s="13">
        <v>45996</v>
      </c>
      <c r="K2035" t="s">
        <v>467</v>
      </c>
    </row>
    <row r="2036" hidden="1" spans="1:11">
      <c r="A2036" t="s">
        <v>319</v>
      </c>
      <c r="B2036" s="8">
        <v>252602399</v>
      </c>
      <c r="C2036" s="9">
        <v>45958</v>
      </c>
      <c r="D2036" s="8" t="s">
        <v>29</v>
      </c>
      <c r="E2036" s="10">
        <v>200000</v>
      </c>
      <c r="F2036" s="8">
        <v>0.0216</v>
      </c>
      <c r="G2036" s="11">
        <v>46027</v>
      </c>
      <c r="H2036" s="12">
        <f t="shared" si="31"/>
        <v>4320</v>
      </c>
      <c r="I2036" s="10" t="s">
        <v>10</v>
      </c>
      <c r="J2036" s="13">
        <v>45996</v>
      </c>
      <c r="K2036" t="s">
        <v>467</v>
      </c>
    </row>
    <row r="2037" hidden="1" spans="1:11">
      <c r="A2037" t="s">
        <v>319</v>
      </c>
      <c r="B2037" s="8">
        <v>252602399</v>
      </c>
      <c r="C2037" s="9">
        <v>45958</v>
      </c>
      <c r="D2037" s="8" t="s">
        <v>29</v>
      </c>
      <c r="E2037" s="10">
        <v>200000</v>
      </c>
      <c r="F2037" s="8">
        <v>0.0216</v>
      </c>
      <c r="G2037" s="11">
        <v>46027</v>
      </c>
      <c r="H2037" s="12">
        <f t="shared" si="31"/>
        <v>4320</v>
      </c>
      <c r="I2037" s="10" t="s">
        <v>10</v>
      </c>
      <c r="J2037" s="13">
        <v>45996</v>
      </c>
      <c r="K2037" t="s">
        <v>467</v>
      </c>
    </row>
    <row r="2038" hidden="1" spans="1:11">
      <c r="A2038" t="s">
        <v>319</v>
      </c>
      <c r="B2038" s="8">
        <v>252602400</v>
      </c>
      <c r="C2038" s="9">
        <v>45958</v>
      </c>
      <c r="D2038" s="8" t="s">
        <v>58</v>
      </c>
      <c r="E2038" s="10">
        <v>200000</v>
      </c>
      <c r="F2038" s="8">
        <v>0.014</v>
      </c>
      <c r="G2038" s="11">
        <v>46086</v>
      </c>
      <c r="H2038" s="12">
        <f t="shared" si="31"/>
        <v>2800</v>
      </c>
      <c r="I2038" s="10" t="s">
        <v>10</v>
      </c>
      <c r="J2038" s="13">
        <v>46010</v>
      </c>
      <c r="K2038" t="s">
        <v>467</v>
      </c>
    </row>
    <row r="2039" hidden="1" spans="1:11">
      <c r="A2039" t="s">
        <v>319</v>
      </c>
      <c r="B2039" s="8">
        <v>252602400</v>
      </c>
      <c r="C2039" s="9">
        <v>45958</v>
      </c>
      <c r="D2039" s="8" t="s">
        <v>58</v>
      </c>
      <c r="E2039" s="10">
        <v>200000</v>
      </c>
      <c r="F2039" s="8">
        <v>0.014</v>
      </c>
      <c r="G2039" s="11">
        <v>46086</v>
      </c>
      <c r="H2039" s="12">
        <f t="shared" si="31"/>
        <v>2800</v>
      </c>
      <c r="I2039" s="10" t="s">
        <v>10</v>
      </c>
      <c r="J2039" s="13">
        <v>46010</v>
      </c>
      <c r="K2039" t="s">
        <v>467</v>
      </c>
    </row>
    <row r="2040" hidden="1" spans="1:11">
      <c r="A2040" t="s">
        <v>319</v>
      </c>
      <c r="B2040" s="8">
        <v>252602400</v>
      </c>
      <c r="C2040" s="9">
        <v>45958</v>
      </c>
      <c r="D2040" s="8" t="s">
        <v>58</v>
      </c>
      <c r="E2040" s="10">
        <v>200000</v>
      </c>
      <c r="F2040" s="8">
        <v>0.014</v>
      </c>
      <c r="G2040" s="11">
        <v>46086</v>
      </c>
      <c r="H2040" s="12">
        <f t="shared" si="31"/>
        <v>2800</v>
      </c>
      <c r="I2040" s="10" t="s">
        <v>10</v>
      </c>
      <c r="J2040" s="13">
        <v>46010</v>
      </c>
      <c r="K2040" t="s">
        <v>467</v>
      </c>
    </row>
    <row r="2041" hidden="1" spans="1:11">
      <c r="A2041" t="s">
        <v>319</v>
      </c>
      <c r="B2041" s="8">
        <v>252602400</v>
      </c>
      <c r="C2041" s="9">
        <v>45958</v>
      </c>
      <c r="D2041" s="8" t="s">
        <v>58</v>
      </c>
      <c r="E2041" s="10">
        <v>200000</v>
      </c>
      <c r="F2041" s="8">
        <v>0.014</v>
      </c>
      <c r="G2041" s="11">
        <v>46086</v>
      </c>
      <c r="H2041" s="12">
        <f t="shared" si="31"/>
        <v>2800</v>
      </c>
      <c r="I2041" s="10" t="s">
        <v>10</v>
      </c>
      <c r="J2041" s="13">
        <v>46010</v>
      </c>
      <c r="K2041" t="s">
        <v>467</v>
      </c>
    </row>
    <row r="2042" hidden="1" spans="1:11">
      <c r="A2042" t="s">
        <v>319</v>
      </c>
      <c r="B2042" s="8">
        <v>252602400</v>
      </c>
      <c r="C2042" s="9">
        <v>45958</v>
      </c>
      <c r="D2042" s="8" t="s">
        <v>58</v>
      </c>
      <c r="E2042" s="10">
        <v>100000</v>
      </c>
      <c r="F2042" s="8">
        <v>0.014</v>
      </c>
      <c r="G2042" s="11">
        <v>46117</v>
      </c>
      <c r="H2042" s="12">
        <f t="shared" si="31"/>
        <v>1400</v>
      </c>
      <c r="I2042" s="10" t="s">
        <v>10</v>
      </c>
      <c r="J2042" s="13">
        <v>46010</v>
      </c>
      <c r="K2042" t="s">
        <v>467</v>
      </c>
    </row>
    <row r="2043" hidden="1" spans="1:11">
      <c r="A2043" t="s">
        <v>319</v>
      </c>
      <c r="B2043" s="8">
        <v>252602400</v>
      </c>
      <c r="C2043" s="9">
        <v>45958</v>
      </c>
      <c r="D2043" s="8" t="s">
        <v>181</v>
      </c>
      <c r="E2043" s="10">
        <v>30000</v>
      </c>
      <c r="F2043" s="8">
        <v>0.0243</v>
      </c>
      <c r="G2043" s="11">
        <v>46086</v>
      </c>
      <c r="H2043" s="12">
        <f t="shared" si="31"/>
        <v>729</v>
      </c>
      <c r="I2043" s="10" t="s">
        <v>10</v>
      </c>
      <c r="J2043" s="13">
        <v>46010</v>
      </c>
      <c r="K2043" t="s">
        <v>467</v>
      </c>
    </row>
    <row r="2044" hidden="1" spans="1:11">
      <c r="A2044" t="s">
        <v>319</v>
      </c>
      <c r="B2044" s="8">
        <v>252602400</v>
      </c>
      <c r="C2044" s="9">
        <v>45958</v>
      </c>
      <c r="D2044" s="8" t="s">
        <v>181</v>
      </c>
      <c r="E2044" s="10">
        <v>30000</v>
      </c>
      <c r="F2044" s="8">
        <v>0.0243</v>
      </c>
      <c r="G2044" s="11">
        <v>46117</v>
      </c>
      <c r="H2044" s="12">
        <f t="shared" si="31"/>
        <v>729</v>
      </c>
      <c r="I2044" s="10" t="s">
        <v>10</v>
      </c>
      <c r="J2044" s="13">
        <v>46010</v>
      </c>
      <c r="K2044" t="s">
        <v>467</v>
      </c>
    </row>
    <row r="2045" hidden="1" spans="1:11">
      <c r="A2045" t="s">
        <v>319</v>
      </c>
      <c r="B2045" s="8">
        <v>252602400</v>
      </c>
      <c r="C2045" s="9">
        <v>45958</v>
      </c>
      <c r="D2045" s="8" t="s">
        <v>11</v>
      </c>
      <c r="E2045" s="10">
        <v>130000</v>
      </c>
      <c r="F2045" s="8">
        <v>0.032</v>
      </c>
      <c r="G2045" s="11">
        <v>46086</v>
      </c>
      <c r="H2045" s="12">
        <f t="shared" si="31"/>
        <v>4160</v>
      </c>
      <c r="I2045" s="10" t="s">
        <v>10</v>
      </c>
      <c r="J2045" s="13">
        <v>46010</v>
      </c>
      <c r="K2045" t="s">
        <v>467</v>
      </c>
    </row>
    <row r="2046" hidden="1" spans="1:11">
      <c r="A2046" t="s">
        <v>319</v>
      </c>
      <c r="B2046" s="8">
        <v>252602400</v>
      </c>
      <c r="C2046" s="9">
        <v>45958</v>
      </c>
      <c r="D2046" s="8" t="s">
        <v>11</v>
      </c>
      <c r="E2046" s="10">
        <v>120000</v>
      </c>
      <c r="F2046" s="8">
        <v>0.032</v>
      </c>
      <c r="G2046" s="11">
        <v>46117</v>
      </c>
      <c r="H2046" s="12">
        <f t="shared" si="31"/>
        <v>3840</v>
      </c>
      <c r="I2046" s="10" t="s">
        <v>10</v>
      </c>
      <c r="J2046" s="13">
        <v>46010</v>
      </c>
      <c r="K2046" t="s">
        <v>467</v>
      </c>
    </row>
    <row r="2047" hidden="1" spans="1:11">
      <c r="A2047" t="s">
        <v>319</v>
      </c>
      <c r="B2047" s="8">
        <v>252602400</v>
      </c>
      <c r="C2047" s="9">
        <v>45958</v>
      </c>
      <c r="D2047" s="8" t="s">
        <v>31</v>
      </c>
      <c r="E2047" s="10">
        <v>200000</v>
      </c>
      <c r="F2047" s="8">
        <v>0.024</v>
      </c>
      <c r="G2047" s="11">
        <v>46086</v>
      </c>
      <c r="H2047" s="12">
        <f t="shared" si="31"/>
        <v>4800</v>
      </c>
      <c r="I2047" s="10" t="s">
        <v>10</v>
      </c>
      <c r="J2047" s="13">
        <v>46010</v>
      </c>
      <c r="K2047" t="s">
        <v>467</v>
      </c>
    </row>
    <row r="2048" hidden="1" spans="1:11">
      <c r="A2048" t="s">
        <v>319</v>
      </c>
      <c r="B2048" s="8">
        <v>252602400</v>
      </c>
      <c r="C2048" s="9">
        <v>45958</v>
      </c>
      <c r="D2048" s="8" t="s">
        <v>31</v>
      </c>
      <c r="E2048" s="10">
        <v>200000</v>
      </c>
      <c r="F2048" s="8">
        <v>0.024</v>
      </c>
      <c r="G2048" s="11">
        <v>46086</v>
      </c>
      <c r="H2048" s="12">
        <f t="shared" si="31"/>
        <v>4800</v>
      </c>
      <c r="I2048" s="10" t="s">
        <v>10</v>
      </c>
      <c r="J2048" s="13">
        <v>46010</v>
      </c>
      <c r="K2048" t="s">
        <v>467</v>
      </c>
    </row>
    <row r="2049" hidden="1" spans="1:11">
      <c r="A2049" t="s">
        <v>319</v>
      </c>
      <c r="B2049" s="8">
        <v>252602400</v>
      </c>
      <c r="C2049" s="9">
        <v>45958</v>
      </c>
      <c r="D2049" s="8" t="s">
        <v>31</v>
      </c>
      <c r="E2049" s="10">
        <v>200000</v>
      </c>
      <c r="F2049" s="8">
        <v>0.024</v>
      </c>
      <c r="G2049" s="11">
        <v>46086</v>
      </c>
      <c r="H2049" s="12">
        <f t="shared" si="31"/>
        <v>4800</v>
      </c>
      <c r="I2049" s="10" t="s">
        <v>10</v>
      </c>
      <c r="J2049" s="13">
        <v>46010</v>
      </c>
      <c r="K2049" t="s">
        <v>467</v>
      </c>
    </row>
    <row r="2050" hidden="1" spans="1:11">
      <c r="A2050" t="s">
        <v>319</v>
      </c>
      <c r="B2050" s="8">
        <v>252602400</v>
      </c>
      <c r="C2050" s="9">
        <v>45958</v>
      </c>
      <c r="D2050" s="8" t="s">
        <v>31</v>
      </c>
      <c r="E2050" s="10">
        <v>100000</v>
      </c>
      <c r="F2050" s="8">
        <v>0.024</v>
      </c>
      <c r="G2050" s="11">
        <v>46086</v>
      </c>
      <c r="H2050" s="12">
        <f t="shared" ref="H2050:H2113" si="32">E2050*F2050</f>
        <v>2400</v>
      </c>
      <c r="I2050" s="10" t="s">
        <v>10</v>
      </c>
      <c r="J2050" s="13">
        <v>46010</v>
      </c>
      <c r="K2050" t="s">
        <v>467</v>
      </c>
    </row>
    <row r="2051" hidden="1" spans="1:11">
      <c r="A2051" t="s">
        <v>319</v>
      </c>
      <c r="B2051" s="8">
        <v>252602400</v>
      </c>
      <c r="C2051" s="9">
        <v>45958</v>
      </c>
      <c r="D2051" s="8" t="s">
        <v>31</v>
      </c>
      <c r="E2051" s="10">
        <v>200000</v>
      </c>
      <c r="F2051" s="8">
        <v>0.024</v>
      </c>
      <c r="G2051" s="11">
        <v>46117</v>
      </c>
      <c r="H2051" s="12">
        <f t="shared" si="32"/>
        <v>4800</v>
      </c>
      <c r="I2051" s="10" t="s">
        <v>10</v>
      </c>
      <c r="J2051" s="13">
        <v>46010</v>
      </c>
      <c r="K2051" t="s">
        <v>467</v>
      </c>
    </row>
    <row r="2052" hidden="1" spans="1:11">
      <c r="A2052" t="s">
        <v>319</v>
      </c>
      <c r="B2052" s="8">
        <v>252602400</v>
      </c>
      <c r="C2052" s="9">
        <v>45958</v>
      </c>
      <c r="D2052" s="8" t="s">
        <v>31</v>
      </c>
      <c r="E2052" s="10">
        <v>200000</v>
      </c>
      <c r="F2052" s="8">
        <v>0.024</v>
      </c>
      <c r="G2052" s="11">
        <v>46117</v>
      </c>
      <c r="H2052" s="12">
        <f t="shared" si="32"/>
        <v>4800</v>
      </c>
      <c r="I2052" s="10" t="s">
        <v>10</v>
      </c>
      <c r="J2052" s="13">
        <v>46010</v>
      </c>
      <c r="K2052" t="s">
        <v>467</v>
      </c>
    </row>
    <row r="2053" hidden="1" spans="1:11">
      <c r="A2053" t="s">
        <v>319</v>
      </c>
      <c r="B2053" s="8">
        <v>252602400</v>
      </c>
      <c r="C2053" s="9">
        <v>45958</v>
      </c>
      <c r="D2053" s="8" t="s">
        <v>31</v>
      </c>
      <c r="E2053" s="10">
        <v>200000</v>
      </c>
      <c r="F2053" s="8">
        <v>0.024</v>
      </c>
      <c r="G2053" s="11">
        <v>46117</v>
      </c>
      <c r="H2053" s="12">
        <f t="shared" si="32"/>
        <v>4800</v>
      </c>
      <c r="I2053" s="10" t="s">
        <v>10</v>
      </c>
      <c r="J2053" s="13">
        <v>46010</v>
      </c>
      <c r="K2053" t="s">
        <v>467</v>
      </c>
    </row>
    <row r="2054" hidden="1" spans="1:11">
      <c r="A2054" t="s">
        <v>319</v>
      </c>
      <c r="B2054" s="8">
        <v>252602401</v>
      </c>
      <c r="C2054" s="9">
        <v>45958</v>
      </c>
      <c r="D2054" s="8" t="s">
        <v>33</v>
      </c>
      <c r="E2054" s="10">
        <v>200000</v>
      </c>
      <c r="F2054" s="8">
        <v>0.018</v>
      </c>
      <c r="G2054" s="11">
        <v>46086</v>
      </c>
      <c r="H2054" s="12">
        <f t="shared" si="32"/>
        <v>3600</v>
      </c>
      <c r="I2054" s="10" t="s">
        <v>10</v>
      </c>
      <c r="J2054" s="13">
        <v>46029</v>
      </c>
      <c r="K2054" t="s">
        <v>467</v>
      </c>
    </row>
    <row r="2055" hidden="1" spans="1:11">
      <c r="A2055" t="s">
        <v>319</v>
      </c>
      <c r="B2055" s="8">
        <v>252602401</v>
      </c>
      <c r="C2055" s="9">
        <v>45958</v>
      </c>
      <c r="D2055" s="8" t="s">
        <v>33</v>
      </c>
      <c r="E2055" s="10">
        <v>200000</v>
      </c>
      <c r="F2055" s="8">
        <v>0.018</v>
      </c>
      <c r="G2055" s="11">
        <v>46086</v>
      </c>
      <c r="H2055" s="12">
        <f t="shared" si="32"/>
        <v>3600</v>
      </c>
      <c r="I2055" s="10" t="s">
        <v>10</v>
      </c>
      <c r="J2055" s="13">
        <v>46029</v>
      </c>
      <c r="K2055" t="s">
        <v>467</v>
      </c>
    </row>
    <row r="2056" hidden="1" spans="1:11">
      <c r="A2056" t="s">
        <v>319</v>
      </c>
      <c r="B2056" s="8">
        <v>252602401</v>
      </c>
      <c r="C2056" s="9">
        <v>45958</v>
      </c>
      <c r="D2056" s="8" t="s">
        <v>33</v>
      </c>
      <c r="E2056" s="10">
        <v>200000</v>
      </c>
      <c r="F2056" s="8">
        <v>0.018</v>
      </c>
      <c r="G2056" s="11">
        <v>46086</v>
      </c>
      <c r="H2056" s="12">
        <f t="shared" si="32"/>
        <v>3600</v>
      </c>
      <c r="I2056" s="10" t="s">
        <v>10</v>
      </c>
      <c r="J2056" s="13">
        <v>46029</v>
      </c>
      <c r="K2056" t="s">
        <v>467</v>
      </c>
    </row>
    <row r="2057" hidden="1" spans="1:11">
      <c r="A2057" t="s">
        <v>319</v>
      </c>
      <c r="B2057" s="8">
        <v>252602401</v>
      </c>
      <c r="C2057" s="9">
        <v>45958</v>
      </c>
      <c r="D2057" s="8" t="s">
        <v>33</v>
      </c>
      <c r="E2057" s="10">
        <v>200000</v>
      </c>
      <c r="F2057" s="8">
        <v>0.018</v>
      </c>
      <c r="G2057" s="11">
        <v>46117</v>
      </c>
      <c r="H2057" s="12">
        <f t="shared" si="32"/>
        <v>3600</v>
      </c>
      <c r="I2057" s="10" t="s">
        <v>10</v>
      </c>
      <c r="J2057" s="13">
        <v>46029</v>
      </c>
      <c r="K2057" t="s">
        <v>467</v>
      </c>
    </row>
    <row r="2058" hidden="1" spans="1:11">
      <c r="A2058" t="s">
        <v>319</v>
      </c>
      <c r="B2058" s="8">
        <v>252602401</v>
      </c>
      <c r="C2058" s="9">
        <v>45958</v>
      </c>
      <c r="D2058" s="8" t="s">
        <v>33</v>
      </c>
      <c r="E2058" s="10">
        <v>200000</v>
      </c>
      <c r="F2058" s="8">
        <v>0.018</v>
      </c>
      <c r="G2058" s="11">
        <v>46117</v>
      </c>
      <c r="H2058" s="12">
        <f t="shared" si="32"/>
        <v>3600</v>
      </c>
      <c r="I2058" s="10" t="s">
        <v>10</v>
      </c>
      <c r="J2058" s="13">
        <v>46029</v>
      </c>
      <c r="K2058" t="s">
        <v>467</v>
      </c>
    </row>
    <row r="2059" hidden="1" spans="1:11">
      <c r="A2059" t="s">
        <v>319</v>
      </c>
      <c r="B2059" s="8">
        <v>252602401</v>
      </c>
      <c r="C2059" s="9">
        <v>45958</v>
      </c>
      <c r="D2059" s="8" t="s">
        <v>33</v>
      </c>
      <c r="E2059" s="10">
        <v>200000</v>
      </c>
      <c r="F2059" s="8">
        <v>0.018</v>
      </c>
      <c r="G2059" s="11">
        <v>46117</v>
      </c>
      <c r="H2059" s="12">
        <f t="shared" si="32"/>
        <v>3600</v>
      </c>
      <c r="I2059" s="10" t="s">
        <v>10</v>
      </c>
      <c r="J2059" s="13">
        <v>46029</v>
      </c>
      <c r="K2059" t="s">
        <v>467</v>
      </c>
    </row>
    <row r="2060" hidden="1" spans="1:11">
      <c r="A2060" t="s">
        <v>319</v>
      </c>
      <c r="B2060" s="8">
        <v>252602401</v>
      </c>
      <c r="C2060" s="9">
        <v>45958</v>
      </c>
      <c r="D2060" s="8" t="s">
        <v>32</v>
      </c>
      <c r="E2060" s="10">
        <v>200000</v>
      </c>
      <c r="F2060" s="8">
        <v>0.014</v>
      </c>
      <c r="G2060" s="11">
        <v>46086</v>
      </c>
      <c r="H2060" s="12">
        <f t="shared" si="32"/>
        <v>2800</v>
      </c>
      <c r="I2060" s="10" t="s">
        <v>10</v>
      </c>
      <c r="J2060" s="13">
        <v>46029</v>
      </c>
      <c r="K2060" t="s">
        <v>467</v>
      </c>
    </row>
    <row r="2061" hidden="1" spans="1:11">
      <c r="A2061" t="s">
        <v>319</v>
      </c>
      <c r="B2061" s="8">
        <v>252602401</v>
      </c>
      <c r="C2061" s="9">
        <v>45958</v>
      </c>
      <c r="D2061" s="8" t="s">
        <v>32</v>
      </c>
      <c r="E2061" s="10">
        <v>200000</v>
      </c>
      <c r="F2061" s="8">
        <v>0.014</v>
      </c>
      <c r="G2061" s="11">
        <v>46086</v>
      </c>
      <c r="H2061" s="12">
        <f t="shared" si="32"/>
        <v>2800</v>
      </c>
      <c r="I2061" s="10" t="s">
        <v>10</v>
      </c>
      <c r="J2061" s="13">
        <v>46029</v>
      </c>
      <c r="K2061" t="s">
        <v>467</v>
      </c>
    </row>
    <row r="2062" hidden="1" spans="1:11">
      <c r="A2062" t="s">
        <v>319</v>
      </c>
      <c r="B2062" s="8">
        <v>252602401</v>
      </c>
      <c r="C2062" s="9">
        <v>45958</v>
      </c>
      <c r="D2062" s="8" t="s">
        <v>32</v>
      </c>
      <c r="E2062" s="10">
        <v>200000</v>
      </c>
      <c r="F2062" s="8">
        <v>0.014</v>
      </c>
      <c r="G2062" s="11">
        <v>46086</v>
      </c>
      <c r="H2062" s="12">
        <f t="shared" si="32"/>
        <v>2800</v>
      </c>
      <c r="I2062" s="10" t="s">
        <v>10</v>
      </c>
      <c r="J2062" s="13">
        <v>46029</v>
      </c>
      <c r="K2062" t="s">
        <v>467</v>
      </c>
    </row>
    <row r="2063" hidden="1" spans="1:11">
      <c r="A2063" t="s">
        <v>319</v>
      </c>
      <c r="B2063" s="8">
        <v>252602401</v>
      </c>
      <c r="C2063" s="9">
        <v>45958</v>
      </c>
      <c r="D2063" s="8" t="s">
        <v>32</v>
      </c>
      <c r="E2063" s="10">
        <v>200000</v>
      </c>
      <c r="F2063" s="8">
        <v>0.014</v>
      </c>
      <c r="G2063" s="11">
        <v>46117</v>
      </c>
      <c r="H2063" s="12">
        <f t="shared" si="32"/>
        <v>2800</v>
      </c>
      <c r="I2063" s="10" t="s">
        <v>10</v>
      </c>
      <c r="J2063" s="13">
        <v>46029</v>
      </c>
      <c r="K2063" t="s">
        <v>467</v>
      </c>
    </row>
    <row r="2064" hidden="1" spans="1:11">
      <c r="A2064" t="s">
        <v>319</v>
      </c>
      <c r="B2064" s="8">
        <v>252602401</v>
      </c>
      <c r="C2064" s="9">
        <v>45958</v>
      </c>
      <c r="D2064" s="8" t="s">
        <v>32</v>
      </c>
      <c r="E2064" s="10">
        <v>200000</v>
      </c>
      <c r="F2064" s="8">
        <v>0.014</v>
      </c>
      <c r="G2064" s="11">
        <v>46117</v>
      </c>
      <c r="H2064" s="12">
        <f t="shared" si="32"/>
        <v>2800</v>
      </c>
      <c r="I2064" s="10" t="s">
        <v>10</v>
      </c>
      <c r="J2064" s="13">
        <v>46029</v>
      </c>
      <c r="K2064" t="s">
        <v>467</v>
      </c>
    </row>
    <row r="2065" hidden="1" spans="1:11">
      <c r="A2065" t="s">
        <v>319</v>
      </c>
      <c r="B2065" s="8">
        <v>252602401</v>
      </c>
      <c r="C2065" s="9">
        <v>45958</v>
      </c>
      <c r="D2065" s="8" t="s">
        <v>32</v>
      </c>
      <c r="E2065" s="10">
        <v>200000</v>
      </c>
      <c r="F2065" s="8">
        <v>0.014</v>
      </c>
      <c r="G2065" s="11">
        <v>46117</v>
      </c>
      <c r="H2065" s="12">
        <f t="shared" si="32"/>
        <v>2800</v>
      </c>
      <c r="I2065" s="10" t="s">
        <v>10</v>
      </c>
      <c r="J2065" s="13">
        <v>46029</v>
      </c>
      <c r="K2065" t="s">
        <v>467</v>
      </c>
    </row>
    <row r="2066" hidden="1" spans="1:11">
      <c r="A2066" t="s">
        <v>319</v>
      </c>
      <c r="B2066" s="8">
        <v>252602401</v>
      </c>
      <c r="C2066" s="9">
        <v>45958</v>
      </c>
      <c r="D2066" s="8" t="s">
        <v>29</v>
      </c>
      <c r="E2066" s="10">
        <v>200000</v>
      </c>
      <c r="F2066" s="8">
        <v>0.0216</v>
      </c>
      <c r="G2066" s="11">
        <v>46086</v>
      </c>
      <c r="H2066" s="12">
        <f t="shared" si="32"/>
        <v>4320</v>
      </c>
      <c r="I2066" s="10" t="s">
        <v>10</v>
      </c>
      <c r="J2066" s="13">
        <v>46029</v>
      </c>
      <c r="K2066" t="s">
        <v>467</v>
      </c>
    </row>
    <row r="2067" hidden="1" spans="1:11">
      <c r="A2067" t="s">
        <v>319</v>
      </c>
      <c r="B2067" s="8">
        <v>252602401</v>
      </c>
      <c r="C2067" s="9">
        <v>45958</v>
      </c>
      <c r="D2067" s="8" t="s">
        <v>29</v>
      </c>
      <c r="E2067" s="10">
        <v>200000</v>
      </c>
      <c r="F2067" s="8">
        <v>0.0216</v>
      </c>
      <c r="G2067" s="11">
        <v>46086</v>
      </c>
      <c r="H2067" s="12">
        <f t="shared" si="32"/>
        <v>4320</v>
      </c>
      <c r="I2067" s="10" t="s">
        <v>10</v>
      </c>
      <c r="J2067" s="13">
        <v>46029</v>
      </c>
      <c r="K2067" t="s">
        <v>467</v>
      </c>
    </row>
    <row r="2068" hidden="1" spans="1:11">
      <c r="A2068" t="s">
        <v>319</v>
      </c>
      <c r="B2068" s="8">
        <v>252602403</v>
      </c>
      <c r="C2068" s="9">
        <v>45958</v>
      </c>
      <c r="D2068" s="8" t="s">
        <v>29</v>
      </c>
      <c r="E2068" s="10">
        <v>200000</v>
      </c>
      <c r="F2068" s="8">
        <v>0.0216</v>
      </c>
      <c r="G2068" s="11">
        <v>46086</v>
      </c>
      <c r="H2068" s="12">
        <f t="shared" si="32"/>
        <v>4320</v>
      </c>
      <c r="I2068" s="10" t="s">
        <v>10</v>
      </c>
      <c r="J2068" s="13">
        <v>46029</v>
      </c>
      <c r="K2068" t="s">
        <v>467</v>
      </c>
    </row>
    <row r="2069" hidden="1" spans="1:11">
      <c r="A2069" t="s">
        <v>319</v>
      </c>
      <c r="B2069" s="8">
        <v>252602403</v>
      </c>
      <c r="C2069" s="9">
        <v>45958</v>
      </c>
      <c r="D2069" s="8" t="s">
        <v>29</v>
      </c>
      <c r="E2069" s="10">
        <v>200000</v>
      </c>
      <c r="F2069" s="8">
        <v>0.0216</v>
      </c>
      <c r="G2069" s="11">
        <v>46086</v>
      </c>
      <c r="H2069" s="12">
        <f t="shared" si="32"/>
        <v>4320</v>
      </c>
      <c r="I2069" s="10" t="s">
        <v>10</v>
      </c>
      <c r="J2069" s="13">
        <v>46029</v>
      </c>
      <c r="K2069" t="s">
        <v>467</v>
      </c>
    </row>
    <row r="2070" hidden="1" spans="1:11">
      <c r="A2070" t="s">
        <v>319</v>
      </c>
      <c r="B2070" s="8">
        <v>252602403</v>
      </c>
      <c r="C2070" s="9">
        <v>45958</v>
      </c>
      <c r="D2070" s="8" t="s">
        <v>29</v>
      </c>
      <c r="E2070" s="10">
        <v>200000</v>
      </c>
      <c r="F2070" s="8">
        <v>0.0216</v>
      </c>
      <c r="G2070" s="11">
        <v>46086</v>
      </c>
      <c r="H2070" s="12">
        <f t="shared" si="32"/>
        <v>4320</v>
      </c>
      <c r="I2070" s="10" t="s">
        <v>10</v>
      </c>
      <c r="J2070" s="13">
        <v>46029</v>
      </c>
      <c r="K2070" t="s">
        <v>467</v>
      </c>
    </row>
    <row r="2071" hidden="1" spans="1:11">
      <c r="A2071" t="s">
        <v>319</v>
      </c>
      <c r="B2071" s="8">
        <v>252602403</v>
      </c>
      <c r="C2071" s="9">
        <v>45958</v>
      </c>
      <c r="D2071" s="8" t="s">
        <v>29</v>
      </c>
      <c r="E2071" s="10">
        <v>200000</v>
      </c>
      <c r="F2071" s="8">
        <v>0.0216</v>
      </c>
      <c r="G2071" s="11">
        <v>46086</v>
      </c>
      <c r="H2071" s="12">
        <f t="shared" si="32"/>
        <v>4320</v>
      </c>
      <c r="I2071" s="10" t="s">
        <v>10</v>
      </c>
      <c r="J2071" s="13">
        <v>46029</v>
      </c>
      <c r="K2071" t="s">
        <v>467</v>
      </c>
    </row>
    <row r="2072" hidden="1" spans="1:11">
      <c r="A2072" t="s">
        <v>319</v>
      </c>
      <c r="B2072" s="8">
        <v>252602403</v>
      </c>
      <c r="C2072" s="9">
        <v>45958</v>
      </c>
      <c r="D2072" s="8" t="s">
        <v>29</v>
      </c>
      <c r="E2072" s="10">
        <v>200000</v>
      </c>
      <c r="F2072" s="8">
        <v>0.0216</v>
      </c>
      <c r="G2072" s="11">
        <v>46086</v>
      </c>
      <c r="H2072" s="12">
        <f t="shared" si="32"/>
        <v>4320</v>
      </c>
      <c r="I2072" s="10" t="s">
        <v>10</v>
      </c>
      <c r="J2072" s="13">
        <v>46029</v>
      </c>
      <c r="K2072" t="s">
        <v>467</v>
      </c>
    </row>
    <row r="2073" hidden="1" spans="1:11">
      <c r="A2073" t="s">
        <v>319</v>
      </c>
      <c r="B2073" s="8">
        <v>252602403</v>
      </c>
      <c r="C2073" s="9">
        <v>45958</v>
      </c>
      <c r="D2073" s="8" t="s">
        <v>29</v>
      </c>
      <c r="E2073" s="10">
        <v>100000</v>
      </c>
      <c r="F2073" s="8">
        <v>0.0216</v>
      </c>
      <c r="G2073" s="11">
        <v>46086</v>
      </c>
      <c r="H2073" s="12">
        <f t="shared" si="32"/>
        <v>2160</v>
      </c>
      <c r="I2073" s="10" t="s">
        <v>10</v>
      </c>
      <c r="J2073" s="13">
        <v>46029</v>
      </c>
      <c r="K2073" t="s">
        <v>467</v>
      </c>
    </row>
    <row r="2074" hidden="1" spans="1:11">
      <c r="A2074" t="s">
        <v>319</v>
      </c>
      <c r="B2074" s="8">
        <v>252602403</v>
      </c>
      <c r="C2074" s="9">
        <v>45958</v>
      </c>
      <c r="D2074" s="8" t="s">
        <v>29</v>
      </c>
      <c r="E2074" s="10">
        <v>200000</v>
      </c>
      <c r="F2074" s="8">
        <v>0.0216</v>
      </c>
      <c r="G2074" s="11">
        <v>46117</v>
      </c>
      <c r="H2074" s="12">
        <f t="shared" si="32"/>
        <v>4320</v>
      </c>
      <c r="I2074" s="10" t="s">
        <v>10</v>
      </c>
      <c r="J2074" s="13">
        <v>46029</v>
      </c>
      <c r="K2074" t="s">
        <v>467</v>
      </c>
    </row>
    <row r="2075" hidden="1" spans="1:11">
      <c r="A2075" t="s">
        <v>319</v>
      </c>
      <c r="B2075" s="8">
        <v>252602403</v>
      </c>
      <c r="C2075" s="9">
        <v>45958</v>
      </c>
      <c r="D2075" s="8" t="s">
        <v>29</v>
      </c>
      <c r="E2075" s="10">
        <v>200000</v>
      </c>
      <c r="F2075" s="8">
        <v>0.0216</v>
      </c>
      <c r="G2075" s="11">
        <v>46117</v>
      </c>
      <c r="H2075" s="12">
        <f t="shared" si="32"/>
        <v>4320</v>
      </c>
      <c r="I2075" s="10" t="s">
        <v>10</v>
      </c>
      <c r="J2075" s="13">
        <v>46029</v>
      </c>
      <c r="K2075" t="s">
        <v>467</v>
      </c>
    </row>
    <row r="2076" hidden="1" spans="1:11">
      <c r="A2076" t="s">
        <v>319</v>
      </c>
      <c r="B2076" s="8">
        <v>252602403</v>
      </c>
      <c r="C2076" s="9">
        <v>45958</v>
      </c>
      <c r="D2076" s="8" t="s">
        <v>29</v>
      </c>
      <c r="E2076" s="10">
        <v>200000</v>
      </c>
      <c r="F2076" s="8">
        <v>0.0216</v>
      </c>
      <c r="G2076" s="11">
        <v>46117</v>
      </c>
      <c r="H2076" s="12">
        <f t="shared" si="32"/>
        <v>4320</v>
      </c>
      <c r="I2076" s="10" t="s">
        <v>10</v>
      </c>
      <c r="J2076" s="13">
        <v>46029</v>
      </c>
      <c r="K2076" t="s">
        <v>467</v>
      </c>
    </row>
    <row r="2077" hidden="1" spans="1:11">
      <c r="A2077" t="s">
        <v>319</v>
      </c>
      <c r="B2077" s="8">
        <v>252602403</v>
      </c>
      <c r="C2077" s="9">
        <v>45958</v>
      </c>
      <c r="D2077" s="8" t="s">
        <v>29</v>
      </c>
      <c r="E2077" s="10">
        <v>200000</v>
      </c>
      <c r="F2077" s="8">
        <v>0.0216</v>
      </c>
      <c r="G2077" s="11">
        <v>46117</v>
      </c>
      <c r="H2077" s="12">
        <f t="shared" si="32"/>
        <v>4320</v>
      </c>
      <c r="I2077" s="10" t="s">
        <v>10</v>
      </c>
      <c r="J2077" s="13">
        <v>46029</v>
      </c>
      <c r="K2077" t="s">
        <v>467</v>
      </c>
    </row>
    <row r="2078" hidden="1" spans="1:11">
      <c r="A2078" t="s">
        <v>319</v>
      </c>
      <c r="B2078" s="8">
        <v>252602403</v>
      </c>
      <c r="C2078" s="9">
        <v>45958</v>
      </c>
      <c r="D2078" s="8" t="s">
        <v>29</v>
      </c>
      <c r="E2078" s="10">
        <v>200000</v>
      </c>
      <c r="F2078" s="8">
        <v>0.0216</v>
      </c>
      <c r="G2078" s="11">
        <v>46117</v>
      </c>
      <c r="H2078" s="12">
        <f t="shared" si="32"/>
        <v>4320</v>
      </c>
      <c r="I2078" s="10" t="s">
        <v>10</v>
      </c>
      <c r="J2078" s="13">
        <v>46029</v>
      </c>
      <c r="K2078" t="s">
        <v>467</v>
      </c>
    </row>
    <row r="2079" hidden="1" spans="1:11">
      <c r="A2079" t="s">
        <v>319</v>
      </c>
      <c r="B2079" s="8">
        <v>252602403</v>
      </c>
      <c r="C2079" s="9">
        <v>45958</v>
      </c>
      <c r="D2079" s="8" t="s">
        <v>29</v>
      </c>
      <c r="E2079" s="10">
        <v>200000</v>
      </c>
      <c r="F2079" s="8">
        <v>0.0216</v>
      </c>
      <c r="G2079" s="11">
        <v>46117</v>
      </c>
      <c r="H2079" s="12">
        <f t="shared" si="32"/>
        <v>4320</v>
      </c>
      <c r="I2079" s="10" t="s">
        <v>10</v>
      </c>
      <c r="J2079" s="13">
        <v>46029</v>
      </c>
      <c r="K2079" t="s">
        <v>467</v>
      </c>
    </row>
    <row r="2080" hidden="1" spans="1:11">
      <c r="A2080" t="s">
        <v>319</v>
      </c>
      <c r="B2080" s="8">
        <v>252602403</v>
      </c>
      <c r="C2080" s="9">
        <v>45958</v>
      </c>
      <c r="D2080" s="8" t="s">
        <v>29</v>
      </c>
      <c r="E2080" s="10">
        <v>200000</v>
      </c>
      <c r="F2080" s="8">
        <v>0.0216</v>
      </c>
      <c r="G2080" s="11">
        <v>46117</v>
      </c>
      <c r="H2080" s="12">
        <f t="shared" si="32"/>
        <v>4320</v>
      </c>
      <c r="I2080" s="10" t="s">
        <v>10</v>
      </c>
      <c r="J2080" s="13">
        <v>46029</v>
      </c>
      <c r="K2080" t="s">
        <v>467</v>
      </c>
    </row>
    <row r="2081" hidden="1" spans="1:11">
      <c r="A2081" t="s">
        <v>319</v>
      </c>
      <c r="B2081" s="8">
        <v>252602403</v>
      </c>
      <c r="C2081" s="9">
        <v>45958</v>
      </c>
      <c r="D2081" s="8" t="s">
        <v>29</v>
      </c>
      <c r="E2081" s="10">
        <v>100000</v>
      </c>
      <c r="F2081" s="8">
        <v>0.0216</v>
      </c>
      <c r="G2081" s="11">
        <v>46117</v>
      </c>
      <c r="H2081" s="12">
        <f t="shared" si="32"/>
        <v>2160</v>
      </c>
      <c r="I2081" s="10" t="s">
        <v>10</v>
      </c>
      <c r="J2081" s="13">
        <v>46029</v>
      </c>
      <c r="K2081" t="s">
        <v>467</v>
      </c>
    </row>
    <row r="2082" hidden="1" spans="1:11">
      <c r="A2082" t="s">
        <v>319</v>
      </c>
      <c r="B2082" s="8">
        <v>252602404</v>
      </c>
      <c r="C2082" s="9" t="s">
        <v>606</v>
      </c>
      <c r="D2082" s="8" t="s">
        <v>62</v>
      </c>
      <c r="E2082" s="10">
        <v>96000</v>
      </c>
      <c r="F2082" s="8">
        <v>0.005</v>
      </c>
      <c r="G2082" s="11">
        <v>45677</v>
      </c>
      <c r="H2082" s="12">
        <f t="shared" si="32"/>
        <v>480</v>
      </c>
      <c r="I2082" s="10" t="s">
        <v>10</v>
      </c>
      <c r="J2082" s="13">
        <v>45968</v>
      </c>
    </row>
    <row r="2083" hidden="1" spans="1:11">
      <c r="A2083" t="s">
        <v>319</v>
      </c>
      <c r="B2083" s="8">
        <v>252602404</v>
      </c>
      <c r="C2083" s="9" t="s">
        <v>606</v>
      </c>
      <c r="D2083" s="8" t="s">
        <v>62</v>
      </c>
      <c r="E2083" s="10">
        <v>96000</v>
      </c>
      <c r="F2083" s="8">
        <v>0.005</v>
      </c>
      <c r="G2083" s="11">
        <v>46007</v>
      </c>
      <c r="H2083" s="12">
        <f t="shared" si="32"/>
        <v>480</v>
      </c>
      <c r="I2083" s="10" t="s">
        <v>10</v>
      </c>
      <c r="J2083" s="13">
        <v>45968</v>
      </c>
    </row>
    <row r="2084" hidden="1" spans="1:11">
      <c r="A2084" t="s">
        <v>319</v>
      </c>
      <c r="B2084" s="8">
        <v>252602404</v>
      </c>
      <c r="C2084" s="9" t="s">
        <v>606</v>
      </c>
      <c r="D2084" s="8" t="s">
        <v>230</v>
      </c>
      <c r="E2084" s="10">
        <v>20000</v>
      </c>
      <c r="F2084" s="8">
        <v>0.0285</v>
      </c>
      <c r="G2084" s="11">
        <v>45981</v>
      </c>
      <c r="H2084" s="12">
        <f t="shared" si="32"/>
        <v>570</v>
      </c>
      <c r="I2084" s="10" t="s">
        <v>10</v>
      </c>
      <c r="J2084" s="13">
        <v>45960</v>
      </c>
    </row>
    <row r="2085" hidden="1" spans="1:11">
      <c r="A2085" t="s">
        <v>319</v>
      </c>
      <c r="B2085" s="8">
        <v>252602404</v>
      </c>
      <c r="C2085" s="9" t="s">
        <v>606</v>
      </c>
      <c r="D2085" s="8" t="s">
        <v>230</v>
      </c>
      <c r="E2085" s="10">
        <v>20000</v>
      </c>
      <c r="F2085" s="8">
        <v>0.0285</v>
      </c>
      <c r="G2085" s="11">
        <v>45981</v>
      </c>
      <c r="H2085" s="12">
        <f t="shared" si="32"/>
        <v>570</v>
      </c>
      <c r="I2085" s="10" t="s">
        <v>10</v>
      </c>
      <c r="J2085" s="13">
        <v>45960</v>
      </c>
    </row>
    <row r="2086" hidden="1" spans="1:11">
      <c r="A2086" t="s">
        <v>319</v>
      </c>
      <c r="B2086" s="8">
        <v>252602404</v>
      </c>
      <c r="C2086" s="9" t="s">
        <v>606</v>
      </c>
      <c r="D2086" s="8" t="s">
        <v>299</v>
      </c>
      <c r="E2086" s="10">
        <v>80000</v>
      </c>
      <c r="F2086" s="8">
        <v>0.003</v>
      </c>
      <c r="G2086" s="11">
        <v>45981</v>
      </c>
      <c r="H2086" s="12">
        <f t="shared" si="32"/>
        <v>240</v>
      </c>
      <c r="I2086" s="10" t="s">
        <v>10</v>
      </c>
      <c r="J2086" s="13">
        <v>45960</v>
      </c>
    </row>
    <row r="2087" hidden="1" spans="1:11">
      <c r="A2087" t="s">
        <v>319</v>
      </c>
      <c r="B2087" s="8">
        <v>252602409</v>
      </c>
      <c r="C2087" s="9">
        <v>45958</v>
      </c>
      <c r="D2087" s="8" t="s">
        <v>97</v>
      </c>
      <c r="E2087" s="10">
        <v>24000</v>
      </c>
      <c r="F2087" s="8">
        <v>0.065</v>
      </c>
      <c r="G2087" s="11">
        <v>45966</v>
      </c>
      <c r="H2087" s="12">
        <f t="shared" si="32"/>
        <v>1560</v>
      </c>
      <c r="I2087" s="10" t="s">
        <v>10</v>
      </c>
      <c r="J2087" s="13">
        <v>45966</v>
      </c>
      <c r="K2087" t="s">
        <v>391</v>
      </c>
    </row>
    <row r="2088" hidden="1" spans="1:11">
      <c r="A2088" t="s">
        <v>319</v>
      </c>
      <c r="B2088" s="8">
        <v>252602409</v>
      </c>
      <c r="C2088" s="9">
        <v>45958</v>
      </c>
      <c r="D2088" s="8" t="s">
        <v>97</v>
      </c>
      <c r="E2088" s="10">
        <v>24000</v>
      </c>
      <c r="F2088" s="8">
        <v>0.065</v>
      </c>
      <c r="G2088" s="11">
        <v>45966</v>
      </c>
      <c r="H2088" s="12">
        <f t="shared" si="32"/>
        <v>1560</v>
      </c>
      <c r="I2088" s="10" t="s">
        <v>10</v>
      </c>
      <c r="J2088" s="13">
        <v>45966</v>
      </c>
      <c r="K2088" t="s">
        <v>391</v>
      </c>
    </row>
    <row r="2089" hidden="1" spans="1:11">
      <c r="A2089" t="s">
        <v>319</v>
      </c>
      <c r="B2089" s="8">
        <v>252602414</v>
      </c>
      <c r="C2089" s="9">
        <v>45959</v>
      </c>
      <c r="D2089" s="8" t="s">
        <v>607</v>
      </c>
      <c r="E2089" s="10">
        <v>200000</v>
      </c>
      <c r="F2089" s="8">
        <v>0.025</v>
      </c>
      <c r="G2089" s="11">
        <v>45966</v>
      </c>
      <c r="H2089" s="12">
        <f t="shared" si="32"/>
        <v>5000</v>
      </c>
      <c r="I2089" s="67" t="s">
        <v>10</v>
      </c>
      <c r="J2089" s="13">
        <v>45992</v>
      </c>
      <c r="K2089" t="s">
        <v>528</v>
      </c>
    </row>
    <row r="2090" hidden="1" spans="1:11">
      <c r="A2090" t="s">
        <v>319</v>
      </c>
      <c r="B2090" s="8">
        <v>252602414</v>
      </c>
      <c r="C2090" s="9">
        <v>45959</v>
      </c>
      <c r="D2090" s="8" t="s">
        <v>607</v>
      </c>
      <c r="E2090" s="10">
        <v>100000</v>
      </c>
      <c r="F2090" s="8">
        <v>0.025</v>
      </c>
      <c r="G2090" s="11">
        <v>45966</v>
      </c>
      <c r="H2090" s="12">
        <f t="shared" si="32"/>
        <v>2500</v>
      </c>
      <c r="I2090" s="67" t="s">
        <v>10</v>
      </c>
      <c r="J2090" s="13">
        <v>45992</v>
      </c>
      <c r="K2090" t="s">
        <v>528</v>
      </c>
    </row>
    <row r="2091" hidden="1" spans="1:11">
      <c r="A2091" t="s">
        <v>319</v>
      </c>
      <c r="B2091" s="8">
        <v>252602414</v>
      </c>
      <c r="C2091" s="9">
        <v>45959</v>
      </c>
      <c r="D2091" s="8" t="s">
        <v>607</v>
      </c>
      <c r="E2091" s="10">
        <v>200000</v>
      </c>
      <c r="F2091" s="8">
        <v>0.025</v>
      </c>
      <c r="G2091" s="11">
        <v>45996</v>
      </c>
      <c r="H2091" s="12">
        <f t="shared" si="32"/>
        <v>5000</v>
      </c>
      <c r="I2091" s="67" t="s">
        <v>10</v>
      </c>
      <c r="J2091" s="13">
        <v>45992</v>
      </c>
      <c r="K2091" t="s">
        <v>528</v>
      </c>
    </row>
    <row r="2092" hidden="1" spans="1:11">
      <c r="A2092" t="s">
        <v>319</v>
      </c>
      <c r="B2092" s="8">
        <v>252602414</v>
      </c>
      <c r="C2092" s="9">
        <v>45959</v>
      </c>
      <c r="D2092" s="8" t="s">
        <v>607</v>
      </c>
      <c r="E2092" s="10">
        <v>100000</v>
      </c>
      <c r="F2092" s="8">
        <v>0.025</v>
      </c>
      <c r="G2092" s="11">
        <v>45996</v>
      </c>
      <c r="H2092" s="12">
        <f t="shared" si="32"/>
        <v>2500</v>
      </c>
      <c r="I2092" s="67" t="s">
        <v>10</v>
      </c>
      <c r="J2092" s="13">
        <v>45992</v>
      </c>
      <c r="K2092" t="s">
        <v>528</v>
      </c>
    </row>
    <row r="2093" hidden="1" spans="1:11">
      <c r="A2093" t="s">
        <v>319</v>
      </c>
      <c r="B2093" s="8">
        <v>252602414</v>
      </c>
      <c r="C2093" s="9">
        <v>45959</v>
      </c>
      <c r="D2093" s="8" t="s">
        <v>581</v>
      </c>
      <c r="E2093" s="10">
        <v>150000</v>
      </c>
      <c r="F2093" s="8">
        <v>0.023</v>
      </c>
      <c r="G2093" s="11">
        <v>45966</v>
      </c>
      <c r="H2093" s="12">
        <f t="shared" si="32"/>
        <v>3450</v>
      </c>
      <c r="I2093" s="10" t="s">
        <v>10</v>
      </c>
      <c r="J2093" s="13">
        <v>45966</v>
      </c>
      <c r="K2093" t="s">
        <v>528</v>
      </c>
    </row>
    <row r="2094" hidden="1" spans="1:11">
      <c r="A2094" t="s">
        <v>319</v>
      </c>
      <c r="B2094" s="8">
        <v>252602414</v>
      </c>
      <c r="C2094" s="9">
        <v>45959</v>
      </c>
      <c r="D2094" s="8" t="s">
        <v>581</v>
      </c>
      <c r="E2094" s="10">
        <v>100000</v>
      </c>
      <c r="F2094" s="8">
        <v>0.023</v>
      </c>
      <c r="G2094" s="11">
        <v>45966</v>
      </c>
      <c r="H2094" s="12">
        <f t="shared" si="32"/>
        <v>2300</v>
      </c>
      <c r="I2094" s="10" t="s">
        <v>10</v>
      </c>
      <c r="J2094" s="13">
        <v>45966</v>
      </c>
      <c r="K2094" t="s">
        <v>528</v>
      </c>
    </row>
    <row r="2095" hidden="1" spans="1:11">
      <c r="A2095" t="s">
        <v>319</v>
      </c>
      <c r="B2095" s="8">
        <v>252602414</v>
      </c>
      <c r="C2095" s="9">
        <v>45959</v>
      </c>
      <c r="D2095" s="8" t="s">
        <v>581</v>
      </c>
      <c r="E2095" s="10">
        <v>150000</v>
      </c>
      <c r="F2095" s="8">
        <v>0.023</v>
      </c>
      <c r="G2095" s="11">
        <v>45996</v>
      </c>
      <c r="H2095" s="12">
        <f t="shared" si="32"/>
        <v>3450</v>
      </c>
      <c r="I2095" s="10" t="s">
        <v>10</v>
      </c>
      <c r="J2095" s="13">
        <v>45966</v>
      </c>
      <c r="K2095" t="s">
        <v>528</v>
      </c>
    </row>
    <row r="2096" hidden="1" spans="1:11">
      <c r="A2096" t="s">
        <v>319</v>
      </c>
      <c r="B2096" s="8">
        <v>252602414</v>
      </c>
      <c r="C2096" s="9">
        <v>45959</v>
      </c>
      <c r="D2096" s="8" t="s">
        <v>581</v>
      </c>
      <c r="E2096" s="10">
        <v>100000</v>
      </c>
      <c r="F2096" s="8">
        <v>0.023</v>
      </c>
      <c r="G2096" s="11">
        <v>45996</v>
      </c>
      <c r="H2096" s="12">
        <f t="shared" si="32"/>
        <v>2300</v>
      </c>
      <c r="I2096" s="10" t="s">
        <v>10</v>
      </c>
      <c r="J2096" s="13">
        <v>45966</v>
      </c>
      <c r="K2096" t="s">
        <v>528</v>
      </c>
    </row>
    <row r="2097" hidden="1" spans="1:11">
      <c r="A2097" t="s">
        <v>319</v>
      </c>
      <c r="B2097" s="8">
        <v>252602414</v>
      </c>
      <c r="C2097" s="9">
        <v>45959</v>
      </c>
      <c r="D2097" s="8" t="s">
        <v>608</v>
      </c>
      <c r="E2097" s="10">
        <v>140000</v>
      </c>
      <c r="F2097" s="8">
        <v>0.026</v>
      </c>
      <c r="G2097" s="11">
        <v>45966</v>
      </c>
      <c r="H2097" s="12">
        <f t="shared" si="32"/>
        <v>3640</v>
      </c>
      <c r="I2097" s="10" t="s">
        <v>10</v>
      </c>
      <c r="J2097" s="13">
        <v>45968</v>
      </c>
      <c r="K2097" t="s">
        <v>528</v>
      </c>
    </row>
    <row r="2098" hidden="1" spans="1:11">
      <c r="A2098" t="s">
        <v>319</v>
      </c>
      <c r="B2098" s="8">
        <v>252602414</v>
      </c>
      <c r="C2098" s="9">
        <v>45959</v>
      </c>
      <c r="D2098" s="8" t="s">
        <v>608</v>
      </c>
      <c r="E2098" s="10">
        <v>140000</v>
      </c>
      <c r="F2098" s="8">
        <v>0.026</v>
      </c>
      <c r="G2098" s="11">
        <v>45996</v>
      </c>
      <c r="H2098" s="12">
        <f t="shared" si="32"/>
        <v>3640</v>
      </c>
      <c r="I2098" s="10" t="s">
        <v>10</v>
      </c>
      <c r="J2098" s="13">
        <v>45968</v>
      </c>
      <c r="K2098" t="s">
        <v>528</v>
      </c>
    </row>
    <row r="2099" hidden="1" spans="1:11">
      <c r="A2099" t="s">
        <v>319</v>
      </c>
      <c r="B2099" s="8">
        <v>252602414</v>
      </c>
      <c r="C2099" s="9">
        <v>45959</v>
      </c>
      <c r="D2099" s="8" t="s">
        <v>609</v>
      </c>
      <c r="E2099" s="10">
        <v>140000</v>
      </c>
      <c r="F2099" s="8">
        <v>0.03</v>
      </c>
      <c r="G2099" s="11">
        <v>45966</v>
      </c>
      <c r="H2099" s="12">
        <f t="shared" si="32"/>
        <v>4200</v>
      </c>
      <c r="I2099" s="10" t="s">
        <v>10</v>
      </c>
      <c r="J2099" s="13">
        <v>45966</v>
      </c>
      <c r="K2099" t="s">
        <v>528</v>
      </c>
    </row>
    <row r="2100" hidden="1" spans="1:11">
      <c r="A2100" t="s">
        <v>319</v>
      </c>
      <c r="B2100" s="8">
        <v>252602414</v>
      </c>
      <c r="C2100" s="9">
        <v>45959</v>
      </c>
      <c r="D2100" s="8" t="s">
        <v>609</v>
      </c>
      <c r="E2100" s="10">
        <v>140000</v>
      </c>
      <c r="F2100" s="8">
        <v>0.03</v>
      </c>
      <c r="G2100" s="11">
        <v>45996</v>
      </c>
      <c r="H2100" s="12">
        <f t="shared" si="32"/>
        <v>4200</v>
      </c>
      <c r="I2100" s="10" t="s">
        <v>10</v>
      </c>
      <c r="J2100" s="13">
        <v>45966</v>
      </c>
      <c r="K2100" t="s">
        <v>528</v>
      </c>
    </row>
    <row r="2101" hidden="1" spans="1:11">
      <c r="A2101" t="s">
        <v>319</v>
      </c>
      <c r="B2101" s="8">
        <v>252602415</v>
      </c>
      <c r="C2101" s="9">
        <v>45959</v>
      </c>
      <c r="D2101" s="8" t="s">
        <v>607</v>
      </c>
      <c r="E2101" s="10">
        <v>200000</v>
      </c>
      <c r="F2101" s="8">
        <v>0.025</v>
      </c>
      <c r="G2101" s="11">
        <v>46027</v>
      </c>
      <c r="H2101" s="12">
        <f t="shared" si="32"/>
        <v>5000</v>
      </c>
      <c r="I2101" s="67" t="s">
        <v>10</v>
      </c>
      <c r="J2101" s="13">
        <v>45992</v>
      </c>
      <c r="K2101" t="s">
        <v>528</v>
      </c>
    </row>
    <row r="2102" hidden="1" spans="1:11">
      <c r="A2102" t="s">
        <v>319</v>
      </c>
      <c r="B2102" s="8">
        <v>252602415</v>
      </c>
      <c r="C2102" s="9">
        <v>45959</v>
      </c>
      <c r="D2102" s="8" t="s">
        <v>607</v>
      </c>
      <c r="E2102" s="10">
        <v>100000</v>
      </c>
      <c r="F2102" s="8">
        <v>0.025</v>
      </c>
      <c r="G2102" s="11">
        <v>46027</v>
      </c>
      <c r="H2102" s="12">
        <f t="shared" si="32"/>
        <v>2500</v>
      </c>
      <c r="I2102" s="67" t="s">
        <v>10</v>
      </c>
      <c r="J2102" s="13">
        <v>45992</v>
      </c>
      <c r="K2102" t="s">
        <v>528</v>
      </c>
    </row>
    <row r="2103" hidden="1" spans="1:11">
      <c r="A2103" t="s">
        <v>319</v>
      </c>
      <c r="B2103" s="8">
        <v>252602415</v>
      </c>
      <c r="C2103" s="9">
        <v>45959</v>
      </c>
      <c r="D2103" s="8" t="s">
        <v>607</v>
      </c>
      <c r="E2103" s="10">
        <v>200000</v>
      </c>
      <c r="F2103" s="8">
        <v>0.025</v>
      </c>
      <c r="G2103" s="11">
        <v>46086</v>
      </c>
      <c r="H2103" s="12">
        <f t="shared" si="32"/>
        <v>5000</v>
      </c>
      <c r="I2103" s="67" t="s">
        <v>10</v>
      </c>
      <c r="J2103" s="13">
        <v>45992</v>
      </c>
      <c r="K2103" t="s">
        <v>528</v>
      </c>
    </row>
    <row r="2104" hidden="1" spans="1:11">
      <c r="A2104" t="s">
        <v>319</v>
      </c>
      <c r="B2104" s="8">
        <v>252602415</v>
      </c>
      <c r="C2104" s="9">
        <v>45959</v>
      </c>
      <c r="D2104" s="8" t="s">
        <v>607</v>
      </c>
      <c r="E2104" s="10">
        <v>100000</v>
      </c>
      <c r="F2104" s="8">
        <v>0.025</v>
      </c>
      <c r="G2104" s="11">
        <v>46086</v>
      </c>
      <c r="H2104" s="12">
        <f t="shared" si="32"/>
        <v>2500</v>
      </c>
      <c r="I2104" s="67" t="s">
        <v>10</v>
      </c>
      <c r="J2104" s="13">
        <v>45992</v>
      </c>
      <c r="K2104" t="s">
        <v>528</v>
      </c>
    </row>
    <row r="2105" hidden="1" spans="1:11">
      <c r="A2105" t="s">
        <v>319</v>
      </c>
      <c r="B2105" s="8">
        <v>252602415</v>
      </c>
      <c r="C2105" s="9">
        <v>45959</v>
      </c>
      <c r="D2105" s="8" t="s">
        <v>581</v>
      </c>
      <c r="E2105" s="10">
        <v>150000</v>
      </c>
      <c r="F2105" s="8">
        <v>0.023</v>
      </c>
      <c r="G2105" s="11">
        <v>46027</v>
      </c>
      <c r="H2105" s="12">
        <f t="shared" si="32"/>
        <v>3450</v>
      </c>
      <c r="I2105" s="10" t="s">
        <v>10</v>
      </c>
      <c r="J2105" s="13">
        <v>45966</v>
      </c>
      <c r="K2105" t="s">
        <v>528</v>
      </c>
    </row>
    <row r="2106" hidden="1" spans="1:11">
      <c r="A2106" t="s">
        <v>319</v>
      </c>
      <c r="B2106" s="8">
        <v>252602415</v>
      </c>
      <c r="C2106" s="9">
        <v>45959</v>
      </c>
      <c r="D2106" s="8" t="s">
        <v>581</v>
      </c>
      <c r="E2106" s="10">
        <v>100000</v>
      </c>
      <c r="F2106" s="8">
        <v>0.023</v>
      </c>
      <c r="G2106" s="11">
        <v>46027</v>
      </c>
      <c r="H2106" s="12">
        <f t="shared" si="32"/>
        <v>2300</v>
      </c>
      <c r="I2106" s="10" t="s">
        <v>10</v>
      </c>
      <c r="J2106" s="13">
        <v>45966</v>
      </c>
      <c r="K2106" t="s">
        <v>528</v>
      </c>
    </row>
    <row r="2107" hidden="1" spans="1:11">
      <c r="A2107" t="s">
        <v>319</v>
      </c>
      <c r="B2107" s="8">
        <v>252602415</v>
      </c>
      <c r="C2107" s="9">
        <v>45959</v>
      </c>
      <c r="D2107" s="8" t="s">
        <v>581</v>
      </c>
      <c r="E2107" s="10">
        <v>150000</v>
      </c>
      <c r="F2107" s="8">
        <v>0.023</v>
      </c>
      <c r="G2107" s="11">
        <v>46086</v>
      </c>
      <c r="H2107" s="12">
        <f t="shared" si="32"/>
        <v>3450</v>
      </c>
      <c r="I2107" s="10" t="s">
        <v>10</v>
      </c>
      <c r="J2107" s="13">
        <v>45966</v>
      </c>
      <c r="K2107" t="s">
        <v>528</v>
      </c>
    </row>
    <row r="2108" hidden="1" spans="1:11">
      <c r="A2108" t="s">
        <v>319</v>
      </c>
      <c r="B2108" s="8">
        <v>252602415</v>
      </c>
      <c r="C2108" s="9">
        <v>45959</v>
      </c>
      <c r="D2108" s="8" t="s">
        <v>581</v>
      </c>
      <c r="E2108" s="10">
        <v>100000</v>
      </c>
      <c r="F2108" s="8">
        <v>0.023</v>
      </c>
      <c r="G2108" s="11">
        <v>46086</v>
      </c>
      <c r="H2108" s="12">
        <f t="shared" si="32"/>
        <v>2300</v>
      </c>
      <c r="I2108" s="10" t="s">
        <v>10</v>
      </c>
      <c r="J2108" s="13">
        <v>45966</v>
      </c>
      <c r="K2108" t="s">
        <v>528</v>
      </c>
    </row>
    <row r="2109" hidden="1" spans="1:11">
      <c r="A2109" t="s">
        <v>319</v>
      </c>
      <c r="B2109" s="8">
        <v>252602415</v>
      </c>
      <c r="C2109" s="9">
        <v>45959</v>
      </c>
      <c r="D2109" s="8" t="s">
        <v>608</v>
      </c>
      <c r="E2109" s="10">
        <v>140000</v>
      </c>
      <c r="F2109" s="8">
        <v>0.026</v>
      </c>
      <c r="G2109" s="11">
        <v>46027</v>
      </c>
      <c r="H2109" s="12">
        <f t="shared" si="32"/>
        <v>3640</v>
      </c>
      <c r="I2109" s="10" t="s">
        <v>10</v>
      </c>
      <c r="J2109" s="13">
        <v>45968</v>
      </c>
      <c r="K2109" t="s">
        <v>528</v>
      </c>
    </row>
    <row r="2110" hidden="1" spans="1:11">
      <c r="A2110" t="s">
        <v>319</v>
      </c>
      <c r="B2110" s="8">
        <v>252602415</v>
      </c>
      <c r="C2110" s="9">
        <v>45959</v>
      </c>
      <c r="D2110" s="8" t="s">
        <v>608</v>
      </c>
      <c r="E2110" s="10">
        <v>140000</v>
      </c>
      <c r="F2110" s="8">
        <v>0.026</v>
      </c>
      <c r="G2110" s="11">
        <v>46086</v>
      </c>
      <c r="H2110" s="12">
        <f t="shared" si="32"/>
        <v>3640</v>
      </c>
      <c r="I2110" s="10" t="s">
        <v>10</v>
      </c>
      <c r="J2110" s="13">
        <v>45968</v>
      </c>
      <c r="K2110" t="s">
        <v>528</v>
      </c>
    </row>
    <row r="2111" hidden="1" spans="1:11">
      <c r="A2111" t="s">
        <v>319</v>
      </c>
      <c r="B2111" s="8">
        <v>252602415</v>
      </c>
      <c r="C2111" s="9">
        <v>45959</v>
      </c>
      <c r="D2111" s="8" t="s">
        <v>609</v>
      </c>
      <c r="E2111" s="10">
        <v>140000</v>
      </c>
      <c r="F2111" s="8">
        <v>0.03</v>
      </c>
      <c r="G2111" s="11">
        <v>46027</v>
      </c>
      <c r="H2111" s="12">
        <f t="shared" si="32"/>
        <v>4200</v>
      </c>
      <c r="I2111" s="10" t="s">
        <v>10</v>
      </c>
      <c r="J2111" s="13">
        <v>45966</v>
      </c>
      <c r="K2111" t="s">
        <v>528</v>
      </c>
    </row>
    <row r="2112" hidden="1" spans="1:11">
      <c r="A2112" t="s">
        <v>319</v>
      </c>
      <c r="B2112" s="8">
        <v>252602415</v>
      </c>
      <c r="C2112" s="9">
        <v>45959</v>
      </c>
      <c r="D2112" s="8" t="s">
        <v>609</v>
      </c>
      <c r="E2112" s="10">
        <v>140000</v>
      </c>
      <c r="F2112" s="8">
        <v>0.03</v>
      </c>
      <c r="G2112" s="11">
        <v>46086</v>
      </c>
      <c r="H2112" s="12">
        <f t="shared" si="32"/>
        <v>4200</v>
      </c>
      <c r="I2112" s="10" t="s">
        <v>10</v>
      </c>
      <c r="J2112" s="13">
        <v>45966</v>
      </c>
      <c r="K2112" t="s">
        <v>528</v>
      </c>
    </row>
    <row r="2113" hidden="1" spans="1:11">
      <c r="A2113" t="s">
        <v>319</v>
      </c>
      <c r="B2113" s="8">
        <v>252602484</v>
      </c>
      <c r="C2113" s="9">
        <v>45960</v>
      </c>
      <c r="D2113" s="8" t="s">
        <v>31</v>
      </c>
      <c r="E2113" s="10">
        <v>30000</v>
      </c>
      <c r="F2113" s="8">
        <v>0.024</v>
      </c>
      <c r="G2113" s="11">
        <v>46027</v>
      </c>
      <c r="H2113" s="12">
        <f t="shared" si="32"/>
        <v>720</v>
      </c>
      <c r="I2113" s="10" t="s">
        <v>10</v>
      </c>
      <c r="J2113" s="13">
        <v>45980</v>
      </c>
      <c r="K2113" t="s">
        <v>535</v>
      </c>
    </row>
    <row r="2114" hidden="1" spans="1:11">
      <c r="A2114" t="s">
        <v>319</v>
      </c>
      <c r="B2114" s="8">
        <v>252602484</v>
      </c>
      <c r="C2114" s="9">
        <v>45960</v>
      </c>
      <c r="D2114" s="8" t="s">
        <v>31</v>
      </c>
      <c r="E2114" s="10">
        <v>30000</v>
      </c>
      <c r="F2114" s="8">
        <v>0.024</v>
      </c>
      <c r="G2114" s="11">
        <v>46058</v>
      </c>
      <c r="H2114" s="12">
        <f t="shared" ref="H2114:H2177" si="33">E2114*F2114</f>
        <v>720</v>
      </c>
      <c r="I2114" s="10" t="s">
        <v>10</v>
      </c>
      <c r="J2114" s="13">
        <v>45980</v>
      </c>
      <c r="K2114" t="s">
        <v>535</v>
      </c>
    </row>
    <row r="2115" hidden="1" spans="1:11">
      <c r="A2115" t="s">
        <v>319</v>
      </c>
      <c r="B2115" s="8">
        <v>252602484</v>
      </c>
      <c r="C2115" s="9">
        <v>45960</v>
      </c>
      <c r="D2115" s="8" t="s">
        <v>163</v>
      </c>
      <c r="E2115" s="10">
        <v>208000</v>
      </c>
      <c r="F2115" s="8">
        <v>0.0025</v>
      </c>
      <c r="G2115" s="11">
        <v>46058</v>
      </c>
      <c r="H2115" s="12">
        <f t="shared" si="33"/>
        <v>520</v>
      </c>
      <c r="I2115" s="10" t="s">
        <v>10</v>
      </c>
      <c r="J2115" s="13">
        <v>45980</v>
      </c>
      <c r="K2115" t="s">
        <v>535</v>
      </c>
    </row>
    <row r="2116" hidden="1" spans="1:11">
      <c r="A2116" t="s">
        <v>319</v>
      </c>
      <c r="B2116" s="8">
        <v>252602484</v>
      </c>
      <c r="C2116" s="9">
        <v>45960</v>
      </c>
      <c r="D2116" s="8" t="s">
        <v>163</v>
      </c>
      <c r="E2116" s="10">
        <v>96000</v>
      </c>
      <c r="F2116" s="8">
        <v>0.0025</v>
      </c>
      <c r="G2116" s="11">
        <v>46058</v>
      </c>
      <c r="H2116" s="12">
        <f t="shared" si="33"/>
        <v>240</v>
      </c>
      <c r="I2116" s="10" t="s">
        <v>10</v>
      </c>
      <c r="J2116" s="13">
        <v>45980</v>
      </c>
      <c r="K2116" t="s">
        <v>535</v>
      </c>
    </row>
    <row r="2117" hidden="1" spans="1:11">
      <c r="A2117" t="s">
        <v>319</v>
      </c>
      <c r="B2117" s="8">
        <v>252602485</v>
      </c>
      <c r="C2117" s="9">
        <v>45960</v>
      </c>
      <c r="D2117" s="8" t="s">
        <v>31</v>
      </c>
      <c r="E2117" s="10">
        <v>30000</v>
      </c>
      <c r="F2117" s="8">
        <v>0.024</v>
      </c>
      <c r="G2117" s="11">
        <v>46086</v>
      </c>
      <c r="H2117" s="12">
        <f t="shared" si="33"/>
        <v>720</v>
      </c>
      <c r="I2117" s="10" t="s">
        <v>10</v>
      </c>
      <c r="J2117" s="13">
        <v>46050</v>
      </c>
      <c r="K2117" t="s">
        <v>535</v>
      </c>
    </row>
    <row r="2118" hidden="1" spans="1:11">
      <c r="A2118" t="s">
        <v>319</v>
      </c>
      <c r="B2118" s="8">
        <v>252602485</v>
      </c>
      <c r="C2118" s="9">
        <v>45960</v>
      </c>
      <c r="D2118" s="8" t="s">
        <v>163</v>
      </c>
      <c r="E2118" s="10">
        <v>208000</v>
      </c>
      <c r="F2118" s="8">
        <v>0.0025</v>
      </c>
      <c r="G2118" s="11">
        <v>46086</v>
      </c>
      <c r="H2118" s="12">
        <f t="shared" si="33"/>
        <v>520</v>
      </c>
      <c r="I2118" s="10" t="s">
        <v>10</v>
      </c>
      <c r="J2118" s="13">
        <v>46049</v>
      </c>
      <c r="K2118" t="s">
        <v>535</v>
      </c>
    </row>
    <row r="2119" hidden="1" spans="1:11">
      <c r="A2119" t="s">
        <v>319</v>
      </c>
      <c r="B2119" s="8">
        <v>252602486</v>
      </c>
      <c r="C2119" s="9">
        <v>45960</v>
      </c>
      <c r="D2119" s="8" t="s">
        <v>39</v>
      </c>
      <c r="E2119" s="10">
        <v>200000</v>
      </c>
      <c r="F2119" s="8">
        <v>0.022</v>
      </c>
      <c r="G2119" s="11">
        <v>46086</v>
      </c>
      <c r="H2119" s="12">
        <f t="shared" si="33"/>
        <v>4400</v>
      </c>
      <c r="I2119" s="10" t="s">
        <v>10</v>
      </c>
      <c r="J2119" s="13">
        <v>45995</v>
      </c>
      <c r="K2119" t="s">
        <v>431</v>
      </c>
    </row>
    <row r="2120" hidden="1" spans="1:11">
      <c r="A2120" t="s">
        <v>319</v>
      </c>
      <c r="B2120" s="8">
        <v>252602486</v>
      </c>
      <c r="C2120" s="9">
        <v>45960</v>
      </c>
      <c r="D2120" s="8" t="s">
        <v>39</v>
      </c>
      <c r="E2120" s="10">
        <v>200000</v>
      </c>
      <c r="F2120" s="8">
        <v>0.022</v>
      </c>
      <c r="G2120" s="11">
        <v>46086</v>
      </c>
      <c r="H2120" s="12">
        <f t="shared" si="33"/>
        <v>4400</v>
      </c>
      <c r="I2120" s="10" t="s">
        <v>10</v>
      </c>
      <c r="J2120" s="13">
        <v>45995</v>
      </c>
      <c r="K2120" t="s">
        <v>431</v>
      </c>
    </row>
    <row r="2121" hidden="1" spans="1:11">
      <c r="A2121" t="s">
        <v>319</v>
      </c>
      <c r="B2121" s="8">
        <v>252602486</v>
      </c>
      <c r="C2121" s="9">
        <v>45960</v>
      </c>
      <c r="D2121" s="8" t="s">
        <v>39</v>
      </c>
      <c r="E2121" s="10">
        <v>200000</v>
      </c>
      <c r="F2121" s="8">
        <v>0.022</v>
      </c>
      <c r="G2121" s="11">
        <v>46086</v>
      </c>
      <c r="H2121" s="12">
        <f t="shared" si="33"/>
        <v>4400</v>
      </c>
      <c r="I2121" s="10" t="s">
        <v>10</v>
      </c>
      <c r="J2121" s="13">
        <v>45995</v>
      </c>
      <c r="K2121" t="s">
        <v>431</v>
      </c>
    </row>
    <row r="2122" hidden="1" spans="1:11">
      <c r="A2122" t="s">
        <v>319</v>
      </c>
      <c r="B2122" s="8">
        <v>252602486</v>
      </c>
      <c r="C2122" s="9">
        <v>45960</v>
      </c>
      <c r="D2122" s="8" t="s">
        <v>39</v>
      </c>
      <c r="E2122" s="10">
        <v>200000</v>
      </c>
      <c r="F2122" s="8">
        <v>0.022</v>
      </c>
      <c r="G2122" s="11">
        <v>46086</v>
      </c>
      <c r="H2122" s="12">
        <f t="shared" si="33"/>
        <v>4400</v>
      </c>
      <c r="I2122" s="10" t="s">
        <v>10</v>
      </c>
      <c r="J2122" s="13">
        <v>45995</v>
      </c>
      <c r="K2122" t="s">
        <v>431</v>
      </c>
    </row>
    <row r="2123" hidden="1" spans="1:11">
      <c r="A2123" t="s">
        <v>319</v>
      </c>
      <c r="B2123" s="8">
        <v>252602486</v>
      </c>
      <c r="C2123" s="9">
        <v>45960</v>
      </c>
      <c r="D2123" s="8" t="s">
        <v>39</v>
      </c>
      <c r="E2123" s="10">
        <v>200000</v>
      </c>
      <c r="F2123" s="8">
        <v>0.022</v>
      </c>
      <c r="G2123" s="11">
        <v>46086</v>
      </c>
      <c r="H2123" s="12">
        <f t="shared" si="33"/>
        <v>4400</v>
      </c>
      <c r="I2123" s="10" t="s">
        <v>10</v>
      </c>
      <c r="J2123" s="13">
        <v>45995</v>
      </c>
      <c r="K2123" t="s">
        <v>431</v>
      </c>
    </row>
    <row r="2124" hidden="1" spans="1:11">
      <c r="A2124" t="s">
        <v>319</v>
      </c>
      <c r="B2124" s="8">
        <v>252602486</v>
      </c>
      <c r="C2124" s="9">
        <v>45960</v>
      </c>
      <c r="D2124" s="8" t="s">
        <v>426</v>
      </c>
      <c r="E2124" s="10">
        <v>200000</v>
      </c>
      <c r="F2124" s="8">
        <v>0.032</v>
      </c>
      <c r="G2124" s="11">
        <v>46058</v>
      </c>
      <c r="H2124" s="12">
        <f t="shared" si="33"/>
        <v>6400</v>
      </c>
      <c r="I2124" s="67" t="s">
        <v>10</v>
      </c>
      <c r="J2124" s="13">
        <v>45992</v>
      </c>
      <c r="K2124" t="s">
        <v>431</v>
      </c>
    </row>
    <row r="2125" hidden="1" spans="1:11">
      <c r="A2125" t="s">
        <v>319</v>
      </c>
      <c r="B2125" s="8">
        <v>252602486</v>
      </c>
      <c r="C2125" s="9">
        <v>45960</v>
      </c>
      <c r="D2125" s="8" t="s">
        <v>426</v>
      </c>
      <c r="E2125" s="10">
        <v>200000</v>
      </c>
      <c r="F2125" s="8">
        <v>0.032</v>
      </c>
      <c r="G2125" s="11">
        <v>46058</v>
      </c>
      <c r="H2125" s="12">
        <f t="shared" si="33"/>
        <v>6400</v>
      </c>
      <c r="I2125" s="67" t="s">
        <v>10</v>
      </c>
      <c r="J2125" s="13">
        <v>45992</v>
      </c>
      <c r="K2125" t="s">
        <v>431</v>
      </c>
    </row>
    <row r="2126" hidden="1" spans="1:11">
      <c r="A2126" t="s">
        <v>319</v>
      </c>
      <c r="B2126" s="8">
        <v>252602486</v>
      </c>
      <c r="C2126" s="9">
        <v>45960</v>
      </c>
      <c r="D2126" s="8" t="s">
        <v>426</v>
      </c>
      <c r="E2126" s="10">
        <v>200000</v>
      </c>
      <c r="F2126" s="8">
        <v>0.032</v>
      </c>
      <c r="G2126" s="11">
        <v>46058</v>
      </c>
      <c r="H2126" s="12">
        <f t="shared" si="33"/>
        <v>6400</v>
      </c>
      <c r="I2126" s="67" t="s">
        <v>10</v>
      </c>
      <c r="J2126" s="13">
        <v>45992</v>
      </c>
      <c r="K2126" t="s">
        <v>431</v>
      </c>
    </row>
    <row r="2127" hidden="1" spans="1:11">
      <c r="A2127" t="s">
        <v>319</v>
      </c>
      <c r="B2127" s="8">
        <v>252602486</v>
      </c>
      <c r="C2127" s="9">
        <v>45960</v>
      </c>
      <c r="D2127" s="8" t="s">
        <v>426</v>
      </c>
      <c r="E2127" s="10">
        <v>200000</v>
      </c>
      <c r="F2127" s="8">
        <v>0.032</v>
      </c>
      <c r="G2127" s="11">
        <v>46086</v>
      </c>
      <c r="H2127" s="12">
        <f t="shared" si="33"/>
        <v>6400</v>
      </c>
      <c r="I2127" s="67" t="s">
        <v>10</v>
      </c>
      <c r="J2127" s="13">
        <v>45992</v>
      </c>
      <c r="K2127" t="s">
        <v>431</v>
      </c>
    </row>
    <row r="2128" hidden="1" spans="1:11">
      <c r="A2128" t="s">
        <v>319</v>
      </c>
      <c r="B2128" s="8">
        <v>252602486</v>
      </c>
      <c r="C2128" s="9">
        <v>45960</v>
      </c>
      <c r="D2128" s="8" t="s">
        <v>426</v>
      </c>
      <c r="E2128" s="10">
        <v>200000</v>
      </c>
      <c r="F2128" s="8">
        <v>0.032</v>
      </c>
      <c r="G2128" s="11">
        <v>46086</v>
      </c>
      <c r="H2128" s="12">
        <f t="shared" si="33"/>
        <v>6400</v>
      </c>
      <c r="I2128" s="67" t="s">
        <v>10</v>
      </c>
      <c r="J2128" s="13">
        <v>45992</v>
      </c>
      <c r="K2128" t="s">
        <v>431</v>
      </c>
    </row>
    <row r="2129" hidden="1" spans="1:11">
      <c r="A2129" t="s">
        <v>319</v>
      </c>
      <c r="B2129" s="8">
        <v>252602487</v>
      </c>
      <c r="C2129" s="9">
        <v>45960</v>
      </c>
      <c r="D2129" s="8" t="s">
        <v>426</v>
      </c>
      <c r="E2129" s="10">
        <v>200000</v>
      </c>
      <c r="F2129" s="8">
        <v>0.032</v>
      </c>
      <c r="G2129" s="11">
        <v>46086</v>
      </c>
      <c r="H2129" s="12">
        <f t="shared" si="33"/>
        <v>6400</v>
      </c>
      <c r="I2129" s="10" t="s">
        <v>10</v>
      </c>
      <c r="J2129" s="13">
        <v>46010</v>
      </c>
      <c r="K2129" t="s">
        <v>431</v>
      </c>
    </row>
    <row r="2130" hidden="1" spans="1:11">
      <c r="A2130" t="s">
        <v>319</v>
      </c>
      <c r="B2130" s="8">
        <v>252602487</v>
      </c>
      <c r="C2130" s="9">
        <v>45960</v>
      </c>
      <c r="D2130" s="8" t="s">
        <v>425</v>
      </c>
      <c r="E2130" s="10">
        <v>20000</v>
      </c>
      <c r="F2130" s="8">
        <v>0.07</v>
      </c>
      <c r="G2130" s="11">
        <v>46058</v>
      </c>
      <c r="H2130" s="12">
        <f t="shared" si="33"/>
        <v>1400</v>
      </c>
      <c r="I2130" s="10" t="s">
        <v>10</v>
      </c>
      <c r="J2130" s="13">
        <v>46009</v>
      </c>
      <c r="K2130" t="s">
        <v>431</v>
      </c>
    </row>
    <row r="2131" hidden="1" spans="1:11">
      <c r="A2131" t="s">
        <v>319</v>
      </c>
      <c r="B2131" s="8">
        <v>252602487</v>
      </c>
      <c r="C2131" s="9">
        <v>45960</v>
      </c>
      <c r="D2131" s="8" t="s">
        <v>425</v>
      </c>
      <c r="E2131" s="10">
        <v>20000</v>
      </c>
      <c r="F2131" s="8">
        <v>0.07</v>
      </c>
      <c r="G2131" s="11">
        <v>46086</v>
      </c>
      <c r="H2131" s="12">
        <f t="shared" si="33"/>
        <v>1400</v>
      </c>
      <c r="I2131" s="10" t="s">
        <v>10</v>
      </c>
      <c r="J2131" s="13">
        <v>46009</v>
      </c>
      <c r="K2131" t="s">
        <v>431</v>
      </c>
    </row>
    <row r="2132" hidden="1" spans="1:11">
      <c r="A2132" t="s">
        <v>319</v>
      </c>
      <c r="B2132" s="8">
        <v>252602488</v>
      </c>
      <c r="C2132" s="9">
        <v>45960</v>
      </c>
      <c r="D2132" s="8" t="s">
        <v>29</v>
      </c>
      <c r="E2132" s="10">
        <v>80000</v>
      </c>
      <c r="F2132" s="8">
        <v>0.0216</v>
      </c>
      <c r="G2132" s="11">
        <v>45996</v>
      </c>
      <c r="H2132" s="12">
        <f t="shared" si="33"/>
        <v>1728</v>
      </c>
      <c r="I2132" s="10" t="s">
        <v>10</v>
      </c>
      <c r="J2132" s="13">
        <v>45971</v>
      </c>
      <c r="K2132" t="s">
        <v>467</v>
      </c>
    </row>
    <row r="2133" hidden="1" spans="1:11">
      <c r="A2133" t="s">
        <v>319</v>
      </c>
      <c r="B2133" s="8">
        <v>252602488</v>
      </c>
      <c r="C2133" s="9">
        <v>45960</v>
      </c>
      <c r="D2133" s="8" t="s">
        <v>29</v>
      </c>
      <c r="E2133" s="10">
        <v>60000</v>
      </c>
      <c r="F2133" s="8">
        <v>0.0216</v>
      </c>
      <c r="G2133" s="11">
        <v>46027</v>
      </c>
      <c r="H2133" s="12">
        <f t="shared" si="33"/>
        <v>1296</v>
      </c>
      <c r="I2133" s="10" t="s">
        <v>10</v>
      </c>
      <c r="J2133" s="13">
        <v>45971</v>
      </c>
      <c r="K2133" t="s">
        <v>467</v>
      </c>
    </row>
    <row r="2134" hidden="1" spans="1:11">
      <c r="A2134" t="s">
        <v>319</v>
      </c>
      <c r="B2134" s="8">
        <v>252602488</v>
      </c>
      <c r="C2134" s="9">
        <v>45960</v>
      </c>
      <c r="D2134" s="8" t="s">
        <v>31</v>
      </c>
      <c r="E2134" s="10">
        <v>200000</v>
      </c>
      <c r="F2134" s="8">
        <v>0.024</v>
      </c>
      <c r="G2134" s="11">
        <v>46027</v>
      </c>
      <c r="H2134" s="12">
        <f t="shared" si="33"/>
        <v>4800</v>
      </c>
      <c r="I2134" s="10" t="s">
        <v>10</v>
      </c>
      <c r="J2134" s="13">
        <v>45971</v>
      </c>
      <c r="K2134" t="s">
        <v>467</v>
      </c>
    </row>
    <row r="2135" hidden="1" spans="1:11">
      <c r="A2135" t="s">
        <v>319</v>
      </c>
      <c r="B2135" s="8">
        <v>252602488</v>
      </c>
      <c r="C2135" s="9">
        <v>45960</v>
      </c>
      <c r="D2135" s="8" t="s">
        <v>31</v>
      </c>
      <c r="E2135" s="10">
        <v>100000</v>
      </c>
      <c r="F2135" s="8">
        <v>0.024</v>
      </c>
      <c r="G2135" s="11">
        <v>46027</v>
      </c>
      <c r="H2135" s="12">
        <f t="shared" si="33"/>
        <v>2400</v>
      </c>
      <c r="I2135" s="10" t="s">
        <v>10</v>
      </c>
      <c r="J2135" s="13">
        <v>45971</v>
      </c>
      <c r="K2135" t="s">
        <v>467</v>
      </c>
    </row>
    <row r="2136" hidden="1" spans="1:11">
      <c r="A2136" t="s">
        <v>319</v>
      </c>
      <c r="B2136" s="8">
        <v>252602488</v>
      </c>
      <c r="C2136" s="9">
        <v>45960</v>
      </c>
      <c r="D2136" s="8" t="s">
        <v>78</v>
      </c>
      <c r="E2136" s="10">
        <v>30000</v>
      </c>
      <c r="F2136" s="8">
        <v>0.016</v>
      </c>
      <c r="G2136" s="11">
        <v>45996</v>
      </c>
      <c r="H2136" s="12">
        <f t="shared" si="33"/>
        <v>480</v>
      </c>
      <c r="I2136" s="10" t="s">
        <v>10</v>
      </c>
      <c r="J2136" s="13">
        <v>45971</v>
      </c>
      <c r="K2136" t="s">
        <v>467</v>
      </c>
    </row>
    <row r="2137" hidden="1" spans="1:11">
      <c r="A2137" t="s">
        <v>319</v>
      </c>
      <c r="B2137" s="8">
        <v>252602488</v>
      </c>
      <c r="C2137" s="9">
        <v>45960</v>
      </c>
      <c r="D2137" s="8" t="s">
        <v>78</v>
      </c>
      <c r="E2137" s="10">
        <v>30000</v>
      </c>
      <c r="F2137" s="8">
        <v>0.016</v>
      </c>
      <c r="G2137" s="11">
        <v>46027</v>
      </c>
      <c r="H2137" s="12">
        <f t="shared" si="33"/>
        <v>480</v>
      </c>
      <c r="I2137" s="10" t="s">
        <v>10</v>
      </c>
      <c r="J2137" s="13">
        <v>45971</v>
      </c>
      <c r="K2137" t="s">
        <v>467</v>
      </c>
    </row>
    <row r="2138" hidden="1" spans="1:11">
      <c r="A2138" t="s">
        <v>319</v>
      </c>
      <c r="B2138" s="8">
        <v>252602489</v>
      </c>
      <c r="C2138" s="9">
        <v>45960</v>
      </c>
      <c r="D2138" s="8" t="s">
        <v>29</v>
      </c>
      <c r="E2138" s="10">
        <v>60000</v>
      </c>
      <c r="F2138" s="8">
        <v>0.0216</v>
      </c>
      <c r="G2138" s="11">
        <v>46058</v>
      </c>
      <c r="H2138" s="12">
        <f t="shared" si="33"/>
        <v>1296</v>
      </c>
      <c r="I2138" s="10" t="s">
        <v>10</v>
      </c>
      <c r="J2138" s="13">
        <v>46010</v>
      </c>
      <c r="K2138" t="s">
        <v>467</v>
      </c>
    </row>
    <row r="2139" hidden="1" spans="1:11">
      <c r="A2139" t="s">
        <v>319</v>
      </c>
      <c r="B2139" s="8">
        <v>252602489</v>
      </c>
      <c r="C2139" s="9">
        <v>45960</v>
      </c>
      <c r="D2139" s="8" t="s">
        <v>29</v>
      </c>
      <c r="E2139" s="10">
        <v>60000</v>
      </c>
      <c r="F2139" s="8">
        <v>0.0216</v>
      </c>
      <c r="G2139" s="11">
        <v>46086</v>
      </c>
      <c r="H2139" s="12">
        <f t="shared" si="33"/>
        <v>1296</v>
      </c>
      <c r="I2139" s="10" t="s">
        <v>10</v>
      </c>
      <c r="J2139" s="13">
        <v>46010</v>
      </c>
      <c r="K2139" t="s">
        <v>467</v>
      </c>
    </row>
    <row r="2140" hidden="1" spans="1:11">
      <c r="A2140" t="s">
        <v>319</v>
      </c>
      <c r="B2140" s="8">
        <v>252602489</v>
      </c>
      <c r="C2140" s="9">
        <v>45960</v>
      </c>
      <c r="D2140" s="8" t="s">
        <v>31</v>
      </c>
      <c r="E2140" s="10">
        <v>200000</v>
      </c>
      <c r="F2140" s="8">
        <v>0.024</v>
      </c>
      <c r="G2140" s="11">
        <v>46058</v>
      </c>
      <c r="H2140" s="12">
        <f t="shared" si="33"/>
        <v>4800</v>
      </c>
      <c r="I2140" s="10" t="s">
        <v>10</v>
      </c>
      <c r="J2140" s="13">
        <v>46010</v>
      </c>
      <c r="K2140" t="s">
        <v>467</v>
      </c>
    </row>
    <row r="2141" hidden="1" spans="1:11">
      <c r="A2141" t="s">
        <v>319</v>
      </c>
      <c r="B2141" s="8">
        <v>252602489</v>
      </c>
      <c r="C2141" s="9">
        <v>45960</v>
      </c>
      <c r="D2141" s="8" t="s">
        <v>31</v>
      </c>
      <c r="E2141" s="10">
        <v>100000</v>
      </c>
      <c r="F2141" s="8">
        <v>0.024</v>
      </c>
      <c r="G2141" s="11">
        <v>46058</v>
      </c>
      <c r="H2141" s="12">
        <f t="shared" si="33"/>
        <v>2400</v>
      </c>
      <c r="I2141" s="10" t="s">
        <v>10</v>
      </c>
      <c r="J2141" s="13">
        <v>46010</v>
      </c>
      <c r="K2141" t="s">
        <v>467</v>
      </c>
    </row>
    <row r="2142" hidden="1" spans="1:11">
      <c r="A2142" t="s">
        <v>319</v>
      </c>
      <c r="B2142" s="8">
        <v>252602489</v>
      </c>
      <c r="C2142" s="9">
        <v>45960</v>
      </c>
      <c r="D2142" s="8" t="s">
        <v>31</v>
      </c>
      <c r="E2142" s="10">
        <v>200000</v>
      </c>
      <c r="F2142" s="8">
        <v>0.024</v>
      </c>
      <c r="G2142" s="11">
        <v>46086</v>
      </c>
      <c r="H2142" s="12">
        <f t="shared" si="33"/>
        <v>4800</v>
      </c>
      <c r="I2142" s="10" t="s">
        <v>10</v>
      </c>
      <c r="J2142" s="13">
        <v>46010</v>
      </c>
      <c r="K2142" t="s">
        <v>467</v>
      </c>
    </row>
    <row r="2143" hidden="1" spans="1:11">
      <c r="A2143" t="s">
        <v>319</v>
      </c>
      <c r="B2143" s="8">
        <v>252602489</v>
      </c>
      <c r="C2143" s="9">
        <v>45960</v>
      </c>
      <c r="D2143" s="8" t="s">
        <v>31</v>
      </c>
      <c r="E2143" s="10">
        <v>100000</v>
      </c>
      <c r="F2143" s="8">
        <v>0.024</v>
      </c>
      <c r="G2143" s="11">
        <v>46086</v>
      </c>
      <c r="H2143" s="12">
        <f t="shared" si="33"/>
        <v>2400</v>
      </c>
      <c r="I2143" s="10" t="s">
        <v>10</v>
      </c>
      <c r="J2143" s="13">
        <v>46010</v>
      </c>
      <c r="K2143" t="s">
        <v>467</v>
      </c>
    </row>
    <row r="2144" hidden="1" spans="1:11">
      <c r="A2144" t="s">
        <v>319</v>
      </c>
      <c r="B2144" s="8">
        <v>252602489</v>
      </c>
      <c r="C2144" s="9">
        <v>45960</v>
      </c>
      <c r="D2144" s="8" t="s">
        <v>78</v>
      </c>
      <c r="E2144" s="10">
        <v>30000</v>
      </c>
      <c r="F2144" s="8">
        <v>0.016</v>
      </c>
      <c r="G2144" s="11">
        <v>46058</v>
      </c>
      <c r="H2144" s="12">
        <f t="shared" si="33"/>
        <v>480</v>
      </c>
      <c r="I2144" s="10" t="s">
        <v>10</v>
      </c>
      <c r="J2144" s="13">
        <v>46010</v>
      </c>
      <c r="K2144" t="s">
        <v>467</v>
      </c>
    </row>
    <row r="2145" hidden="1" spans="1:11">
      <c r="A2145" t="s">
        <v>319</v>
      </c>
      <c r="B2145" s="8">
        <v>252602489</v>
      </c>
      <c r="C2145" s="9">
        <v>45960</v>
      </c>
      <c r="D2145" s="8" t="s">
        <v>78</v>
      </c>
      <c r="E2145" s="10">
        <v>30000</v>
      </c>
      <c r="F2145" s="8">
        <v>0.016</v>
      </c>
      <c r="G2145" s="11">
        <v>46086</v>
      </c>
      <c r="H2145" s="12">
        <f t="shared" si="33"/>
        <v>480</v>
      </c>
      <c r="I2145" s="10" t="s">
        <v>10</v>
      </c>
      <c r="J2145" s="13">
        <v>46010</v>
      </c>
      <c r="K2145" t="s">
        <v>467</v>
      </c>
    </row>
    <row r="2146" hidden="1" spans="1:11">
      <c r="A2146" t="s">
        <v>319</v>
      </c>
      <c r="B2146" s="8">
        <v>252602489</v>
      </c>
      <c r="C2146" s="9">
        <v>45960</v>
      </c>
      <c r="D2146" s="8" t="s">
        <v>58</v>
      </c>
      <c r="E2146" s="10">
        <v>200000</v>
      </c>
      <c r="F2146" s="8">
        <v>0.014</v>
      </c>
      <c r="G2146" s="11">
        <v>46058</v>
      </c>
      <c r="H2146" s="12">
        <f t="shared" si="33"/>
        <v>2800</v>
      </c>
      <c r="I2146" s="10" t="s">
        <v>10</v>
      </c>
      <c r="J2146" s="13">
        <v>46010</v>
      </c>
      <c r="K2146" t="s">
        <v>467</v>
      </c>
    </row>
    <row r="2147" hidden="1" spans="1:11">
      <c r="A2147" t="s">
        <v>319</v>
      </c>
      <c r="B2147" s="8">
        <v>252602489</v>
      </c>
      <c r="C2147" s="9">
        <v>45960</v>
      </c>
      <c r="D2147" s="8" t="s">
        <v>58</v>
      </c>
      <c r="E2147" s="10">
        <v>200000</v>
      </c>
      <c r="F2147" s="8">
        <v>0.014</v>
      </c>
      <c r="G2147" s="11">
        <v>46086</v>
      </c>
      <c r="H2147" s="12">
        <f t="shared" si="33"/>
        <v>2800</v>
      </c>
      <c r="I2147" s="10" t="s">
        <v>10</v>
      </c>
      <c r="J2147" s="13">
        <v>46010</v>
      </c>
      <c r="K2147" t="s">
        <v>467</v>
      </c>
    </row>
    <row r="2148" hidden="1" spans="1:11">
      <c r="A2148" t="s">
        <v>319</v>
      </c>
      <c r="B2148" s="8">
        <v>252602493</v>
      </c>
      <c r="C2148" s="9">
        <v>45960</v>
      </c>
      <c r="D2148" s="8" t="s">
        <v>426</v>
      </c>
      <c r="E2148" s="10">
        <v>200000</v>
      </c>
      <c r="F2148" s="8">
        <v>0.032</v>
      </c>
      <c r="G2148" s="11">
        <v>46058</v>
      </c>
      <c r="H2148" s="12">
        <f t="shared" si="33"/>
        <v>6400</v>
      </c>
      <c r="I2148" s="67" t="s">
        <v>10</v>
      </c>
      <c r="J2148" s="13">
        <v>45992</v>
      </c>
      <c r="K2148" t="s">
        <v>489</v>
      </c>
    </row>
    <row r="2149" hidden="1" spans="1:11">
      <c r="A2149" t="s">
        <v>319</v>
      </c>
      <c r="B2149" s="8">
        <v>252602493</v>
      </c>
      <c r="C2149" s="9">
        <v>45960</v>
      </c>
      <c r="D2149" s="8" t="s">
        <v>426</v>
      </c>
      <c r="E2149" s="10">
        <v>200000</v>
      </c>
      <c r="F2149" s="8">
        <v>0.032</v>
      </c>
      <c r="G2149" s="11">
        <v>46058</v>
      </c>
      <c r="H2149" s="12">
        <f t="shared" si="33"/>
        <v>6400</v>
      </c>
      <c r="I2149" s="67" t="s">
        <v>10</v>
      </c>
      <c r="J2149" s="13">
        <v>45992</v>
      </c>
      <c r="K2149" t="s">
        <v>489</v>
      </c>
    </row>
    <row r="2150" hidden="1" spans="1:11">
      <c r="A2150" t="s">
        <v>319</v>
      </c>
      <c r="B2150" s="8">
        <v>252602493</v>
      </c>
      <c r="C2150" s="9">
        <v>45960</v>
      </c>
      <c r="D2150" s="8" t="s">
        <v>426</v>
      </c>
      <c r="E2150" s="10">
        <v>200000</v>
      </c>
      <c r="F2150" s="8">
        <v>0.032</v>
      </c>
      <c r="G2150" s="11">
        <v>46086</v>
      </c>
      <c r="H2150" s="12">
        <f t="shared" si="33"/>
        <v>6400</v>
      </c>
      <c r="I2150" s="67" t="s">
        <v>10</v>
      </c>
      <c r="J2150" s="13">
        <v>45992</v>
      </c>
      <c r="K2150" t="s">
        <v>489</v>
      </c>
    </row>
    <row r="2151" hidden="1" spans="1:11">
      <c r="A2151" t="s">
        <v>319</v>
      </c>
      <c r="B2151" s="8">
        <v>252602493</v>
      </c>
      <c r="C2151" s="9">
        <v>45960</v>
      </c>
      <c r="D2151" s="8" t="s">
        <v>426</v>
      </c>
      <c r="E2151" s="10">
        <v>200000</v>
      </c>
      <c r="F2151" s="8">
        <v>0.032</v>
      </c>
      <c r="G2151" s="11">
        <v>46086</v>
      </c>
      <c r="H2151" s="12">
        <f t="shared" si="33"/>
        <v>6400</v>
      </c>
      <c r="I2151" s="67" t="s">
        <v>10</v>
      </c>
      <c r="J2151" s="13">
        <v>45992</v>
      </c>
      <c r="K2151" t="s">
        <v>489</v>
      </c>
    </row>
    <row r="2152" hidden="1" spans="1:11">
      <c r="A2152" t="s">
        <v>319</v>
      </c>
      <c r="B2152" s="8">
        <v>252602493</v>
      </c>
      <c r="C2152" s="9">
        <v>45960</v>
      </c>
      <c r="D2152" s="8" t="s">
        <v>425</v>
      </c>
      <c r="E2152" s="10">
        <v>80000</v>
      </c>
      <c r="F2152" s="8">
        <v>0.07</v>
      </c>
      <c r="G2152" s="11">
        <v>46058</v>
      </c>
      <c r="H2152" s="12">
        <f t="shared" si="33"/>
        <v>5600</v>
      </c>
      <c r="I2152" s="10" t="s">
        <v>10</v>
      </c>
      <c r="J2152" s="13">
        <v>45988</v>
      </c>
      <c r="K2152" t="s">
        <v>489</v>
      </c>
    </row>
    <row r="2153" hidden="1" spans="1:11">
      <c r="A2153" t="s">
        <v>319</v>
      </c>
      <c r="B2153" s="8">
        <v>252602493</v>
      </c>
      <c r="C2153" s="9">
        <v>45960</v>
      </c>
      <c r="D2153" s="8" t="s">
        <v>425</v>
      </c>
      <c r="E2153" s="10">
        <v>80000</v>
      </c>
      <c r="F2153" s="8">
        <v>0.07</v>
      </c>
      <c r="G2153" s="11">
        <v>46086</v>
      </c>
      <c r="H2153" s="12">
        <f t="shared" si="33"/>
        <v>5600</v>
      </c>
      <c r="I2153" s="10" t="s">
        <v>10</v>
      </c>
      <c r="J2153" s="13">
        <v>45988</v>
      </c>
      <c r="K2153" t="s">
        <v>489</v>
      </c>
    </row>
    <row r="2154" hidden="1" spans="1:11">
      <c r="A2154" t="s">
        <v>319</v>
      </c>
      <c r="B2154" s="8">
        <v>252602542</v>
      </c>
      <c r="C2154" s="9">
        <v>45961</v>
      </c>
      <c r="D2154" s="8" t="s">
        <v>45</v>
      </c>
      <c r="E2154" s="10">
        <v>200000</v>
      </c>
      <c r="F2154" s="8">
        <v>0.024</v>
      </c>
      <c r="G2154" s="11">
        <v>46027</v>
      </c>
      <c r="H2154" s="12">
        <f t="shared" si="33"/>
        <v>4800</v>
      </c>
      <c r="I2154" s="10" t="s">
        <v>10</v>
      </c>
      <c r="J2154" s="13">
        <v>45980</v>
      </c>
      <c r="K2154" t="s">
        <v>380</v>
      </c>
    </row>
    <row r="2155" hidden="1" spans="1:11">
      <c r="A2155" t="s">
        <v>319</v>
      </c>
      <c r="B2155" s="8">
        <v>252602542</v>
      </c>
      <c r="C2155" s="9">
        <v>45961</v>
      </c>
      <c r="D2155" s="8" t="s">
        <v>45</v>
      </c>
      <c r="E2155" s="10">
        <v>200000</v>
      </c>
      <c r="F2155" s="8">
        <v>0.024</v>
      </c>
      <c r="G2155" s="11">
        <v>46027</v>
      </c>
      <c r="H2155" s="12">
        <f t="shared" si="33"/>
        <v>4800</v>
      </c>
      <c r="I2155" s="10" t="s">
        <v>10</v>
      </c>
      <c r="J2155" s="13">
        <v>45980</v>
      </c>
      <c r="K2155" t="s">
        <v>380</v>
      </c>
    </row>
    <row r="2156" hidden="1" spans="1:11">
      <c r="A2156" t="s">
        <v>319</v>
      </c>
      <c r="B2156" s="8">
        <v>252602542</v>
      </c>
      <c r="C2156" s="9">
        <v>45961</v>
      </c>
      <c r="D2156" s="8" t="s">
        <v>45</v>
      </c>
      <c r="E2156" s="10">
        <v>200000</v>
      </c>
      <c r="F2156" s="8">
        <v>0.024</v>
      </c>
      <c r="G2156" s="11">
        <v>46058</v>
      </c>
      <c r="H2156" s="12">
        <f t="shared" si="33"/>
        <v>4800</v>
      </c>
      <c r="I2156" s="10" t="s">
        <v>10</v>
      </c>
      <c r="J2156" s="13">
        <v>45980</v>
      </c>
      <c r="K2156" t="s">
        <v>380</v>
      </c>
    </row>
    <row r="2157" hidden="1" spans="1:11">
      <c r="A2157" t="s">
        <v>319</v>
      </c>
      <c r="B2157" s="8">
        <v>252602542</v>
      </c>
      <c r="C2157" s="9">
        <v>45961</v>
      </c>
      <c r="D2157" s="8" t="s">
        <v>45</v>
      </c>
      <c r="E2157" s="10">
        <v>200000</v>
      </c>
      <c r="F2157" s="8">
        <v>0.024</v>
      </c>
      <c r="G2157" s="11">
        <v>46058</v>
      </c>
      <c r="H2157" s="12">
        <f t="shared" si="33"/>
        <v>4800</v>
      </c>
      <c r="I2157" s="10" t="s">
        <v>10</v>
      </c>
      <c r="J2157" s="13">
        <v>45980</v>
      </c>
      <c r="K2157" t="s">
        <v>380</v>
      </c>
    </row>
    <row r="2158" hidden="1" spans="1:11">
      <c r="A2158" t="s">
        <v>319</v>
      </c>
      <c r="B2158" s="8">
        <v>252602543</v>
      </c>
      <c r="C2158" s="9">
        <v>45961</v>
      </c>
      <c r="D2158" s="8" t="s">
        <v>45</v>
      </c>
      <c r="E2158" s="10">
        <v>200000</v>
      </c>
      <c r="F2158" s="8">
        <v>0.024</v>
      </c>
      <c r="G2158" s="11">
        <v>46086</v>
      </c>
      <c r="H2158" s="12">
        <f t="shared" si="33"/>
        <v>4800</v>
      </c>
      <c r="I2158" s="10" t="s">
        <v>10</v>
      </c>
      <c r="J2158" s="13">
        <v>46009</v>
      </c>
      <c r="K2158" t="s">
        <v>380</v>
      </c>
    </row>
    <row r="2159" hidden="1" spans="1:11">
      <c r="A2159" t="s">
        <v>319</v>
      </c>
      <c r="B2159" s="8">
        <v>252602545</v>
      </c>
      <c r="C2159" s="9">
        <v>45961</v>
      </c>
      <c r="D2159" s="8" t="s">
        <v>483</v>
      </c>
      <c r="E2159" s="10">
        <v>40000</v>
      </c>
      <c r="F2159" s="8">
        <v>0.06</v>
      </c>
      <c r="G2159" s="11">
        <v>46040</v>
      </c>
      <c r="H2159" s="12">
        <f t="shared" si="33"/>
        <v>2400</v>
      </c>
      <c r="I2159" s="10" t="s">
        <v>10</v>
      </c>
      <c r="J2159" s="13">
        <v>45993</v>
      </c>
      <c r="K2159" t="s">
        <v>337</v>
      </c>
    </row>
    <row r="2160" hidden="1" spans="1:11">
      <c r="A2160" t="s">
        <v>319</v>
      </c>
      <c r="B2160" s="8">
        <v>252602545</v>
      </c>
      <c r="C2160" s="9">
        <v>45961</v>
      </c>
      <c r="D2160" s="8" t="s">
        <v>483</v>
      </c>
      <c r="E2160" s="10">
        <v>40000</v>
      </c>
      <c r="F2160" s="8">
        <v>0.06</v>
      </c>
      <c r="G2160" s="11">
        <v>46069</v>
      </c>
      <c r="H2160" s="12">
        <f t="shared" si="33"/>
        <v>2400</v>
      </c>
      <c r="I2160" s="10" t="s">
        <v>10</v>
      </c>
      <c r="J2160" s="13">
        <v>45993</v>
      </c>
      <c r="K2160" t="s">
        <v>337</v>
      </c>
    </row>
    <row r="2161" hidden="1" spans="1:11">
      <c r="A2161" t="s">
        <v>319</v>
      </c>
      <c r="B2161" s="8">
        <v>252602545</v>
      </c>
      <c r="C2161" s="9">
        <v>45961</v>
      </c>
      <c r="D2161" s="8" t="s">
        <v>40</v>
      </c>
      <c r="E2161" s="10">
        <v>150000</v>
      </c>
      <c r="F2161" s="8">
        <v>0.035</v>
      </c>
      <c r="G2161" s="11">
        <v>46040</v>
      </c>
      <c r="H2161" s="12">
        <f t="shared" si="33"/>
        <v>5250</v>
      </c>
      <c r="I2161" s="10" t="s">
        <v>10</v>
      </c>
      <c r="J2161" s="13">
        <v>45996</v>
      </c>
      <c r="K2161" t="s">
        <v>337</v>
      </c>
    </row>
    <row r="2162" hidden="1" spans="1:11">
      <c r="A2162" t="s">
        <v>319</v>
      </c>
      <c r="B2162" s="8">
        <v>252602545</v>
      </c>
      <c r="C2162" s="9">
        <v>45961</v>
      </c>
      <c r="D2162" s="8" t="s">
        <v>40</v>
      </c>
      <c r="E2162" s="10">
        <v>120000</v>
      </c>
      <c r="F2162" s="8">
        <v>0.035</v>
      </c>
      <c r="G2162" s="11">
        <v>46069</v>
      </c>
      <c r="H2162" s="12">
        <f t="shared" si="33"/>
        <v>4200</v>
      </c>
      <c r="I2162" s="10" t="s">
        <v>10</v>
      </c>
      <c r="J2162" s="13">
        <v>45996</v>
      </c>
      <c r="K2162" t="s">
        <v>337</v>
      </c>
    </row>
    <row r="2163" hidden="1" spans="1:11">
      <c r="A2163" t="s">
        <v>319</v>
      </c>
      <c r="B2163" s="8">
        <v>252602545</v>
      </c>
      <c r="C2163" s="9">
        <v>45961</v>
      </c>
      <c r="D2163" s="8" t="s">
        <v>41</v>
      </c>
      <c r="E2163" s="10">
        <v>120000</v>
      </c>
      <c r="F2163" s="8">
        <v>0.285</v>
      </c>
      <c r="G2163" s="11">
        <v>46040</v>
      </c>
      <c r="H2163" s="12">
        <f t="shared" si="33"/>
        <v>34200</v>
      </c>
      <c r="I2163" s="10" t="s">
        <v>10</v>
      </c>
      <c r="J2163" s="13">
        <v>45993</v>
      </c>
      <c r="K2163" t="s">
        <v>337</v>
      </c>
    </row>
    <row r="2164" hidden="1" spans="1:11">
      <c r="A2164" t="s">
        <v>319</v>
      </c>
      <c r="B2164" s="8">
        <v>252602546</v>
      </c>
      <c r="C2164" s="9">
        <v>45961</v>
      </c>
      <c r="D2164" s="8" t="s">
        <v>50</v>
      </c>
      <c r="E2164" s="10">
        <v>100000</v>
      </c>
      <c r="F2164" s="8">
        <v>0.08</v>
      </c>
      <c r="G2164" s="11">
        <v>45996</v>
      </c>
      <c r="H2164" s="12">
        <f t="shared" si="33"/>
        <v>8000</v>
      </c>
      <c r="I2164" s="10" t="s">
        <v>10</v>
      </c>
      <c r="J2164" s="13">
        <v>45989</v>
      </c>
      <c r="K2164" t="s">
        <v>377</v>
      </c>
    </row>
    <row r="2165" hidden="1" spans="1:11">
      <c r="A2165" t="s">
        <v>319</v>
      </c>
      <c r="B2165" s="8">
        <v>252602546</v>
      </c>
      <c r="C2165" s="9">
        <v>45961</v>
      </c>
      <c r="D2165" s="8" t="s">
        <v>50</v>
      </c>
      <c r="E2165" s="10">
        <v>100000</v>
      </c>
      <c r="F2165" s="8">
        <v>0.08</v>
      </c>
      <c r="G2165" s="11">
        <v>46027</v>
      </c>
      <c r="H2165" s="12">
        <f t="shared" si="33"/>
        <v>8000</v>
      </c>
      <c r="I2165" s="10" t="s">
        <v>10</v>
      </c>
      <c r="J2165" s="13">
        <v>45989</v>
      </c>
      <c r="K2165" t="s">
        <v>377</v>
      </c>
    </row>
    <row r="2166" hidden="1" spans="1:11">
      <c r="A2166" t="s">
        <v>319</v>
      </c>
      <c r="B2166" s="8">
        <v>252602546</v>
      </c>
      <c r="C2166" s="9">
        <v>45961</v>
      </c>
      <c r="D2166" s="8" t="s">
        <v>111</v>
      </c>
      <c r="E2166" s="10">
        <v>70000</v>
      </c>
      <c r="F2166" s="8">
        <v>0.045</v>
      </c>
      <c r="G2166" s="11">
        <v>46027</v>
      </c>
      <c r="H2166" s="12">
        <f t="shared" si="33"/>
        <v>3150</v>
      </c>
      <c r="I2166" s="10" t="s">
        <v>10</v>
      </c>
      <c r="J2166" s="13">
        <v>45989</v>
      </c>
      <c r="K2166" t="s">
        <v>377</v>
      </c>
    </row>
    <row r="2167" hidden="1" spans="1:11">
      <c r="A2167" t="s">
        <v>319</v>
      </c>
      <c r="B2167" s="8">
        <v>252602546</v>
      </c>
      <c r="C2167" s="9">
        <v>45961</v>
      </c>
      <c r="D2167" s="8" t="s">
        <v>502</v>
      </c>
      <c r="E2167" s="10">
        <v>70000</v>
      </c>
      <c r="F2167" s="8">
        <v>0.1</v>
      </c>
      <c r="G2167" s="11">
        <v>46027</v>
      </c>
      <c r="H2167" s="12">
        <f t="shared" si="33"/>
        <v>7000</v>
      </c>
      <c r="I2167" s="10" t="s">
        <v>10</v>
      </c>
      <c r="J2167" s="13">
        <v>45989</v>
      </c>
      <c r="K2167" t="s">
        <v>377</v>
      </c>
    </row>
    <row r="2168" hidden="1" spans="1:11">
      <c r="A2168" t="s">
        <v>319</v>
      </c>
      <c r="B2168" s="8">
        <v>252602546</v>
      </c>
      <c r="C2168" s="9">
        <v>45961</v>
      </c>
      <c r="D2168" s="8" t="s">
        <v>105</v>
      </c>
      <c r="E2168" s="10">
        <v>40000</v>
      </c>
      <c r="F2168" s="8">
        <v>0.18</v>
      </c>
      <c r="G2168" s="11">
        <v>46027</v>
      </c>
      <c r="H2168" s="12">
        <f t="shared" si="33"/>
        <v>7200</v>
      </c>
      <c r="I2168" s="10" t="s">
        <v>10</v>
      </c>
      <c r="J2168" s="13">
        <v>45989</v>
      </c>
      <c r="K2168" t="s">
        <v>377</v>
      </c>
    </row>
    <row r="2169" hidden="1" spans="1:11">
      <c r="A2169" t="s">
        <v>319</v>
      </c>
      <c r="B2169" s="8">
        <v>252602546</v>
      </c>
      <c r="C2169" s="9">
        <v>45961</v>
      </c>
      <c r="D2169" s="8" t="s">
        <v>511</v>
      </c>
      <c r="E2169" s="10">
        <v>52000</v>
      </c>
      <c r="F2169" s="8">
        <v>0.041</v>
      </c>
      <c r="G2169" s="11">
        <v>46027</v>
      </c>
      <c r="H2169" s="12">
        <f t="shared" si="33"/>
        <v>2132</v>
      </c>
      <c r="I2169" s="10" t="s">
        <v>10</v>
      </c>
      <c r="J2169" s="13">
        <v>45989</v>
      </c>
      <c r="K2169" t="s">
        <v>377</v>
      </c>
    </row>
    <row r="2170" hidden="1" spans="1:11">
      <c r="A2170" t="s">
        <v>319</v>
      </c>
      <c r="B2170" s="8">
        <v>252602547</v>
      </c>
      <c r="C2170" s="9">
        <v>45961</v>
      </c>
      <c r="D2170" s="8" t="s">
        <v>162</v>
      </c>
      <c r="E2170" s="10">
        <v>200000</v>
      </c>
      <c r="F2170" s="8">
        <v>0.05</v>
      </c>
      <c r="G2170" s="11">
        <v>46057</v>
      </c>
      <c r="H2170" s="12">
        <f t="shared" si="33"/>
        <v>10000</v>
      </c>
      <c r="I2170" s="10" t="s">
        <v>10</v>
      </c>
      <c r="J2170" s="13">
        <v>45993</v>
      </c>
      <c r="K2170" t="s">
        <v>377</v>
      </c>
    </row>
    <row r="2171" hidden="1" spans="1:11">
      <c r="A2171" t="s">
        <v>319</v>
      </c>
      <c r="B2171" s="8">
        <v>252602547</v>
      </c>
      <c r="C2171" s="9">
        <v>45961</v>
      </c>
      <c r="D2171" s="8" t="s">
        <v>111</v>
      </c>
      <c r="E2171" s="10">
        <v>34000</v>
      </c>
      <c r="F2171" s="8">
        <v>0.045</v>
      </c>
      <c r="G2171" s="11">
        <v>46057</v>
      </c>
      <c r="H2171" s="12">
        <f t="shared" si="33"/>
        <v>1530</v>
      </c>
      <c r="I2171" s="10" t="s">
        <v>10</v>
      </c>
      <c r="J2171" s="13">
        <v>45993</v>
      </c>
      <c r="K2171" t="s">
        <v>377</v>
      </c>
    </row>
    <row r="2172" hidden="1" spans="1:11">
      <c r="A2172" t="s">
        <v>319</v>
      </c>
      <c r="B2172" s="8">
        <v>252602547</v>
      </c>
      <c r="C2172" s="9">
        <v>45961</v>
      </c>
      <c r="D2172" s="8" t="s">
        <v>502</v>
      </c>
      <c r="E2172" s="10">
        <v>35000</v>
      </c>
      <c r="F2172" s="8">
        <v>0.1</v>
      </c>
      <c r="G2172" s="11">
        <v>46057</v>
      </c>
      <c r="H2172" s="12">
        <f t="shared" si="33"/>
        <v>3500</v>
      </c>
      <c r="I2172" s="10" t="s">
        <v>10</v>
      </c>
      <c r="J2172" s="13">
        <v>45993</v>
      </c>
      <c r="K2172" t="s">
        <v>377</v>
      </c>
    </row>
    <row r="2173" hidden="1" spans="1:11">
      <c r="A2173" t="s">
        <v>319</v>
      </c>
      <c r="B2173" s="8">
        <v>252602548</v>
      </c>
      <c r="C2173" s="9">
        <v>45961</v>
      </c>
      <c r="D2173" s="8" t="s">
        <v>482</v>
      </c>
      <c r="E2173" s="10">
        <v>300000</v>
      </c>
      <c r="F2173" s="8">
        <v>0.02049</v>
      </c>
      <c r="G2173" s="11">
        <v>45966</v>
      </c>
      <c r="H2173" s="12">
        <f t="shared" si="33"/>
        <v>6147</v>
      </c>
      <c r="I2173" s="10" t="s">
        <v>10</v>
      </c>
      <c r="J2173" s="13">
        <v>45966</v>
      </c>
      <c r="K2173" t="s">
        <v>369</v>
      </c>
    </row>
    <row r="2174" hidden="1" spans="1:11">
      <c r="A2174" t="s">
        <v>319</v>
      </c>
      <c r="B2174" s="8">
        <v>252602548</v>
      </c>
      <c r="C2174" s="9">
        <v>45961</v>
      </c>
      <c r="D2174" s="8" t="s">
        <v>482</v>
      </c>
      <c r="E2174" s="10">
        <v>300000</v>
      </c>
      <c r="F2174" s="8">
        <v>0.02049</v>
      </c>
      <c r="G2174" s="11">
        <v>45996</v>
      </c>
      <c r="H2174" s="12">
        <f t="shared" si="33"/>
        <v>6147</v>
      </c>
      <c r="I2174" s="10" t="s">
        <v>10</v>
      </c>
      <c r="J2174" s="13">
        <v>45966</v>
      </c>
      <c r="K2174" t="s">
        <v>369</v>
      </c>
    </row>
    <row r="2175" hidden="1" spans="1:11">
      <c r="A2175" t="s">
        <v>319</v>
      </c>
      <c r="B2175" s="8">
        <v>252602548</v>
      </c>
      <c r="C2175" s="9">
        <v>45961</v>
      </c>
      <c r="D2175" s="8" t="s">
        <v>482</v>
      </c>
      <c r="E2175" s="10">
        <v>300000</v>
      </c>
      <c r="F2175" s="8">
        <v>0.02049</v>
      </c>
      <c r="G2175" s="11">
        <v>45966</v>
      </c>
      <c r="H2175" s="12">
        <f t="shared" si="33"/>
        <v>6147</v>
      </c>
      <c r="I2175" s="10" t="s">
        <v>10</v>
      </c>
      <c r="J2175" s="13">
        <v>45966</v>
      </c>
      <c r="K2175" t="s">
        <v>369</v>
      </c>
    </row>
    <row r="2176" hidden="1" spans="1:11">
      <c r="A2176" t="s">
        <v>319</v>
      </c>
      <c r="B2176" s="8">
        <v>252602548</v>
      </c>
      <c r="C2176" s="9">
        <v>45961</v>
      </c>
      <c r="D2176" s="8" t="s">
        <v>482</v>
      </c>
      <c r="E2176" s="10">
        <v>300000</v>
      </c>
      <c r="F2176" s="8">
        <v>0.02049</v>
      </c>
      <c r="G2176" s="11">
        <v>45966</v>
      </c>
      <c r="H2176" s="12">
        <f t="shared" si="33"/>
        <v>6147</v>
      </c>
      <c r="I2176" s="10" t="s">
        <v>10</v>
      </c>
      <c r="J2176" s="13">
        <v>45966</v>
      </c>
      <c r="K2176" t="s">
        <v>369</v>
      </c>
    </row>
    <row r="2177" hidden="1" spans="1:11">
      <c r="A2177" t="s">
        <v>319</v>
      </c>
      <c r="B2177" s="8">
        <v>252602549</v>
      </c>
      <c r="C2177" s="9">
        <v>45961</v>
      </c>
      <c r="D2177" s="8" t="s">
        <v>39</v>
      </c>
      <c r="E2177" s="10">
        <v>600000</v>
      </c>
      <c r="F2177" s="8">
        <v>0.022</v>
      </c>
      <c r="G2177" s="11">
        <v>45966</v>
      </c>
      <c r="H2177" s="12">
        <f t="shared" si="33"/>
        <v>13200</v>
      </c>
      <c r="I2177" s="10" t="s">
        <v>10</v>
      </c>
      <c r="J2177" s="13">
        <v>45978</v>
      </c>
      <c r="K2177" t="s">
        <v>337</v>
      </c>
    </row>
    <row r="2178" hidden="1" spans="1:11">
      <c r="A2178" t="s">
        <v>319</v>
      </c>
      <c r="B2178" s="8">
        <v>252602549</v>
      </c>
      <c r="C2178" s="9">
        <v>45961</v>
      </c>
      <c r="D2178" s="8" t="s">
        <v>39</v>
      </c>
      <c r="E2178" s="10">
        <v>600000</v>
      </c>
      <c r="F2178" s="8">
        <v>0.022</v>
      </c>
      <c r="G2178" s="11">
        <v>45996</v>
      </c>
      <c r="H2178" s="12">
        <f t="shared" ref="H2178:H2241" si="34">E2178*F2178</f>
        <v>13200</v>
      </c>
      <c r="I2178" s="10" t="s">
        <v>10</v>
      </c>
      <c r="J2178" s="13">
        <v>45978</v>
      </c>
      <c r="K2178" t="s">
        <v>337</v>
      </c>
    </row>
    <row r="2179" hidden="1" spans="1:11">
      <c r="A2179" t="s">
        <v>319</v>
      </c>
      <c r="B2179" s="8">
        <v>252602549</v>
      </c>
      <c r="C2179" s="9">
        <v>45961</v>
      </c>
      <c r="D2179" s="8" t="s">
        <v>40</v>
      </c>
      <c r="E2179" s="10">
        <v>100000</v>
      </c>
      <c r="F2179" s="8">
        <v>0.035</v>
      </c>
      <c r="G2179" s="11">
        <v>45996</v>
      </c>
      <c r="H2179" s="12">
        <f t="shared" si="34"/>
        <v>3500</v>
      </c>
      <c r="I2179" s="10" t="s">
        <v>10</v>
      </c>
      <c r="J2179" s="13">
        <v>45971</v>
      </c>
      <c r="K2179" t="s">
        <v>337</v>
      </c>
    </row>
    <row r="2180" hidden="1" spans="1:11">
      <c r="A2180" t="s">
        <v>319</v>
      </c>
      <c r="B2180" s="8">
        <v>252602550</v>
      </c>
      <c r="C2180" s="9">
        <v>45961</v>
      </c>
      <c r="D2180" s="8" t="s">
        <v>39</v>
      </c>
      <c r="E2180" s="10">
        <v>600000</v>
      </c>
      <c r="F2180" s="8">
        <v>0.022</v>
      </c>
      <c r="G2180" s="11">
        <v>46027</v>
      </c>
      <c r="H2180" s="12">
        <f t="shared" si="34"/>
        <v>13200</v>
      </c>
      <c r="I2180" s="10" t="s">
        <v>10</v>
      </c>
      <c r="J2180" s="13">
        <v>45996</v>
      </c>
      <c r="K2180" t="s">
        <v>337</v>
      </c>
    </row>
    <row r="2181" hidden="1" spans="1:11">
      <c r="A2181" t="s">
        <v>319</v>
      </c>
      <c r="B2181" s="8">
        <v>252602550</v>
      </c>
      <c r="C2181" s="9">
        <v>45961</v>
      </c>
      <c r="D2181" s="8" t="s">
        <v>39</v>
      </c>
      <c r="E2181" s="10">
        <v>600000</v>
      </c>
      <c r="F2181" s="8">
        <v>0.022</v>
      </c>
      <c r="G2181" s="11">
        <v>46057</v>
      </c>
      <c r="H2181" s="12">
        <f t="shared" si="34"/>
        <v>13200</v>
      </c>
      <c r="I2181" s="10" t="s">
        <v>10</v>
      </c>
      <c r="J2181" s="13">
        <v>45996</v>
      </c>
      <c r="K2181" t="s">
        <v>337</v>
      </c>
    </row>
    <row r="2182" hidden="1" spans="1:11">
      <c r="A2182" t="s">
        <v>319</v>
      </c>
      <c r="B2182" s="8">
        <v>252602550</v>
      </c>
      <c r="C2182" s="9">
        <v>45961</v>
      </c>
      <c r="D2182" s="8" t="s">
        <v>40</v>
      </c>
      <c r="E2182" s="10">
        <v>100000</v>
      </c>
      <c r="F2182" s="8">
        <v>0.035</v>
      </c>
      <c r="G2182" s="11">
        <v>46027</v>
      </c>
      <c r="H2182" s="12">
        <f t="shared" si="34"/>
        <v>3500</v>
      </c>
      <c r="I2182" s="10" t="s">
        <v>10</v>
      </c>
      <c r="J2182" s="13">
        <v>45996</v>
      </c>
      <c r="K2182" t="s">
        <v>337</v>
      </c>
    </row>
    <row r="2183" hidden="1" spans="1:11">
      <c r="A2183" t="s">
        <v>319</v>
      </c>
      <c r="B2183" s="8">
        <v>252602551</v>
      </c>
      <c r="C2183" s="9">
        <v>45961</v>
      </c>
      <c r="D2183" s="8" t="s">
        <v>461</v>
      </c>
      <c r="E2183" s="10">
        <v>26000</v>
      </c>
      <c r="F2183" s="8">
        <v>0.06</v>
      </c>
      <c r="G2183" s="11">
        <v>46057</v>
      </c>
      <c r="H2183" s="12">
        <f t="shared" si="34"/>
        <v>1560</v>
      </c>
      <c r="I2183" s="10" t="s">
        <v>10</v>
      </c>
      <c r="J2183" s="13">
        <v>46008</v>
      </c>
      <c r="K2183" t="s">
        <v>437</v>
      </c>
    </row>
    <row r="2184" hidden="1" spans="1:11">
      <c r="A2184" t="s">
        <v>319</v>
      </c>
      <c r="B2184" s="8">
        <v>252602551</v>
      </c>
      <c r="C2184" s="9">
        <v>45961</v>
      </c>
      <c r="D2184" s="8" t="s">
        <v>461</v>
      </c>
      <c r="E2184" s="10">
        <v>26000</v>
      </c>
      <c r="F2184" s="8">
        <v>0.06</v>
      </c>
      <c r="G2184" s="11">
        <v>46085</v>
      </c>
      <c r="H2184" s="12">
        <f t="shared" si="34"/>
        <v>1560</v>
      </c>
      <c r="I2184" s="10" t="s">
        <v>10</v>
      </c>
      <c r="J2184" s="13">
        <v>46008</v>
      </c>
      <c r="K2184" t="s">
        <v>437</v>
      </c>
    </row>
    <row r="2185" hidden="1" spans="1:11">
      <c r="A2185" t="s">
        <v>319</v>
      </c>
      <c r="B2185" s="8">
        <v>252602551</v>
      </c>
      <c r="C2185" s="9">
        <v>45961</v>
      </c>
      <c r="D2185" s="8" t="s">
        <v>587</v>
      </c>
      <c r="E2185" s="10">
        <v>24000</v>
      </c>
      <c r="F2185" s="8">
        <v>0.028</v>
      </c>
      <c r="G2185" s="11">
        <v>46085</v>
      </c>
      <c r="H2185" s="12">
        <f t="shared" si="34"/>
        <v>672</v>
      </c>
      <c r="I2185" s="10" t="s">
        <v>10</v>
      </c>
      <c r="J2185" s="13">
        <v>46008</v>
      </c>
      <c r="K2185" t="s">
        <v>437</v>
      </c>
    </row>
    <row r="2186" hidden="1" spans="1:11">
      <c r="A2186" t="s">
        <v>319</v>
      </c>
      <c r="B2186" s="8">
        <v>252602552</v>
      </c>
      <c r="C2186" s="9">
        <v>45961</v>
      </c>
      <c r="D2186" s="8" t="s">
        <v>226</v>
      </c>
      <c r="E2186" s="10">
        <v>400000</v>
      </c>
      <c r="F2186" s="8">
        <v>0.065</v>
      </c>
      <c r="G2186" s="11">
        <v>46057</v>
      </c>
      <c r="H2186" s="12">
        <f t="shared" si="34"/>
        <v>26000</v>
      </c>
      <c r="I2186" s="10" t="s">
        <v>10</v>
      </c>
      <c r="J2186" s="13">
        <v>46010</v>
      </c>
      <c r="K2186" t="s">
        <v>528</v>
      </c>
    </row>
    <row r="2187" hidden="1" spans="1:11">
      <c r="A2187" t="s">
        <v>319</v>
      </c>
      <c r="B2187" s="8">
        <v>252602552</v>
      </c>
      <c r="C2187" s="9">
        <v>45961</v>
      </c>
      <c r="D2187" s="8" t="s">
        <v>226</v>
      </c>
      <c r="E2187" s="10">
        <v>400000</v>
      </c>
      <c r="F2187" s="8">
        <v>0.065</v>
      </c>
      <c r="G2187" s="11">
        <v>46085</v>
      </c>
      <c r="H2187" s="12">
        <f t="shared" si="34"/>
        <v>26000</v>
      </c>
      <c r="I2187" s="10" t="s">
        <v>10</v>
      </c>
      <c r="J2187" s="13">
        <v>46010</v>
      </c>
      <c r="K2187" t="s">
        <v>528</v>
      </c>
    </row>
    <row r="2188" hidden="1" spans="1:11">
      <c r="A2188" t="s">
        <v>319</v>
      </c>
      <c r="B2188" s="8">
        <v>252602553</v>
      </c>
      <c r="C2188" s="9">
        <v>45961</v>
      </c>
      <c r="D2188" s="8" t="s">
        <v>181</v>
      </c>
      <c r="E2188" s="10">
        <v>200000</v>
      </c>
      <c r="F2188" s="8">
        <v>0.0243</v>
      </c>
      <c r="G2188" s="11">
        <v>45996</v>
      </c>
      <c r="H2188" s="12">
        <f t="shared" si="34"/>
        <v>4860</v>
      </c>
      <c r="I2188" s="10" t="s">
        <v>10</v>
      </c>
      <c r="J2188" s="13">
        <v>45971</v>
      </c>
      <c r="K2188" t="s">
        <v>439</v>
      </c>
    </row>
    <row r="2189" hidden="1" spans="1:11">
      <c r="A2189" t="s">
        <v>319</v>
      </c>
      <c r="B2189" s="14">
        <v>252602559</v>
      </c>
      <c r="C2189" s="13">
        <v>45964</v>
      </c>
      <c r="D2189" s="14" t="s">
        <v>610</v>
      </c>
      <c r="E2189" s="15">
        <v>2000</v>
      </c>
      <c r="F2189" s="14">
        <v>0.033</v>
      </c>
      <c r="G2189" s="16">
        <v>45966</v>
      </c>
      <c r="H2189" s="17">
        <f t="shared" si="34"/>
        <v>66</v>
      </c>
      <c r="I2189" s="15" t="s">
        <v>51</v>
      </c>
      <c r="J2189" s="15"/>
      <c r="K2189" t="s">
        <v>337</v>
      </c>
    </row>
    <row r="2190" hidden="1" spans="1:11">
      <c r="A2190" t="s">
        <v>319</v>
      </c>
      <c r="B2190" s="8">
        <v>252602569</v>
      </c>
      <c r="C2190" s="9">
        <v>45965</v>
      </c>
      <c r="D2190" s="8" t="s">
        <v>611</v>
      </c>
      <c r="E2190" s="10">
        <v>30000</v>
      </c>
      <c r="F2190" s="8">
        <v>0.062</v>
      </c>
      <c r="G2190" s="11">
        <v>45966</v>
      </c>
      <c r="H2190" s="12">
        <f t="shared" si="34"/>
        <v>1860</v>
      </c>
      <c r="I2190" s="10" t="s">
        <v>10</v>
      </c>
      <c r="J2190" s="13">
        <v>45978</v>
      </c>
      <c r="K2190" t="s">
        <v>369</v>
      </c>
    </row>
    <row r="2191" hidden="1" spans="1:11">
      <c r="A2191" t="s">
        <v>319</v>
      </c>
      <c r="B2191" s="8">
        <v>252602569</v>
      </c>
      <c r="C2191" s="9">
        <v>45965</v>
      </c>
      <c r="D2191" s="8" t="s">
        <v>611</v>
      </c>
      <c r="E2191" s="10">
        <v>30000</v>
      </c>
      <c r="F2191" s="8">
        <v>0.062</v>
      </c>
      <c r="G2191" s="11">
        <v>45966</v>
      </c>
      <c r="H2191" s="12">
        <f t="shared" si="34"/>
        <v>1860</v>
      </c>
      <c r="I2191" s="10" t="s">
        <v>10</v>
      </c>
      <c r="J2191" s="13">
        <v>45978</v>
      </c>
      <c r="K2191" t="s">
        <v>369</v>
      </c>
    </row>
    <row r="2192" hidden="1" spans="1:11">
      <c r="A2192" t="s">
        <v>319</v>
      </c>
      <c r="B2192" s="8">
        <v>252602649</v>
      </c>
      <c r="C2192" s="9">
        <v>45971</v>
      </c>
      <c r="D2192" s="8" t="s">
        <v>557</v>
      </c>
      <c r="E2192" s="10">
        <v>100000</v>
      </c>
      <c r="F2192" s="8">
        <v>0.026</v>
      </c>
      <c r="G2192" s="11">
        <v>45983</v>
      </c>
      <c r="H2192" s="12">
        <f t="shared" si="34"/>
        <v>2600</v>
      </c>
      <c r="I2192" s="10" t="s">
        <v>10</v>
      </c>
      <c r="J2192" s="13">
        <v>45978</v>
      </c>
      <c r="K2192" t="s">
        <v>377</v>
      </c>
    </row>
    <row r="2193" hidden="1" spans="1:11">
      <c r="A2193" t="s">
        <v>319</v>
      </c>
      <c r="B2193" s="8">
        <v>252602649</v>
      </c>
      <c r="C2193" s="9">
        <v>45971</v>
      </c>
      <c r="D2193" s="8" t="s">
        <v>557</v>
      </c>
      <c r="E2193" s="10">
        <v>100000</v>
      </c>
      <c r="F2193" s="8">
        <v>0.026</v>
      </c>
      <c r="G2193" s="11">
        <v>45996</v>
      </c>
      <c r="H2193" s="12">
        <f t="shared" si="34"/>
        <v>2600</v>
      </c>
      <c r="I2193" s="10" t="s">
        <v>10</v>
      </c>
      <c r="J2193" s="13">
        <v>45978</v>
      </c>
      <c r="K2193" t="s">
        <v>377</v>
      </c>
    </row>
    <row r="2194" hidden="1" spans="1:11">
      <c r="A2194" t="s">
        <v>319</v>
      </c>
      <c r="B2194" s="8">
        <v>252602649</v>
      </c>
      <c r="C2194" s="9">
        <v>45971</v>
      </c>
      <c r="D2194" s="8" t="s">
        <v>558</v>
      </c>
      <c r="E2194" s="10">
        <v>100000</v>
      </c>
      <c r="F2194" s="8">
        <v>0.07</v>
      </c>
      <c r="G2194" s="11">
        <v>45983</v>
      </c>
      <c r="H2194" s="12">
        <f t="shared" si="34"/>
        <v>7000</v>
      </c>
      <c r="I2194" s="10" t="s">
        <v>10</v>
      </c>
      <c r="J2194" s="13">
        <v>45978</v>
      </c>
      <c r="K2194" t="s">
        <v>377</v>
      </c>
    </row>
    <row r="2195" hidden="1" spans="1:11">
      <c r="A2195" t="s">
        <v>319</v>
      </c>
      <c r="B2195" s="8">
        <v>252602649</v>
      </c>
      <c r="C2195" s="9">
        <v>45971</v>
      </c>
      <c r="D2195" s="8" t="s">
        <v>558</v>
      </c>
      <c r="E2195" s="10">
        <v>100000</v>
      </c>
      <c r="F2195" s="8">
        <v>0.07</v>
      </c>
      <c r="G2195" s="11">
        <v>45996</v>
      </c>
      <c r="H2195" s="12">
        <f t="shared" si="34"/>
        <v>7000</v>
      </c>
      <c r="I2195" s="10" t="s">
        <v>10</v>
      </c>
      <c r="J2195" s="13">
        <v>45978</v>
      </c>
      <c r="K2195" t="s">
        <v>377</v>
      </c>
    </row>
    <row r="2196" hidden="1" spans="1:11">
      <c r="A2196" t="s">
        <v>319</v>
      </c>
      <c r="B2196" s="8">
        <v>252602666</v>
      </c>
      <c r="C2196" s="9">
        <v>45972</v>
      </c>
      <c r="D2196" s="8" t="s">
        <v>466</v>
      </c>
      <c r="E2196" s="10">
        <v>2014</v>
      </c>
      <c r="F2196" s="8">
        <v>0.12</v>
      </c>
      <c r="G2196" s="11">
        <v>45983</v>
      </c>
      <c r="H2196" s="12">
        <f t="shared" si="34"/>
        <v>241.68</v>
      </c>
      <c r="I2196" s="10" t="s">
        <v>10</v>
      </c>
      <c r="J2196" s="13">
        <v>45978</v>
      </c>
      <c r="K2196" t="s">
        <v>365</v>
      </c>
    </row>
    <row r="2197" hidden="1" spans="1:11">
      <c r="A2197" t="s">
        <v>319</v>
      </c>
      <c r="B2197" s="14">
        <v>252602680</v>
      </c>
      <c r="C2197" s="13">
        <v>45971</v>
      </c>
      <c r="D2197" s="14" t="s">
        <v>612</v>
      </c>
      <c r="E2197" s="15">
        <v>2000</v>
      </c>
      <c r="F2197" s="14">
        <v>0.052</v>
      </c>
      <c r="G2197" s="16">
        <v>45983</v>
      </c>
      <c r="H2197" s="17">
        <f t="shared" si="34"/>
        <v>104</v>
      </c>
      <c r="I2197" s="15" t="s">
        <v>51</v>
      </c>
      <c r="J2197" s="15"/>
      <c r="K2197" t="s">
        <v>528</v>
      </c>
    </row>
    <row r="2198" hidden="1" spans="1:11">
      <c r="A2198" t="s">
        <v>319</v>
      </c>
      <c r="B2198" s="8">
        <v>252602696</v>
      </c>
      <c r="C2198" s="9">
        <v>45972</v>
      </c>
      <c r="D2198" s="8" t="s">
        <v>553</v>
      </c>
      <c r="E2198" s="10">
        <v>20000</v>
      </c>
      <c r="F2198" s="8">
        <v>0.05</v>
      </c>
      <c r="G2198" s="11">
        <v>46027</v>
      </c>
      <c r="H2198" s="12">
        <f t="shared" si="34"/>
        <v>1000</v>
      </c>
      <c r="I2198" s="10" t="s">
        <v>10</v>
      </c>
      <c r="J2198" s="13">
        <v>45978</v>
      </c>
      <c r="K2198" t="s">
        <v>405</v>
      </c>
    </row>
    <row r="2199" hidden="1" spans="1:11">
      <c r="A2199" t="s">
        <v>319</v>
      </c>
      <c r="B2199" s="8">
        <v>252602703</v>
      </c>
      <c r="C2199" s="9">
        <v>45972</v>
      </c>
      <c r="D2199" s="8" t="s">
        <v>577</v>
      </c>
      <c r="E2199" s="10">
        <v>36000</v>
      </c>
      <c r="F2199" s="8">
        <v>0.055</v>
      </c>
      <c r="G2199" s="11">
        <v>46058</v>
      </c>
      <c r="H2199" s="12">
        <f t="shared" si="34"/>
        <v>1980</v>
      </c>
      <c r="I2199" s="10" t="s">
        <v>10</v>
      </c>
      <c r="J2199" s="13">
        <v>45978</v>
      </c>
      <c r="K2199" t="s">
        <v>528</v>
      </c>
    </row>
    <row r="2200" hidden="1" spans="1:11">
      <c r="A2200" t="s">
        <v>319</v>
      </c>
      <c r="B2200" s="8">
        <v>252602703</v>
      </c>
      <c r="C2200" s="9">
        <v>45972</v>
      </c>
      <c r="D2200" s="8" t="s">
        <v>550</v>
      </c>
      <c r="E2200" s="10">
        <v>130000</v>
      </c>
      <c r="F2200" s="8">
        <v>0.028</v>
      </c>
      <c r="G2200" s="11">
        <v>46027</v>
      </c>
      <c r="H2200" s="12">
        <f t="shared" si="34"/>
        <v>3640</v>
      </c>
      <c r="I2200" s="10" t="s">
        <v>10</v>
      </c>
      <c r="J2200" s="13">
        <v>45978</v>
      </c>
      <c r="K2200" t="s">
        <v>528</v>
      </c>
    </row>
    <row r="2201" hidden="1" spans="1:11">
      <c r="A2201" t="s">
        <v>319</v>
      </c>
      <c r="B2201" s="8">
        <v>252602703</v>
      </c>
      <c r="C2201" s="9">
        <v>45972</v>
      </c>
      <c r="D2201" s="8" t="s">
        <v>550</v>
      </c>
      <c r="E2201" s="10">
        <v>100000</v>
      </c>
      <c r="F2201" s="8">
        <v>0.028</v>
      </c>
      <c r="G2201" s="11">
        <v>46058</v>
      </c>
      <c r="H2201" s="12">
        <f t="shared" si="34"/>
        <v>2800</v>
      </c>
      <c r="I2201" s="10" t="s">
        <v>10</v>
      </c>
      <c r="J2201" s="13">
        <v>45978</v>
      </c>
      <c r="K2201" t="s">
        <v>528</v>
      </c>
    </row>
    <row r="2202" hidden="1" spans="1:11">
      <c r="A2202" t="s">
        <v>319</v>
      </c>
      <c r="B2202" s="8">
        <v>252602704</v>
      </c>
      <c r="C2202" s="9">
        <v>45972</v>
      </c>
      <c r="D2202" s="8" t="s">
        <v>550</v>
      </c>
      <c r="E2202" s="10">
        <v>100000</v>
      </c>
      <c r="F2202" s="8">
        <v>0.028</v>
      </c>
      <c r="G2202" s="11">
        <v>46086</v>
      </c>
      <c r="H2202" s="12">
        <f t="shared" si="34"/>
        <v>2800</v>
      </c>
      <c r="I2202" s="10" t="s">
        <v>10</v>
      </c>
      <c r="J2202" s="13">
        <v>46008</v>
      </c>
      <c r="K2202" t="s">
        <v>528</v>
      </c>
    </row>
    <row r="2203" hidden="1" spans="1:11">
      <c r="A2203" t="s">
        <v>319</v>
      </c>
      <c r="B2203" s="8">
        <v>252602712</v>
      </c>
      <c r="C2203" s="9">
        <v>45973</v>
      </c>
      <c r="D2203" s="8" t="s">
        <v>509</v>
      </c>
      <c r="E2203" s="10">
        <v>40000</v>
      </c>
      <c r="F2203" s="8">
        <v>0.16</v>
      </c>
      <c r="G2203" s="11">
        <v>45996</v>
      </c>
      <c r="H2203" s="12">
        <f t="shared" si="34"/>
        <v>6400</v>
      </c>
      <c r="I2203" s="10" t="s">
        <v>10</v>
      </c>
      <c r="J2203" s="13">
        <v>45996</v>
      </c>
      <c r="K2203" t="s">
        <v>377</v>
      </c>
    </row>
    <row r="2204" hidden="1" spans="1:11">
      <c r="A2204" t="s">
        <v>319</v>
      </c>
      <c r="B2204" s="8">
        <v>252602713</v>
      </c>
      <c r="C2204" s="9">
        <v>45973</v>
      </c>
      <c r="D2204" s="8" t="s">
        <v>557</v>
      </c>
      <c r="E2204" s="10">
        <v>40000</v>
      </c>
      <c r="F2204" s="8">
        <v>0.026</v>
      </c>
      <c r="G2204" s="11">
        <v>46058</v>
      </c>
      <c r="H2204" s="12">
        <f t="shared" si="34"/>
        <v>1040</v>
      </c>
      <c r="I2204" s="10" t="s">
        <v>10</v>
      </c>
      <c r="J2204" s="13">
        <v>46015</v>
      </c>
      <c r="K2204" t="s">
        <v>377</v>
      </c>
    </row>
    <row r="2205" hidden="1" spans="1:11">
      <c r="A2205" t="s">
        <v>319</v>
      </c>
      <c r="B2205" s="8">
        <v>252602713</v>
      </c>
      <c r="C2205" s="9">
        <v>45973</v>
      </c>
      <c r="D2205" s="8" t="s">
        <v>183</v>
      </c>
      <c r="E2205" s="10">
        <v>12000</v>
      </c>
      <c r="F2205" s="8">
        <v>0.5</v>
      </c>
      <c r="G2205" s="11">
        <v>46027</v>
      </c>
      <c r="H2205" s="12">
        <f t="shared" si="34"/>
        <v>6000</v>
      </c>
      <c r="I2205" s="10" t="s">
        <v>10</v>
      </c>
      <c r="J2205" s="13">
        <v>46015</v>
      </c>
      <c r="K2205" t="s">
        <v>377</v>
      </c>
    </row>
    <row r="2206" hidden="1" spans="1:11">
      <c r="A2206" t="s">
        <v>319</v>
      </c>
      <c r="B2206" s="8">
        <v>252602713</v>
      </c>
      <c r="C2206" s="9">
        <v>45973</v>
      </c>
      <c r="D2206" s="8" t="s">
        <v>487</v>
      </c>
      <c r="E2206" s="10">
        <v>208000</v>
      </c>
      <c r="F2206" s="8">
        <v>0.015</v>
      </c>
      <c r="G2206" s="11">
        <v>46058</v>
      </c>
      <c r="H2206" s="12">
        <f t="shared" si="34"/>
        <v>3120</v>
      </c>
      <c r="I2206" s="10" t="s">
        <v>10</v>
      </c>
      <c r="J2206" s="13">
        <v>46015</v>
      </c>
      <c r="K2206" t="s">
        <v>377</v>
      </c>
    </row>
    <row r="2207" hidden="1" spans="1:11">
      <c r="A2207" t="s">
        <v>319</v>
      </c>
      <c r="B2207" s="8">
        <v>252602713</v>
      </c>
      <c r="C2207" s="9">
        <v>45973</v>
      </c>
      <c r="D2207" s="8" t="s">
        <v>511</v>
      </c>
      <c r="E2207" s="10">
        <v>20000</v>
      </c>
      <c r="F2207" s="8">
        <v>0.041</v>
      </c>
      <c r="G2207" s="11">
        <v>46058</v>
      </c>
      <c r="H2207" s="12">
        <f t="shared" si="34"/>
        <v>820</v>
      </c>
      <c r="I2207" s="10" t="s">
        <v>10</v>
      </c>
      <c r="J2207" s="13">
        <v>46015</v>
      </c>
      <c r="K2207" t="s">
        <v>377</v>
      </c>
    </row>
    <row r="2208" hidden="1" spans="1:11">
      <c r="A2208" t="s">
        <v>319</v>
      </c>
      <c r="B2208" s="8">
        <v>252602713</v>
      </c>
      <c r="C2208" s="9">
        <v>45973</v>
      </c>
      <c r="D2208" s="8" t="s">
        <v>100</v>
      </c>
      <c r="E2208" s="10">
        <v>20000</v>
      </c>
      <c r="F2208" s="8">
        <v>0.0224</v>
      </c>
      <c r="G2208" s="11">
        <v>46058</v>
      </c>
      <c r="H2208" s="12">
        <f t="shared" si="34"/>
        <v>448</v>
      </c>
      <c r="I2208" s="10" t="s">
        <v>10</v>
      </c>
      <c r="J2208" s="13">
        <v>46021</v>
      </c>
      <c r="K2208" t="s">
        <v>377</v>
      </c>
    </row>
    <row r="2209" hidden="1" spans="1:11">
      <c r="A2209" t="s">
        <v>319</v>
      </c>
      <c r="B2209" s="8">
        <v>252602761</v>
      </c>
      <c r="C2209" s="9">
        <v>45974</v>
      </c>
      <c r="D2209" s="8" t="s">
        <v>45</v>
      </c>
      <c r="E2209" s="10">
        <v>100000</v>
      </c>
      <c r="F2209" s="8">
        <v>0.024</v>
      </c>
      <c r="G2209" s="11">
        <v>46027</v>
      </c>
      <c r="H2209" s="12">
        <f t="shared" si="34"/>
        <v>2400</v>
      </c>
      <c r="I2209" s="10" t="s">
        <v>10</v>
      </c>
      <c r="J2209" s="13">
        <v>46002</v>
      </c>
      <c r="K2209" t="s">
        <v>380</v>
      </c>
    </row>
    <row r="2210" hidden="1" spans="1:11">
      <c r="A2210" t="s">
        <v>319</v>
      </c>
      <c r="B2210" s="8">
        <v>252602761</v>
      </c>
      <c r="C2210" s="9">
        <v>45974</v>
      </c>
      <c r="D2210" s="8" t="s">
        <v>40</v>
      </c>
      <c r="E2210" s="10">
        <v>100000</v>
      </c>
      <c r="F2210" s="8">
        <v>0.035</v>
      </c>
      <c r="G2210" s="11">
        <v>46027</v>
      </c>
      <c r="H2210" s="12">
        <f t="shared" si="34"/>
        <v>3500</v>
      </c>
      <c r="I2210" s="10" t="s">
        <v>10</v>
      </c>
      <c r="J2210" s="13">
        <v>46003</v>
      </c>
      <c r="K2210" t="s">
        <v>380</v>
      </c>
    </row>
    <row r="2211" hidden="1" spans="1:11">
      <c r="A2211" t="s">
        <v>319</v>
      </c>
      <c r="B2211" s="8">
        <v>252602761</v>
      </c>
      <c r="C2211" s="9">
        <v>45974</v>
      </c>
      <c r="D2211" s="8" t="s">
        <v>46</v>
      </c>
      <c r="E2211" s="10">
        <v>100000</v>
      </c>
      <c r="F2211" s="8">
        <v>0.02</v>
      </c>
      <c r="G2211" s="11">
        <v>46027</v>
      </c>
      <c r="H2211" s="12">
        <f t="shared" si="34"/>
        <v>2000</v>
      </c>
      <c r="I2211" s="10" t="s">
        <v>10</v>
      </c>
      <c r="J2211" s="13">
        <v>46002</v>
      </c>
      <c r="K2211" t="s">
        <v>380</v>
      </c>
    </row>
    <row r="2212" hidden="1" spans="1:11">
      <c r="A2212" t="s">
        <v>319</v>
      </c>
      <c r="B2212" s="8">
        <v>252602761</v>
      </c>
      <c r="C2212" s="9">
        <v>45974</v>
      </c>
      <c r="D2212" s="8" t="s">
        <v>62</v>
      </c>
      <c r="E2212" s="10">
        <v>112000</v>
      </c>
      <c r="F2212" s="8">
        <v>0.005</v>
      </c>
      <c r="G2212" s="11">
        <v>46027</v>
      </c>
      <c r="H2212" s="12">
        <f t="shared" si="34"/>
        <v>560</v>
      </c>
      <c r="I2212" s="10" t="s">
        <v>10</v>
      </c>
      <c r="J2212" s="13">
        <v>46006</v>
      </c>
      <c r="K2212" t="s">
        <v>380</v>
      </c>
    </row>
    <row r="2213" hidden="1" spans="1:11">
      <c r="A2213" t="s">
        <v>319</v>
      </c>
      <c r="B2213" s="8">
        <v>252602761</v>
      </c>
      <c r="C2213" s="9">
        <v>45974</v>
      </c>
      <c r="D2213" s="8" t="s">
        <v>163</v>
      </c>
      <c r="E2213" s="10">
        <v>208000</v>
      </c>
      <c r="F2213" s="8">
        <v>0.0025</v>
      </c>
      <c r="G2213" s="11">
        <v>46027</v>
      </c>
      <c r="H2213" s="12">
        <f t="shared" si="34"/>
        <v>520</v>
      </c>
      <c r="I2213" s="10" t="s">
        <v>10</v>
      </c>
      <c r="J2213" s="13">
        <v>46002</v>
      </c>
      <c r="K2213" t="s">
        <v>380</v>
      </c>
    </row>
    <row r="2214" hidden="1" spans="1:11">
      <c r="A2214" t="s">
        <v>319</v>
      </c>
      <c r="B2214" s="8">
        <v>252602762</v>
      </c>
      <c r="C2214" s="9">
        <v>45974</v>
      </c>
      <c r="D2214" s="8" t="s">
        <v>45</v>
      </c>
      <c r="E2214" s="10">
        <v>200000</v>
      </c>
      <c r="F2214" s="8">
        <v>0.024</v>
      </c>
      <c r="G2214" s="11">
        <v>46058</v>
      </c>
      <c r="H2214" s="12">
        <f t="shared" si="34"/>
        <v>4800</v>
      </c>
      <c r="I2214" s="10" t="s">
        <v>10</v>
      </c>
      <c r="J2214" s="13">
        <v>46015</v>
      </c>
      <c r="K2214" t="s">
        <v>380</v>
      </c>
    </row>
    <row r="2215" hidden="1" spans="1:11">
      <c r="A2215" t="s">
        <v>319</v>
      </c>
      <c r="B2215" s="8">
        <v>252602762</v>
      </c>
      <c r="C2215" s="9">
        <v>45974</v>
      </c>
      <c r="D2215" s="8" t="s">
        <v>45</v>
      </c>
      <c r="E2215" s="10">
        <v>200000</v>
      </c>
      <c r="F2215" s="8">
        <v>0.024</v>
      </c>
      <c r="G2215" s="11">
        <v>46058</v>
      </c>
      <c r="H2215" s="12">
        <f t="shared" si="34"/>
        <v>4800</v>
      </c>
      <c r="I2215" s="10" t="s">
        <v>10</v>
      </c>
      <c r="J2215" s="13">
        <v>46015</v>
      </c>
      <c r="K2215" t="s">
        <v>380</v>
      </c>
    </row>
    <row r="2216" hidden="1" spans="1:11">
      <c r="A2216" t="s">
        <v>319</v>
      </c>
      <c r="B2216" s="8">
        <v>252602762</v>
      </c>
      <c r="C2216" s="9">
        <v>45974</v>
      </c>
      <c r="D2216" s="8" t="s">
        <v>40</v>
      </c>
      <c r="E2216" s="10">
        <v>200000</v>
      </c>
      <c r="F2216" s="8">
        <v>0.035</v>
      </c>
      <c r="G2216" s="11">
        <v>46058</v>
      </c>
      <c r="H2216" s="12">
        <f t="shared" si="34"/>
        <v>7000</v>
      </c>
      <c r="I2216" s="10" t="s">
        <v>10</v>
      </c>
      <c r="J2216" s="13">
        <v>46021</v>
      </c>
      <c r="K2216" t="s">
        <v>380</v>
      </c>
    </row>
    <row r="2217" hidden="1" spans="1:11">
      <c r="A2217" t="s">
        <v>319</v>
      </c>
      <c r="B2217" s="8">
        <v>252602762</v>
      </c>
      <c r="C2217" s="9">
        <v>45974</v>
      </c>
      <c r="D2217" s="8" t="s">
        <v>40</v>
      </c>
      <c r="E2217" s="10">
        <v>200000</v>
      </c>
      <c r="F2217" s="8">
        <v>0.035</v>
      </c>
      <c r="G2217" s="11">
        <v>46058</v>
      </c>
      <c r="H2217" s="12">
        <f t="shared" si="34"/>
        <v>7000</v>
      </c>
      <c r="I2217" s="10" t="s">
        <v>10</v>
      </c>
      <c r="J2217" s="13">
        <v>46021</v>
      </c>
      <c r="K2217" t="s">
        <v>380</v>
      </c>
    </row>
    <row r="2218" hidden="1" spans="1:11">
      <c r="A2218" t="s">
        <v>319</v>
      </c>
      <c r="B2218" s="8">
        <v>252602762</v>
      </c>
      <c r="C2218" s="9">
        <v>45974</v>
      </c>
      <c r="D2218" s="8" t="s">
        <v>46</v>
      </c>
      <c r="E2218" s="10">
        <v>200000</v>
      </c>
      <c r="F2218" s="8">
        <v>0.02</v>
      </c>
      <c r="G2218" s="11">
        <v>46058</v>
      </c>
      <c r="H2218" s="12">
        <f t="shared" si="34"/>
        <v>4000</v>
      </c>
      <c r="I2218" s="10" t="s">
        <v>10</v>
      </c>
      <c r="J2218" s="13">
        <v>46015</v>
      </c>
      <c r="K2218" t="s">
        <v>380</v>
      </c>
    </row>
    <row r="2219" hidden="1" spans="1:11">
      <c r="A2219" t="s">
        <v>319</v>
      </c>
      <c r="B2219" s="8">
        <v>252602762</v>
      </c>
      <c r="C2219" s="9">
        <v>45974</v>
      </c>
      <c r="D2219" s="8" t="s">
        <v>46</v>
      </c>
      <c r="E2219" s="10">
        <v>200000</v>
      </c>
      <c r="F2219" s="8">
        <v>0.02</v>
      </c>
      <c r="G2219" s="11">
        <v>46058</v>
      </c>
      <c r="H2219" s="12">
        <f t="shared" si="34"/>
        <v>4000</v>
      </c>
      <c r="I2219" s="10" t="s">
        <v>10</v>
      </c>
      <c r="J2219" s="13">
        <v>46015</v>
      </c>
      <c r="K2219" t="s">
        <v>380</v>
      </c>
    </row>
    <row r="2220" hidden="1" spans="1:11">
      <c r="A2220" t="s">
        <v>319</v>
      </c>
      <c r="B2220" s="8">
        <v>252602762</v>
      </c>
      <c r="C2220" s="9">
        <v>45974</v>
      </c>
      <c r="D2220" s="8" t="s">
        <v>62</v>
      </c>
      <c r="E2220" s="10">
        <v>208000</v>
      </c>
      <c r="F2220" s="8">
        <v>0.005</v>
      </c>
      <c r="G2220" s="11">
        <v>46058</v>
      </c>
      <c r="H2220" s="12">
        <f t="shared" si="34"/>
        <v>1040</v>
      </c>
      <c r="I2220" s="10" t="s">
        <v>10</v>
      </c>
      <c r="J2220" s="13">
        <v>46021</v>
      </c>
      <c r="K2220" t="s">
        <v>380</v>
      </c>
    </row>
    <row r="2221" hidden="1" spans="1:11">
      <c r="A2221" t="s">
        <v>319</v>
      </c>
      <c r="B2221" s="8">
        <v>252602762</v>
      </c>
      <c r="C2221" s="9">
        <v>45974</v>
      </c>
      <c r="D2221" s="8" t="s">
        <v>62</v>
      </c>
      <c r="E2221" s="10">
        <v>192000</v>
      </c>
      <c r="F2221" s="8">
        <v>0.005</v>
      </c>
      <c r="G2221" s="11">
        <v>46058</v>
      </c>
      <c r="H2221" s="12">
        <f t="shared" si="34"/>
        <v>960</v>
      </c>
      <c r="I2221" s="10" t="s">
        <v>10</v>
      </c>
      <c r="J2221" s="13">
        <v>46021</v>
      </c>
      <c r="K2221" t="s">
        <v>380</v>
      </c>
    </row>
    <row r="2222" hidden="1" spans="1:11">
      <c r="A2222" t="s">
        <v>319</v>
      </c>
      <c r="B2222" s="8">
        <v>252602762</v>
      </c>
      <c r="C2222" s="9">
        <v>45974</v>
      </c>
      <c r="D2222" s="8" t="s">
        <v>163</v>
      </c>
      <c r="E2222" s="10">
        <v>208000</v>
      </c>
      <c r="F2222" s="8">
        <v>0.0025</v>
      </c>
      <c r="G2222" s="11">
        <v>46058</v>
      </c>
      <c r="H2222" s="12">
        <f t="shared" si="34"/>
        <v>520</v>
      </c>
      <c r="I2222" s="10" t="s">
        <v>10</v>
      </c>
      <c r="J2222" s="13">
        <v>46015</v>
      </c>
      <c r="K2222" t="s">
        <v>380</v>
      </c>
    </row>
    <row r="2223" hidden="1" spans="1:11">
      <c r="A2223" t="s">
        <v>319</v>
      </c>
      <c r="B2223" s="8">
        <v>252602762</v>
      </c>
      <c r="C2223" s="9">
        <v>45974</v>
      </c>
      <c r="D2223" s="8" t="s">
        <v>163</v>
      </c>
      <c r="E2223" s="10">
        <v>208000</v>
      </c>
      <c r="F2223" s="8">
        <v>0.0025</v>
      </c>
      <c r="G2223" s="11">
        <v>46086</v>
      </c>
      <c r="H2223" s="12">
        <f t="shared" si="34"/>
        <v>520</v>
      </c>
      <c r="I2223" s="10" t="s">
        <v>10</v>
      </c>
      <c r="J2223" s="13">
        <v>46015</v>
      </c>
      <c r="K2223" t="s">
        <v>380</v>
      </c>
    </row>
    <row r="2224" hidden="1" spans="1:11">
      <c r="A2224" t="s">
        <v>319</v>
      </c>
      <c r="B2224" s="8">
        <v>252602775</v>
      </c>
      <c r="C2224" s="9">
        <v>45975</v>
      </c>
      <c r="D2224" s="8" t="s">
        <v>246</v>
      </c>
      <c r="E2224" s="10">
        <v>24000</v>
      </c>
      <c r="F2224" s="8">
        <v>0.07</v>
      </c>
      <c r="G2224" s="11">
        <v>45996</v>
      </c>
      <c r="H2224" s="12">
        <f t="shared" si="34"/>
        <v>1680</v>
      </c>
      <c r="I2224" s="10" t="s">
        <v>10</v>
      </c>
      <c r="J2224" s="13">
        <v>45993</v>
      </c>
      <c r="K2224" t="s">
        <v>337</v>
      </c>
    </row>
    <row r="2225" hidden="1" spans="1:11">
      <c r="A2225" t="s">
        <v>319</v>
      </c>
      <c r="B2225" s="8">
        <v>252602780</v>
      </c>
      <c r="C2225" s="9">
        <v>45975</v>
      </c>
      <c r="D2225" s="8" t="s">
        <v>41</v>
      </c>
      <c r="E2225" s="10">
        <v>48000</v>
      </c>
      <c r="F2225" s="8">
        <v>0.285</v>
      </c>
      <c r="G2225" s="11">
        <v>46086</v>
      </c>
      <c r="H2225" s="12">
        <f t="shared" si="34"/>
        <v>13680</v>
      </c>
      <c r="I2225" s="10" t="s">
        <v>10</v>
      </c>
      <c r="J2225" s="13">
        <v>46008</v>
      </c>
      <c r="K2225" t="s">
        <v>337</v>
      </c>
    </row>
    <row r="2226" hidden="1" spans="1:11">
      <c r="A2226" t="s">
        <v>319</v>
      </c>
      <c r="B2226" s="8">
        <v>252602783</v>
      </c>
      <c r="C2226" s="9">
        <v>45975</v>
      </c>
      <c r="D2226" s="8" t="s">
        <v>30</v>
      </c>
      <c r="E2226" s="10">
        <v>60000</v>
      </c>
      <c r="F2226" s="8">
        <v>0.022</v>
      </c>
      <c r="G2226" s="11">
        <v>45996</v>
      </c>
      <c r="H2226" s="12">
        <f t="shared" si="34"/>
        <v>1320</v>
      </c>
      <c r="I2226" s="10" t="s">
        <v>10</v>
      </c>
      <c r="J2226" s="13">
        <v>45996</v>
      </c>
      <c r="K2226" t="s">
        <v>431</v>
      </c>
    </row>
    <row r="2227" hidden="1" spans="1:11">
      <c r="A2227" t="s">
        <v>319</v>
      </c>
      <c r="B2227" s="8">
        <v>252602784</v>
      </c>
      <c r="C2227" s="9">
        <v>45975</v>
      </c>
      <c r="D2227" s="8" t="s">
        <v>602</v>
      </c>
      <c r="E2227" s="10">
        <v>200000</v>
      </c>
      <c r="F2227" s="8">
        <v>0.022</v>
      </c>
      <c r="G2227" s="11">
        <v>45996</v>
      </c>
      <c r="H2227" s="12">
        <f t="shared" si="34"/>
        <v>4400</v>
      </c>
      <c r="I2227" s="10" t="s">
        <v>10</v>
      </c>
      <c r="J2227" s="13">
        <v>45988</v>
      </c>
      <c r="K2227" t="s">
        <v>435</v>
      </c>
    </row>
    <row r="2228" hidden="1" spans="1:11">
      <c r="A2228" t="s">
        <v>319</v>
      </c>
      <c r="B2228" s="8">
        <v>252602784</v>
      </c>
      <c r="C2228" s="9">
        <v>45975</v>
      </c>
      <c r="D2228" s="8" t="s">
        <v>602</v>
      </c>
      <c r="E2228" s="10">
        <v>40000</v>
      </c>
      <c r="F2228" s="8">
        <v>0.022</v>
      </c>
      <c r="G2228" s="11">
        <v>45996</v>
      </c>
      <c r="H2228" s="12">
        <f t="shared" si="34"/>
        <v>880</v>
      </c>
      <c r="I2228" s="10" t="s">
        <v>10</v>
      </c>
      <c r="J2228" s="13">
        <v>45988</v>
      </c>
      <c r="K2228" t="s">
        <v>435</v>
      </c>
    </row>
    <row r="2229" hidden="1" spans="1:11">
      <c r="A2229" t="s">
        <v>319</v>
      </c>
      <c r="B2229" s="8">
        <v>252602784</v>
      </c>
      <c r="C2229" s="9">
        <v>45975</v>
      </c>
      <c r="D2229" s="8" t="s">
        <v>602</v>
      </c>
      <c r="E2229" s="10">
        <v>120000</v>
      </c>
      <c r="F2229" s="8">
        <v>0.022</v>
      </c>
      <c r="G2229" s="11">
        <v>46027</v>
      </c>
      <c r="H2229" s="12">
        <f t="shared" si="34"/>
        <v>2640</v>
      </c>
      <c r="I2229" s="10" t="s">
        <v>10</v>
      </c>
      <c r="J2229" s="13">
        <v>45988</v>
      </c>
      <c r="K2229" t="s">
        <v>435</v>
      </c>
    </row>
    <row r="2230" hidden="1" spans="1:11">
      <c r="A2230" t="s">
        <v>319</v>
      </c>
      <c r="B2230" s="8">
        <v>252602784</v>
      </c>
      <c r="C2230" s="9">
        <v>45975</v>
      </c>
      <c r="D2230" s="8" t="s">
        <v>181</v>
      </c>
      <c r="E2230" s="10">
        <v>200000</v>
      </c>
      <c r="F2230" s="8">
        <v>0.0243</v>
      </c>
      <c r="G2230" s="11">
        <v>46027</v>
      </c>
      <c r="H2230" s="12">
        <f t="shared" si="34"/>
        <v>4860</v>
      </c>
      <c r="I2230" s="67" t="s">
        <v>10</v>
      </c>
      <c r="J2230" s="13">
        <v>45992</v>
      </c>
      <c r="K2230" t="s">
        <v>435</v>
      </c>
    </row>
    <row r="2231" hidden="1" spans="1:11">
      <c r="A2231" t="s">
        <v>319</v>
      </c>
      <c r="B2231" s="8">
        <v>252602784</v>
      </c>
      <c r="C2231" s="9">
        <v>45975</v>
      </c>
      <c r="D2231" s="8" t="s">
        <v>181</v>
      </c>
      <c r="E2231" s="10">
        <v>200000</v>
      </c>
      <c r="F2231" s="8">
        <v>0.0243</v>
      </c>
      <c r="G2231" s="11">
        <v>46027</v>
      </c>
      <c r="H2231" s="12">
        <f t="shared" si="34"/>
        <v>4860</v>
      </c>
      <c r="I2231" s="67" t="s">
        <v>10</v>
      </c>
      <c r="J2231" s="13">
        <v>45992</v>
      </c>
      <c r="K2231" t="s">
        <v>435</v>
      </c>
    </row>
    <row r="2232" hidden="1" spans="1:11">
      <c r="A2232" t="s">
        <v>319</v>
      </c>
      <c r="B2232" s="8">
        <v>252602784</v>
      </c>
      <c r="C2232" s="9">
        <v>45975</v>
      </c>
      <c r="D2232" s="8" t="s">
        <v>181</v>
      </c>
      <c r="E2232" s="10">
        <v>200000</v>
      </c>
      <c r="F2232" s="8">
        <v>0.0243</v>
      </c>
      <c r="G2232" s="11">
        <v>46027</v>
      </c>
      <c r="H2232" s="12">
        <f t="shared" si="34"/>
        <v>4860</v>
      </c>
      <c r="I2232" s="67" t="s">
        <v>10</v>
      </c>
      <c r="J2232" s="13">
        <v>45992</v>
      </c>
      <c r="K2232" t="s">
        <v>435</v>
      </c>
    </row>
    <row r="2233" hidden="1" spans="1:11">
      <c r="A2233" t="s">
        <v>319</v>
      </c>
      <c r="B2233" s="8">
        <v>252602784</v>
      </c>
      <c r="C2233" s="9">
        <v>45975</v>
      </c>
      <c r="D2233" s="8" t="s">
        <v>603</v>
      </c>
      <c r="E2233" s="10">
        <v>200000</v>
      </c>
      <c r="F2233" s="8">
        <v>0.027</v>
      </c>
      <c r="G2233" s="11">
        <v>46027</v>
      </c>
      <c r="H2233" s="12">
        <f t="shared" si="34"/>
        <v>5400</v>
      </c>
      <c r="I2233" s="67" t="s">
        <v>10</v>
      </c>
      <c r="J2233" s="13">
        <v>45992</v>
      </c>
      <c r="K2233" t="s">
        <v>435</v>
      </c>
    </row>
    <row r="2234" hidden="1" spans="1:11">
      <c r="A2234" t="s">
        <v>319</v>
      </c>
      <c r="B2234" s="8">
        <v>252602784</v>
      </c>
      <c r="C2234" s="9">
        <v>45975</v>
      </c>
      <c r="D2234" s="8" t="s">
        <v>603</v>
      </c>
      <c r="E2234" s="10">
        <v>100000</v>
      </c>
      <c r="F2234" s="8">
        <v>0.027</v>
      </c>
      <c r="G2234" s="11">
        <v>46027</v>
      </c>
      <c r="H2234" s="12">
        <f t="shared" si="34"/>
        <v>2700</v>
      </c>
      <c r="I2234" s="67" t="s">
        <v>10</v>
      </c>
      <c r="J2234" s="13">
        <v>45992</v>
      </c>
      <c r="K2234" t="s">
        <v>435</v>
      </c>
    </row>
    <row r="2235" hidden="1" spans="1:11">
      <c r="A2235" t="s">
        <v>319</v>
      </c>
      <c r="B2235" s="8">
        <v>252602785</v>
      </c>
      <c r="C2235" s="9">
        <v>45975</v>
      </c>
      <c r="D2235" s="8" t="s">
        <v>602</v>
      </c>
      <c r="E2235" s="10">
        <v>120000</v>
      </c>
      <c r="F2235" s="8">
        <v>0.022</v>
      </c>
      <c r="G2235" s="11">
        <v>46058</v>
      </c>
      <c r="H2235" s="12">
        <f t="shared" si="34"/>
        <v>2640</v>
      </c>
      <c r="I2235" s="10" t="s">
        <v>10</v>
      </c>
      <c r="J2235" s="13">
        <v>45988</v>
      </c>
      <c r="K2235" t="s">
        <v>435</v>
      </c>
    </row>
    <row r="2236" hidden="1" spans="1:11">
      <c r="A2236" t="s">
        <v>319</v>
      </c>
      <c r="B2236" s="8">
        <v>252602785</v>
      </c>
      <c r="C2236" s="9">
        <v>45975</v>
      </c>
      <c r="D2236" s="8" t="s">
        <v>181</v>
      </c>
      <c r="E2236" s="10">
        <v>200000</v>
      </c>
      <c r="F2236" s="8">
        <v>0.0243</v>
      </c>
      <c r="G2236" s="11">
        <v>46058</v>
      </c>
      <c r="H2236" s="12">
        <f t="shared" si="34"/>
        <v>4860</v>
      </c>
      <c r="I2236" s="67" t="s">
        <v>10</v>
      </c>
      <c r="J2236" s="13">
        <v>45992</v>
      </c>
      <c r="K2236" t="s">
        <v>435</v>
      </c>
    </row>
    <row r="2237" hidden="1" spans="1:11">
      <c r="A2237" t="s">
        <v>319</v>
      </c>
      <c r="B2237" s="8">
        <v>252602785</v>
      </c>
      <c r="C2237" s="9">
        <v>45975</v>
      </c>
      <c r="D2237" s="8" t="s">
        <v>181</v>
      </c>
      <c r="E2237" s="10">
        <v>200000</v>
      </c>
      <c r="F2237" s="8">
        <v>0.0243</v>
      </c>
      <c r="G2237" s="11">
        <v>46058</v>
      </c>
      <c r="H2237" s="12">
        <f t="shared" si="34"/>
        <v>4860</v>
      </c>
      <c r="I2237" s="67" t="s">
        <v>10</v>
      </c>
      <c r="J2237" s="13">
        <v>45992</v>
      </c>
      <c r="K2237" t="s">
        <v>435</v>
      </c>
    </row>
    <row r="2238" hidden="1" spans="1:11">
      <c r="A2238" t="s">
        <v>319</v>
      </c>
      <c r="B2238" s="8">
        <v>252602785</v>
      </c>
      <c r="C2238" s="9">
        <v>45975</v>
      </c>
      <c r="D2238" s="8" t="s">
        <v>181</v>
      </c>
      <c r="E2238" s="10">
        <v>100000</v>
      </c>
      <c r="F2238" s="8">
        <v>0.0243</v>
      </c>
      <c r="G2238" s="11">
        <v>46058</v>
      </c>
      <c r="H2238" s="12">
        <f t="shared" si="34"/>
        <v>2430</v>
      </c>
      <c r="I2238" s="67" t="s">
        <v>10</v>
      </c>
      <c r="J2238" s="13">
        <v>45992</v>
      </c>
      <c r="K2238" t="s">
        <v>435</v>
      </c>
    </row>
    <row r="2239" hidden="1" spans="1:11">
      <c r="A2239" t="s">
        <v>319</v>
      </c>
      <c r="B2239" s="8">
        <v>252602785</v>
      </c>
      <c r="C2239" s="9">
        <v>45975</v>
      </c>
      <c r="D2239" s="8" t="s">
        <v>181</v>
      </c>
      <c r="E2239" s="10">
        <v>200000</v>
      </c>
      <c r="F2239" s="8">
        <v>0.0243</v>
      </c>
      <c r="G2239" s="11">
        <v>46086</v>
      </c>
      <c r="H2239" s="12">
        <f t="shared" si="34"/>
        <v>4860</v>
      </c>
      <c r="I2239" s="67" t="s">
        <v>10</v>
      </c>
      <c r="J2239" s="13">
        <v>45992</v>
      </c>
      <c r="K2239" t="s">
        <v>435</v>
      </c>
    </row>
    <row r="2240" hidden="1" spans="1:11">
      <c r="A2240" t="s">
        <v>319</v>
      </c>
      <c r="B2240" s="8">
        <v>252602785</v>
      </c>
      <c r="C2240" s="9">
        <v>45975</v>
      </c>
      <c r="D2240" s="8" t="s">
        <v>181</v>
      </c>
      <c r="E2240" s="10">
        <v>200000</v>
      </c>
      <c r="F2240" s="8">
        <v>0.0243</v>
      </c>
      <c r="G2240" s="11">
        <v>46086</v>
      </c>
      <c r="H2240" s="12">
        <f t="shared" si="34"/>
        <v>4860</v>
      </c>
      <c r="I2240" s="67" t="s">
        <v>10</v>
      </c>
      <c r="J2240" s="13">
        <v>45992</v>
      </c>
      <c r="K2240" t="s">
        <v>435</v>
      </c>
    </row>
    <row r="2241" hidden="1" spans="1:11">
      <c r="A2241" t="s">
        <v>319</v>
      </c>
      <c r="B2241" s="8">
        <v>252602785</v>
      </c>
      <c r="C2241" s="9">
        <v>45975</v>
      </c>
      <c r="D2241" s="8" t="s">
        <v>181</v>
      </c>
      <c r="E2241" s="10">
        <v>100000</v>
      </c>
      <c r="F2241" s="8">
        <v>0.0243</v>
      </c>
      <c r="G2241" s="11">
        <v>46086</v>
      </c>
      <c r="H2241" s="12">
        <f t="shared" si="34"/>
        <v>2430</v>
      </c>
      <c r="I2241" s="67" t="s">
        <v>10</v>
      </c>
      <c r="J2241" s="13">
        <v>45992</v>
      </c>
      <c r="K2241" t="s">
        <v>435</v>
      </c>
    </row>
    <row r="2242" hidden="1" spans="1:11">
      <c r="A2242" t="s">
        <v>319</v>
      </c>
      <c r="B2242" s="8">
        <v>252602785</v>
      </c>
      <c r="C2242" s="9">
        <v>45975</v>
      </c>
      <c r="D2242" s="8" t="s">
        <v>603</v>
      </c>
      <c r="E2242" s="10">
        <v>200000</v>
      </c>
      <c r="F2242" s="8">
        <v>0.027</v>
      </c>
      <c r="G2242" s="11">
        <v>46058</v>
      </c>
      <c r="H2242" s="12">
        <f t="shared" ref="H2242:H2305" si="35">E2242*F2242</f>
        <v>5400</v>
      </c>
      <c r="I2242" s="67" t="s">
        <v>10</v>
      </c>
      <c r="J2242" s="13">
        <v>45992</v>
      </c>
      <c r="K2242" t="s">
        <v>435</v>
      </c>
    </row>
    <row r="2243" hidden="1" spans="1:11">
      <c r="A2243" t="s">
        <v>319</v>
      </c>
      <c r="B2243" s="8">
        <v>252602791</v>
      </c>
      <c r="C2243" s="9">
        <v>45975</v>
      </c>
      <c r="D2243" s="8" t="s">
        <v>35</v>
      </c>
      <c r="E2243" s="10">
        <v>40000</v>
      </c>
      <c r="F2243" s="8">
        <v>0.05</v>
      </c>
      <c r="G2243" s="11">
        <v>46058</v>
      </c>
      <c r="H2243" s="12">
        <f t="shared" si="35"/>
        <v>2000</v>
      </c>
      <c r="I2243" s="10" t="s">
        <v>10</v>
      </c>
      <c r="J2243" s="13">
        <v>46008</v>
      </c>
      <c r="K2243" t="s">
        <v>486</v>
      </c>
    </row>
    <row r="2244" hidden="1" spans="1:11">
      <c r="A2244" t="s">
        <v>319</v>
      </c>
      <c r="B2244" s="14">
        <v>252602793</v>
      </c>
      <c r="C2244" s="13">
        <v>45975</v>
      </c>
      <c r="D2244" s="27" t="s">
        <v>575</v>
      </c>
      <c r="E2244" s="15">
        <v>4000</v>
      </c>
      <c r="F2244" s="14">
        <v>0.15</v>
      </c>
      <c r="G2244" s="16">
        <v>45996</v>
      </c>
      <c r="H2244" s="17">
        <f t="shared" si="35"/>
        <v>600</v>
      </c>
      <c r="I2244" s="15" t="s">
        <v>10</v>
      </c>
      <c r="J2244" s="15"/>
      <c r="K2244" t="s">
        <v>486</v>
      </c>
    </row>
    <row r="2245" hidden="1" spans="1:11">
      <c r="A2245" t="s">
        <v>319</v>
      </c>
      <c r="B2245" s="8">
        <v>252602831</v>
      </c>
      <c r="C2245" s="9">
        <v>45978</v>
      </c>
      <c r="D2245" s="8" t="s">
        <v>425</v>
      </c>
      <c r="E2245" s="10">
        <v>20000</v>
      </c>
      <c r="F2245" s="8">
        <v>0.07</v>
      </c>
      <c r="G2245" s="11">
        <v>46058</v>
      </c>
      <c r="H2245" s="12">
        <f t="shared" si="35"/>
        <v>1400</v>
      </c>
      <c r="I2245" s="10" t="s">
        <v>10</v>
      </c>
      <c r="J2245" s="13">
        <v>46008</v>
      </c>
      <c r="K2245" t="s">
        <v>431</v>
      </c>
    </row>
    <row r="2246" hidden="1" spans="1:11">
      <c r="A2246" t="s">
        <v>319</v>
      </c>
      <c r="B2246" s="8">
        <v>252602831</v>
      </c>
      <c r="C2246" s="9">
        <v>45978</v>
      </c>
      <c r="D2246" s="8" t="s">
        <v>425</v>
      </c>
      <c r="E2246" s="10">
        <v>20000</v>
      </c>
      <c r="F2246" s="8">
        <v>0.07</v>
      </c>
      <c r="G2246" s="11">
        <v>46086</v>
      </c>
      <c r="H2246" s="12">
        <f t="shared" si="35"/>
        <v>1400</v>
      </c>
      <c r="I2246" s="10" t="s">
        <v>10</v>
      </c>
      <c r="J2246" s="13">
        <v>46008</v>
      </c>
      <c r="K2246" t="s">
        <v>431</v>
      </c>
    </row>
    <row r="2247" hidden="1" spans="1:11">
      <c r="A2247" t="s">
        <v>319</v>
      </c>
      <c r="B2247" s="8">
        <v>252602833</v>
      </c>
      <c r="C2247" s="9">
        <v>45978</v>
      </c>
      <c r="D2247" s="8" t="s">
        <v>426</v>
      </c>
      <c r="E2247" s="10">
        <v>200000</v>
      </c>
      <c r="F2247" s="8">
        <v>0.032</v>
      </c>
      <c r="G2247" s="11">
        <v>46086</v>
      </c>
      <c r="H2247" s="12">
        <f t="shared" si="35"/>
        <v>6400</v>
      </c>
      <c r="I2247" s="10" t="s">
        <v>10</v>
      </c>
      <c r="J2247" s="13">
        <v>46094</v>
      </c>
      <c r="K2247" t="s">
        <v>431</v>
      </c>
    </row>
    <row r="2248" hidden="1" spans="1:11">
      <c r="A2248" t="s">
        <v>319</v>
      </c>
      <c r="B2248" s="8">
        <v>252602833</v>
      </c>
      <c r="C2248" s="9">
        <v>45978</v>
      </c>
      <c r="D2248" s="8" t="s">
        <v>426</v>
      </c>
      <c r="E2248" s="10">
        <v>200000</v>
      </c>
      <c r="F2248" s="8">
        <v>0.032</v>
      </c>
      <c r="G2248" s="11">
        <v>46086</v>
      </c>
      <c r="H2248" s="12">
        <f t="shared" si="35"/>
        <v>6400</v>
      </c>
      <c r="I2248" s="10" t="s">
        <v>10</v>
      </c>
      <c r="J2248" s="13">
        <v>46094</v>
      </c>
      <c r="K2248" t="s">
        <v>431</v>
      </c>
    </row>
    <row r="2249" hidden="1" spans="1:11">
      <c r="A2249" t="s">
        <v>319</v>
      </c>
      <c r="B2249" s="8">
        <v>252602833</v>
      </c>
      <c r="C2249" s="9">
        <v>45978</v>
      </c>
      <c r="D2249" s="8" t="s">
        <v>426</v>
      </c>
      <c r="E2249" s="10">
        <v>200000</v>
      </c>
      <c r="F2249" s="8">
        <v>0.032</v>
      </c>
      <c r="G2249" s="11">
        <v>46086</v>
      </c>
      <c r="H2249" s="12">
        <f t="shared" si="35"/>
        <v>6400</v>
      </c>
      <c r="I2249" s="10" t="s">
        <v>10</v>
      </c>
      <c r="J2249" s="13">
        <v>46094</v>
      </c>
      <c r="K2249" t="s">
        <v>431</v>
      </c>
    </row>
    <row r="2250" hidden="1" spans="1:11">
      <c r="A2250" t="s">
        <v>319</v>
      </c>
      <c r="B2250" s="8">
        <v>252602833</v>
      </c>
      <c r="C2250" s="9">
        <v>45978</v>
      </c>
      <c r="D2250" s="8" t="s">
        <v>426</v>
      </c>
      <c r="E2250" s="10">
        <v>100000</v>
      </c>
      <c r="F2250" s="8">
        <v>0.032</v>
      </c>
      <c r="G2250" s="11">
        <v>46086</v>
      </c>
      <c r="H2250" s="12">
        <f t="shared" si="35"/>
        <v>3200</v>
      </c>
      <c r="I2250" s="10" t="s">
        <v>10</v>
      </c>
      <c r="J2250" s="13">
        <v>46094</v>
      </c>
      <c r="K2250" t="s">
        <v>431</v>
      </c>
    </row>
    <row r="2251" hidden="1" spans="1:11">
      <c r="A2251" t="s">
        <v>319</v>
      </c>
      <c r="B2251" s="8">
        <v>252602833</v>
      </c>
      <c r="C2251" s="9">
        <v>45978</v>
      </c>
      <c r="D2251" s="8" t="s">
        <v>426</v>
      </c>
      <c r="E2251" s="10">
        <v>200000</v>
      </c>
      <c r="F2251" s="8">
        <v>0.032</v>
      </c>
      <c r="G2251" s="11">
        <v>46117</v>
      </c>
      <c r="H2251" s="12">
        <f t="shared" si="35"/>
        <v>6400</v>
      </c>
      <c r="I2251" s="10" t="s">
        <v>10</v>
      </c>
      <c r="J2251" s="13">
        <v>46094</v>
      </c>
      <c r="K2251" t="s">
        <v>431</v>
      </c>
    </row>
    <row r="2252" hidden="1" spans="1:11">
      <c r="A2252" t="s">
        <v>319</v>
      </c>
      <c r="B2252" s="8">
        <v>252602833</v>
      </c>
      <c r="C2252" s="9">
        <v>45978</v>
      </c>
      <c r="D2252" s="8" t="s">
        <v>426</v>
      </c>
      <c r="E2252" s="10">
        <v>200000</v>
      </c>
      <c r="F2252" s="8">
        <v>0.032</v>
      </c>
      <c r="G2252" s="11">
        <v>46117</v>
      </c>
      <c r="H2252" s="12">
        <f t="shared" si="35"/>
        <v>6400</v>
      </c>
      <c r="I2252" s="10" t="s">
        <v>10</v>
      </c>
      <c r="J2252" s="13">
        <v>46094</v>
      </c>
      <c r="K2252" t="s">
        <v>431</v>
      </c>
    </row>
    <row r="2253" hidden="1" spans="1:11">
      <c r="A2253" t="s">
        <v>319</v>
      </c>
      <c r="B2253" s="8">
        <v>252602833</v>
      </c>
      <c r="C2253" s="9">
        <v>45978</v>
      </c>
      <c r="D2253" s="8" t="s">
        <v>426</v>
      </c>
      <c r="E2253" s="10">
        <v>200000</v>
      </c>
      <c r="F2253" s="8">
        <v>0.032</v>
      </c>
      <c r="G2253" s="11">
        <v>46117</v>
      </c>
      <c r="H2253" s="12">
        <f t="shared" si="35"/>
        <v>6400</v>
      </c>
      <c r="I2253" s="10" t="s">
        <v>10</v>
      </c>
      <c r="J2253" s="13">
        <v>46094</v>
      </c>
      <c r="K2253" t="s">
        <v>431</v>
      </c>
    </row>
    <row r="2254" hidden="1" spans="1:11">
      <c r="A2254" t="s">
        <v>319</v>
      </c>
      <c r="B2254" s="8">
        <v>252602833</v>
      </c>
      <c r="C2254" s="9">
        <v>45978</v>
      </c>
      <c r="D2254" s="8" t="s">
        <v>426</v>
      </c>
      <c r="E2254" s="10">
        <v>100000</v>
      </c>
      <c r="F2254" s="8">
        <v>0.032</v>
      </c>
      <c r="G2254" s="11">
        <v>46117</v>
      </c>
      <c r="H2254" s="12">
        <f t="shared" si="35"/>
        <v>3200</v>
      </c>
      <c r="I2254" s="10" t="s">
        <v>10</v>
      </c>
      <c r="J2254" s="13">
        <v>46094</v>
      </c>
      <c r="K2254" t="s">
        <v>431</v>
      </c>
    </row>
    <row r="2255" hidden="1" spans="1:11">
      <c r="A2255" t="s">
        <v>319</v>
      </c>
      <c r="B2255" s="8">
        <v>252602834</v>
      </c>
      <c r="C2255" s="9">
        <v>45978</v>
      </c>
      <c r="D2255" s="8" t="s">
        <v>426</v>
      </c>
      <c r="E2255" s="10">
        <v>200000</v>
      </c>
      <c r="F2255" s="8">
        <v>0.032</v>
      </c>
      <c r="G2255" s="11">
        <v>46086</v>
      </c>
      <c r="H2255" s="12">
        <f t="shared" si="35"/>
        <v>6400</v>
      </c>
      <c r="I2255" s="10" t="s">
        <v>10</v>
      </c>
      <c r="J2255" s="13">
        <v>46094</v>
      </c>
      <c r="K2255" t="s">
        <v>489</v>
      </c>
    </row>
    <row r="2256" hidden="1" spans="1:11">
      <c r="A2256" t="s">
        <v>319</v>
      </c>
      <c r="B2256" s="8">
        <v>252602834</v>
      </c>
      <c r="C2256" s="9">
        <v>45978</v>
      </c>
      <c r="D2256" s="8" t="s">
        <v>426</v>
      </c>
      <c r="E2256" s="10">
        <v>200000</v>
      </c>
      <c r="F2256" s="8">
        <v>0.032</v>
      </c>
      <c r="G2256" s="11">
        <v>46086</v>
      </c>
      <c r="H2256" s="12">
        <f t="shared" si="35"/>
        <v>6400</v>
      </c>
      <c r="I2256" s="10" t="s">
        <v>10</v>
      </c>
      <c r="J2256" s="13">
        <v>46094</v>
      </c>
      <c r="K2256" t="s">
        <v>489</v>
      </c>
    </row>
    <row r="2257" hidden="1" spans="1:11">
      <c r="A2257" t="s">
        <v>319</v>
      </c>
      <c r="B2257" s="8">
        <v>252602834</v>
      </c>
      <c r="C2257" s="9">
        <v>45978</v>
      </c>
      <c r="D2257" s="8" t="s">
        <v>426</v>
      </c>
      <c r="E2257" s="10">
        <v>200000</v>
      </c>
      <c r="F2257" s="8">
        <v>0.032</v>
      </c>
      <c r="G2257" s="11">
        <v>46117</v>
      </c>
      <c r="H2257" s="12">
        <f t="shared" si="35"/>
        <v>6400</v>
      </c>
      <c r="I2257" s="10" t="s">
        <v>10</v>
      </c>
      <c r="J2257" s="13">
        <v>46094</v>
      </c>
      <c r="K2257" t="s">
        <v>489</v>
      </c>
    </row>
    <row r="2258" hidden="1" spans="1:11">
      <c r="A2258" t="s">
        <v>319</v>
      </c>
      <c r="B2258" s="8">
        <v>252602834</v>
      </c>
      <c r="C2258" s="9">
        <v>45978</v>
      </c>
      <c r="D2258" s="8" t="s">
        <v>426</v>
      </c>
      <c r="E2258" s="10">
        <v>200000</v>
      </c>
      <c r="F2258" s="8">
        <v>0.032</v>
      </c>
      <c r="G2258" s="11">
        <v>46117</v>
      </c>
      <c r="H2258" s="12">
        <f t="shared" si="35"/>
        <v>6400</v>
      </c>
      <c r="I2258" s="10" t="s">
        <v>10</v>
      </c>
      <c r="J2258" s="13">
        <v>46094</v>
      </c>
      <c r="K2258" t="s">
        <v>489</v>
      </c>
    </row>
    <row r="2259" hidden="1" spans="1:11">
      <c r="A2259" t="s">
        <v>319</v>
      </c>
      <c r="B2259" s="8">
        <v>252602835</v>
      </c>
      <c r="C2259" s="9">
        <v>45978</v>
      </c>
      <c r="D2259" s="8" t="s">
        <v>426</v>
      </c>
      <c r="E2259" s="10">
        <v>200000</v>
      </c>
      <c r="F2259" s="8">
        <v>0.032</v>
      </c>
      <c r="G2259" s="11">
        <v>46086</v>
      </c>
      <c r="H2259" s="12">
        <f t="shared" si="35"/>
        <v>6400</v>
      </c>
      <c r="I2259" s="10" t="s">
        <v>10</v>
      </c>
      <c r="J2259" s="13">
        <v>46098</v>
      </c>
      <c r="K2259" t="s">
        <v>495</v>
      </c>
    </row>
    <row r="2260" hidden="1" spans="1:11">
      <c r="A2260" t="s">
        <v>319</v>
      </c>
      <c r="B2260" s="8">
        <v>252602835</v>
      </c>
      <c r="C2260" s="9">
        <v>45978</v>
      </c>
      <c r="D2260" s="8" t="s">
        <v>426</v>
      </c>
      <c r="E2260" s="10">
        <v>200000</v>
      </c>
      <c r="F2260" s="8">
        <v>0.032</v>
      </c>
      <c r="G2260" s="11">
        <v>46086</v>
      </c>
      <c r="H2260" s="12">
        <f t="shared" si="35"/>
        <v>6400</v>
      </c>
      <c r="I2260" s="10" t="s">
        <v>10</v>
      </c>
      <c r="J2260" s="13">
        <v>46098</v>
      </c>
      <c r="K2260" t="s">
        <v>495</v>
      </c>
    </row>
    <row r="2261" hidden="1" spans="1:11">
      <c r="A2261" t="s">
        <v>319</v>
      </c>
      <c r="B2261" s="8">
        <v>252602835</v>
      </c>
      <c r="C2261" s="9">
        <v>45978</v>
      </c>
      <c r="D2261" s="8" t="s">
        <v>426</v>
      </c>
      <c r="E2261" s="10">
        <v>100000</v>
      </c>
      <c r="F2261" s="8">
        <v>0.032</v>
      </c>
      <c r="G2261" s="11">
        <v>46086</v>
      </c>
      <c r="H2261" s="12">
        <f t="shared" si="35"/>
        <v>3200</v>
      </c>
      <c r="I2261" s="10" t="s">
        <v>10</v>
      </c>
      <c r="J2261" s="13">
        <v>46098</v>
      </c>
      <c r="K2261" t="s">
        <v>495</v>
      </c>
    </row>
    <row r="2262" hidden="1" spans="1:11">
      <c r="A2262" t="s">
        <v>319</v>
      </c>
      <c r="B2262" s="8">
        <v>252602835</v>
      </c>
      <c r="C2262" s="9">
        <v>45978</v>
      </c>
      <c r="D2262" s="8" t="s">
        <v>426</v>
      </c>
      <c r="E2262" s="10">
        <v>200000</v>
      </c>
      <c r="F2262" s="8">
        <v>0.032</v>
      </c>
      <c r="G2262" s="11">
        <v>46117</v>
      </c>
      <c r="H2262" s="12">
        <f t="shared" si="35"/>
        <v>6400</v>
      </c>
      <c r="I2262" s="10" t="s">
        <v>10</v>
      </c>
      <c r="J2262" s="13">
        <v>46098</v>
      </c>
      <c r="K2262" t="s">
        <v>495</v>
      </c>
    </row>
    <row r="2263" hidden="1" spans="1:11">
      <c r="A2263" t="s">
        <v>319</v>
      </c>
      <c r="B2263" s="8">
        <v>252602835</v>
      </c>
      <c r="C2263" s="9">
        <v>45978</v>
      </c>
      <c r="D2263" s="8" t="s">
        <v>426</v>
      </c>
      <c r="E2263" s="10">
        <v>200000</v>
      </c>
      <c r="F2263" s="8">
        <v>0.032</v>
      </c>
      <c r="G2263" s="11">
        <v>46117</v>
      </c>
      <c r="H2263" s="12">
        <f t="shared" si="35"/>
        <v>6400</v>
      </c>
      <c r="I2263" s="10" t="s">
        <v>10</v>
      </c>
      <c r="J2263" s="13">
        <v>46098</v>
      </c>
      <c r="K2263" t="s">
        <v>495</v>
      </c>
    </row>
    <row r="2264" hidden="1" spans="1:11">
      <c r="A2264" t="s">
        <v>319</v>
      </c>
      <c r="B2264" s="8">
        <v>252602835</v>
      </c>
      <c r="C2264" s="9">
        <v>45978</v>
      </c>
      <c r="D2264" s="8" t="s">
        <v>426</v>
      </c>
      <c r="E2264" s="10">
        <v>100000</v>
      </c>
      <c r="F2264" s="8">
        <v>0.032</v>
      </c>
      <c r="G2264" s="11">
        <v>46117</v>
      </c>
      <c r="H2264" s="12">
        <f t="shared" si="35"/>
        <v>3200</v>
      </c>
      <c r="I2264" s="10" t="s">
        <v>10</v>
      </c>
      <c r="J2264" s="13">
        <v>46098</v>
      </c>
      <c r="K2264" t="s">
        <v>495</v>
      </c>
    </row>
    <row r="2265" hidden="1" spans="1:11">
      <c r="A2265" t="s">
        <v>319</v>
      </c>
      <c r="B2265" s="8">
        <v>252602881</v>
      </c>
      <c r="C2265" s="9">
        <v>45981</v>
      </c>
      <c r="D2265" s="50" t="s">
        <v>181</v>
      </c>
      <c r="E2265" s="10">
        <v>400000</v>
      </c>
      <c r="F2265" s="8">
        <v>0.0243</v>
      </c>
      <c r="G2265" s="11">
        <v>46027</v>
      </c>
      <c r="H2265" s="12">
        <f t="shared" si="35"/>
        <v>9720</v>
      </c>
      <c r="I2265" s="10" t="s">
        <v>10</v>
      </c>
      <c r="J2265" s="13">
        <v>45996</v>
      </c>
      <c r="K2265" t="s">
        <v>439</v>
      </c>
    </row>
    <row r="2266" hidden="1" spans="1:11">
      <c r="A2266" t="s">
        <v>319</v>
      </c>
      <c r="B2266" s="8">
        <v>252602889</v>
      </c>
      <c r="C2266" s="9">
        <v>45979</v>
      </c>
      <c r="D2266" s="8" t="s">
        <v>466</v>
      </c>
      <c r="E2266" s="10">
        <v>3192</v>
      </c>
      <c r="F2266" s="8">
        <v>0.12</v>
      </c>
      <c r="G2266" s="11">
        <v>46027</v>
      </c>
      <c r="H2266" s="12">
        <f t="shared" si="35"/>
        <v>383.04</v>
      </c>
      <c r="I2266" s="10" t="s">
        <v>10</v>
      </c>
      <c r="J2266" s="13">
        <v>45993</v>
      </c>
      <c r="K2266" t="s">
        <v>365</v>
      </c>
    </row>
    <row r="2267" hidden="1" spans="1:11">
      <c r="A2267" t="s">
        <v>319</v>
      </c>
      <c r="B2267" s="14">
        <v>252602895</v>
      </c>
      <c r="C2267" s="13">
        <v>45982</v>
      </c>
      <c r="D2267" s="14" t="s">
        <v>613</v>
      </c>
      <c r="E2267" s="15">
        <v>1000</v>
      </c>
      <c r="F2267" s="14">
        <v>0.048</v>
      </c>
      <c r="G2267" s="16">
        <v>45986</v>
      </c>
      <c r="H2267" s="17">
        <f t="shared" si="35"/>
        <v>48</v>
      </c>
      <c r="I2267" s="15" t="s">
        <v>51</v>
      </c>
      <c r="J2267" s="15"/>
      <c r="K2267" t="s">
        <v>528</v>
      </c>
    </row>
    <row r="2268" hidden="1" spans="1:11">
      <c r="A2268" t="s">
        <v>319</v>
      </c>
      <c r="B2268" s="14">
        <v>252602895</v>
      </c>
      <c r="C2268" s="13">
        <v>45982</v>
      </c>
      <c r="D2268" s="14" t="s">
        <v>614</v>
      </c>
      <c r="E2268" s="15">
        <v>1000</v>
      </c>
      <c r="F2268" s="14">
        <v>0.045</v>
      </c>
      <c r="G2268" s="16">
        <v>45986</v>
      </c>
      <c r="H2268" s="17">
        <f t="shared" si="35"/>
        <v>45</v>
      </c>
      <c r="I2268" s="15" t="s">
        <v>51</v>
      </c>
      <c r="J2268" s="15"/>
      <c r="K2268" t="s">
        <v>528</v>
      </c>
    </row>
    <row r="2269" hidden="1" spans="1:11">
      <c r="A2269" t="s">
        <v>319</v>
      </c>
      <c r="B2269" s="8">
        <v>252602899</v>
      </c>
      <c r="C2269" s="9">
        <v>45981</v>
      </c>
      <c r="D2269" s="8" t="s">
        <v>533</v>
      </c>
      <c r="E2269" s="10">
        <v>34000</v>
      </c>
      <c r="F2269" s="8">
        <v>0.028</v>
      </c>
      <c r="G2269" s="11">
        <v>46027</v>
      </c>
      <c r="H2269" s="12">
        <f t="shared" si="35"/>
        <v>952</v>
      </c>
      <c r="I2269" s="10" t="s">
        <v>10</v>
      </c>
      <c r="J2269" s="13">
        <v>46006</v>
      </c>
      <c r="K2269" t="s">
        <v>378</v>
      </c>
    </row>
    <row r="2270" hidden="1" spans="1:11">
      <c r="A2270" t="s">
        <v>319</v>
      </c>
      <c r="B2270" s="8">
        <v>252602899</v>
      </c>
      <c r="C2270" s="9">
        <v>45981</v>
      </c>
      <c r="D2270" s="8" t="s">
        <v>128</v>
      </c>
      <c r="E2270" s="10">
        <v>20000</v>
      </c>
      <c r="F2270" s="8">
        <v>0.025</v>
      </c>
      <c r="G2270" s="11">
        <v>46027</v>
      </c>
      <c r="H2270" s="12">
        <f t="shared" si="35"/>
        <v>500</v>
      </c>
      <c r="I2270" s="10" t="s">
        <v>10</v>
      </c>
      <c r="J2270" s="13">
        <v>46035</v>
      </c>
      <c r="K2270" t="s">
        <v>378</v>
      </c>
    </row>
    <row r="2271" hidden="1" spans="1:11">
      <c r="A2271" t="s">
        <v>319</v>
      </c>
      <c r="B2271" s="8">
        <v>252602909</v>
      </c>
      <c r="C2271" s="9">
        <v>45982</v>
      </c>
      <c r="D2271" s="8" t="s">
        <v>58</v>
      </c>
      <c r="E2271" s="10">
        <v>100000</v>
      </c>
      <c r="F2271" s="8">
        <v>0.014</v>
      </c>
      <c r="G2271" s="11">
        <v>46027</v>
      </c>
      <c r="H2271" s="12">
        <f t="shared" si="35"/>
        <v>1400</v>
      </c>
      <c r="I2271" s="67" t="s">
        <v>10</v>
      </c>
      <c r="J2271" s="13">
        <v>45992</v>
      </c>
      <c r="K2271" t="s">
        <v>467</v>
      </c>
    </row>
    <row r="2272" hidden="1" spans="1:11">
      <c r="A2272" t="s">
        <v>319</v>
      </c>
      <c r="B2272" s="8">
        <v>252602909</v>
      </c>
      <c r="C2272" s="9">
        <v>45982</v>
      </c>
      <c r="D2272" s="8" t="s">
        <v>315</v>
      </c>
      <c r="E2272" s="10">
        <v>20000</v>
      </c>
      <c r="F2272" s="8">
        <v>0.0522</v>
      </c>
      <c r="G2272" s="11">
        <v>46058</v>
      </c>
      <c r="H2272" s="12">
        <f t="shared" si="35"/>
        <v>1044</v>
      </c>
      <c r="I2272" s="67" t="s">
        <v>10</v>
      </c>
      <c r="J2272" s="13">
        <v>45992</v>
      </c>
      <c r="K2272" t="s">
        <v>467</v>
      </c>
    </row>
    <row r="2273" hidden="1" spans="1:11">
      <c r="A2273" t="s">
        <v>319</v>
      </c>
      <c r="B2273" s="8">
        <v>252602909</v>
      </c>
      <c r="C2273" s="9">
        <v>45982</v>
      </c>
      <c r="D2273" s="8" t="s">
        <v>32</v>
      </c>
      <c r="E2273" s="10">
        <v>100000</v>
      </c>
      <c r="F2273" s="8">
        <v>0.014</v>
      </c>
      <c r="G2273" s="11">
        <v>46027</v>
      </c>
      <c r="H2273" s="12">
        <f t="shared" si="35"/>
        <v>1400</v>
      </c>
      <c r="I2273" s="67" t="s">
        <v>10</v>
      </c>
      <c r="J2273" s="13">
        <v>45992</v>
      </c>
      <c r="K2273" t="s">
        <v>467</v>
      </c>
    </row>
    <row r="2274" hidden="1" spans="1:11">
      <c r="A2274" t="s">
        <v>319</v>
      </c>
      <c r="B2274" s="8">
        <v>252602909</v>
      </c>
      <c r="C2274" s="9">
        <v>45982</v>
      </c>
      <c r="D2274" s="8" t="s">
        <v>100</v>
      </c>
      <c r="E2274" s="10">
        <v>100000</v>
      </c>
      <c r="F2274" s="8">
        <v>0.0224</v>
      </c>
      <c r="G2274" s="11">
        <v>46027</v>
      </c>
      <c r="H2274" s="12">
        <f t="shared" si="35"/>
        <v>2240</v>
      </c>
      <c r="I2274" s="67" t="s">
        <v>10</v>
      </c>
      <c r="J2274" s="13">
        <v>45992</v>
      </c>
      <c r="K2274" t="s">
        <v>467</v>
      </c>
    </row>
    <row r="2275" hidden="1" spans="1:11">
      <c r="A2275" t="s">
        <v>319</v>
      </c>
      <c r="B2275" s="8">
        <v>252602909</v>
      </c>
      <c r="C2275" s="9">
        <v>45982</v>
      </c>
      <c r="D2275" s="8" t="s">
        <v>100</v>
      </c>
      <c r="E2275" s="10">
        <v>100000</v>
      </c>
      <c r="F2275" s="8">
        <v>0.0224</v>
      </c>
      <c r="G2275" s="11">
        <v>46058</v>
      </c>
      <c r="H2275" s="12">
        <f t="shared" si="35"/>
        <v>2240</v>
      </c>
      <c r="I2275" s="67" t="s">
        <v>10</v>
      </c>
      <c r="J2275" s="13">
        <v>45992</v>
      </c>
      <c r="K2275" t="s">
        <v>467</v>
      </c>
    </row>
    <row r="2276" hidden="1" spans="1:11">
      <c r="A2276" t="s">
        <v>319</v>
      </c>
      <c r="B2276" s="8">
        <v>252602909</v>
      </c>
      <c r="C2276" s="9">
        <v>45982</v>
      </c>
      <c r="D2276" s="8" t="s">
        <v>468</v>
      </c>
      <c r="E2276" s="10">
        <v>50000</v>
      </c>
      <c r="F2276" s="8">
        <v>0.028</v>
      </c>
      <c r="G2276" s="11">
        <v>46027</v>
      </c>
      <c r="H2276" s="12">
        <f t="shared" si="35"/>
        <v>1400</v>
      </c>
      <c r="I2276" s="67" t="s">
        <v>10</v>
      </c>
      <c r="J2276" s="13">
        <v>45992</v>
      </c>
      <c r="K2276" t="s">
        <v>467</v>
      </c>
    </row>
    <row r="2277" hidden="1" spans="1:11">
      <c r="A2277" t="s">
        <v>319</v>
      </c>
      <c r="B2277" s="8">
        <v>252602909</v>
      </c>
      <c r="C2277" s="9">
        <v>45982</v>
      </c>
      <c r="D2277" s="8" t="s">
        <v>468</v>
      </c>
      <c r="E2277" s="10">
        <v>50000</v>
      </c>
      <c r="F2277" s="8">
        <v>0.028</v>
      </c>
      <c r="G2277" s="11">
        <v>46058</v>
      </c>
      <c r="H2277" s="12">
        <f t="shared" si="35"/>
        <v>1400</v>
      </c>
      <c r="I2277" s="67" t="s">
        <v>10</v>
      </c>
      <c r="J2277" s="13">
        <v>45992</v>
      </c>
      <c r="K2277" t="s">
        <v>467</v>
      </c>
    </row>
    <row r="2278" hidden="1" spans="1:11">
      <c r="A2278" t="s">
        <v>319</v>
      </c>
      <c r="B2278" s="8">
        <v>252602909</v>
      </c>
      <c r="C2278" s="9">
        <v>45982</v>
      </c>
      <c r="D2278" s="8" t="s">
        <v>181</v>
      </c>
      <c r="E2278" s="10">
        <v>140000</v>
      </c>
      <c r="F2278" s="8">
        <v>0.0243</v>
      </c>
      <c r="G2278" s="11">
        <v>46058</v>
      </c>
      <c r="H2278" s="12">
        <f t="shared" si="35"/>
        <v>3402</v>
      </c>
      <c r="I2278" s="67" t="s">
        <v>10</v>
      </c>
      <c r="J2278" s="13">
        <v>45992</v>
      </c>
      <c r="K2278" t="s">
        <v>467</v>
      </c>
    </row>
    <row r="2279" hidden="1" spans="1:11">
      <c r="A2279" t="s">
        <v>319</v>
      </c>
      <c r="B2279" s="8">
        <v>252602909</v>
      </c>
      <c r="C2279" s="9">
        <v>45982</v>
      </c>
      <c r="D2279" s="8" t="s">
        <v>29</v>
      </c>
      <c r="E2279" s="10">
        <v>100000</v>
      </c>
      <c r="F2279" s="8">
        <v>0.0216</v>
      </c>
      <c r="G2279" s="11">
        <v>46027</v>
      </c>
      <c r="H2279" s="12">
        <f t="shared" si="35"/>
        <v>2160</v>
      </c>
      <c r="I2279" s="67" t="s">
        <v>10</v>
      </c>
      <c r="J2279" s="13">
        <v>45992</v>
      </c>
      <c r="K2279" t="s">
        <v>467</v>
      </c>
    </row>
    <row r="2280" hidden="1" spans="1:11">
      <c r="A2280" t="s">
        <v>319</v>
      </c>
      <c r="B2280" s="8">
        <v>252602910</v>
      </c>
      <c r="C2280" s="9">
        <v>45982</v>
      </c>
      <c r="D2280" s="8" t="s">
        <v>33</v>
      </c>
      <c r="E2280" s="10">
        <v>80000</v>
      </c>
      <c r="F2280" s="8">
        <v>0.018</v>
      </c>
      <c r="G2280" s="11">
        <v>46086</v>
      </c>
      <c r="H2280" s="12">
        <f t="shared" si="35"/>
        <v>1440</v>
      </c>
      <c r="I2280" s="10" t="s">
        <v>10</v>
      </c>
      <c r="J2280" s="13">
        <v>46057</v>
      </c>
      <c r="K2280" t="s">
        <v>467</v>
      </c>
    </row>
    <row r="2281" hidden="1" spans="1:11">
      <c r="A2281" t="s">
        <v>319</v>
      </c>
      <c r="B2281" s="8">
        <v>252602910</v>
      </c>
      <c r="C2281" s="9">
        <v>45982</v>
      </c>
      <c r="D2281" s="8" t="s">
        <v>33</v>
      </c>
      <c r="E2281" s="10">
        <v>80000</v>
      </c>
      <c r="F2281" s="8">
        <v>0.018</v>
      </c>
      <c r="G2281" s="11">
        <v>46117</v>
      </c>
      <c r="H2281" s="12">
        <f t="shared" si="35"/>
        <v>1440</v>
      </c>
      <c r="I2281" s="10" t="s">
        <v>10</v>
      </c>
      <c r="J2281" s="13">
        <v>46057</v>
      </c>
      <c r="K2281" t="s">
        <v>467</v>
      </c>
    </row>
    <row r="2282" hidden="1" spans="1:11">
      <c r="A2282" t="s">
        <v>319</v>
      </c>
      <c r="B2282" s="8">
        <v>252602910</v>
      </c>
      <c r="C2282" s="9">
        <v>45982</v>
      </c>
      <c r="D2282" s="8" t="s">
        <v>58</v>
      </c>
      <c r="E2282" s="10">
        <v>100000</v>
      </c>
      <c r="F2282" s="8">
        <v>0.014</v>
      </c>
      <c r="G2282" s="11">
        <v>46086</v>
      </c>
      <c r="H2282" s="12">
        <f t="shared" si="35"/>
        <v>1400</v>
      </c>
      <c r="I2282" s="10" t="s">
        <v>10</v>
      </c>
      <c r="J2282" s="13">
        <v>46057</v>
      </c>
      <c r="K2282" t="s">
        <v>467</v>
      </c>
    </row>
    <row r="2283" hidden="1" spans="1:11">
      <c r="A2283" t="s">
        <v>319</v>
      </c>
      <c r="B2283" s="8">
        <v>252602910</v>
      </c>
      <c r="C2283" s="9">
        <v>45982</v>
      </c>
      <c r="D2283" s="8" t="s">
        <v>31</v>
      </c>
      <c r="E2283" s="10">
        <v>200000</v>
      </c>
      <c r="F2283" s="8">
        <v>0.024</v>
      </c>
      <c r="G2283" s="11">
        <v>46086</v>
      </c>
      <c r="H2283" s="12">
        <f t="shared" si="35"/>
        <v>4800</v>
      </c>
      <c r="I2283" s="10" t="s">
        <v>10</v>
      </c>
      <c r="J2283" s="13">
        <v>46057</v>
      </c>
      <c r="K2283" t="s">
        <v>467</v>
      </c>
    </row>
    <row r="2284" hidden="1" spans="1:11">
      <c r="A2284" t="s">
        <v>319</v>
      </c>
      <c r="B2284" s="8">
        <v>252602910</v>
      </c>
      <c r="C2284" s="9">
        <v>45982</v>
      </c>
      <c r="D2284" s="8" t="s">
        <v>31</v>
      </c>
      <c r="E2284" s="10">
        <v>100000</v>
      </c>
      <c r="F2284" s="8">
        <v>0.024</v>
      </c>
      <c r="G2284" s="11">
        <v>46086</v>
      </c>
      <c r="H2284" s="12">
        <f t="shared" si="35"/>
        <v>2400</v>
      </c>
      <c r="I2284" s="10" t="s">
        <v>10</v>
      </c>
      <c r="J2284" s="13">
        <v>46057</v>
      </c>
      <c r="K2284" t="s">
        <v>467</v>
      </c>
    </row>
    <row r="2285" hidden="1" spans="1:11">
      <c r="A2285" t="s">
        <v>319</v>
      </c>
      <c r="B2285" s="8">
        <v>252602910</v>
      </c>
      <c r="C2285" s="9">
        <v>45982</v>
      </c>
      <c r="D2285" s="8" t="s">
        <v>31</v>
      </c>
      <c r="E2285" s="10">
        <v>200000</v>
      </c>
      <c r="F2285" s="8">
        <v>0.024</v>
      </c>
      <c r="G2285" s="11">
        <v>46117</v>
      </c>
      <c r="H2285" s="12">
        <f t="shared" si="35"/>
        <v>4800</v>
      </c>
      <c r="I2285" s="10" t="s">
        <v>10</v>
      </c>
      <c r="J2285" s="13">
        <v>46057</v>
      </c>
      <c r="K2285" t="s">
        <v>467</v>
      </c>
    </row>
    <row r="2286" hidden="1" spans="1:11">
      <c r="A2286" t="s">
        <v>319</v>
      </c>
      <c r="B2286" s="8">
        <v>252602910</v>
      </c>
      <c r="C2286" s="9">
        <v>45982</v>
      </c>
      <c r="D2286" s="8" t="s">
        <v>31</v>
      </c>
      <c r="E2286" s="10">
        <v>100000</v>
      </c>
      <c r="F2286" s="8">
        <v>0.024</v>
      </c>
      <c r="G2286" s="11">
        <v>46117</v>
      </c>
      <c r="H2286" s="12">
        <f t="shared" si="35"/>
        <v>2400</v>
      </c>
      <c r="I2286" s="10" t="s">
        <v>10</v>
      </c>
      <c r="J2286" s="13">
        <v>46057</v>
      </c>
      <c r="K2286" t="s">
        <v>467</v>
      </c>
    </row>
    <row r="2287" hidden="1" spans="1:11">
      <c r="A2287" t="s">
        <v>319</v>
      </c>
      <c r="B2287" s="8">
        <v>252602910</v>
      </c>
      <c r="C2287" s="9">
        <v>45982</v>
      </c>
      <c r="D2287" s="8" t="s">
        <v>32</v>
      </c>
      <c r="E2287" s="10">
        <v>100000</v>
      </c>
      <c r="F2287" s="8">
        <v>0.014</v>
      </c>
      <c r="G2287" s="11">
        <v>46086</v>
      </c>
      <c r="H2287" s="12">
        <f t="shared" si="35"/>
        <v>1400</v>
      </c>
      <c r="I2287" s="10" t="s">
        <v>10</v>
      </c>
      <c r="J2287" s="13">
        <v>46057</v>
      </c>
      <c r="K2287" t="s">
        <v>467</v>
      </c>
    </row>
    <row r="2288" hidden="1" spans="1:11">
      <c r="A2288" t="s">
        <v>319</v>
      </c>
      <c r="B2288" s="8">
        <v>252602910</v>
      </c>
      <c r="C2288" s="9">
        <v>45982</v>
      </c>
      <c r="D2288" s="8" t="s">
        <v>100</v>
      </c>
      <c r="E2288" s="10">
        <v>100000</v>
      </c>
      <c r="F2288" s="8">
        <v>0.0224</v>
      </c>
      <c r="G2288" s="11">
        <v>46086</v>
      </c>
      <c r="H2288" s="12">
        <f t="shared" si="35"/>
        <v>2240</v>
      </c>
      <c r="I2288" s="10" t="s">
        <v>10</v>
      </c>
      <c r="J2288" s="13">
        <v>46057</v>
      </c>
      <c r="K2288" t="s">
        <v>467</v>
      </c>
    </row>
    <row r="2289" hidden="1" spans="1:11">
      <c r="A2289" t="s">
        <v>319</v>
      </c>
      <c r="B2289" s="8">
        <v>252602910</v>
      </c>
      <c r="C2289" s="9">
        <v>45982</v>
      </c>
      <c r="D2289" s="8" t="s">
        <v>100</v>
      </c>
      <c r="E2289" s="10">
        <v>100000</v>
      </c>
      <c r="F2289" s="8">
        <v>0.0224</v>
      </c>
      <c r="G2289" s="11">
        <v>46117</v>
      </c>
      <c r="H2289" s="12">
        <f t="shared" si="35"/>
        <v>2240</v>
      </c>
      <c r="I2289" s="10" t="s">
        <v>10</v>
      </c>
      <c r="J2289" s="13">
        <v>46057</v>
      </c>
      <c r="K2289" t="s">
        <v>467</v>
      </c>
    </row>
    <row r="2290" hidden="1" spans="1:11">
      <c r="A2290" t="s">
        <v>319</v>
      </c>
      <c r="B2290" s="8">
        <v>252602910</v>
      </c>
      <c r="C2290" s="9">
        <v>45982</v>
      </c>
      <c r="D2290" s="8" t="s">
        <v>78</v>
      </c>
      <c r="E2290" s="10">
        <v>150000</v>
      </c>
      <c r="F2290" s="8">
        <v>0.016</v>
      </c>
      <c r="G2290" s="11">
        <v>46086</v>
      </c>
      <c r="H2290" s="12">
        <f t="shared" si="35"/>
        <v>2400</v>
      </c>
      <c r="I2290" s="10" t="s">
        <v>10</v>
      </c>
      <c r="J2290" s="13">
        <v>46057</v>
      </c>
      <c r="K2290" t="s">
        <v>467</v>
      </c>
    </row>
    <row r="2291" hidden="1" spans="1:11">
      <c r="A2291" t="s">
        <v>319</v>
      </c>
      <c r="B2291" s="8">
        <v>252602910</v>
      </c>
      <c r="C2291" s="9">
        <v>45982</v>
      </c>
      <c r="D2291" s="8" t="s">
        <v>78</v>
      </c>
      <c r="E2291" s="10">
        <v>150000</v>
      </c>
      <c r="F2291" s="8">
        <v>0.016</v>
      </c>
      <c r="G2291" s="11">
        <v>46117</v>
      </c>
      <c r="H2291" s="12">
        <f t="shared" si="35"/>
        <v>2400</v>
      </c>
      <c r="I2291" s="10" t="s">
        <v>10</v>
      </c>
      <c r="J2291" s="13">
        <v>46057</v>
      </c>
      <c r="K2291" t="s">
        <v>467</v>
      </c>
    </row>
    <row r="2292" hidden="1" spans="1:11">
      <c r="A2292" t="s">
        <v>319</v>
      </c>
      <c r="B2292" s="8">
        <v>252602910</v>
      </c>
      <c r="C2292" s="9">
        <v>45982</v>
      </c>
      <c r="D2292" s="8" t="s">
        <v>468</v>
      </c>
      <c r="E2292" s="10">
        <v>50000</v>
      </c>
      <c r="F2292" s="8">
        <v>0.028</v>
      </c>
      <c r="G2292" s="11">
        <v>46086</v>
      </c>
      <c r="H2292" s="12">
        <f t="shared" si="35"/>
        <v>1400</v>
      </c>
      <c r="I2292" s="10" t="s">
        <v>10</v>
      </c>
      <c r="J2292" s="13">
        <v>46057</v>
      </c>
      <c r="K2292" t="s">
        <v>467</v>
      </c>
    </row>
    <row r="2293" hidden="1" spans="1:11">
      <c r="A2293" t="s">
        <v>319</v>
      </c>
      <c r="B2293" s="8">
        <v>252602910</v>
      </c>
      <c r="C2293" s="9">
        <v>45982</v>
      </c>
      <c r="D2293" s="8" t="s">
        <v>181</v>
      </c>
      <c r="E2293" s="10">
        <v>140000</v>
      </c>
      <c r="F2293" s="8">
        <v>0.0243</v>
      </c>
      <c r="G2293" s="11">
        <v>46086</v>
      </c>
      <c r="H2293" s="12">
        <f t="shared" si="35"/>
        <v>3402</v>
      </c>
      <c r="I2293" s="10" t="s">
        <v>10</v>
      </c>
      <c r="J2293" s="13">
        <v>46057</v>
      </c>
      <c r="K2293" t="s">
        <v>467</v>
      </c>
    </row>
    <row r="2294" hidden="1" spans="1:11">
      <c r="A2294" t="s">
        <v>319</v>
      </c>
      <c r="B2294" s="8">
        <v>252602910</v>
      </c>
      <c r="C2294" s="9">
        <v>45982</v>
      </c>
      <c r="D2294" s="8" t="s">
        <v>181</v>
      </c>
      <c r="E2294" s="10">
        <v>140000</v>
      </c>
      <c r="F2294" s="8">
        <v>0.0243</v>
      </c>
      <c r="G2294" s="11">
        <v>46117</v>
      </c>
      <c r="H2294" s="12">
        <f t="shared" si="35"/>
        <v>3402</v>
      </c>
      <c r="I2294" s="10" t="s">
        <v>10</v>
      </c>
      <c r="J2294" s="13">
        <v>46057</v>
      </c>
      <c r="K2294" t="s">
        <v>467</v>
      </c>
    </row>
    <row r="2295" hidden="1" spans="1:11">
      <c r="A2295" t="s">
        <v>319</v>
      </c>
      <c r="B2295" s="8">
        <v>252602910</v>
      </c>
      <c r="C2295" s="9">
        <v>45982</v>
      </c>
      <c r="D2295" s="8" t="s">
        <v>29</v>
      </c>
      <c r="E2295" s="10">
        <v>100000</v>
      </c>
      <c r="F2295" s="8">
        <v>0.0216</v>
      </c>
      <c r="G2295" s="11">
        <v>46086</v>
      </c>
      <c r="H2295" s="12">
        <f t="shared" si="35"/>
        <v>2160</v>
      </c>
      <c r="I2295" s="10" t="s">
        <v>10</v>
      </c>
      <c r="J2295" s="13">
        <v>46057</v>
      </c>
      <c r="K2295" t="s">
        <v>467</v>
      </c>
    </row>
    <row r="2296" hidden="1" spans="1:11">
      <c r="A2296" t="s">
        <v>319</v>
      </c>
      <c r="B2296" s="8">
        <v>252602922</v>
      </c>
      <c r="C2296" s="9">
        <v>45985</v>
      </c>
      <c r="D2296" s="8" t="s">
        <v>108</v>
      </c>
      <c r="E2296" s="10">
        <v>20000</v>
      </c>
      <c r="F2296" s="8">
        <v>0.04</v>
      </c>
      <c r="G2296" s="11">
        <v>46058</v>
      </c>
      <c r="H2296" s="12">
        <f t="shared" si="35"/>
        <v>800</v>
      </c>
      <c r="I2296" s="10" t="s">
        <v>10</v>
      </c>
      <c r="J2296" s="13">
        <v>46002</v>
      </c>
      <c r="K2296" t="s">
        <v>528</v>
      </c>
    </row>
    <row r="2297" hidden="1" spans="1:11">
      <c r="A2297" t="s">
        <v>319</v>
      </c>
      <c r="B2297" s="8">
        <v>252602922</v>
      </c>
      <c r="C2297" s="9">
        <v>45985</v>
      </c>
      <c r="D2297" s="8" t="s">
        <v>386</v>
      </c>
      <c r="E2297" s="10">
        <v>80000</v>
      </c>
      <c r="F2297" s="8">
        <v>0.03</v>
      </c>
      <c r="G2297" s="11">
        <v>46058</v>
      </c>
      <c r="H2297" s="12">
        <f t="shared" si="35"/>
        <v>2400</v>
      </c>
      <c r="I2297" s="10" t="s">
        <v>10</v>
      </c>
      <c r="J2297" s="13">
        <v>46003</v>
      </c>
      <c r="K2297" t="s">
        <v>528</v>
      </c>
    </row>
    <row r="2298" hidden="1" spans="1:11">
      <c r="A2298" t="s">
        <v>319</v>
      </c>
      <c r="B2298" s="8">
        <v>252602922</v>
      </c>
      <c r="C2298" s="9">
        <v>45985</v>
      </c>
      <c r="D2298" s="8" t="s">
        <v>387</v>
      </c>
      <c r="E2298" s="10">
        <v>200000</v>
      </c>
      <c r="F2298" s="8">
        <v>0.025</v>
      </c>
      <c r="G2298" s="11">
        <v>46058</v>
      </c>
      <c r="H2298" s="12">
        <f t="shared" si="35"/>
        <v>5000</v>
      </c>
      <c r="I2298" s="10" t="s">
        <v>10</v>
      </c>
      <c r="J2298" s="13">
        <v>46003</v>
      </c>
      <c r="K2298" t="s">
        <v>528</v>
      </c>
    </row>
    <row r="2299" hidden="1" spans="1:11">
      <c r="A2299" t="s">
        <v>319</v>
      </c>
      <c r="B2299" s="8">
        <v>252602922</v>
      </c>
      <c r="C2299" s="9">
        <v>45985</v>
      </c>
      <c r="D2299" s="8" t="s">
        <v>128</v>
      </c>
      <c r="E2299" s="10">
        <v>40000</v>
      </c>
      <c r="F2299" s="8">
        <v>0.025</v>
      </c>
      <c r="G2299" s="11">
        <v>46058</v>
      </c>
      <c r="H2299" s="12">
        <f t="shared" si="35"/>
        <v>1000</v>
      </c>
      <c r="I2299" s="10" t="s">
        <v>10</v>
      </c>
      <c r="J2299" s="13">
        <v>46003</v>
      </c>
      <c r="K2299" t="s">
        <v>528</v>
      </c>
    </row>
    <row r="2300" hidden="1" spans="1:11">
      <c r="A2300" t="s">
        <v>319</v>
      </c>
      <c r="B2300" s="8">
        <v>252602922</v>
      </c>
      <c r="C2300" s="9">
        <v>45985</v>
      </c>
      <c r="D2300" s="8" t="s">
        <v>516</v>
      </c>
      <c r="E2300" s="10">
        <v>100000</v>
      </c>
      <c r="F2300" s="8">
        <v>0.032</v>
      </c>
      <c r="G2300" s="11">
        <v>46058</v>
      </c>
      <c r="H2300" s="12">
        <f t="shared" si="35"/>
        <v>3200</v>
      </c>
      <c r="I2300" s="10" t="s">
        <v>10</v>
      </c>
      <c r="J2300" s="13">
        <v>46002</v>
      </c>
      <c r="K2300" t="s">
        <v>528</v>
      </c>
    </row>
    <row r="2301" hidden="1" spans="1:11">
      <c r="A2301" t="s">
        <v>319</v>
      </c>
      <c r="B2301" s="8">
        <v>252602922</v>
      </c>
      <c r="C2301" s="9">
        <v>45985</v>
      </c>
      <c r="D2301" s="8" t="s">
        <v>32</v>
      </c>
      <c r="E2301" s="10">
        <v>200000</v>
      </c>
      <c r="F2301" s="8">
        <v>0.014</v>
      </c>
      <c r="G2301" s="11">
        <v>46058</v>
      </c>
      <c r="H2301" s="12">
        <f t="shared" si="35"/>
        <v>2800</v>
      </c>
      <c r="I2301" s="10" t="s">
        <v>10</v>
      </c>
      <c r="J2301" s="13">
        <v>46003</v>
      </c>
      <c r="K2301" t="s">
        <v>528</v>
      </c>
    </row>
    <row r="2302" hidden="1" spans="1:11">
      <c r="A2302" t="s">
        <v>319</v>
      </c>
      <c r="B2302" s="8">
        <v>252602922</v>
      </c>
      <c r="C2302" s="9">
        <v>45985</v>
      </c>
      <c r="D2302" s="8" t="s">
        <v>517</v>
      </c>
      <c r="E2302" s="10">
        <v>200000</v>
      </c>
      <c r="F2302" s="8">
        <v>0.0238</v>
      </c>
      <c r="G2302" s="11">
        <v>46058</v>
      </c>
      <c r="H2302" s="12">
        <f t="shared" si="35"/>
        <v>4760</v>
      </c>
      <c r="I2302" s="10" t="s">
        <v>10</v>
      </c>
      <c r="J2302" s="13">
        <v>46002</v>
      </c>
      <c r="K2302" t="s">
        <v>528</v>
      </c>
    </row>
    <row r="2303" hidden="1" spans="1:11">
      <c r="A2303" t="s">
        <v>319</v>
      </c>
      <c r="B2303" s="8">
        <v>252602922</v>
      </c>
      <c r="C2303" s="9">
        <v>45985</v>
      </c>
      <c r="D2303" s="8" t="s">
        <v>388</v>
      </c>
      <c r="E2303" s="10">
        <v>200000</v>
      </c>
      <c r="F2303" s="8">
        <v>0.035</v>
      </c>
      <c r="G2303" s="11">
        <v>46058</v>
      </c>
      <c r="H2303" s="12">
        <f t="shared" si="35"/>
        <v>7000</v>
      </c>
      <c r="I2303" s="10" t="s">
        <v>10</v>
      </c>
      <c r="J2303" s="13">
        <v>46002</v>
      </c>
      <c r="K2303" t="s">
        <v>528</v>
      </c>
    </row>
    <row r="2304" hidden="1" spans="1:11">
      <c r="A2304" t="s">
        <v>319</v>
      </c>
      <c r="B2304" s="8">
        <v>252602922</v>
      </c>
      <c r="C2304" s="9">
        <v>45985</v>
      </c>
      <c r="D2304" s="8" t="s">
        <v>388</v>
      </c>
      <c r="E2304" s="10">
        <v>100000</v>
      </c>
      <c r="F2304" s="8">
        <v>0.035</v>
      </c>
      <c r="G2304" s="11">
        <v>46058</v>
      </c>
      <c r="H2304" s="12">
        <f t="shared" si="35"/>
        <v>3500</v>
      </c>
      <c r="I2304" s="10" t="s">
        <v>10</v>
      </c>
      <c r="J2304" s="13">
        <v>46002</v>
      </c>
      <c r="K2304" t="s">
        <v>528</v>
      </c>
    </row>
    <row r="2305" hidden="1" spans="1:11">
      <c r="A2305" t="s">
        <v>319</v>
      </c>
      <c r="B2305" s="8">
        <v>252602922</v>
      </c>
      <c r="C2305" s="9">
        <v>45985</v>
      </c>
      <c r="D2305" s="8" t="s">
        <v>213</v>
      </c>
      <c r="E2305" s="10">
        <v>200000</v>
      </c>
      <c r="F2305" s="8">
        <v>0.042</v>
      </c>
      <c r="G2305" s="11">
        <v>46027</v>
      </c>
      <c r="H2305" s="12">
        <f t="shared" si="35"/>
        <v>8400</v>
      </c>
      <c r="I2305" s="10" t="s">
        <v>10</v>
      </c>
      <c r="J2305" s="13">
        <v>46003</v>
      </c>
      <c r="K2305" t="s">
        <v>528</v>
      </c>
    </row>
    <row r="2306" hidden="1" spans="1:11">
      <c r="A2306" t="s">
        <v>319</v>
      </c>
      <c r="B2306" s="8">
        <v>252602922</v>
      </c>
      <c r="C2306" s="9">
        <v>45985</v>
      </c>
      <c r="D2306" s="8" t="s">
        <v>213</v>
      </c>
      <c r="E2306" s="10">
        <v>200000</v>
      </c>
      <c r="F2306" s="8">
        <v>0.042</v>
      </c>
      <c r="G2306" s="11">
        <v>46058</v>
      </c>
      <c r="H2306" s="12">
        <f t="shared" ref="H2306:H2369" si="36">E2306*F2306</f>
        <v>8400</v>
      </c>
      <c r="I2306" s="10" t="s">
        <v>10</v>
      </c>
      <c r="J2306" s="13">
        <v>46003</v>
      </c>
      <c r="K2306" t="s">
        <v>528</v>
      </c>
    </row>
    <row r="2307" hidden="1" spans="1:11">
      <c r="A2307" t="s">
        <v>319</v>
      </c>
      <c r="B2307" s="8">
        <v>252602922</v>
      </c>
      <c r="C2307" s="9">
        <v>45985</v>
      </c>
      <c r="D2307" s="8" t="s">
        <v>31</v>
      </c>
      <c r="E2307" s="10">
        <v>200000</v>
      </c>
      <c r="F2307" s="8">
        <v>0.024</v>
      </c>
      <c r="G2307" s="11">
        <v>46027</v>
      </c>
      <c r="H2307" s="12">
        <f t="shared" si="36"/>
        <v>4800</v>
      </c>
      <c r="I2307" s="10" t="s">
        <v>10</v>
      </c>
      <c r="J2307" s="13">
        <v>46003</v>
      </c>
      <c r="K2307" t="s">
        <v>528</v>
      </c>
    </row>
    <row r="2308" hidden="1" spans="1:11">
      <c r="A2308" t="s">
        <v>319</v>
      </c>
      <c r="B2308" s="8">
        <v>252602922</v>
      </c>
      <c r="C2308" s="9">
        <v>45985</v>
      </c>
      <c r="D2308" s="8" t="s">
        <v>31</v>
      </c>
      <c r="E2308" s="10">
        <v>200000</v>
      </c>
      <c r="F2308" s="8">
        <v>0.024</v>
      </c>
      <c r="G2308" s="11">
        <v>46058</v>
      </c>
      <c r="H2308" s="12">
        <f t="shared" si="36"/>
        <v>4800</v>
      </c>
      <c r="I2308" s="10" t="s">
        <v>10</v>
      </c>
      <c r="J2308" s="13">
        <v>46003</v>
      </c>
      <c r="K2308" t="s">
        <v>528</v>
      </c>
    </row>
    <row r="2309" hidden="1" spans="1:11">
      <c r="A2309" t="s">
        <v>319</v>
      </c>
      <c r="B2309" s="8">
        <v>252602922</v>
      </c>
      <c r="C2309" s="9">
        <v>45985</v>
      </c>
      <c r="D2309" s="8" t="s">
        <v>31</v>
      </c>
      <c r="E2309" s="10">
        <v>100000</v>
      </c>
      <c r="F2309" s="8">
        <v>0.024</v>
      </c>
      <c r="G2309" s="11">
        <v>46058</v>
      </c>
      <c r="H2309" s="12">
        <f t="shared" si="36"/>
        <v>2400</v>
      </c>
      <c r="I2309" s="10" t="s">
        <v>10</v>
      </c>
      <c r="J2309" s="13">
        <v>46003</v>
      </c>
      <c r="K2309" t="s">
        <v>528</v>
      </c>
    </row>
    <row r="2310" hidden="1" spans="1:11">
      <c r="A2310" t="s">
        <v>319</v>
      </c>
      <c r="B2310" s="8">
        <v>252602923</v>
      </c>
      <c r="C2310" s="9">
        <v>45985</v>
      </c>
      <c r="D2310" s="8" t="s">
        <v>108</v>
      </c>
      <c r="E2310" s="10">
        <v>20000</v>
      </c>
      <c r="F2310" s="8">
        <v>0.04</v>
      </c>
      <c r="G2310" s="11">
        <v>46086</v>
      </c>
      <c r="H2310" s="12">
        <f t="shared" si="36"/>
        <v>800</v>
      </c>
      <c r="I2310" s="10" t="s">
        <v>10</v>
      </c>
      <c r="J2310" s="13">
        <v>46049</v>
      </c>
      <c r="K2310" t="s">
        <v>615</v>
      </c>
    </row>
    <row r="2311" hidden="1" spans="1:11">
      <c r="A2311" t="s">
        <v>319</v>
      </c>
      <c r="B2311" s="8">
        <v>252602923</v>
      </c>
      <c r="C2311" s="9">
        <v>45985</v>
      </c>
      <c r="D2311" s="8" t="s">
        <v>127</v>
      </c>
      <c r="E2311" s="10">
        <v>100000</v>
      </c>
      <c r="F2311" s="8">
        <v>0.03</v>
      </c>
      <c r="G2311" s="11">
        <v>46086</v>
      </c>
      <c r="H2311" s="12">
        <f t="shared" si="36"/>
        <v>3000</v>
      </c>
      <c r="I2311" s="10" t="s">
        <v>10</v>
      </c>
      <c r="J2311" s="13">
        <v>46042</v>
      </c>
      <c r="K2311" t="s">
        <v>615</v>
      </c>
    </row>
    <row r="2312" hidden="1" spans="1:11">
      <c r="A2312" t="s">
        <v>319</v>
      </c>
      <c r="B2312" s="8">
        <v>252602923</v>
      </c>
      <c r="C2312" s="9">
        <v>45985</v>
      </c>
      <c r="D2312" s="8" t="s">
        <v>386</v>
      </c>
      <c r="E2312" s="10">
        <v>80000</v>
      </c>
      <c r="F2312" s="8">
        <v>0.03</v>
      </c>
      <c r="G2312" s="11">
        <v>46086</v>
      </c>
      <c r="H2312" s="12">
        <f t="shared" si="36"/>
        <v>2400</v>
      </c>
      <c r="I2312" s="10" t="s">
        <v>10</v>
      </c>
      <c r="J2312" s="13">
        <v>46042</v>
      </c>
      <c r="K2312" t="s">
        <v>615</v>
      </c>
    </row>
    <row r="2313" hidden="1" spans="1:11">
      <c r="A2313" t="s">
        <v>319</v>
      </c>
      <c r="B2313" s="8">
        <v>252602923</v>
      </c>
      <c r="C2313" s="9">
        <v>45985</v>
      </c>
      <c r="D2313" s="8" t="s">
        <v>128</v>
      </c>
      <c r="E2313" s="10">
        <v>40000</v>
      </c>
      <c r="F2313" s="8">
        <v>0.025</v>
      </c>
      <c r="G2313" s="11">
        <v>46086</v>
      </c>
      <c r="H2313" s="12">
        <f t="shared" si="36"/>
        <v>1000</v>
      </c>
      <c r="I2313" s="10" t="s">
        <v>10</v>
      </c>
      <c r="J2313" s="13">
        <v>46042</v>
      </c>
      <c r="K2313" t="s">
        <v>615</v>
      </c>
    </row>
    <row r="2314" hidden="1" spans="1:11">
      <c r="A2314" t="s">
        <v>319</v>
      </c>
      <c r="B2314" s="8">
        <v>252602923</v>
      </c>
      <c r="C2314" s="9">
        <v>45985</v>
      </c>
      <c r="D2314" s="8" t="s">
        <v>516</v>
      </c>
      <c r="E2314" s="10">
        <v>100000</v>
      </c>
      <c r="F2314" s="8">
        <v>0.032</v>
      </c>
      <c r="G2314" s="11">
        <v>46086</v>
      </c>
      <c r="H2314" s="12">
        <f t="shared" si="36"/>
        <v>3200</v>
      </c>
      <c r="I2314" s="10" t="s">
        <v>10</v>
      </c>
      <c r="J2314" s="13">
        <v>46049</v>
      </c>
      <c r="K2314" t="s">
        <v>615</v>
      </c>
    </row>
    <row r="2315" hidden="1" spans="1:11">
      <c r="A2315" t="s">
        <v>319</v>
      </c>
      <c r="B2315" s="8">
        <v>252602923</v>
      </c>
      <c r="C2315" s="9">
        <v>45985</v>
      </c>
      <c r="D2315" s="8" t="s">
        <v>517</v>
      </c>
      <c r="E2315" s="10">
        <v>200000</v>
      </c>
      <c r="F2315" s="8">
        <v>0.0238</v>
      </c>
      <c r="G2315" s="11">
        <v>46086</v>
      </c>
      <c r="H2315" s="12">
        <f t="shared" si="36"/>
        <v>4760</v>
      </c>
      <c r="I2315" s="10" t="s">
        <v>10</v>
      </c>
      <c r="J2315" s="13">
        <v>46049</v>
      </c>
      <c r="K2315" t="s">
        <v>615</v>
      </c>
    </row>
    <row r="2316" hidden="1" spans="1:11">
      <c r="A2316" t="s">
        <v>319</v>
      </c>
      <c r="B2316" s="8">
        <v>252602923</v>
      </c>
      <c r="C2316" s="9">
        <v>45985</v>
      </c>
      <c r="D2316" s="8" t="s">
        <v>388</v>
      </c>
      <c r="E2316" s="10">
        <v>200000</v>
      </c>
      <c r="F2316" s="8">
        <v>0.035</v>
      </c>
      <c r="G2316" s="11">
        <v>46086</v>
      </c>
      <c r="H2316" s="12">
        <f t="shared" si="36"/>
        <v>7000</v>
      </c>
      <c r="I2316" s="10" t="s">
        <v>10</v>
      </c>
      <c r="J2316" s="13">
        <v>46049</v>
      </c>
      <c r="K2316" t="s">
        <v>615</v>
      </c>
    </row>
    <row r="2317" hidden="1" spans="1:11">
      <c r="A2317" t="s">
        <v>319</v>
      </c>
      <c r="B2317" s="8">
        <v>252602923</v>
      </c>
      <c r="C2317" s="9">
        <v>45985</v>
      </c>
      <c r="D2317" s="8" t="s">
        <v>213</v>
      </c>
      <c r="E2317" s="10">
        <v>200000</v>
      </c>
      <c r="F2317" s="8">
        <v>0.042</v>
      </c>
      <c r="G2317" s="11">
        <v>46086</v>
      </c>
      <c r="H2317" s="12">
        <f t="shared" si="36"/>
        <v>8400</v>
      </c>
      <c r="I2317" s="10" t="s">
        <v>10</v>
      </c>
      <c r="J2317" s="13">
        <v>46042</v>
      </c>
      <c r="K2317" t="s">
        <v>615</v>
      </c>
    </row>
    <row r="2318" hidden="1" spans="1:11">
      <c r="A2318" t="s">
        <v>319</v>
      </c>
      <c r="B2318" s="8">
        <v>252602923</v>
      </c>
      <c r="C2318" s="9">
        <v>45985</v>
      </c>
      <c r="D2318" s="8" t="s">
        <v>31</v>
      </c>
      <c r="E2318" s="10">
        <v>200000</v>
      </c>
      <c r="F2318" s="8">
        <v>0.024</v>
      </c>
      <c r="G2318" s="11">
        <v>46086</v>
      </c>
      <c r="H2318" s="12">
        <f t="shared" si="36"/>
        <v>4800</v>
      </c>
      <c r="I2318" s="10" t="s">
        <v>10</v>
      </c>
      <c r="J2318" s="13">
        <v>46042</v>
      </c>
      <c r="K2318" t="s">
        <v>615</v>
      </c>
    </row>
    <row r="2319" hidden="1" spans="1:11">
      <c r="A2319" t="s">
        <v>319</v>
      </c>
      <c r="B2319" s="8">
        <v>252602923</v>
      </c>
      <c r="C2319" s="9">
        <v>45985</v>
      </c>
      <c r="D2319" s="8" t="s">
        <v>31</v>
      </c>
      <c r="E2319" s="10">
        <v>100000</v>
      </c>
      <c r="F2319" s="8">
        <v>0.024</v>
      </c>
      <c r="G2319" s="11">
        <v>46086</v>
      </c>
      <c r="H2319" s="12">
        <f t="shared" si="36"/>
        <v>2400</v>
      </c>
      <c r="I2319" s="10" t="s">
        <v>10</v>
      </c>
      <c r="J2319" s="13">
        <v>46042</v>
      </c>
      <c r="K2319" t="s">
        <v>615</v>
      </c>
    </row>
    <row r="2320" hidden="1" spans="1:11">
      <c r="A2320" t="s">
        <v>319</v>
      </c>
      <c r="B2320" s="8">
        <v>252602924</v>
      </c>
      <c r="C2320" s="9">
        <v>45985</v>
      </c>
      <c r="D2320" s="8" t="s">
        <v>106</v>
      </c>
      <c r="E2320" s="10">
        <v>200000</v>
      </c>
      <c r="F2320" s="8">
        <v>0.033</v>
      </c>
      <c r="G2320" s="11">
        <v>46027</v>
      </c>
      <c r="H2320" s="12">
        <f t="shared" si="36"/>
        <v>6600</v>
      </c>
      <c r="I2320" s="10" t="s">
        <v>10</v>
      </c>
      <c r="J2320" s="13">
        <v>45996</v>
      </c>
      <c r="K2320" t="s">
        <v>528</v>
      </c>
    </row>
    <row r="2321" hidden="1" spans="1:11">
      <c r="A2321" t="s">
        <v>319</v>
      </c>
      <c r="B2321" s="8">
        <v>252602924</v>
      </c>
      <c r="C2321" s="9">
        <v>45985</v>
      </c>
      <c r="D2321" s="8" t="s">
        <v>106</v>
      </c>
      <c r="E2321" s="10">
        <v>200000</v>
      </c>
      <c r="F2321" s="8">
        <v>0.033</v>
      </c>
      <c r="G2321" s="11">
        <v>46058</v>
      </c>
      <c r="H2321" s="12">
        <f t="shared" si="36"/>
        <v>6600</v>
      </c>
      <c r="I2321" s="10" t="s">
        <v>10</v>
      </c>
      <c r="J2321" s="13">
        <v>45996</v>
      </c>
      <c r="K2321" t="s">
        <v>528</v>
      </c>
    </row>
    <row r="2322" hidden="1" spans="1:11">
      <c r="A2322" t="s">
        <v>319</v>
      </c>
      <c r="B2322" s="8">
        <v>252602925</v>
      </c>
      <c r="C2322" s="9">
        <v>45985</v>
      </c>
      <c r="D2322" s="8" t="s">
        <v>607</v>
      </c>
      <c r="E2322" s="10">
        <v>200000</v>
      </c>
      <c r="F2322" s="8">
        <v>0.025</v>
      </c>
      <c r="G2322" s="11">
        <v>46117</v>
      </c>
      <c r="H2322" s="12">
        <f t="shared" si="36"/>
        <v>5000</v>
      </c>
      <c r="I2322" s="10" t="s">
        <v>10</v>
      </c>
      <c r="J2322" s="13">
        <v>46050</v>
      </c>
      <c r="K2322" t="s">
        <v>615</v>
      </c>
    </row>
    <row r="2323" hidden="1" spans="1:11">
      <c r="A2323" t="s">
        <v>319</v>
      </c>
      <c r="B2323" s="8">
        <v>252602925</v>
      </c>
      <c r="C2323" s="9">
        <v>45985</v>
      </c>
      <c r="D2323" s="8" t="s">
        <v>607</v>
      </c>
      <c r="E2323" s="10">
        <v>100000</v>
      </c>
      <c r="F2323" s="8">
        <v>0.025</v>
      </c>
      <c r="G2323" s="11">
        <v>46117</v>
      </c>
      <c r="H2323" s="12">
        <f t="shared" si="36"/>
        <v>2500</v>
      </c>
      <c r="I2323" s="10" t="s">
        <v>10</v>
      </c>
      <c r="J2323" s="13">
        <v>46050</v>
      </c>
      <c r="K2323" t="s">
        <v>615</v>
      </c>
    </row>
    <row r="2324" hidden="1" spans="1:11">
      <c r="A2324" t="s">
        <v>319</v>
      </c>
      <c r="B2324" s="8">
        <v>252602925</v>
      </c>
      <c r="C2324" s="9">
        <v>45985</v>
      </c>
      <c r="D2324" s="8" t="s">
        <v>581</v>
      </c>
      <c r="E2324" s="10">
        <v>200000</v>
      </c>
      <c r="F2324" s="8">
        <v>0.023</v>
      </c>
      <c r="G2324" s="11">
        <v>46117</v>
      </c>
      <c r="H2324" s="12">
        <f t="shared" si="36"/>
        <v>4600</v>
      </c>
      <c r="I2324" s="10" t="s">
        <v>10</v>
      </c>
      <c r="J2324" s="13">
        <v>46050</v>
      </c>
      <c r="K2324" t="s">
        <v>615</v>
      </c>
    </row>
    <row r="2325" hidden="1" spans="1:11">
      <c r="A2325" t="s">
        <v>319</v>
      </c>
      <c r="B2325" s="8">
        <v>252602925</v>
      </c>
      <c r="C2325" s="9">
        <v>45985</v>
      </c>
      <c r="D2325" s="8" t="s">
        <v>581</v>
      </c>
      <c r="E2325" s="10">
        <v>40000</v>
      </c>
      <c r="F2325" s="8">
        <v>0.023</v>
      </c>
      <c r="G2325" s="11">
        <v>46117</v>
      </c>
      <c r="H2325" s="12">
        <f t="shared" si="36"/>
        <v>920</v>
      </c>
      <c r="I2325" s="10" t="s">
        <v>10</v>
      </c>
      <c r="J2325" s="13">
        <v>46050</v>
      </c>
      <c r="K2325" t="s">
        <v>615</v>
      </c>
    </row>
    <row r="2326" hidden="1" spans="1:11">
      <c r="A2326" t="s">
        <v>319</v>
      </c>
      <c r="B2326" s="8">
        <v>252602925</v>
      </c>
      <c r="C2326" s="9">
        <v>45985</v>
      </c>
      <c r="D2326" s="8" t="s">
        <v>608</v>
      </c>
      <c r="E2326" s="10">
        <v>140000</v>
      </c>
      <c r="F2326" s="8">
        <v>0.026</v>
      </c>
      <c r="G2326" s="11">
        <v>46117</v>
      </c>
      <c r="H2326" s="12">
        <f t="shared" si="36"/>
        <v>3640</v>
      </c>
      <c r="I2326" s="10" t="s">
        <v>10</v>
      </c>
      <c r="J2326" s="13">
        <v>46049</v>
      </c>
      <c r="K2326" t="s">
        <v>615</v>
      </c>
    </row>
    <row r="2327" hidden="1" spans="1:11">
      <c r="A2327" t="s">
        <v>319</v>
      </c>
      <c r="B2327" s="8">
        <v>252602925</v>
      </c>
      <c r="C2327" s="9">
        <v>45985</v>
      </c>
      <c r="D2327" s="8" t="s">
        <v>609</v>
      </c>
      <c r="E2327" s="10">
        <v>140000</v>
      </c>
      <c r="F2327" s="8">
        <v>0.03</v>
      </c>
      <c r="G2327" s="11">
        <v>46117</v>
      </c>
      <c r="H2327" s="12">
        <f t="shared" si="36"/>
        <v>4200</v>
      </c>
      <c r="I2327" s="10" t="s">
        <v>10</v>
      </c>
      <c r="J2327" s="13">
        <v>46049</v>
      </c>
      <c r="K2327" t="s">
        <v>615</v>
      </c>
    </row>
    <row r="2328" hidden="1" spans="1:11">
      <c r="A2328" t="s">
        <v>319</v>
      </c>
      <c r="B2328" s="8">
        <v>252602938</v>
      </c>
      <c r="C2328" s="9">
        <v>45986</v>
      </c>
      <c r="D2328" s="8" t="s">
        <v>46</v>
      </c>
      <c r="E2328" s="10">
        <v>60000</v>
      </c>
      <c r="F2328" s="8">
        <v>0.02</v>
      </c>
      <c r="G2328" s="11">
        <v>46027</v>
      </c>
      <c r="H2328" s="12">
        <f t="shared" si="36"/>
        <v>1200</v>
      </c>
      <c r="I2328" s="10" t="s">
        <v>10</v>
      </c>
      <c r="J2328" s="13">
        <v>45993</v>
      </c>
      <c r="K2328" t="s">
        <v>377</v>
      </c>
    </row>
    <row r="2329" hidden="1" spans="1:11">
      <c r="A2329" t="s">
        <v>319</v>
      </c>
      <c r="B2329" s="8">
        <v>252502957</v>
      </c>
      <c r="C2329" s="9">
        <v>45987</v>
      </c>
      <c r="D2329" s="8" t="s">
        <v>182</v>
      </c>
      <c r="E2329" s="10">
        <v>112000</v>
      </c>
      <c r="F2329" s="8">
        <v>0.025</v>
      </c>
      <c r="G2329" s="11">
        <v>46086</v>
      </c>
      <c r="H2329" s="12">
        <f t="shared" si="36"/>
        <v>2800</v>
      </c>
      <c r="I2329" s="10" t="s">
        <v>10</v>
      </c>
      <c r="J2329" s="13">
        <v>45993</v>
      </c>
      <c r="K2329" t="s">
        <v>391</v>
      </c>
    </row>
    <row r="2330" hidden="1" spans="1:11">
      <c r="A2330" t="s">
        <v>319</v>
      </c>
      <c r="B2330" s="8">
        <v>252502957</v>
      </c>
      <c r="C2330" s="9">
        <v>45987</v>
      </c>
      <c r="D2330" s="8" t="s">
        <v>70</v>
      </c>
      <c r="E2330" s="10">
        <v>30000</v>
      </c>
      <c r="F2330" s="8">
        <v>0.028</v>
      </c>
      <c r="G2330" s="11">
        <v>46027</v>
      </c>
      <c r="H2330" s="12">
        <f t="shared" si="36"/>
        <v>840</v>
      </c>
      <c r="I2330" s="10" t="s">
        <v>10</v>
      </c>
      <c r="J2330" s="13">
        <v>45993</v>
      </c>
      <c r="K2330" t="s">
        <v>391</v>
      </c>
    </row>
    <row r="2331" hidden="1" spans="1:11">
      <c r="A2331" t="s">
        <v>319</v>
      </c>
      <c r="B2331" s="8">
        <v>252602960</v>
      </c>
      <c r="C2331" s="9">
        <v>45987</v>
      </c>
      <c r="D2331" s="8" t="s">
        <v>39</v>
      </c>
      <c r="E2331" s="10">
        <v>200000</v>
      </c>
      <c r="F2331" s="8">
        <v>0.022</v>
      </c>
      <c r="G2331" s="11">
        <v>46027</v>
      </c>
      <c r="H2331" s="12">
        <f t="shared" si="36"/>
        <v>4400</v>
      </c>
      <c r="I2331" s="10" t="s">
        <v>10</v>
      </c>
      <c r="J2331" s="13">
        <v>45996</v>
      </c>
      <c r="K2331" t="s">
        <v>431</v>
      </c>
    </row>
    <row r="2332" hidden="1" spans="1:11">
      <c r="A2332" t="s">
        <v>319</v>
      </c>
      <c r="B2332" s="8">
        <v>252602960</v>
      </c>
      <c r="C2332" s="9">
        <v>45987</v>
      </c>
      <c r="D2332" s="8" t="s">
        <v>39</v>
      </c>
      <c r="E2332" s="10">
        <v>200000</v>
      </c>
      <c r="F2332" s="8">
        <v>0.022</v>
      </c>
      <c r="G2332" s="11">
        <v>46027</v>
      </c>
      <c r="H2332" s="12">
        <f t="shared" si="36"/>
        <v>4400</v>
      </c>
      <c r="I2332" s="10" t="s">
        <v>10</v>
      </c>
      <c r="J2332" s="13">
        <v>45996</v>
      </c>
      <c r="K2332" t="s">
        <v>431</v>
      </c>
    </row>
    <row r="2333" hidden="1" spans="1:11">
      <c r="A2333" t="s">
        <v>319</v>
      </c>
      <c r="B2333" s="8">
        <v>252602960</v>
      </c>
      <c r="C2333" s="9">
        <v>45987</v>
      </c>
      <c r="D2333" s="8" t="s">
        <v>39</v>
      </c>
      <c r="E2333" s="10">
        <v>200000</v>
      </c>
      <c r="F2333" s="8">
        <v>0.022</v>
      </c>
      <c r="G2333" s="11">
        <v>46027</v>
      </c>
      <c r="H2333" s="12">
        <f t="shared" si="36"/>
        <v>4400</v>
      </c>
      <c r="I2333" s="10" t="s">
        <v>10</v>
      </c>
      <c r="J2333" s="13">
        <v>45996</v>
      </c>
      <c r="K2333" t="s">
        <v>431</v>
      </c>
    </row>
    <row r="2334" hidden="1" spans="1:11">
      <c r="A2334" t="s">
        <v>319</v>
      </c>
      <c r="B2334" s="8">
        <v>252602960</v>
      </c>
      <c r="C2334" s="9">
        <v>45987</v>
      </c>
      <c r="D2334" s="8" t="s">
        <v>39</v>
      </c>
      <c r="E2334" s="10">
        <v>200000</v>
      </c>
      <c r="F2334" s="8">
        <v>0.022</v>
      </c>
      <c r="G2334" s="11">
        <v>46027</v>
      </c>
      <c r="H2334" s="12">
        <f t="shared" si="36"/>
        <v>4400</v>
      </c>
      <c r="I2334" s="10" t="s">
        <v>10</v>
      </c>
      <c r="J2334" s="13">
        <v>45996</v>
      </c>
      <c r="K2334" t="s">
        <v>431</v>
      </c>
    </row>
    <row r="2335" hidden="1" spans="1:11">
      <c r="A2335" t="s">
        <v>319</v>
      </c>
      <c r="B2335" s="8">
        <v>252602960</v>
      </c>
      <c r="C2335" s="9">
        <v>45987</v>
      </c>
      <c r="D2335" s="8" t="s">
        <v>39</v>
      </c>
      <c r="E2335" s="10">
        <v>200000</v>
      </c>
      <c r="F2335" s="8">
        <v>0.022</v>
      </c>
      <c r="G2335" s="11">
        <v>46027</v>
      </c>
      <c r="H2335" s="12">
        <f t="shared" si="36"/>
        <v>4400</v>
      </c>
      <c r="I2335" s="10" t="s">
        <v>10</v>
      </c>
      <c r="J2335" s="13">
        <v>45996</v>
      </c>
      <c r="K2335" t="s">
        <v>431</v>
      </c>
    </row>
    <row r="2336" hidden="1" spans="1:11">
      <c r="A2336" t="s">
        <v>319</v>
      </c>
      <c r="B2336" s="8">
        <v>252602960</v>
      </c>
      <c r="C2336" s="9">
        <v>45987</v>
      </c>
      <c r="D2336" s="8" t="s">
        <v>39</v>
      </c>
      <c r="E2336" s="10">
        <v>200000</v>
      </c>
      <c r="F2336" s="8">
        <v>0.022</v>
      </c>
      <c r="G2336" s="11">
        <v>46027</v>
      </c>
      <c r="H2336" s="12">
        <f t="shared" si="36"/>
        <v>4400</v>
      </c>
      <c r="I2336" s="10" t="s">
        <v>10</v>
      </c>
      <c r="J2336" s="13">
        <v>45996</v>
      </c>
      <c r="K2336" t="s">
        <v>431</v>
      </c>
    </row>
    <row r="2337" hidden="1" spans="1:11">
      <c r="A2337" t="s">
        <v>319</v>
      </c>
      <c r="B2337" s="8">
        <v>252602960</v>
      </c>
      <c r="C2337" s="9">
        <v>45987</v>
      </c>
      <c r="D2337" s="8" t="s">
        <v>39</v>
      </c>
      <c r="E2337" s="10">
        <v>200000</v>
      </c>
      <c r="F2337" s="8">
        <v>0.022</v>
      </c>
      <c r="G2337" s="11">
        <v>46027</v>
      </c>
      <c r="H2337" s="12">
        <f t="shared" si="36"/>
        <v>4400</v>
      </c>
      <c r="I2337" s="10" t="s">
        <v>10</v>
      </c>
      <c r="J2337" s="13">
        <v>45996</v>
      </c>
      <c r="K2337" t="s">
        <v>431</v>
      </c>
    </row>
    <row r="2338" hidden="1" spans="1:11">
      <c r="A2338" t="s">
        <v>319</v>
      </c>
      <c r="B2338" s="8">
        <v>252602960</v>
      </c>
      <c r="C2338" s="9">
        <v>45987</v>
      </c>
      <c r="D2338" s="8" t="s">
        <v>39</v>
      </c>
      <c r="E2338" s="10">
        <v>200000</v>
      </c>
      <c r="F2338" s="8">
        <v>0.022</v>
      </c>
      <c r="G2338" s="11">
        <v>46027</v>
      </c>
      <c r="H2338" s="12">
        <f t="shared" si="36"/>
        <v>4400</v>
      </c>
      <c r="I2338" s="10" t="s">
        <v>10</v>
      </c>
      <c r="J2338" s="13">
        <v>45996</v>
      </c>
      <c r="K2338" t="s">
        <v>431</v>
      </c>
    </row>
    <row r="2339" hidden="1" spans="1:11">
      <c r="A2339" t="s">
        <v>319</v>
      </c>
      <c r="B2339" s="8">
        <v>252602961</v>
      </c>
      <c r="C2339" s="9">
        <v>45987</v>
      </c>
      <c r="D2339" s="8" t="s">
        <v>39</v>
      </c>
      <c r="E2339" s="10">
        <v>200000</v>
      </c>
      <c r="F2339" s="8">
        <v>0.022</v>
      </c>
      <c r="G2339" s="11">
        <v>46058</v>
      </c>
      <c r="H2339" s="12">
        <f t="shared" si="36"/>
        <v>4400</v>
      </c>
      <c r="I2339" s="10" t="s">
        <v>10</v>
      </c>
      <c r="J2339" s="13">
        <v>46020</v>
      </c>
      <c r="K2339" t="s">
        <v>431</v>
      </c>
    </row>
    <row r="2340" hidden="1" spans="1:11">
      <c r="A2340" t="s">
        <v>319</v>
      </c>
      <c r="B2340" s="8">
        <v>252602961</v>
      </c>
      <c r="C2340" s="9">
        <v>45987</v>
      </c>
      <c r="D2340" s="8" t="s">
        <v>39</v>
      </c>
      <c r="E2340" s="10">
        <v>200000</v>
      </c>
      <c r="F2340" s="8">
        <v>0.022</v>
      </c>
      <c r="G2340" s="11">
        <v>46058</v>
      </c>
      <c r="H2340" s="12">
        <f t="shared" si="36"/>
        <v>4400</v>
      </c>
      <c r="I2340" s="10" t="s">
        <v>10</v>
      </c>
      <c r="J2340" s="13">
        <v>46020</v>
      </c>
      <c r="K2340" t="s">
        <v>431</v>
      </c>
    </row>
    <row r="2341" hidden="1" spans="1:11">
      <c r="A2341" t="s">
        <v>319</v>
      </c>
      <c r="B2341" s="8">
        <v>252602961</v>
      </c>
      <c r="C2341" s="9">
        <v>45987</v>
      </c>
      <c r="D2341" s="8" t="s">
        <v>39</v>
      </c>
      <c r="E2341" s="10">
        <v>200000</v>
      </c>
      <c r="F2341" s="8">
        <v>0.022</v>
      </c>
      <c r="G2341" s="11">
        <v>46058</v>
      </c>
      <c r="H2341" s="12">
        <f t="shared" si="36"/>
        <v>4400</v>
      </c>
      <c r="I2341" s="10" t="s">
        <v>10</v>
      </c>
      <c r="J2341" s="13">
        <v>46020</v>
      </c>
      <c r="K2341" t="s">
        <v>431</v>
      </c>
    </row>
    <row r="2342" hidden="1" spans="1:11">
      <c r="A2342" t="s">
        <v>319</v>
      </c>
      <c r="B2342" s="8">
        <v>252602961</v>
      </c>
      <c r="C2342" s="9">
        <v>45987</v>
      </c>
      <c r="D2342" s="8" t="s">
        <v>39</v>
      </c>
      <c r="E2342" s="10">
        <v>200000</v>
      </c>
      <c r="F2342" s="8">
        <v>0.022</v>
      </c>
      <c r="G2342" s="11">
        <v>46058</v>
      </c>
      <c r="H2342" s="12">
        <f t="shared" si="36"/>
        <v>4400</v>
      </c>
      <c r="I2342" s="10" t="s">
        <v>10</v>
      </c>
      <c r="J2342" s="13">
        <v>46020</v>
      </c>
      <c r="K2342" t="s">
        <v>431</v>
      </c>
    </row>
    <row r="2343" hidden="1" spans="1:11">
      <c r="A2343" t="s">
        <v>319</v>
      </c>
      <c r="B2343" s="8">
        <v>252602961</v>
      </c>
      <c r="C2343" s="9">
        <v>45987</v>
      </c>
      <c r="D2343" s="8" t="s">
        <v>39</v>
      </c>
      <c r="E2343" s="10">
        <v>200000</v>
      </c>
      <c r="F2343" s="8">
        <v>0.022</v>
      </c>
      <c r="G2343" s="11">
        <v>46058</v>
      </c>
      <c r="H2343" s="12">
        <f t="shared" si="36"/>
        <v>4400</v>
      </c>
      <c r="I2343" s="10" t="s">
        <v>10</v>
      </c>
      <c r="J2343" s="13">
        <v>46020</v>
      </c>
      <c r="K2343" t="s">
        <v>431</v>
      </c>
    </row>
    <row r="2344" hidden="1" spans="1:11">
      <c r="A2344" t="s">
        <v>319</v>
      </c>
      <c r="B2344" s="8">
        <v>252602961</v>
      </c>
      <c r="C2344" s="9">
        <v>45987</v>
      </c>
      <c r="D2344" s="8" t="s">
        <v>39</v>
      </c>
      <c r="E2344" s="10">
        <v>200000</v>
      </c>
      <c r="F2344" s="8">
        <v>0.022</v>
      </c>
      <c r="G2344" s="11">
        <v>46058</v>
      </c>
      <c r="H2344" s="12">
        <f t="shared" si="36"/>
        <v>4400</v>
      </c>
      <c r="I2344" s="10" t="s">
        <v>10</v>
      </c>
      <c r="J2344" s="13">
        <v>46020</v>
      </c>
      <c r="K2344" t="s">
        <v>431</v>
      </c>
    </row>
    <row r="2345" hidden="1" spans="1:11">
      <c r="A2345" t="s">
        <v>319</v>
      </c>
      <c r="B2345" s="8">
        <v>252602961</v>
      </c>
      <c r="C2345" s="9">
        <v>45987</v>
      </c>
      <c r="D2345" s="8" t="s">
        <v>39</v>
      </c>
      <c r="E2345" s="10">
        <v>200000</v>
      </c>
      <c r="F2345" s="8">
        <v>0.022</v>
      </c>
      <c r="G2345" s="11">
        <v>46058</v>
      </c>
      <c r="H2345" s="12">
        <f t="shared" si="36"/>
        <v>4400</v>
      </c>
      <c r="I2345" s="10" t="s">
        <v>10</v>
      </c>
      <c r="J2345" s="13">
        <v>46020</v>
      </c>
      <c r="K2345" t="s">
        <v>431</v>
      </c>
    </row>
    <row r="2346" hidden="1" spans="1:11">
      <c r="A2346" t="s">
        <v>319</v>
      </c>
      <c r="B2346" s="8">
        <v>252602961</v>
      </c>
      <c r="C2346" s="9">
        <v>45987</v>
      </c>
      <c r="D2346" s="8" t="s">
        <v>39</v>
      </c>
      <c r="E2346" s="10">
        <v>200000</v>
      </c>
      <c r="F2346" s="8">
        <v>0.022</v>
      </c>
      <c r="G2346" s="11">
        <v>46117</v>
      </c>
      <c r="H2346" s="12">
        <f t="shared" si="36"/>
        <v>4400</v>
      </c>
      <c r="I2346" s="10" t="s">
        <v>10</v>
      </c>
      <c r="J2346" s="13">
        <v>46020</v>
      </c>
      <c r="K2346" t="s">
        <v>431</v>
      </c>
    </row>
    <row r="2347" hidden="1" spans="1:11">
      <c r="A2347" t="s">
        <v>319</v>
      </c>
      <c r="B2347" s="8">
        <v>252602961</v>
      </c>
      <c r="C2347" s="9">
        <v>45987</v>
      </c>
      <c r="D2347" s="8" t="s">
        <v>39</v>
      </c>
      <c r="E2347" s="10">
        <v>200000</v>
      </c>
      <c r="F2347" s="8">
        <v>0.022</v>
      </c>
      <c r="G2347" s="11">
        <v>46117</v>
      </c>
      <c r="H2347" s="12">
        <f t="shared" si="36"/>
        <v>4400</v>
      </c>
      <c r="I2347" s="10" t="s">
        <v>10</v>
      </c>
      <c r="J2347" s="13">
        <v>46020</v>
      </c>
      <c r="K2347" t="s">
        <v>431</v>
      </c>
    </row>
    <row r="2348" hidden="1" spans="1:11">
      <c r="A2348" t="s">
        <v>319</v>
      </c>
      <c r="B2348" s="8">
        <v>252602961</v>
      </c>
      <c r="C2348" s="9">
        <v>45987</v>
      </c>
      <c r="D2348" s="8" t="s">
        <v>39</v>
      </c>
      <c r="E2348" s="10">
        <v>200000</v>
      </c>
      <c r="F2348" s="8">
        <v>0.022</v>
      </c>
      <c r="G2348" s="11">
        <v>46117</v>
      </c>
      <c r="H2348" s="12">
        <f t="shared" si="36"/>
        <v>4400</v>
      </c>
      <c r="I2348" s="10" t="s">
        <v>10</v>
      </c>
      <c r="J2348" s="13">
        <v>46020</v>
      </c>
      <c r="K2348" t="s">
        <v>431</v>
      </c>
    </row>
    <row r="2349" hidden="1" spans="1:11">
      <c r="A2349" t="s">
        <v>319</v>
      </c>
      <c r="B2349" s="8">
        <v>252602961</v>
      </c>
      <c r="C2349" s="9">
        <v>45987</v>
      </c>
      <c r="D2349" s="8" t="s">
        <v>39</v>
      </c>
      <c r="E2349" s="10">
        <v>200000</v>
      </c>
      <c r="F2349" s="8">
        <v>0.022</v>
      </c>
      <c r="G2349" s="11">
        <v>46117</v>
      </c>
      <c r="H2349" s="12">
        <f t="shared" si="36"/>
        <v>4400</v>
      </c>
      <c r="I2349" s="10" t="s">
        <v>10</v>
      </c>
      <c r="J2349" s="13">
        <v>46020</v>
      </c>
      <c r="K2349" t="s">
        <v>431</v>
      </c>
    </row>
    <row r="2350" hidden="1" spans="1:11">
      <c r="A2350" t="s">
        <v>319</v>
      </c>
      <c r="B2350" s="8">
        <v>252602961</v>
      </c>
      <c r="C2350" s="9">
        <v>45987</v>
      </c>
      <c r="D2350" s="8" t="s">
        <v>39</v>
      </c>
      <c r="E2350" s="10">
        <v>200000</v>
      </c>
      <c r="F2350" s="8">
        <v>0.022</v>
      </c>
      <c r="G2350" s="11">
        <v>46117</v>
      </c>
      <c r="H2350" s="12">
        <f t="shared" si="36"/>
        <v>4400</v>
      </c>
      <c r="I2350" s="10" t="s">
        <v>10</v>
      </c>
      <c r="J2350" s="13">
        <v>46020</v>
      </c>
      <c r="K2350" t="s">
        <v>431</v>
      </c>
    </row>
    <row r="2351" hidden="1" spans="1:11">
      <c r="A2351" t="s">
        <v>319</v>
      </c>
      <c r="B2351" s="8">
        <v>252602967</v>
      </c>
      <c r="C2351" s="9">
        <v>45987</v>
      </c>
      <c r="D2351" s="8" t="s">
        <v>181</v>
      </c>
      <c r="E2351" s="10">
        <v>56000</v>
      </c>
      <c r="F2351" s="8">
        <v>0.0243</v>
      </c>
      <c r="G2351" s="11">
        <v>46027</v>
      </c>
      <c r="H2351" s="12">
        <f t="shared" si="36"/>
        <v>1360.8</v>
      </c>
      <c r="I2351" s="10" t="s">
        <v>10</v>
      </c>
      <c r="J2351" s="13">
        <v>45996</v>
      </c>
      <c r="K2351" t="s">
        <v>493</v>
      </c>
    </row>
    <row r="2352" hidden="1" spans="1:11">
      <c r="A2352" t="s">
        <v>319</v>
      </c>
      <c r="B2352" s="8">
        <v>252602969</v>
      </c>
      <c r="C2352" s="9">
        <v>45988</v>
      </c>
      <c r="D2352" s="8" t="s">
        <v>30</v>
      </c>
      <c r="E2352" s="10">
        <v>80000</v>
      </c>
      <c r="F2352" s="8">
        <v>0.022</v>
      </c>
      <c r="G2352" s="11">
        <v>45996</v>
      </c>
      <c r="H2352" s="12">
        <f t="shared" si="36"/>
        <v>1760</v>
      </c>
      <c r="I2352" s="10" t="s">
        <v>10</v>
      </c>
      <c r="J2352" s="13">
        <v>45996</v>
      </c>
      <c r="K2352" t="s">
        <v>378</v>
      </c>
    </row>
    <row r="2353" hidden="1" spans="1:11">
      <c r="A2353" t="s">
        <v>319</v>
      </c>
      <c r="B2353" s="8">
        <v>252602980</v>
      </c>
      <c r="C2353" s="9">
        <v>45988</v>
      </c>
      <c r="D2353" s="8" t="s">
        <v>30</v>
      </c>
      <c r="E2353" s="10">
        <v>60000</v>
      </c>
      <c r="F2353" s="8">
        <v>0.022</v>
      </c>
      <c r="G2353" s="11">
        <v>45996</v>
      </c>
      <c r="H2353" s="12">
        <f t="shared" si="36"/>
        <v>1320</v>
      </c>
      <c r="I2353" s="10" t="s">
        <v>10</v>
      </c>
      <c r="J2353" s="13">
        <v>45996</v>
      </c>
      <c r="K2353" t="s">
        <v>365</v>
      </c>
    </row>
    <row r="2354" hidden="1" spans="1:11">
      <c r="A2354" t="s">
        <v>319</v>
      </c>
      <c r="B2354" s="8">
        <v>252602981</v>
      </c>
      <c r="C2354" s="9">
        <v>45988</v>
      </c>
      <c r="D2354" s="8" t="s">
        <v>30</v>
      </c>
      <c r="E2354" s="10">
        <v>50000</v>
      </c>
      <c r="F2354" s="8">
        <v>0.022</v>
      </c>
      <c r="G2354" s="11">
        <v>46027</v>
      </c>
      <c r="H2354" s="12">
        <f t="shared" si="36"/>
        <v>1100</v>
      </c>
      <c r="I2354" s="10" t="s">
        <v>10</v>
      </c>
      <c r="J2354" s="13">
        <v>45996</v>
      </c>
      <c r="K2354" t="s">
        <v>369</v>
      </c>
    </row>
    <row r="2355" hidden="1" spans="1:11">
      <c r="B2355" s="14">
        <v>252602995</v>
      </c>
      <c r="C2355" s="13">
        <v>45989</v>
      </c>
      <c r="D2355" s="14" t="s">
        <v>482</v>
      </c>
      <c r="E2355" s="15">
        <v>500000</v>
      </c>
      <c r="F2355" s="14">
        <v>0.02049</v>
      </c>
      <c r="G2355" s="16">
        <v>45996</v>
      </c>
      <c r="H2355" s="17">
        <f t="shared" si="36"/>
        <v>10245</v>
      </c>
      <c r="I2355" s="15" t="s">
        <v>317</v>
      </c>
      <c r="J2355" s="15" t="s">
        <v>360</v>
      </c>
      <c r="K2355" t="s">
        <v>369</v>
      </c>
    </row>
    <row r="2356" hidden="1" spans="1:11">
      <c r="B2356" s="14">
        <v>252602995</v>
      </c>
      <c r="C2356" s="13">
        <v>45989</v>
      </c>
      <c r="D2356" s="14" t="s">
        <v>482</v>
      </c>
      <c r="E2356" s="15">
        <v>500000</v>
      </c>
      <c r="F2356" s="14">
        <v>0.02049</v>
      </c>
      <c r="G2356" s="16">
        <v>45996</v>
      </c>
      <c r="H2356" s="17">
        <f t="shared" si="36"/>
        <v>10245</v>
      </c>
      <c r="I2356" s="15" t="s">
        <v>317</v>
      </c>
      <c r="J2356" s="15" t="s">
        <v>360</v>
      </c>
      <c r="K2356" t="s">
        <v>369</v>
      </c>
    </row>
    <row r="2357" hidden="1" spans="1:11">
      <c r="B2357" s="14">
        <v>252602995</v>
      </c>
      <c r="C2357" s="13">
        <v>45989</v>
      </c>
      <c r="D2357" s="14" t="s">
        <v>482</v>
      </c>
      <c r="E2357" s="15">
        <v>500000</v>
      </c>
      <c r="F2357" s="14">
        <v>0.02049</v>
      </c>
      <c r="G2357" s="16">
        <v>45996</v>
      </c>
      <c r="H2357" s="17">
        <f t="shared" si="36"/>
        <v>10245</v>
      </c>
      <c r="I2357" s="15" t="s">
        <v>317</v>
      </c>
      <c r="J2357" s="15" t="s">
        <v>360</v>
      </c>
      <c r="K2357" t="s">
        <v>369</v>
      </c>
    </row>
    <row r="2358" hidden="1" spans="1:11">
      <c r="B2358" s="14">
        <v>252602995</v>
      </c>
      <c r="C2358" s="13">
        <v>45989</v>
      </c>
      <c r="D2358" s="14" t="s">
        <v>482</v>
      </c>
      <c r="E2358" s="15">
        <v>500000</v>
      </c>
      <c r="F2358" s="14">
        <v>0.02049</v>
      </c>
      <c r="G2358" s="16">
        <v>45996</v>
      </c>
      <c r="H2358" s="17">
        <f t="shared" si="36"/>
        <v>10245</v>
      </c>
      <c r="I2358" s="15" t="s">
        <v>317</v>
      </c>
      <c r="J2358" s="15" t="s">
        <v>360</v>
      </c>
      <c r="K2358" t="s">
        <v>369</v>
      </c>
    </row>
    <row r="2359" hidden="1" spans="1:11">
      <c r="B2359" s="14">
        <v>252602995</v>
      </c>
      <c r="C2359" s="13">
        <v>45989</v>
      </c>
      <c r="D2359" s="14" t="s">
        <v>482</v>
      </c>
      <c r="E2359" s="15">
        <v>500000</v>
      </c>
      <c r="F2359" s="14">
        <v>0.02049</v>
      </c>
      <c r="G2359" s="16">
        <v>45996</v>
      </c>
      <c r="H2359" s="17">
        <f t="shared" si="36"/>
        <v>10245</v>
      </c>
      <c r="I2359" s="15" t="s">
        <v>317</v>
      </c>
      <c r="J2359" s="15" t="s">
        <v>360</v>
      </c>
      <c r="K2359" t="s">
        <v>369</v>
      </c>
    </row>
    <row r="2360" hidden="1" spans="1:11">
      <c r="B2360" s="14">
        <v>252602995</v>
      </c>
      <c r="C2360" s="13">
        <v>45989</v>
      </c>
      <c r="D2360" s="14" t="s">
        <v>482</v>
      </c>
      <c r="E2360" s="15">
        <v>500000</v>
      </c>
      <c r="F2360" s="14">
        <v>0.02049</v>
      </c>
      <c r="G2360" s="16">
        <v>45996</v>
      </c>
      <c r="H2360" s="17">
        <f t="shared" si="36"/>
        <v>10245</v>
      </c>
      <c r="I2360" s="15" t="s">
        <v>317</v>
      </c>
      <c r="J2360" s="15" t="s">
        <v>360</v>
      </c>
      <c r="K2360" t="s">
        <v>369</v>
      </c>
    </row>
    <row r="2361" hidden="1" spans="1:11">
      <c r="B2361" s="14">
        <v>252602995</v>
      </c>
      <c r="C2361" s="13">
        <v>45989</v>
      </c>
      <c r="D2361" s="14" t="s">
        <v>482</v>
      </c>
      <c r="E2361" s="15">
        <v>500000</v>
      </c>
      <c r="F2361" s="14">
        <v>0.02049</v>
      </c>
      <c r="G2361" s="16">
        <v>46027</v>
      </c>
      <c r="H2361" s="17">
        <f t="shared" si="36"/>
        <v>10245</v>
      </c>
      <c r="I2361" s="15" t="s">
        <v>317</v>
      </c>
      <c r="J2361" s="15" t="s">
        <v>360</v>
      </c>
      <c r="K2361" t="s">
        <v>369</v>
      </c>
    </row>
    <row r="2362" hidden="1" spans="1:11">
      <c r="B2362" s="14">
        <v>252602995</v>
      </c>
      <c r="C2362" s="13">
        <v>45989</v>
      </c>
      <c r="D2362" s="14" t="s">
        <v>482</v>
      </c>
      <c r="E2362" s="15">
        <v>500000</v>
      </c>
      <c r="F2362" s="14">
        <v>0.02049</v>
      </c>
      <c r="G2362" s="16">
        <v>46027</v>
      </c>
      <c r="H2362" s="17">
        <f t="shared" si="36"/>
        <v>10245</v>
      </c>
      <c r="I2362" s="15" t="s">
        <v>317</v>
      </c>
      <c r="J2362" s="15" t="s">
        <v>360</v>
      </c>
      <c r="K2362" t="s">
        <v>369</v>
      </c>
    </row>
    <row r="2363" hidden="1" spans="1:11">
      <c r="B2363" s="14">
        <v>252602995</v>
      </c>
      <c r="C2363" s="13">
        <v>45989</v>
      </c>
      <c r="D2363" s="14" t="s">
        <v>482</v>
      </c>
      <c r="E2363" s="15">
        <v>500000</v>
      </c>
      <c r="F2363" s="14">
        <v>0.02049</v>
      </c>
      <c r="G2363" s="16">
        <v>46027</v>
      </c>
      <c r="H2363" s="17">
        <f t="shared" si="36"/>
        <v>10245</v>
      </c>
      <c r="I2363" s="15" t="s">
        <v>317</v>
      </c>
      <c r="J2363" s="15" t="s">
        <v>360</v>
      </c>
      <c r="K2363" t="s">
        <v>369</v>
      </c>
    </row>
    <row r="2364" hidden="1" spans="1:11">
      <c r="A2364" t="s">
        <v>319</v>
      </c>
      <c r="B2364" s="8">
        <v>252603009</v>
      </c>
      <c r="C2364" s="9">
        <v>45989</v>
      </c>
      <c r="D2364" s="8" t="s">
        <v>426</v>
      </c>
      <c r="E2364" s="10">
        <v>200000</v>
      </c>
      <c r="F2364" s="8">
        <v>0.032</v>
      </c>
      <c r="G2364" s="11">
        <v>46058</v>
      </c>
      <c r="H2364" s="12">
        <f t="shared" si="36"/>
        <v>6400</v>
      </c>
      <c r="I2364" s="10" t="s">
        <v>10</v>
      </c>
      <c r="J2364" s="13">
        <v>46010</v>
      </c>
      <c r="K2364" t="s">
        <v>486</v>
      </c>
    </row>
    <row r="2365" hidden="1" spans="1:11">
      <c r="A2365" t="s">
        <v>319</v>
      </c>
      <c r="B2365" s="8">
        <v>252603009</v>
      </c>
      <c r="C2365" s="9">
        <v>45989</v>
      </c>
      <c r="D2365" s="8" t="s">
        <v>426</v>
      </c>
      <c r="E2365" s="10">
        <v>60000</v>
      </c>
      <c r="F2365" s="8">
        <v>0.032</v>
      </c>
      <c r="G2365" s="11">
        <v>46058</v>
      </c>
      <c r="H2365" s="12">
        <f t="shared" si="36"/>
        <v>1920</v>
      </c>
      <c r="I2365" s="10" t="s">
        <v>10</v>
      </c>
      <c r="J2365" s="13">
        <v>46010</v>
      </c>
      <c r="K2365" t="s">
        <v>486</v>
      </c>
    </row>
    <row r="2366" hidden="1" spans="1:11">
      <c r="A2366" t="s">
        <v>319</v>
      </c>
      <c r="B2366" s="8">
        <v>252603009</v>
      </c>
      <c r="C2366" s="9">
        <v>45989</v>
      </c>
      <c r="D2366" s="8" t="s">
        <v>426</v>
      </c>
      <c r="E2366" s="10">
        <v>200000</v>
      </c>
      <c r="F2366" s="8">
        <v>0.032</v>
      </c>
      <c r="G2366" s="11">
        <v>46086</v>
      </c>
      <c r="H2366" s="12">
        <f t="shared" si="36"/>
        <v>6400</v>
      </c>
      <c r="I2366" s="10" t="s">
        <v>10</v>
      </c>
      <c r="J2366" s="13">
        <v>46010</v>
      </c>
      <c r="K2366" t="s">
        <v>486</v>
      </c>
    </row>
    <row r="2367" hidden="1" spans="1:11">
      <c r="A2367" t="s">
        <v>319</v>
      </c>
      <c r="B2367" s="8">
        <v>252603009</v>
      </c>
      <c r="C2367" s="9">
        <v>45989</v>
      </c>
      <c r="D2367" s="8" t="s">
        <v>426</v>
      </c>
      <c r="E2367" s="10">
        <v>60000</v>
      </c>
      <c r="F2367" s="8">
        <v>0.032</v>
      </c>
      <c r="G2367" s="11">
        <v>46086</v>
      </c>
      <c r="H2367" s="12">
        <f t="shared" si="36"/>
        <v>1920</v>
      </c>
      <c r="I2367" s="10" t="s">
        <v>10</v>
      </c>
      <c r="J2367" s="13">
        <v>46010</v>
      </c>
      <c r="K2367" t="s">
        <v>486</v>
      </c>
    </row>
    <row r="2368" hidden="1" spans="1:11">
      <c r="A2368" t="s">
        <v>319</v>
      </c>
      <c r="B2368" s="8">
        <v>252603014</v>
      </c>
      <c r="C2368" s="9">
        <v>45992</v>
      </c>
      <c r="D2368" s="8" t="s">
        <v>616</v>
      </c>
      <c r="E2368" s="10">
        <v>20000</v>
      </c>
      <c r="F2368" s="8">
        <v>0.06</v>
      </c>
      <c r="G2368" s="11">
        <v>45996</v>
      </c>
      <c r="H2368" s="12">
        <f t="shared" si="36"/>
        <v>1200</v>
      </c>
      <c r="I2368" s="10" t="s">
        <v>10</v>
      </c>
      <c r="J2368" s="13">
        <v>45999</v>
      </c>
      <c r="K2368" t="s">
        <v>486</v>
      </c>
    </row>
    <row r="2369" hidden="1" spans="1:11">
      <c r="A2369" t="s">
        <v>319</v>
      </c>
      <c r="B2369" s="8">
        <v>252603021</v>
      </c>
      <c r="C2369" s="9">
        <v>45992</v>
      </c>
      <c r="D2369" s="8" t="s">
        <v>30</v>
      </c>
      <c r="E2369" s="10">
        <v>200000</v>
      </c>
      <c r="F2369" s="8">
        <v>0.022</v>
      </c>
      <c r="G2369" s="11">
        <v>45996</v>
      </c>
      <c r="H2369" s="12">
        <f t="shared" si="36"/>
        <v>4400</v>
      </c>
      <c r="I2369" s="10" t="s">
        <v>10</v>
      </c>
      <c r="J2369" s="13">
        <v>46003</v>
      </c>
      <c r="K2369" t="s">
        <v>382</v>
      </c>
    </row>
    <row r="2370" hidden="1" spans="1:11">
      <c r="A2370" t="s">
        <v>319</v>
      </c>
      <c r="B2370" s="8">
        <v>252603029</v>
      </c>
      <c r="C2370" s="9">
        <v>45992</v>
      </c>
      <c r="D2370" s="8" t="s">
        <v>425</v>
      </c>
      <c r="E2370" s="10">
        <v>90000</v>
      </c>
      <c r="F2370" s="8">
        <v>0.07</v>
      </c>
      <c r="G2370" s="11">
        <v>46058</v>
      </c>
      <c r="H2370" s="12">
        <f t="shared" ref="H2370:H2433" si="37">E2370*F2370</f>
        <v>6300</v>
      </c>
      <c r="I2370" s="10" t="s">
        <v>10</v>
      </c>
      <c r="J2370" s="13">
        <v>46010</v>
      </c>
      <c r="K2370" t="s">
        <v>489</v>
      </c>
    </row>
    <row r="2371" hidden="1" spans="1:11">
      <c r="A2371" t="s">
        <v>319</v>
      </c>
      <c r="B2371" s="8">
        <v>252603029</v>
      </c>
      <c r="C2371" s="9">
        <v>45992</v>
      </c>
      <c r="D2371" s="8" t="s">
        <v>425</v>
      </c>
      <c r="E2371" s="10">
        <v>90000</v>
      </c>
      <c r="F2371" s="8">
        <v>0.07</v>
      </c>
      <c r="G2371" s="11">
        <v>46086</v>
      </c>
      <c r="H2371" s="12">
        <f t="shared" si="37"/>
        <v>6300</v>
      </c>
      <c r="I2371" s="10" t="s">
        <v>10</v>
      </c>
      <c r="J2371" s="13">
        <v>46010</v>
      </c>
      <c r="K2371" t="s">
        <v>489</v>
      </c>
    </row>
    <row r="2372" hidden="1" spans="1:11">
      <c r="A2372" t="s">
        <v>319</v>
      </c>
      <c r="B2372" s="8">
        <v>252603040</v>
      </c>
      <c r="C2372" s="9">
        <v>45993</v>
      </c>
      <c r="D2372" s="8" t="s">
        <v>479</v>
      </c>
      <c r="E2372" s="10">
        <v>20000</v>
      </c>
      <c r="F2372" s="8">
        <v>0.0315</v>
      </c>
      <c r="G2372" s="11">
        <v>46027</v>
      </c>
      <c r="H2372" s="12">
        <f t="shared" si="37"/>
        <v>630</v>
      </c>
      <c r="I2372" s="10" t="s">
        <v>10</v>
      </c>
      <c r="J2372" s="13">
        <v>45994</v>
      </c>
      <c r="K2372" t="s">
        <v>519</v>
      </c>
    </row>
    <row r="2373" hidden="1" spans="1:11">
      <c r="A2373" t="s">
        <v>319</v>
      </c>
      <c r="B2373" s="8">
        <v>252603040</v>
      </c>
      <c r="C2373" s="9">
        <v>45993</v>
      </c>
      <c r="D2373" s="8" t="s">
        <v>479</v>
      </c>
      <c r="E2373" s="10">
        <v>20000</v>
      </c>
      <c r="F2373" s="8">
        <v>0.0315</v>
      </c>
      <c r="G2373" s="11">
        <v>46058</v>
      </c>
      <c r="H2373" s="12">
        <f t="shared" si="37"/>
        <v>630</v>
      </c>
      <c r="I2373" s="10" t="s">
        <v>10</v>
      </c>
      <c r="J2373" s="13">
        <v>45994</v>
      </c>
      <c r="K2373" t="s">
        <v>519</v>
      </c>
    </row>
    <row r="2374" hidden="1" spans="1:11">
      <c r="A2374" t="s">
        <v>319</v>
      </c>
      <c r="B2374" s="8">
        <v>252603040</v>
      </c>
      <c r="C2374" s="9">
        <v>45993</v>
      </c>
      <c r="D2374" s="8" t="s">
        <v>479</v>
      </c>
      <c r="E2374" s="10">
        <v>20000</v>
      </c>
      <c r="F2374" s="8">
        <v>0.0315</v>
      </c>
      <c r="G2374" s="11">
        <v>46086</v>
      </c>
      <c r="H2374" s="12">
        <f t="shared" si="37"/>
        <v>630</v>
      </c>
      <c r="I2374" s="10" t="s">
        <v>10</v>
      </c>
      <c r="J2374" s="13">
        <v>45994</v>
      </c>
      <c r="K2374" t="s">
        <v>519</v>
      </c>
    </row>
    <row r="2375" hidden="1" spans="1:11">
      <c r="A2375" t="s">
        <v>319</v>
      </c>
      <c r="B2375" s="8">
        <v>252603042</v>
      </c>
      <c r="C2375" s="9">
        <v>45993</v>
      </c>
      <c r="D2375" s="8" t="s">
        <v>38</v>
      </c>
      <c r="E2375" s="10">
        <v>20000</v>
      </c>
      <c r="F2375" s="8">
        <v>0.01</v>
      </c>
      <c r="G2375" s="11">
        <v>46027</v>
      </c>
      <c r="H2375" s="12">
        <f t="shared" si="37"/>
        <v>200</v>
      </c>
      <c r="I2375" s="10" t="s">
        <v>10</v>
      </c>
      <c r="J2375" s="13">
        <v>46002</v>
      </c>
      <c r="K2375" t="s">
        <v>369</v>
      </c>
    </row>
    <row r="2376" hidden="1" spans="1:11">
      <c r="B2376" s="14">
        <v>252603045</v>
      </c>
      <c r="C2376" s="13">
        <v>45993</v>
      </c>
      <c r="D2376" s="14" t="s">
        <v>550</v>
      </c>
      <c r="E2376" s="15">
        <v>2000</v>
      </c>
      <c r="F2376" s="14">
        <v>0.028</v>
      </c>
      <c r="G2376" s="16">
        <v>45996</v>
      </c>
      <c r="H2376" s="17">
        <f t="shared" si="37"/>
        <v>56</v>
      </c>
      <c r="I2376" s="15" t="s">
        <v>51</v>
      </c>
      <c r="J2376" s="15"/>
      <c r="K2376" t="s">
        <v>377</v>
      </c>
    </row>
    <row r="2377" hidden="1" spans="1:11">
      <c r="A2377" t="s">
        <v>319</v>
      </c>
      <c r="B2377" s="8">
        <v>252603049</v>
      </c>
      <c r="C2377" s="9">
        <v>45975</v>
      </c>
      <c r="D2377" s="8" t="s">
        <v>617</v>
      </c>
      <c r="E2377" s="10">
        <v>20000</v>
      </c>
      <c r="F2377" s="8">
        <v>0.063</v>
      </c>
      <c r="G2377" s="11">
        <v>45996</v>
      </c>
      <c r="H2377" s="12">
        <f t="shared" si="37"/>
        <v>1260</v>
      </c>
      <c r="I2377" s="10" t="s">
        <v>10</v>
      </c>
      <c r="J2377" s="13">
        <v>45994</v>
      </c>
      <c r="K2377" t="s">
        <v>377</v>
      </c>
    </row>
    <row r="2378" hidden="1" spans="1:11">
      <c r="A2378" t="s">
        <v>319</v>
      </c>
      <c r="B2378" s="8">
        <v>252603052</v>
      </c>
      <c r="C2378" s="9">
        <v>45993</v>
      </c>
      <c r="D2378" s="8" t="s">
        <v>604</v>
      </c>
      <c r="E2378" s="10">
        <v>200000</v>
      </c>
      <c r="F2378" s="8">
        <v>0.015</v>
      </c>
      <c r="G2378" s="11">
        <v>46058</v>
      </c>
      <c r="H2378" s="12">
        <f t="shared" si="37"/>
        <v>3000</v>
      </c>
      <c r="I2378" s="10" t="s">
        <v>10</v>
      </c>
      <c r="J2378" s="13">
        <v>46008</v>
      </c>
      <c r="K2378" t="s">
        <v>445</v>
      </c>
    </row>
    <row r="2379" hidden="1" spans="1:11">
      <c r="A2379" t="s">
        <v>319</v>
      </c>
      <c r="B2379" s="8">
        <v>252603052</v>
      </c>
      <c r="C2379" s="9">
        <v>45993</v>
      </c>
      <c r="D2379" s="8" t="s">
        <v>604</v>
      </c>
      <c r="E2379" s="10">
        <v>200000</v>
      </c>
      <c r="F2379" s="8">
        <v>0.015</v>
      </c>
      <c r="G2379" s="11">
        <v>46086</v>
      </c>
      <c r="H2379" s="12">
        <f t="shared" si="37"/>
        <v>3000</v>
      </c>
      <c r="I2379" s="10" t="s">
        <v>10</v>
      </c>
      <c r="J2379" s="13">
        <v>46008</v>
      </c>
      <c r="K2379" t="s">
        <v>445</v>
      </c>
    </row>
    <row r="2380" hidden="1" spans="1:11">
      <c r="A2380" t="s">
        <v>319</v>
      </c>
      <c r="B2380" s="8">
        <v>252603083</v>
      </c>
      <c r="C2380" s="9">
        <v>45994</v>
      </c>
      <c r="D2380" s="8" t="s">
        <v>618</v>
      </c>
      <c r="E2380" s="10">
        <v>20000</v>
      </c>
      <c r="F2380" s="8">
        <v>0.03</v>
      </c>
      <c r="G2380" s="11">
        <v>45996</v>
      </c>
      <c r="H2380" s="12">
        <f t="shared" si="37"/>
        <v>600</v>
      </c>
      <c r="I2380" s="10" t="s">
        <v>10</v>
      </c>
      <c r="J2380" s="13">
        <v>46004</v>
      </c>
      <c r="K2380" t="s">
        <v>378</v>
      </c>
    </row>
    <row r="2381" hidden="1" spans="1:11">
      <c r="A2381" t="s">
        <v>319</v>
      </c>
      <c r="B2381" s="8">
        <v>252603083</v>
      </c>
      <c r="C2381" s="9">
        <v>45994</v>
      </c>
      <c r="D2381" s="8" t="s">
        <v>619</v>
      </c>
      <c r="E2381" s="10">
        <v>20000</v>
      </c>
      <c r="F2381" s="8">
        <v>0.025</v>
      </c>
      <c r="G2381" s="11">
        <v>45996</v>
      </c>
      <c r="H2381" s="12">
        <f t="shared" si="37"/>
        <v>500</v>
      </c>
      <c r="I2381" s="10" t="s">
        <v>10</v>
      </c>
      <c r="J2381" s="13">
        <v>46008</v>
      </c>
      <c r="K2381" t="s">
        <v>378</v>
      </c>
    </row>
    <row r="2382" hidden="1" spans="1:11">
      <c r="A2382" t="s">
        <v>319</v>
      </c>
      <c r="B2382" s="14">
        <v>252603093</v>
      </c>
      <c r="C2382" s="13">
        <v>45994</v>
      </c>
      <c r="D2382" s="14" t="s">
        <v>578</v>
      </c>
      <c r="E2382" s="15">
        <v>20000</v>
      </c>
      <c r="F2382" s="14">
        <v>0.023</v>
      </c>
      <c r="G2382" s="16">
        <v>46001</v>
      </c>
      <c r="H2382" s="17">
        <f t="shared" si="37"/>
        <v>460</v>
      </c>
      <c r="I2382" s="15" t="s">
        <v>51</v>
      </c>
      <c r="J2382" s="15"/>
      <c r="K2382" t="s">
        <v>528</v>
      </c>
    </row>
    <row r="2383" hidden="1" spans="1:11">
      <c r="A2383" t="s">
        <v>319</v>
      </c>
      <c r="B2383" s="14">
        <v>252603093</v>
      </c>
      <c r="C2383" s="13">
        <v>45994</v>
      </c>
      <c r="D2383" s="14" t="s">
        <v>620</v>
      </c>
      <c r="E2383" s="15">
        <v>20000</v>
      </c>
      <c r="F2383" s="14">
        <v>0.025</v>
      </c>
      <c r="G2383" s="16">
        <v>46001</v>
      </c>
      <c r="H2383" s="17">
        <f t="shared" si="37"/>
        <v>500</v>
      </c>
      <c r="I2383" s="15" t="s">
        <v>51</v>
      </c>
      <c r="J2383" s="15"/>
      <c r="K2383" t="s">
        <v>528</v>
      </c>
    </row>
    <row r="2384" hidden="1" spans="1:11">
      <c r="A2384" t="s">
        <v>319</v>
      </c>
      <c r="B2384" s="14">
        <v>252603093</v>
      </c>
      <c r="C2384" s="13">
        <v>45994</v>
      </c>
      <c r="D2384" s="14" t="s">
        <v>621</v>
      </c>
      <c r="E2384" s="15">
        <v>20000</v>
      </c>
      <c r="F2384" s="14">
        <v>0.024</v>
      </c>
      <c r="G2384" s="16">
        <v>46001</v>
      </c>
      <c r="H2384" s="17">
        <f t="shared" si="37"/>
        <v>480</v>
      </c>
      <c r="I2384" s="15" t="s">
        <v>51</v>
      </c>
      <c r="J2384" s="15"/>
      <c r="K2384" t="s">
        <v>528</v>
      </c>
    </row>
    <row r="2385" hidden="1" spans="1:11">
      <c r="A2385" t="s">
        <v>319</v>
      </c>
      <c r="B2385" s="8">
        <v>252603109</v>
      </c>
      <c r="C2385" s="9">
        <v>45995</v>
      </c>
      <c r="D2385" s="8" t="s">
        <v>183</v>
      </c>
      <c r="E2385" s="10">
        <v>20000</v>
      </c>
      <c r="F2385" s="8">
        <v>0.5</v>
      </c>
      <c r="G2385" s="11">
        <v>46027</v>
      </c>
      <c r="H2385" s="12">
        <f t="shared" si="37"/>
        <v>10000</v>
      </c>
      <c r="I2385" s="10" t="s">
        <v>10</v>
      </c>
      <c r="J2385" s="13">
        <v>46002</v>
      </c>
      <c r="K2385" t="s">
        <v>377</v>
      </c>
    </row>
    <row r="2386" hidden="1" spans="1:11">
      <c r="A2386" t="s">
        <v>319</v>
      </c>
      <c r="B2386" s="8">
        <v>252603109</v>
      </c>
      <c r="C2386" s="9">
        <v>45995</v>
      </c>
      <c r="D2386" s="8" t="s">
        <v>183</v>
      </c>
      <c r="E2386" s="10">
        <v>20000</v>
      </c>
      <c r="F2386" s="8">
        <v>0.5</v>
      </c>
      <c r="G2386" s="11">
        <v>46027</v>
      </c>
      <c r="H2386" s="12">
        <f t="shared" si="37"/>
        <v>10000</v>
      </c>
      <c r="I2386" s="10" t="s">
        <v>10</v>
      </c>
      <c r="J2386" s="13">
        <v>46002</v>
      </c>
      <c r="K2386" t="s">
        <v>377</v>
      </c>
    </row>
    <row r="2387" hidden="1" spans="1:11">
      <c r="A2387" t="s">
        <v>319</v>
      </c>
      <c r="B2387" s="8">
        <v>252603130</v>
      </c>
      <c r="C2387" s="9">
        <v>45999</v>
      </c>
      <c r="D2387" s="8" t="s">
        <v>569</v>
      </c>
      <c r="E2387" s="10">
        <v>100000</v>
      </c>
      <c r="F2387" s="8">
        <v>0.035</v>
      </c>
      <c r="G2387" s="11">
        <v>46027</v>
      </c>
      <c r="H2387" s="12">
        <f t="shared" si="37"/>
        <v>3500</v>
      </c>
      <c r="I2387" s="10" t="s">
        <v>10</v>
      </c>
      <c r="J2387" s="13">
        <v>46001</v>
      </c>
      <c r="K2387" t="s">
        <v>378</v>
      </c>
    </row>
    <row r="2388" hidden="1" spans="1:11">
      <c r="A2388" t="s">
        <v>319</v>
      </c>
      <c r="B2388" s="8">
        <v>252603135</v>
      </c>
      <c r="C2388" s="9">
        <v>45999</v>
      </c>
      <c r="D2388" s="8" t="s">
        <v>242</v>
      </c>
      <c r="E2388" s="10">
        <v>20000</v>
      </c>
      <c r="F2388" s="8">
        <v>0.043</v>
      </c>
      <c r="G2388" s="11">
        <v>46027</v>
      </c>
      <c r="H2388" s="12">
        <f t="shared" si="37"/>
        <v>860</v>
      </c>
      <c r="I2388" s="10" t="s">
        <v>10</v>
      </c>
      <c r="J2388" s="13">
        <v>46001</v>
      </c>
      <c r="K2388" t="s">
        <v>491</v>
      </c>
    </row>
    <row r="2389" hidden="1" spans="1:11">
      <c r="A2389" t="s">
        <v>319</v>
      </c>
      <c r="B2389" s="8">
        <v>252603135</v>
      </c>
      <c r="C2389" s="9">
        <v>45999</v>
      </c>
      <c r="D2389" s="8" t="s">
        <v>512</v>
      </c>
      <c r="E2389" s="10">
        <v>40000</v>
      </c>
      <c r="F2389" s="8">
        <v>0.031</v>
      </c>
      <c r="G2389" s="11">
        <v>46027</v>
      </c>
      <c r="H2389" s="12">
        <f t="shared" si="37"/>
        <v>1240</v>
      </c>
      <c r="I2389" s="10" t="s">
        <v>10</v>
      </c>
      <c r="J2389" s="13">
        <v>46001</v>
      </c>
      <c r="K2389" t="s">
        <v>491</v>
      </c>
    </row>
    <row r="2390" hidden="1" spans="1:11">
      <c r="A2390" t="s">
        <v>319</v>
      </c>
      <c r="B2390" s="8">
        <v>252603142</v>
      </c>
      <c r="C2390" s="9">
        <v>45996</v>
      </c>
      <c r="D2390" s="8" t="s">
        <v>616</v>
      </c>
      <c r="E2390" s="10">
        <v>20000</v>
      </c>
      <c r="F2390" s="8">
        <v>0.06</v>
      </c>
      <c r="G2390" s="11">
        <v>46027</v>
      </c>
      <c r="H2390" s="12">
        <f t="shared" si="37"/>
        <v>1200</v>
      </c>
      <c r="I2390" s="10" t="s">
        <v>10</v>
      </c>
      <c r="J2390" s="13">
        <v>46001</v>
      </c>
      <c r="K2390" t="s">
        <v>377</v>
      </c>
    </row>
    <row r="2391" hidden="1" spans="1:11">
      <c r="A2391" t="s">
        <v>319</v>
      </c>
      <c r="B2391" s="8">
        <v>252603178</v>
      </c>
      <c r="C2391" s="9">
        <v>46000</v>
      </c>
      <c r="D2391" s="8" t="s">
        <v>164</v>
      </c>
      <c r="E2391" s="10">
        <v>21000</v>
      </c>
      <c r="F2391" s="8">
        <v>0.0106</v>
      </c>
      <c r="G2391" s="11">
        <v>46006</v>
      </c>
      <c r="H2391" s="12">
        <f t="shared" si="37"/>
        <v>222.6</v>
      </c>
      <c r="I2391" s="10" t="s">
        <v>10</v>
      </c>
      <c r="J2391" s="13">
        <v>46015</v>
      </c>
      <c r="K2391" t="s">
        <v>469</v>
      </c>
    </row>
    <row r="2392" hidden="1" spans="1:11">
      <c r="A2392" t="s">
        <v>319</v>
      </c>
      <c r="B2392" s="8">
        <v>252603178</v>
      </c>
      <c r="C2392" s="9">
        <v>46000</v>
      </c>
      <c r="D2392" s="8" t="s">
        <v>165</v>
      </c>
      <c r="E2392" s="10">
        <v>21000</v>
      </c>
      <c r="F2392" s="8">
        <v>0.018</v>
      </c>
      <c r="G2392" s="11">
        <v>46006</v>
      </c>
      <c r="H2392" s="12">
        <f t="shared" si="37"/>
        <v>378</v>
      </c>
      <c r="I2392" s="10" t="s">
        <v>10</v>
      </c>
      <c r="J2392" s="13">
        <v>46015</v>
      </c>
      <c r="K2392" t="s">
        <v>469</v>
      </c>
    </row>
    <row r="2393" hidden="1" spans="1:11">
      <c r="A2393" t="s">
        <v>319</v>
      </c>
      <c r="B2393" s="8">
        <v>252603178</v>
      </c>
      <c r="C2393" s="9">
        <v>46000</v>
      </c>
      <c r="D2393" s="8" t="s">
        <v>622</v>
      </c>
      <c r="E2393" s="10">
        <v>21000</v>
      </c>
      <c r="F2393" s="8">
        <v>0.018</v>
      </c>
      <c r="G2393" s="11">
        <v>46006</v>
      </c>
      <c r="H2393" s="12">
        <f t="shared" si="37"/>
        <v>378</v>
      </c>
      <c r="I2393" s="10" t="s">
        <v>10</v>
      </c>
      <c r="J2393" s="13">
        <v>46015</v>
      </c>
      <c r="K2393" t="s">
        <v>469</v>
      </c>
    </row>
    <row r="2394" hidden="1" spans="1:11">
      <c r="A2394" t="s">
        <v>319</v>
      </c>
      <c r="B2394" s="8">
        <v>252603179</v>
      </c>
      <c r="C2394" s="9">
        <v>46001</v>
      </c>
      <c r="D2394" s="8" t="s">
        <v>38</v>
      </c>
      <c r="E2394" s="10">
        <v>20000</v>
      </c>
      <c r="F2394" s="8">
        <v>0.01</v>
      </c>
      <c r="G2394" s="11">
        <v>46027</v>
      </c>
      <c r="H2394" s="12">
        <f t="shared" si="37"/>
        <v>200</v>
      </c>
      <c r="I2394" s="10" t="s">
        <v>10</v>
      </c>
      <c r="J2394" s="13">
        <v>46006</v>
      </c>
      <c r="K2394" t="s">
        <v>369</v>
      </c>
    </row>
    <row r="2395" hidden="1" spans="1:11">
      <c r="A2395" t="s">
        <v>319</v>
      </c>
      <c r="B2395" s="8">
        <v>252603197</v>
      </c>
      <c r="C2395" s="9">
        <v>46002</v>
      </c>
      <c r="D2395" s="8" t="s">
        <v>47</v>
      </c>
      <c r="E2395" s="10">
        <v>300000</v>
      </c>
      <c r="F2395" s="8">
        <v>0.022</v>
      </c>
      <c r="G2395" s="11">
        <v>46027</v>
      </c>
      <c r="H2395" s="12">
        <f t="shared" si="37"/>
        <v>6600</v>
      </c>
      <c r="I2395" s="10" t="s">
        <v>10</v>
      </c>
      <c r="J2395" s="13">
        <v>46010</v>
      </c>
      <c r="K2395" t="s">
        <v>499</v>
      </c>
    </row>
    <row r="2396" hidden="1" spans="1:11">
      <c r="A2396" t="s">
        <v>319</v>
      </c>
      <c r="B2396" s="8">
        <v>252603197</v>
      </c>
      <c r="C2396" s="9">
        <v>46002</v>
      </c>
      <c r="D2396" s="8" t="s">
        <v>47</v>
      </c>
      <c r="E2396" s="10">
        <v>300000</v>
      </c>
      <c r="F2396" s="8">
        <v>0.022</v>
      </c>
      <c r="G2396" s="11">
        <v>46027</v>
      </c>
      <c r="H2396" s="12">
        <f t="shared" si="37"/>
        <v>6600</v>
      </c>
      <c r="I2396" s="10" t="s">
        <v>10</v>
      </c>
      <c r="J2396" s="13">
        <v>46010</v>
      </c>
      <c r="K2396" t="s">
        <v>499</v>
      </c>
    </row>
    <row r="2397" hidden="1" spans="1:11">
      <c r="A2397" t="s">
        <v>319</v>
      </c>
      <c r="B2397" s="8">
        <v>252603197</v>
      </c>
      <c r="C2397" s="9">
        <v>46002</v>
      </c>
      <c r="D2397" s="8" t="s">
        <v>47</v>
      </c>
      <c r="E2397" s="10">
        <v>300000</v>
      </c>
      <c r="F2397" s="8">
        <v>0.022</v>
      </c>
      <c r="G2397" s="11">
        <v>46058</v>
      </c>
      <c r="H2397" s="12">
        <f t="shared" si="37"/>
        <v>6600</v>
      </c>
      <c r="I2397" s="10" t="s">
        <v>10</v>
      </c>
      <c r="J2397" s="13">
        <v>46010</v>
      </c>
      <c r="K2397" t="s">
        <v>499</v>
      </c>
    </row>
    <row r="2398" hidden="1" spans="1:11">
      <c r="A2398" t="s">
        <v>319</v>
      </c>
      <c r="B2398" s="8">
        <v>252603197</v>
      </c>
      <c r="C2398" s="9">
        <v>46002</v>
      </c>
      <c r="D2398" s="8" t="s">
        <v>47</v>
      </c>
      <c r="E2398" s="10">
        <v>300000</v>
      </c>
      <c r="F2398" s="8">
        <v>0.022</v>
      </c>
      <c r="G2398" s="11">
        <v>46058</v>
      </c>
      <c r="H2398" s="12">
        <f t="shared" si="37"/>
        <v>6600</v>
      </c>
      <c r="I2398" s="10" t="s">
        <v>10</v>
      </c>
      <c r="J2398" s="13">
        <v>46010</v>
      </c>
      <c r="K2398" t="s">
        <v>499</v>
      </c>
    </row>
    <row r="2399" hidden="1" spans="1:11">
      <c r="A2399" t="s">
        <v>319</v>
      </c>
      <c r="B2399" s="8">
        <v>252603197</v>
      </c>
      <c r="C2399" s="9">
        <v>46002</v>
      </c>
      <c r="D2399" s="8" t="s">
        <v>45</v>
      </c>
      <c r="E2399" s="10">
        <v>200000</v>
      </c>
      <c r="F2399" s="8">
        <v>0.024</v>
      </c>
      <c r="G2399" s="11">
        <v>46027</v>
      </c>
      <c r="H2399" s="12">
        <f t="shared" si="37"/>
        <v>4800</v>
      </c>
      <c r="I2399" s="10" t="s">
        <v>10</v>
      </c>
      <c r="J2399" s="13">
        <v>46010</v>
      </c>
      <c r="K2399" t="s">
        <v>499</v>
      </c>
    </row>
    <row r="2400" hidden="1" spans="1:11">
      <c r="A2400" t="s">
        <v>319</v>
      </c>
      <c r="B2400" s="8">
        <v>252603197</v>
      </c>
      <c r="C2400" s="9">
        <v>46002</v>
      </c>
      <c r="D2400" s="8" t="s">
        <v>45</v>
      </c>
      <c r="E2400" s="10">
        <v>200000</v>
      </c>
      <c r="F2400" s="8">
        <v>0.024</v>
      </c>
      <c r="G2400" s="11">
        <v>46027</v>
      </c>
      <c r="H2400" s="12">
        <f t="shared" si="37"/>
        <v>4800</v>
      </c>
      <c r="I2400" s="10" t="s">
        <v>10</v>
      </c>
      <c r="J2400" s="13">
        <v>46010</v>
      </c>
      <c r="K2400" t="s">
        <v>499</v>
      </c>
    </row>
    <row r="2401" hidden="1" spans="1:11">
      <c r="A2401" t="s">
        <v>319</v>
      </c>
      <c r="B2401" s="8">
        <v>252603197</v>
      </c>
      <c r="C2401" s="9">
        <v>46002</v>
      </c>
      <c r="D2401" s="8" t="s">
        <v>45</v>
      </c>
      <c r="E2401" s="10">
        <v>200000</v>
      </c>
      <c r="F2401" s="8">
        <v>0.024</v>
      </c>
      <c r="G2401" s="11">
        <v>46058</v>
      </c>
      <c r="H2401" s="12">
        <f t="shared" si="37"/>
        <v>4800</v>
      </c>
      <c r="I2401" s="10" t="s">
        <v>10</v>
      </c>
      <c r="J2401" s="13">
        <v>46010</v>
      </c>
      <c r="K2401" t="s">
        <v>499</v>
      </c>
    </row>
    <row r="2402" hidden="1" spans="1:11">
      <c r="A2402" t="s">
        <v>319</v>
      </c>
      <c r="B2402" s="8">
        <v>252603197</v>
      </c>
      <c r="C2402" s="9">
        <v>46002</v>
      </c>
      <c r="D2402" s="8" t="s">
        <v>45</v>
      </c>
      <c r="E2402" s="10">
        <v>200000</v>
      </c>
      <c r="F2402" s="8">
        <v>0.024</v>
      </c>
      <c r="G2402" s="11">
        <v>46058</v>
      </c>
      <c r="H2402" s="12">
        <f t="shared" si="37"/>
        <v>4800</v>
      </c>
      <c r="I2402" s="10" t="s">
        <v>10</v>
      </c>
      <c r="J2402" s="13">
        <v>46010</v>
      </c>
      <c r="K2402" t="s">
        <v>499</v>
      </c>
    </row>
    <row r="2403" hidden="1" spans="1:11">
      <c r="A2403" t="s">
        <v>319</v>
      </c>
      <c r="B2403" s="8">
        <v>252603197</v>
      </c>
      <c r="C2403" s="9">
        <v>46002</v>
      </c>
      <c r="D2403" s="8" t="s">
        <v>38</v>
      </c>
      <c r="E2403" s="10">
        <v>200000</v>
      </c>
      <c r="F2403" s="8">
        <v>0.01</v>
      </c>
      <c r="G2403" s="11">
        <v>46027</v>
      </c>
      <c r="H2403" s="12">
        <f t="shared" si="37"/>
        <v>2000</v>
      </c>
      <c r="I2403" s="10" t="s">
        <v>10</v>
      </c>
      <c r="J2403" s="13">
        <v>46010</v>
      </c>
      <c r="K2403" t="s">
        <v>499</v>
      </c>
    </row>
    <row r="2404" hidden="1" spans="1:11">
      <c r="A2404" t="s">
        <v>319</v>
      </c>
      <c r="B2404" s="8">
        <v>252603197</v>
      </c>
      <c r="C2404" s="9">
        <v>46002</v>
      </c>
      <c r="D2404" s="8" t="s">
        <v>38</v>
      </c>
      <c r="E2404" s="10">
        <v>200000</v>
      </c>
      <c r="F2404" s="8">
        <v>0.01</v>
      </c>
      <c r="G2404" s="11">
        <v>46027</v>
      </c>
      <c r="H2404" s="12">
        <f t="shared" si="37"/>
        <v>2000</v>
      </c>
      <c r="I2404" s="10" t="s">
        <v>10</v>
      </c>
      <c r="J2404" s="13">
        <v>46010</v>
      </c>
      <c r="K2404" t="s">
        <v>499</v>
      </c>
    </row>
    <row r="2405" hidden="1" spans="1:11">
      <c r="A2405" t="s">
        <v>319</v>
      </c>
      <c r="B2405" s="8">
        <v>252603197</v>
      </c>
      <c r="C2405" s="9">
        <v>46002</v>
      </c>
      <c r="D2405" s="8" t="s">
        <v>38</v>
      </c>
      <c r="E2405" s="10">
        <v>200000</v>
      </c>
      <c r="F2405" s="8">
        <v>0.01</v>
      </c>
      <c r="G2405" s="11">
        <v>46058</v>
      </c>
      <c r="H2405" s="12">
        <f t="shared" si="37"/>
        <v>2000</v>
      </c>
      <c r="I2405" s="10" t="s">
        <v>10</v>
      </c>
      <c r="J2405" s="13">
        <v>46010</v>
      </c>
      <c r="K2405" t="s">
        <v>499</v>
      </c>
    </row>
    <row r="2406" hidden="1" spans="1:11">
      <c r="A2406" t="s">
        <v>319</v>
      </c>
      <c r="B2406" s="8">
        <v>252603197</v>
      </c>
      <c r="C2406" s="9">
        <v>46002</v>
      </c>
      <c r="D2406" s="8" t="s">
        <v>38</v>
      </c>
      <c r="E2406" s="10">
        <v>200000</v>
      </c>
      <c r="F2406" s="8">
        <v>0.01</v>
      </c>
      <c r="G2406" s="11">
        <v>46058</v>
      </c>
      <c r="H2406" s="12">
        <f t="shared" si="37"/>
        <v>2000</v>
      </c>
      <c r="I2406" s="10" t="s">
        <v>10</v>
      </c>
      <c r="J2406" s="13">
        <v>46010</v>
      </c>
      <c r="K2406" t="s">
        <v>499</v>
      </c>
    </row>
    <row r="2407" hidden="1" spans="1:11">
      <c r="A2407" t="s">
        <v>319</v>
      </c>
      <c r="B2407" s="8">
        <v>252603197</v>
      </c>
      <c r="C2407" s="9">
        <v>46002</v>
      </c>
      <c r="D2407" s="8" t="s">
        <v>46</v>
      </c>
      <c r="E2407" s="10">
        <v>200000</v>
      </c>
      <c r="F2407" s="8">
        <v>0.02</v>
      </c>
      <c r="G2407" s="11">
        <v>46027</v>
      </c>
      <c r="H2407" s="12">
        <f t="shared" si="37"/>
        <v>4000</v>
      </c>
      <c r="I2407" s="10" t="s">
        <v>10</v>
      </c>
      <c r="J2407" s="13">
        <v>46010</v>
      </c>
      <c r="K2407" t="s">
        <v>499</v>
      </c>
    </row>
    <row r="2408" hidden="1" spans="1:11">
      <c r="A2408" t="s">
        <v>319</v>
      </c>
      <c r="B2408" s="8">
        <v>252603197</v>
      </c>
      <c r="C2408" s="9">
        <v>46002</v>
      </c>
      <c r="D2408" s="8" t="s">
        <v>46</v>
      </c>
      <c r="E2408" s="10">
        <v>200000</v>
      </c>
      <c r="F2408" s="8">
        <v>0.02</v>
      </c>
      <c r="G2408" s="11">
        <v>46058</v>
      </c>
      <c r="H2408" s="12">
        <f t="shared" si="37"/>
        <v>4000</v>
      </c>
      <c r="I2408" s="10" t="s">
        <v>10</v>
      </c>
      <c r="J2408" s="13">
        <v>46010</v>
      </c>
      <c r="K2408" t="s">
        <v>499</v>
      </c>
    </row>
    <row r="2409" hidden="1" spans="1:11">
      <c r="A2409" t="s">
        <v>319</v>
      </c>
      <c r="B2409" s="8">
        <v>252603197</v>
      </c>
      <c r="C2409" s="9">
        <v>46002</v>
      </c>
      <c r="D2409" s="8" t="s">
        <v>60</v>
      </c>
      <c r="E2409" s="10">
        <v>64000</v>
      </c>
      <c r="F2409" s="8">
        <v>0.006</v>
      </c>
      <c r="G2409" s="11">
        <v>46027</v>
      </c>
      <c r="H2409" s="12">
        <f t="shared" si="37"/>
        <v>384</v>
      </c>
      <c r="I2409" s="10" t="s">
        <v>10</v>
      </c>
      <c r="J2409" s="13">
        <v>46010</v>
      </c>
      <c r="K2409" t="s">
        <v>499</v>
      </c>
    </row>
    <row r="2410" hidden="1" spans="1:11">
      <c r="A2410" t="s">
        <v>319</v>
      </c>
      <c r="B2410" s="8">
        <v>252603197</v>
      </c>
      <c r="C2410" s="9">
        <v>46002</v>
      </c>
      <c r="D2410" s="8" t="s">
        <v>511</v>
      </c>
      <c r="E2410" s="10">
        <v>32000</v>
      </c>
      <c r="F2410" s="8">
        <v>0.041</v>
      </c>
      <c r="G2410" s="11">
        <v>46027</v>
      </c>
      <c r="H2410" s="12">
        <f t="shared" si="37"/>
        <v>1312</v>
      </c>
      <c r="I2410" s="10" t="s">
        <v>10</v>
      </c>
      <c r="J2410" s="13">
        <v>46009</v>
      </c>
      <c r="K2410" t="s">
        <v>499</v>
      </c>
    </row>
    <row r="2411" hidden="1" spans="1:11">
      <c r="A2411" t="s">
        <v>319</v>
      </c>
      <c r="B2411" s="8">
        <v>252603204</v>
      </c>
      <c r="C2411" s="9">
        <v>46002</v>
      </c>
      <c r="D2411" s="8" t="s">
        <v>127</v>
      </c>
      <c r="E2411" s="10">
        <v>200000</v>
      </c>
      <c r="F2411" s="8">
        <v>0.03</v>
      </c>
      <c r="G2411" s="11">
        <v>46027</v>
      </c>
      <c r="H2411" s="12">
        <f t="shared" si="37"/>
        <v>6000</v>
      </c>
      <c r="I2411" s="10" t="s">
        <v>10</v>
      </c>
      <c r="J2411" s="13">
        <v>46010</v>
      </c>
      <c r="K2411" t="s">
        <v>528</v>
      </c>
    </row>
    <row r="2412" hidden="1" spans="1:11">
      <c r="A2412" t="s">
        <v>319</v>
      </c>
      <c r="B2412" s="8">
        <v>252603204</v>
      </c>
      <c r="C2412" s="9">
        <v>46002</v>
      </c>
      <c r="D2412" s="8" t="s">
        <v>127</v>
      </c>
      <c r="E2412" s="10">
        <v>200000</v>
      </c>
      <c r="F2412" s="8">
        <v>0.03</v>
      </c>
      <c r="G2412" s="11">
        <v>46058</v>
      </c>
      <c r="H2412" s="12">
        <f t="shared" si="37"/>
        <v>6000</v>
      </c>
      <c r="I2412" s="10" t="s">
        <v>10</v>
      </c>
      <c r="J2412" s="13">
        <v>46010</v>
      </c>
      <c r="K2412" t="s">
        <v>528</v>
      </c>
    </row>
    <row r="2413" hidden="1" spans="1:11">
      <c r="A2413" t="s">
        <v>319</v>
      </c>
      <c r="B2413" s="8">
        <v>252603204</v>
      </c>
      <c r="C2413" s="9">
        <v>46002</v>
      </c>
      <c r="D2413" s="8" t="s">
        <v>129</v>
      </c>
      <c r="E2413" s="10">
        <v>200000</v>
      </c>
      <c r="F2413" s="8">
        <v>0.025</v>
      </c>
      <c r="G2413" s="11">
        <v>46027</v>
      </c>
      <c r="H2413" s="12">
        <f t="shared" si="37"/>
        <v>5000</v>
      </c>
      <c r="I2413" s="10" t="s">
        <v>10</v>
      </c>
      <c r="J2413" s="13">
        <v>46010</v>
      </c>
      <c r="K2413" t="s">
        <v>528</v>
      </c>
    </row>
    <row r="2414" hidden="1" spans="1:11">
      <c r="A2414" t="s">
        <v>319</v>
      </c>
      <c r="B2414" s="8">
        <v>252603204</v>
      </c>
      <c r="C2414" s="9">
        <v>46002</v>
      </c>
      <c r="D2414" s="8" t="s">
        <v>129</v>
      </c>
      <c r="E2414" s="10">
        <v>200000</v>
      </c>
      <c r="F2414" s="8">
        <v>0.025</v>
      </c>
      <c r="G2414" s="11">
        <v>46058</v>
      </c>
      <c r="H2414" s="12">
        <f t="shared" si="37"/>
        <v>5000</v>
      </c>
      <c r="I2414" s="10" t="s">
        <v>10</v>
      </c>
      <c r="J2414" s="13">
        <v>46010</v>
      </c>
      <c r="K2414" t="s">
        <v>528</v>
      </c>
    </row>
    <row r="2415" hidden="1" spans="1:11">
      <c r="A2415" t="s">
        <v>319</v>
      </c>
      <c r="B2415" s="8">
        <v>252603204</v>
      </c>
      <c r="C2415" s="9">
        <v>46002</v>
      </c>
      <c r="D2415" s="8" t="s">
        <v>128</v>
      </c>
      <c r="E2415" s="10">
        <v>150000</v>
      </c>
      <c r="F2415" s="8">
        <v>0.025</v>
      </c>
      <c r="G2415" s="11">
        <v>46027</v>
      </c>
      <c r="H2415" s="12">
        <f t="shared" si="37"/>
        <v>3750</v>
      </c>
      <c r="I2415" s="10" t="s">
        <v>10</v>
      </c>
      <c r="J2415" s="13">
        <v>46010</v>
      </c>
      <c r="K2415" t="s">
        <v>528</v>
      </c>
    </row>
    <row r="2416" hidden="1" spans="1:11">
      <c r="A2416" t="s">
        <v>319</v>
      </c>
      <c r="B2416" s="8">
        <v>252603204</v>
      </c>
      <c r="C2416" s="9">
        <v>46002</v>
      </c>
      <c r="D2416" s="8" t="s">
        <v>128</v>
      </c>
      <c r="E2416" s="10">
        <v>150000</v>
      </c>
      <c r="F2416" s="8">
        <v>0.025</v>
      </c>
      <c r="G2416" s="11">
        <v>46058</v>
      </c>
      <c r="H2416" s="12">
        <f t="shared" si="37"/>
        <v>3750</v>
      </c>
      <c r="I2416" s="10" t="s">
        <v>10</v>
      </c>
      <c r="J2416" s="13">
        <v>46010</v>
      </c>
      <c r="K2416" t="s">
        <v>528</v>
      </c>
    </row>
    <row r="2417" hidden="1" spans="1:11">
      <c r="A2417" t="s">
        <v>319</v>
      </c>
      <c r="B2417" s="8">
        <v>252603205</v>
      </c>
      <c r="C2417" s="9">
        <v>46002</v>
      </c>
      <c r="D2417" s="8" t="s">
        <v>127</v>
      </c>
      <c r="E2417" s="10">
        <v>200000</v>
      </c>
      <c r="F2417" s="8">
        <v>0.03</v>
      </c>
      <c r="G2417" s="11">
        <v>46086</v>
      </c>
      <c r="H2417" s="12">
        <f t="shared" si="37"/>
        <v>6000</v>
      </c>
      <c r="I2417" s="10" t="s">
        <v>10</v>
      </c>
      <c r="J2417" s="13">
        <v>46050</v>
      </c>
      <c r="K2417" t="s">
        <v>615</v>
      </c>
    </row>
    <row r="2418" hidden="1" spans="1:11">
      <c r="A2418" t="s">
        <v>319</v>
      </c>
      <c r="B2418" s="8">
        <v>252603205</v>
      </c>
      <c r="C2418" s="9">
        <v>46002</v>
      </c>
      <c r="D2418" s="8" t="s">
        <v>127</v>
      </c>
      <c r="E2418" s="10">
        <v>200000</v>
      </c>
      <c r="F2418" s="8">
        <v>0.03</v>
      </c>
      <c r="G2418" s="11">
        <v>46117</v>
      </c>
      <c r="H2418" s="12">
        <f t="shared" si="37"/>
        <v>6000</v>
      </c>
      <c r="I2418" s="10" t="s">
        <v>10</v>
      </c>
      <c r="J2418" s="13">
        <v>46050</v>
      </c>
      <c r="K2418" t="s">
        <v>615</v>
      </c>
    </row>
    <row r="2419" hidden="1" spans="1:11">
      <c r="A2419" t="s">
        <v>319</v>
      </c>
      <c r="B2419" s="8">
        <v>252603205</v>
      </c>
      <c r="C2419" s="9">
        <v>46002</v>
      </c>
      <c r="D2419" s="8" t="s">
        <v>127</v>
      </c>
      <c r="E2419" s="10">
        <v>100000</v>
      </c>
      <c r="F2419" s="8">
        <v>0.03</v>
      </c>
      <c r="G2419" s="11">
        <v>46117</v>
      </c>
      <c r="H2419" s="12">
        <f t="shared" si="37"/>
        <v>3000</v>
      </c>
      <c r="I2419" s="10" t="s">
        <v>10</v>
      </c>
      <c r="J2419" s="13">
        <v>46050</v>
      </c>
      <c r="K2419" t="s">
        <v>615</v>
      </c>
    </row>
    <row r="2420" hidden="1" spans="1:11">
      <c r="A2420" t="s">
        <v>319</v>
      </c>
      <c r="B2420" s="8">
        <v>252603205</v>
      </c>
      <c r="C2420" s="9">
        <v>46002</v>
      </c>
      <c r="D2420" s="8" t="s">
        <v>129</v>
      </c>
      <c r="E2420" s="10">
        <v>200000</v>
      </c>
      <c r="F2420" s="8">
        <v>0.025</v>
      </c>
      <c r="G2420" s="11">
        <v>46086</v>
      </c>
      <c r="H2420" s="12">
        <f t="shared" si="37"/>
        <v>5000</v>
      </c>
      <c r="I2420" s="10" t="s">
        <v>10</v>
      </c>
      <c r="J2420" s="13">
        <v>46050</v>
      </c>
      <c r="K2420" t="s">
        <v>615</v>
      </c>
    </row>
    <row r="2421" hidden="1" spans="1:11">
      <c r="A2421" t="s">
        <v>319</v>
      </c>
      <c r="B2421" s="8">
        <v>252603205</v>
      </c>
      <c r="C2421" s="9">
        <v>46002</v>
      </c>
      <c r="D2421" s="8" t="s">
        <v>129</v>
      </c>
      <c r="E2421" s="10">
        <v>200000</v>
      </c>
      <c r="F2421" s="8">
        <v>0.025</v>
      </c>
      <c r="G2421" s="11">
        <v>46117</v>
      </c>
      <c r="H2421" s="12">
        <f t="shared" si="37"/>
        <v>5000</v>
      </c>
      <c r="I2421" s="10" t="s">
        <v>10</v>
      </c>
      <c r="J2421" s="13">
        <v>46050</v>
      </c>
      <c r="K2421" t="s">
        <v>615</v>
      </c>
    </row>
    <row r="2422" hidden="1" spans="1:11">
      <c r="A2422" t="s">
        <v>319</v>
      </c>
      <c r="B2422" s="8">
        <v>252603205</v>
      </c>
      <c r="C2422" s="9">
        <v>46002</v>
      </c>
      <c r="D2422" s="8" t="s">
        <v>128</v>
      </c>
      <c r="E2422" s="10">
        <v>150000</v>
      </c>
      <c r="F2422" s="8">
        <v>0.025</v>
      </c>
      <c r="G2422" s="11">
        <v>46086</v>
      </c>
      <c r="H2422" s="12">
        <f t="shared" si="37"/>
        <v>3750</v>
      </c>
      <c r="I2422" s="10" t="s">
        <v>10</v>
      </c>
      <c r="J2422" s="13">
        <v>46050</v>
      </c>
      <c r="K2422" t="s">
        <v>615</v>
      </c>
    </row>
    <row r="2423" hidden="1" spans="1:11">
      <c r="A2423" t="s">
        <v>319</v>
      </c>
      <c r="B2423" s="8">
        <v>252603205</v>
      </c>
      <c r="C2423" s="9">
        <v>46002</v>
      </c>
      <c r="D2423" s="8" t="s">
        <v>128</v>
      </c>
      <c r="E2423" s="10">
        <v>200000</v>
      </c>
      <c r="F2423" s="8">
        <v>0.025</v>
      </c>
      <c r="G2423" s="11">
        <v>46117</v>
      </c>
      <c r="H2423" s="12">
        <f t="shared" si="37"/>
        <v>5000</v>
      </c>
      <c r="I2423" s="10" t="s">
        <v>10</v>
      </c>
      <c r="J2423" s="13">
        <v>46050</v>
      </c>
      <c r="K2423" t="s">
        <v>615</v>
      </c>
    </row>
    <row r="2424" hidden="1" spans="1:11">
      <c r="A2424" t="s">
        <v>319</v>
      </c>
      <c r="B2424" s="8">
        <v>252603224</v>
      </c>
      <c r="C2424" s="9">
        <v>46003</v>
      </c>
      <c r="D2424" s="8" t="s">
        <v>557</v>
      </c>
      <c r="E2424" s="10">
        <v>60000</v>
      </c>
      <c r="F2424" s="8">
        <v>0.026</v>
      </c>
      <c r="G2424" s="11">
        <v>46058</v>
      </c>
      <c r="H2424" s="12">
        <f t="shared" si="37"/>
        <v>1560</v>
      </c>
      <c r="I2424" s="10" t="s">
        <v>10</v>
      </c>
      <c r="J2424" s="13">
        <v>46010</v>
      </c>
      <c r="K2424" t="s">
        <v>377</v>
      </c>
    </row>
    <row r="2425" hidden="1" spans="1:11">
      <c r="A2425" t="s">
        <v>319</v>
      </c>
      <c r="B2425" s="8">
        <v>252603224</v>
      </c>
      <c r="C2425" s="9">
        <v>46003</v>
      </c>
      <c r="D2425" s="8" t="s">
        <v>558</v>
      </c>
      <c r="E2425" s="10">
        <v>90000</v>
      </c>
      <c r="F2425" s="8">
        <v>0.07</v>
      </c>
      <c r="G2425" s="11">
        <v>46058</v>
      </c>
      <c r="H2425" s="12">
        <f t="shared" si="37"/>
        <v>6300</v>
      </c>
      <c r="I2425" s="10" t="s">
        <v>10</v>
      </c>
      <c r="J2425" s="13">
        <v>46010</v>
      </c>
      <c r="K2425" t="s">
        <v>377</v>
      </c>
    </row>
    <row r="2426" hidden="1" spans="1:11">
      <c r="A2426" t="s">
        <v>319</v>
      </c>
      <c r="B2426" s="8">
        <v>252603224</v>
      </c>
      <c r="C2426" s="9">
        <v>46003</v>
      </c>
      <c r="D2426" s="8" t="s">
        <v>162</v>
      </c>
      <c r="E2426" s="10">
        <v>100000</v>
      </c>
      <c r="F2426" s="8">
        <v>0.05</v>
      </c>
      <c r="G2426" s="11">
        <v>46058</v>
      </c>
      <c r="H2426" s="12">
        <f t="shared" si="37"/>
        <v>5000</v>
      </c>
      <c r="I2426" s="10" t="s">
        <v>10</v>
      </c>
      <c r="J2426" s="13">
        <v>46010</v>
      </c>
      <c r="K2426" t="s">
        <v>377</v>
      </c>
    </row>
    <row r="2427" hidden="1" spans="1:11">
      <c r="A2427" t="s">
        <v>319</v>
      </c>
      <c r="B2427" s="8">
        <v>252603224</v>
      </c>
      <c r="C2427" s="9">
        <v>46003</v>
      </c>
      <c r="D2427" s="8" t="s">
        <v>105</v>
      </c>
      <c r="E2427" s="10">
        <v>80000</v>
      </c>
      <c r="F2427" s="8">
        <v>0.18</v>
      </c>
      <c r="G2427" s="11">
        <v>46058</v>
      </c>
      <c r="H2427" s="12">
        <f t="shared" si="37"/>
        <v>14400</v>
      </c>
      <c r="I2427" s="10" t="s">
        <v>10</v>
      </c>
      <c r="J2427" s="13">
        <v>46010</v>
      </c>
      <c r="K2427" t="s">
        <v>377</v>
      </c>
    </row>
    <row r="2428" hidden="1" spans="1:11">
      <c r="A2428" t="s">
        <v>319</v>
      </c>
      <c r="B2428" s="8">
        <v>252603224</v>
      </c>
      <c r="C2428" s="9">
        <v>46003</v>
      </c>
      <c r="D2428" s="8" t="s">
        <v>502</v>
      </c>
      <c r="E2428" s="10">
        <v>120000</v>
      </c>
      <c r="F2428" s="8">
        <v>0.1</v>
      </c>
      <c r="G2428" s="11">
        <v>46058</v>
      </c>
      <c r="H2428" s="12">
        <f t="shared" si="37"/>
        <v>12000</v>
      </c>
      <c r="I2428" s="10" t="s">
        <v>10</v>
      </c>
      <c r="J2428" s="13">
        <v>46010</v>
      </c>
      <c r="K2428" t="s">
        <v>377</v>
      </c>
    </row>
    <row r="2429" hidden="1" spans="1:11">
      <c r="A2429" t="s">
        <v>319</v>
      </c>
      <c r="B2429" s="8">
        <v>252603224</v>
      </c>
      <c r="C2429" s="9">
        <v>46003</v>
      </c>
      <c r="D2429" s="8" t="s">
        <v>183</v>
      </c>
      <c r="E2429" s="10">
        <v>20000</v>
      </c>
      <c r="F2429" s="8">
        <v>0.5</v>
      </c>
      <c r="G2429" s="11">
        <v>46058</v>
      </c>
      <c r="H2429" s="12">
        <f t="shared" si="37"/>
        <v>10000</v>
      </c>
      <c r="I2429" s="10" t="s">
        <v>10</v>
      </c>
      <c r="J2429" s="13">
        <v>46010</v>
      </c>
      <c r="K2429" t="s">
        <v>377</v>
      </c>
    </row>
    <row r="2430" hidden="1" spans="1:11">
      <c r="A2430" t="s">
        <v>319</v>
      </c>
      <c r="B2430" s="8">
        <v>252603224</v>
      </c>
      <c r="C2430" s="9">
        <v>46003</v>
      </c>
      <c r="D2430" s="8" t="s">
        <v>509</v>
      </c>
      <c r="E2430" s="10">
        <v>10000</v>
      </c>
      <c r="F2430" s="8">
        <v>0.16</v>
      </c>
      <c r="G2430" s="11">
        <v>46058</v>
      </c>
      <c r="H2430" s="12">
        <f t="shared" si="37"/>
        <v>1600</v>
      </c>
      <c r="I2430" s="10" t="s">
        <v>10</v>
      </c>
      <c r="J2430" s="13">
        <v>46010</v>
      </c>
      <c r="K2430" t="s">
        <v>377</v>
      </c>
    </row>
    <row r="2431" hidden="1" spans="1:11">
      <c r="A2431" t="s">
        <v>319</v>
      </c>
      <c r="B2431" s="8">
        <v>252603224</v>
      </c>
      <c r="C2431" s="9">
        <v>46003</v>
      </c>
      <c r="D2431" s="8" t="s">
        <v>50</v>
      </c>
      <c r="E2431" s="10">
        <v>150000</v>
      </c>
      <c r="F2431" s="8">
        <v>0.08</v>
      </c>
      <c r="G2431" s="11">
        <v>46058</v>
      </c>
      <c r="H2431" s="12">
        <f t="shared" si="37"/>
        <v>12000</v>
      </c>
      <c r="I2431" s="10" t="s">
        <v>10</v>
      </c>
      <c r="J2431" s="13">
        <v>46010</v>
      </c>
      <c r="K2431" t="s">
        <v>377</v>
      </c>
    </row>
    <row r="2432" hidden="1" spans="1:11">
      <c r="A2432" t="s">
        <v>319</v>
      </c>
      <c r="B2432" s="8">
        <v>252603224</v>
      </c>
      <c r="C2432" s="9">
        <v>46003</v>
      </c>
      <c r="D2432" s="8" t="s">
        <v>111</v>
      </c>
      <c r="E2432" s="10">
        <v>40000</v>
      </c>
      <c r="F2432" s="8">
        <v>0.045</v>
      </c>
      <c r="G2432" s="11">
        <v>46058</v>
      </c>
      <c r="H2432" s="12">
        <f t="shared" si="37"/>
        <v>1800</v>
      </c>
      <c r="I2432" s="10" t="s">
        <v>10</v>
      </c>
      <c r="J2432" s="13">
        <v>46010</v>
      </c>
      <c r="K2432" t="s">
        <v>377</v>
      </c>
    </row>
    <row r="2433" hidden="1" spans="1:11">
      <c r="A2433" t="s">
        <v>319</v>
      </c>
      <c r="B2433" s="8">
        <v>252603224</v>
      </c>
      <c r="C2433" s="9">
        <v>46003</v>
      </c>
      <c r="D2433" s="8" t="s">
        <v>46</v>
      </c>
      <c r="E2433" s="10">
        <v>88000</v>
      </c>
      <c r="F2433" s="8">
        <v>0.02</v>
      </c>
      <c r="G2433" s="11">
        <v>46058</v>
      </c>
      <c r="H2433" s="12">
        <f t="shared" si="37"/>
        <v>1760</v>
      </c>
      <c r="I2433" s="10" t="s">
        <v>10</v>
      </c>
      <c r="J2433" s="13">
        <v>46010</v>
      </c>
      <c r="K2433" t="s">
        <v>377</v>
      </c>
    </row>
    <row r="2434" hidden="1" spans="1:11">
      <c r="A2434" t="s">
        <v>319</v>
      </c>
      <c r="B2434" s="8">
        <v>252603224</v>
      </c>
      <c r="C2434" s="9">
        <v>46003</v>
      </c>
      <c r="D2434" s="8" t="s">
        <v>40</v>
      </c>
      <c r="E2434" s="10">
        <v>150000</v>
      </c>
      <c r="F2434" s="8">
        <v>0.035</v>
      </c>
      <c r="G2434" s="11">
        <v>46027</v>
      </c>
      <c r="H2434" s="12">
        <f t="shared" ref="H2434:H2497" si="38">E2434*F2434</f>
        <v>5250</v>
      </c>
      <c r="I2434" s="10" t="s">
        <v>10</v>
      </c>
      <c r="J2434" s="13">
        <v>46010</v>
      </c>
      <c r="K2434" t="s">
        <v>377</v>
      </c>
    </row>
    <row r="2435" hidden="1" spans="1:11">
      <c r="A2435" t="s">
        <v>319</v>
      </c>
      <c r="B2435" s="8">
        <v>252603224</v>
      </c>
      <c r="C2435" s="9">
        <v>46003</v>
      </c>
      <c r="D2435" s="8" t="s">
        <v>511</v>
      </c>
      <c r="E2435" s="10">
        <v>32000</v>
      </c>
      <c r="F2435" s="8">
        <v>0.041</v>
      </c>
      <c r="G2435" s="11">
        <v>46058</v>
      </c>
      <c r="H2435" s="12">
        <f t="shared" si="38"/>
        <v>1312</v>
      </c>
      <c r="I2435" s="10" t="s">
        <v>10</v>
      </c>
      <c r="J2435" s="13">
        <v>46009</v>
      </c>
      <c r="K2435" t="s">
        <v>377</v>
      </c>
    </row>
    <row r="2436" hidden="1" spans="1:11">
      <c r="A2436" t="s">
        <v>319</v>
      </c>
      <c r="B2436" s="8">
        <v>252603224</v>
      </c>
      <c r="C2436" s="9">
        <v>46003</v>
      </c>
      <c r="D2436" s="8" t="s">
        <v>38</v>
      </c>
      <c r="E2436" s="10">
        <v>40000</v>
      </c>
      <c r="F2436" s="8">
        <v>0.01</v>
      </c>
      <c r="G2436" s="11">
        <v>46027</v>
      </c>
      <c r="H2436" s="12">
        <f t="shared" si="38"/>
        <v>400</v>
      </c>
      <c r="I2436" s="10" t="s">
        <v>10</v>
      </c>
      <c r="J2436" s="13">
        <v>46010</v>
      </c>
      <c r="K2436" t="s">
        <v>377</v>
      </c>
    </row>
    <row r="2437" hidden="1" spans="1:11">
      <c r="A2437" t="s">
        <v>319</v>
      </c>
      <c r="B2437" s="8">
        <v>252603224</v>
      </c>
      <c r="C2437" s="9">
        <v>46003</v>
      </c>
      <c r="D2437" s="8" t="s">
        <v>226</v>
      </c>
      <c r="E2437" s="10">
        <v>40000</v>
      </c>
      <c r="F2437" s="8">
        <v>0.065</v>
      </c>
      <c r="G2437" s="11">
        <v>46027</v>
      </c>
      <c r="H2437" s="12">
        <f t="shared" si="38"/>
        <v>2600</v>
      </c>
      <c r="I2437" s="10" t="s">
        <v>10</v>
      </c>
      <c r="J2437" s="13">
        <v>46010</v>
      </c>
      <c r="K2437" t="s">
        <v>377</v>
      </c>
    </row>
    <row r="2438" hidden="1" spans="1:11">
      <c r="A2438" t="s">
        <v>319</v>
      </c>
      <c r="B2438" s="8">
        <v>252603224</v>
      </c>
      <c r="C2438" s="9">
        <v>46003</v>
      </c>
      <c r="D2438" s="8" t="s">
        <v>226</v>
      </c>
      <c r="E2438" s="10">
        <v>40000</v>
      </c>
      <c r="F2438" s="8">
        <v>0.065</v>
      </c>
      <c r="G2438" s="11">
        <v>46027</v>
      </c>
      <c r="H2438" s="12">
        <f t="shared" si="38"/>
        <v>2600</v>
      </c>
      <c r="I2438" s="10" t="s">
        <v>10</v>
      </c>
      <c r="J2438" s="13">
        <v>46010</v>
      </c>
      <c r="K2438" t="s">
        <v>377</v>
      </c>
    </row>
    <row r="2439" hidden="1" spans="1:11">
      <c r="A2439" t="s">
        <v>319</v>
      </c>
      <c r="B2439" s="8">
        <v>252603224</v>
      </c>
      <c r="C2439" s="9">
        <v>46003</v>
      </c>
      <c r="D2439" s="8" t="s">
        <v>549</v>
      </c>
      <c r="E2439" s="10">
        <v>20000</v>
      </c>
      <c r="F2439" s="8">
        <v>0.22</v>
      </c>
      <c r="G2439" s="11">
        <v>46027</v>
      </c>
      <c r="H2439" s="12">
        <f t="shared" si="38"/>
        <v>4400</v>
      </c>
      <c r="I2439" s="10" t="s">
        <v>10</v>
      </c>
      <c r="J2439" s="13">
        <v>46010</v>
      </c>
      <c r="K2439" t="s">
        <v>377</v>
      </c>
    </row>
    <row r="2440" hidden="1" spans="1:11">
      <c r="A2440" t="s">
        <v>319</v>
      </c>
      <c r="B2440" s="8">
        <v>252603224</v>
      </c>
      <c r="C2440" s="9">
        <v>46003</v>
      </c>
      <c r="D2440" s="8" t="s">
        <v>549</v>
      </c>
      <c r="E2440" s="10">
        <v>20000</v>
      </c>
      <c r="F2440" s="8">
        <v>0.22</v>
      </c>
      <c r="G2440" s="11">
        <v>46027</v>
      </c>
      <c r="H2440" s="12">
        <f t="shared" si="38"/>
        <v>4400</v>
      </c>
      <c r="I2440" s="10" t="s">
        <v>10</v>
      </c>
      <c r="J2440" s="13">
        <v>46010</v>
      </c>
      <c r="K2440" t="s">
        <v>377</v>
      </c>
    </row>
    <row r="2441" hidden="1" spans="1:11">
      <c r="A2441" t="s">
        <v>319</v>
      </c>
      <c r="B2441" s="8">
        <v>252603225</v>
      </c>
      <c r="C2441" s="9">
        <v>46003</v>
      </c>
      <c r="D2441" s="8" t="s">
        <v>502</v>
      </c>
      <c r="E2441" s="10">
        <v>120000</v>
      </c>
      <c r="F2441" s="8">
        <v>0.1</v>
      </c>
      <c r="G2441" s="11">
        <v>46086</v>
      </c>
      <c r="H2441" s="12">
        <f t="shared" si="38"/>
        <v>12000</v>
      </c>
      <c r="I2441" s="10" t="s">
        <v>10</v>
      </c>
      <c r="J2441" s="13">
        <v>46045</v>
      </c>
      <c r="K2441" t="s">
        <v>377</v>
      </c>
    </row>
    <row r="2442" hidden="1" spans="1:11">
      <c r="A2442" t="s">
        <v>319</v>
      </c>
      <c r="B2442" s="8">
        <v>252603225</v>
      </c>
      <c r="C2442" s="9">
        <v>46003</v>
      </c>
      <c r="D2442" s="8" t="s">
        <v>183</v>
      </c>
      <c r="E2442" s="10">
        <v>20000</v>
      </c>
      <c r="F2442" s="8">
        <v>0.5</v>
      </c>
      <c r="G2442" s="11">
        <v>46086</v>
      </c>
      <c r="H2442" s="12">
        <f t="shared" si="38"/>
        <v>10000</v>
      </c>
      <c r="I2442" s="10" t="s">
        <v>10</v>
      </c>
      <c r="J2442" s="13">
        <v>46045</v>
      </c>
      <c r="K2442" t="s">
        <v>377</v>
      </c>
    </row>
    <row r="2443" hidden="1" spans="1:11">
      <c r="A2443" t="s">
        <v>319</v>
      </c>
      <c r="B2443" s="8">
        <v>252603225</v>
      </c>
      <c r="C2443" s="9">
        <v>46003</v>
      </c>
      <c r="D2443" s="8" t="s">
        <v>50</v>
      </c>
      <c r="E2443" s="10">
        <v>120000</v>
      </c>
      <c r="F2443" s="8">
        <v>0.08</v>
      </c>
      <c r="G2443" s="11">
        <v>46086</v>
      </c>
      <c r="H2443" s="12">
        <f t="shared" si="38"/>
        <v>9600</v>
      </c>
      <c r="I2443" s="10" t="s">
        <v>10</v>
      </c>
      <c r="J2443" s="13">
        <v>46045</v>
      </c>
      <c r="K2443" t="s">
        <v>377</v>
      </c>
    </row>
    <row r="2444" hidden="1" spans="1:11">
      <c r="A2444" t="s">
        <v>319</v>
      </c>
      <c r="B2444" s="8">
        <v>252603225</v>
      </c>
      <c r="C2444" s="9">
        <v>46003</v>
      </c>
      <c r="D2444" s="8" t="s">
        <v>623</v>
      </c>
      <c r="E2444" s="10">
        <v>90000</v>
      </c>
      <c r="F2444" s="8">
        <v>0.07</v>
      </c>
      <c r="G2444" s="11">
        <v>46086</v>
      </c>
      <c r="H2444" s="12">
        <f t="shared" si="38"/>
        <v>6300</v>
      </c>
      <c r="I2444" s="10" t="s">
        <v>10</v>
      </c>
      <c r="J2444" s="13">
        <v>46045</v>
      </c>
      <c r="K2444" t="s">
        <v>377</v>
      </c>
    </row>
    <row r="2445" hidden="1" spans="1:11">
      <c r="A2445" t="s">
        <v>319</v>
      </c>
      <c r="B2445" s="8">
        <v>252603231</v>
      </c>
      <c r="C2445" s="9">
        <v>46003</v>
      </c>
      <c r="D2445" s="8" t="s">
        <v>30</v>
      </c>
      <c r="E2445" s="10">
        <v>100000</v>
      </c>
      <c r="F2445" s="8">
        <v>0.022</v>
      </c>
      <c r="G2445" s="11">
        <v>46027</v>
      </c>
      <c r="H2445" s="12">
        <f t="shared" si="38"/>
        <v>2200</v>
      </c>
      <c r="I2445" s="10" t="s">
        <v>10</v>
      </c>
      <c r="J2445" s="13">
        <v>46021</v>
      </c>
      <c r="K2445" t="s">
        <v>378</v>
      </c>
    </row>
    <row r="2446" hidden="1" spans="1:11">
      <c r="A2446" t="s">
        <v>319</v>
      </c>
      <c r="B2446" s="8">
        <v>252603246</v>
      </c>
      <c r="C2446" s="9">
        <v>46006</v>
      </c>
      <c r="D2446" s="8" t="s">
        <v>610</v>
      </c>
      <c r="E2446" s="10">
        <v>32000</v>
      </c>
      <c r="F2446" s="8">
        <v>0.033</v>
      </c>
      <c r="G2446" s="11">
        <v>46047</v>
      </c>
      <c r="H2446" s="12">
        <f t="shared" si="38"/>
        <v>1056</v>
      </c>
      <c r="I2446" s="10" t="s">
        <v>10</v>
      </c>
      <c r="J2446" s="13">
        <v>46037</v>
      </c>
      <c r="K2446" t="s">
        <v>337</v>
      </c>
    </row>
    <row r="2447" hidden="1" spans="1:11">
      <c r="A2447" t="s">
        <v>319</v>
      </c>
      <c r="B2447" s="8">
        <v>252603246</v>
      </c>
      <c r="C2447" s="9">
        <v>46006</v>
      </c>
      <c r="D2447" s="8" t="s">
        <v>610</v>
      </c>
      <c r="E2447" s="10">
        <v>32000</v>
      </c>
      <c r="F2447" s="8">
        <v>0.033</v>
      </c>
      <c r="G2447" s="11">
        <v>46047</v>
      </c>
      <c r="H2447" s="12">
        <f t="shared" si="38"/>
        <v>1056</v>
      </c>
      <c r="I2447" s="10" t="s">
        <v>10</v>
      </c>
      <c r="J2447" s="13">
        <v>46037</v>
      </c>
      <c r="K2447" t="s">
        <v>337</v>
      </c>
    </row>
    <row r="2448" hidden="1" spans="1:11">
      <c r="A2448" t="s">
        <v>319</v>
      </c>
      <c r="B2448" s="8">
        <v>252603246</v>
      </c>
      <c r="C2448" s="9">
        <v>46006</v>
      </c>
      <c r="D2448" s="8" t="s">
        <v>610</v>
      </c>
      <c r="E2448" s="10">
        <v>32000</v>
      </c>
      <c r="F2448" s="8">
        <v>0.033</v>
      </c>
      <c r="G2448" s="11">
        <v>46058</v>
      </c>
      <c r="H2448" s="12">
        <f t="shared" si="38"/>
        <v>1056</v>
      </c>
      <c r="I2448" s="10" t="s">
        <v>10</v>
      </c>
      <c r="J2448" s="13">
        <v>46037</v>
      </c>
      <c r="K2448" t="s">
        <v>337</v>
      </c>
    </row>
    <row r="2449" hidden="1" spans="1:11">
      <c r="A2449" t="s">
        <v>319</v>
      </c>
      <c r="B2449" s="8">
        <v>252603246</v>
      </c>
      <c r="C2449" s="9">
        <v>46006</v>
      </c>
      <c r="D2449" s="8" t="s">
        <v>610</v>
      </c>
      <c r="E2449" s="10">
        <v>32000</v>
      </c>
      <c r="F2449" s="8">
        <v>0.033</v>
      </c>
      <c r="G2449" s="11">
        <v>46086</v>
      </c>
      <c r="H2449" s="12">
        <f t="shared" si="38"/>
        <v>1056</v>
      </c>
      <c r="I2449" s="10" t="s">
        <v>10</v>
      </c>
      <c r="J2449" s="13">
        <v>46037</v>
      </c>
      <c r="K2449" t="s">
        <v>337</v>
      </c>
    </row>
    <row r="2450" hidden="1" spans="1:11">
      <c r="A2450" t="s">
        <v>319</v>
      </c>
      <c r="B2450" s="8">
        <v>252603246</v>
      </c>
      <c r="C2450" s="9">
        <v>46006</v>
      </c>
      <c r="D2450" s="8" t="s">
        <v>610</v>
      </c>
      <c r="E2450" s="10">
        <v>32000</v>
      </c>
      <c r="F2450" s="8">
        <v>0.033</v>
      </c>
      <c r="G2450" s="11">
        <v>46117</v>
      </c>
      <c r="H2450" s="12">
        <f t="shared" si="38"/>
        <v>1056</v>
      </c>
      <c r="I2450" s="10" t="s">
        <v>10</v>
      </c>
      <c r="J2450" s="13">
        <v>46037</v>
      </c>
      <c r="K2450" t="s">
        <v>337</v>
      </c>
    </row>
    <row r="2451" hidden="1" spans="1:11">
      <c r="A2451" t="s">
        <v>319</v>
      </c>
      <c r="B2451" s="8">
        <v>252603246</v>
      </c>
      <c r="C2451" s="9">
        <v>46006</v>
      </c>
      <c r="D2451" s="8" t="s">
        <v>624</v>
      </c>
      <c r="E2451" s="10">
        <v>20000</v>
      </c>
      <c r="F2451" s="8">
        <v>0.05</v>
      </c>
      <c r="G2451" s="11">
        <v>46047</v>
      </c>
      <c r="H2451" s="12">
        <f t="shared" si="38"/>
        <v>1000</v>
      </c>
      <c r="I2451" s="10" t="s">
        <v>10</v>
      </c>
      <c r="J2451" s="13">
        <v>46037</v>
      </c>
      <c r="K2451" t="s">
        <v>337</v>
      </c>
    </row>
    <row r="2452" hidden="1" spans="1:11">
      <c r="A2452" t="s">
        <v>319</v>
      </c>
      <c r="B2452" s="8">
        <v>252603246</v>
      </c>
      <c r="C2452" s="9">
        <v>46006</v>
      </c>
      <c r="D2452" s="8" t="s">
        <v>624</v>
      </c>
      <c r="E2452" s="10">
        <v>20000</v>
      </c>
      <c r="F2452" s="8">
        <v>0.05</v>
      </c>
      <c r="G2452" s="11">
        <v>46047</v>
      </c>
      <c r="H2452" s="12">
        <f t="shared" si="38"/>
        <v>1000</v>
      </c>
      <c r="I2452" s="10" t="s">
        <v>10</v>
      </c>
      <c r="J2452" s="13">
        <v>46037</v>
      </c>
      <c r="K2452" t="s">
        <v>337</v>
      </c>
    </row>
    <row r="2453" hidden="1" spans="1:11">
      <c r="A2453" t="s">
        <v>319</v>
      </c>
      <c r="B2453" s="8">
        <v>252603269</v>
      </c>
      <c r="C2453" s="9">
        <v>46008</v>
      </c>
      <c r="D2453" s="8" t="s">
        <v>181</v>
      </c>
      <c r="E2453" s="10">
        <v>24000</v>
      </c>
      <c r="F2453" s="8">
        <v>0.0243</v>
      </c>
      <c r="G2453" s="11">
        <v>46058</v>
      </c>
      <c r="H2453" s="12">
        <f t="shared" si="38"/>
        <v>583.2</v>
      </c>
      <c r="I2453" s="10" t="s">
        <v>10</v>
      </c>
      <c r="J2453" s="13">
        <v>46021</v>
      </c>
      <c r="K2453" t="s">
        <v>493</v>
      </c>
    </row>
    <row r="2454" hidden="1" spans="1:11">
      <c r="A2454" t="s">
        <v>319</v>
      </c>
      <c r="B2454" s="8">
        <v>252603289</v>
      </c>
      <c r="C2454" s="9">
        <v>46008</v>
      </c>
      <c r="D2454" s="8" t="s">
        <v>31</v>
      </c>
      <c r="E2454" s="10">
        <v>200000</v>
      </c>
      <c r="F2454" s="8">
        <v>0.024</v>
      </c>
      <c r="G2454" s="11">
        <v>46117</v>
      </c>
      <c r="H2454" s="12">
        <f t="shared" si="38"/>
        <v>4800</v>
      </c>
      <c r="I2454" s="10" t="s">
        <v>10</v>
      </c>
      <c r="J2454" s="13">
        <v>46029</v>
      </c>
      <c r="K2454" t="s">
        <v>467</v>
      </c>
    </row>
    <row r="2455" hidden="1" spans="1:11">
      <c r="A2455" t="s">
        <v>319</v>
      </c>
      <c r="B2455" s="8">
        <v>252603289</v>
      </c>
      <c r="C2455" s="9">
        <v>46008</v>
      </c>
      <c r="D2455" s="8" t="s">
        <v>33</v>
      </c>
      <c r="E2455" s="10">
        <v>200000</v>
      </c>
      <c r="F2455" s="8">
        <v>0.018</v>
      </c>
      <c r="G2455" s="11">
        <v>46086</v>
      </c>
      <c r="H2455" s="12">
        <f t="shared" si="38"/>
        <v>3600</v>
      </c>
      <c r="I2455" s="10" t="s">
        <v>10</v>
      </c>
      <c r="J2455" s="13">
        <v>46029</v>
      </c>
      <c r="K2455" t="s">
        <v>467</v>
      </c>
    </row>
    <row r="2456" hidden="1" spans="1:11">
      <c r="A2456" t="s">
        <v>319</v>
      </c>
      <c r="B2456" s="8">
        <v>252603289</v>
      </c>
      <c r="C2456" s="9">
        <v>46008</v>
      </c>
      <c r="D2456" s="8" t="s">
        <v>33</v>
      </c>
      <c r="E2456" s="10">
        <v>200000</v>
      </c>
      <c r="F2456" s="8">
        <v>0.018</v>
      </c>
      <c r="G2456" s="11">
        <v>46086</v>
      </c>
      <c r="H2456" s="12">
        <f t="shared" si="38"/>
        <v>3600</v>
      </c>
      <c r="I2456" s="10" t="s">
        <v>10</v>
      </c>
      <c r="J2456" s="13">
        <v>46029</v>
      </c>
      <c r="K2456" t="s">
        <v>467</v>
      </c>
    </row>
    <row r="2457" hidden="1" spans="1:11">
      <c r="A2457" t="s">
        <v>319</v>
      </c>
      <c r="B2457" s="8">
        <v>252603289</v>
      </c>
      <c r="C2457" s="9">
        <v>46008</v>
      </c>
      <c r="D2457" s="8" t="s">
        <v>33</v>
      </c>
      <c r="E2457" s="10">
        <v>200000</v>
      </c>
      <c r="F2457" s="8">
        <v>0.018</v>
      </c>
      <c r="G2457" s="11">
        <v>46086</v>
      </c>
      <c r="H2457" s="12">
        <f t="shared" si="38"/>
        <v>3600</v>
      </c>
      <c r="I2457" s="10" t="s">
        <v>10</v>
      </c>
      <c r="J2457" s="13">
        <v>46029</v>
      </c>
      <c r="K2457" t="s">
        <v>467</v>
      </c>
    </row>
    <row r="2458" hidden="1" spans="1:11">
      <c r="A2458" t="s">
        <v>319</v>
      </c>
      <c r="B2458" s="8">
        <v>252603289</v>
      </c>
      <c r="C2458" s="9">
        <v>46008</v>
      </c>
      <c r="D2458" s="8" t="s">
        <v>33</v>
      </c>
      <c r="E2458" s="10">
        <v>200000</v>
      </c>
      <c r="F2458" s="8">
        <v>0.018</v>
      </c>
      <c r="G2458" s="11">
        <v>46117</v>
      </c>
      <c r="H2458" s="12">
        <f t="shared" si="38"/>
        <v>3600</v>
      </c>
      <c r="I2458" s="10" t="s">
        <v>10</v>
      </c>
      <c r="J2458" s="13">
        <v>46029</v>
      </c>
      <c r="K2458" t="s">
        <v>467</v>
      </c>
    </row>
    <row r="2459" hidden="1" spans="1:11">
      <c r="A2459" t="s">
        <v>319</v>
      </c>
      <c r="B2459" s="8">
        <v>252603289</v>
      </c>
      <c r="C2459" s="9">
        <v>46008</v>
      </c>
      <c r="D2459" s="8" t="s">
        <v>33</v>
      </c>
      <c r="E2459" s="10">
        <v>200000</v>
      </c>
      <c r="F2459" s="8">
        <v>0.018</v>
      </c>
      <c r="G2459" s="11">
        <v>46117</v>
      </c>
      <c r="H2459" s="12">
        <f t="shared" si="38"/>
        <v>3600</v>
      </c>
      <c r="I2459" s="10" t="s">
        <v>10</v>
      </c>
      <c r="J2459" s="13">
        <v>46029</v>
      </c>
      <c r="K2459" t="s">
        <v>467</v>
      </c>
    </row>
    <row r="2460" hidden="1" spans="1:11">
      <c r="A2460" t="s">
        <v>319</v>
      </c>
      <c r="B2460" s="8">
        <v>252603289</v>
      </c>
      <c r="C2460" s="9">
        <v>46008</v>
      </c>
      <c r="D2460" s="8" t="s">
        <v>33</v>
      </c>
      <c r="E2460" s="10">
        <v>200000</v>
      </c>
      <c r="F2460" s="8">
        <v>0.018</v>
      </c>
      <c r="G2460" s="11">
        <v>46117</v>
      </c>
      <c r="H2460" s="12">
        <f t="shared" si="38"/>
        <v>3600</v>
      </c>
      <c r="I2460" s="10" t="s">
        <v>10</v>
      </c>
      <c r="J2460" s="13">
        <v>46029</v>
      </c>
      <c r="K2460" t="s">
        <v>467</v>
      </c>
    </row>
    <row r="2461" hidden="1" spans="1:11">
      <c r="A2461" t="s">
        <v>319</v>
      </c>
      <c r="B2461" s="8">
        <v>252603289</v>
      </c>
      <c r="C2461" s="9">
        <v>46008</v>
      </c>
      <c r="D2461" s="8" t="s">
        <v>32</v>
      </c>
      <c r="E2461" s="10">
        <v>200000</v>
      </c>
      <c r="F2461" s="8">
        <v>0.014</v>
      </c>
      <c r="G2461" s="11">
        <v>46086</v>
      </c>
      <c r="H2461" s="12">
        <f t="shared" si="38"/>
        <v>2800</v>
      </c>
      <c r="I2461" s="10" t="s">
        <v>10</v>
      </c>
      <c r="J2461" s="13">
        <v>46029</v>
      </c>
      <c r="K2461" t="s">
        <v>467</v>
      </c>
    </row>
    <row r="2462" hidden="1" spans="1:11">
      <c r="A2462" t="s">
        <v>319</v>
      </c>
      <c r="B2462" s="8">
        <v>252603289</v>
      </c>
      <c r="C2462" s="9">
        <v>46008</v>
      </c>
      <c r="D2462" s="8" t="s">
        <v>32</v>
      </c>
      <c r="E2462" s="10">
        <v>200000</v>
      </c>
      <c r="F2462" s="8">
        <v>0.014</v>
      </c>
      <c r="G2462" s="11">
        <v>46086</v>
      </c>
      <c r="H2462" s="12">
        <f t="shared" si="38"/>
        <v>2800</v>
      </c>
      <c r="I2462" s="10" t="s">
        <v>10</v>
      </c>
      <c r="J2462" s="13">
        <v>46029</v>
      </c>
      <c r="K2462" t="s">
        <v>467</v>
      </c>
    </row>
    <row r="2463" hidden="1" spans="1:11">
      <c r="A2463" t="s">
        <v>319</v>
      </c>
      <c r="B2463" s="8">
        <v>252603289</v>
      </c>
      <c r="C2463" s="9">
        <v>46008</v>
      </c>
      <c r="D2463" s="8" t="s">
        <v>32</v>
      </c>
      <c r="E2463" s="10">
        <v>200000</v>
      </c>
      <c r="F2463" s="8">
        <v>0.014</v>
      </c>
      <c r="G2463" s="11">
        <v>46086</v>
      </c>
      <c r="H2463" s="12">
        <f t="shared" si="38"/>
        <v>2800</v>
      </c>
      <c r="I2463" s="10" t="s">
        <v>10</v>
      </c>
      <c r="J2463" s="13">
        <v>46029</v>
      </c>
      <c r="K2463" t="s">
        <v>467</v>
      </c>
    </row>
    <row r="2464" hidden="1" spans="1:11">
      <c r="A2464" t="s">
        <v>319</v>
      </c>
      <c r="B2464" s="8">
        <v>252603289</v>
      </c>
      <c r="C2464" s="9">
        <v>46008</v>
      </c>
      <c r="D2464" s="8" t="s">
        <v>32</v>
      </c>
      <c r="E2464" s="10">
        <v>100000</v>
      </c>
      <c r="F2464" s="8">
        <v>0.014</v>
      </c>
      <c r="G2464" s="11">
        <v>46086</v>
      </c>
      <c r="H2464" s="12">
        <f t="shared" si="38"/>
        <v>1400</v>
      </c>
      <c r="I2464" s="10" t="s">
        <v>10</v>
      </c>
      <c r="J2464" s="13">
        <v>46029</v>
      </c>
      <c r="K2464" t="s">
        <v>467</v>
      </c>
    </row>
    <row r="2465" hidden="1" spans="1:11">
      <c r="A2465" t="s">
        <v>319</v>
      </c>
      <c r="B2465" s="8">
        <v>252603289</v>
      </c>
      <c r="C2465" s="9">
        <v>46008</v>
      </c>
      <c r="D2465" s="8" t="s">
        <v>32</v>
      </c>
      <c r="E2465" s="10">
        <v>200000</v>
      </c>
      <c r="F2465" s="8">
        <v>0.014</v>
      </c>
      <c r="G2465" s="11">
        <v>46117</v>
      </c>
      <c r="H2465" s="12">
        <f t="shared" si="38"/>
        <v>2800</v>
      </c>
      <c r="I2465" s="10" t="s">
        <v>10</v>
      </c>
      <c r="J2465" s="13">
        <v>46029</v>
      </c>
      <c r="K2465" t="s">
        <v>467</v>
      </c>
    </row>
    <row r="2466" hidden="1" spans="1:11">
      <c r="A2466" t="s">
        <v>319</v>
      </c>
      <c r="B2466" s="8">
        <v>252603289</v>
      </c>
      <c r="C2466" s="9">
        <v>46008</v>
      </c>
      <c r="D2466" s="8" t="s">
        <v>32</v>
      </c>
      <c r="E2466" s="10">
        <v>200000</v>
      </c>
      <c r="F2466" s="8">
        <v>0.014</v>
      </c>
      <c r="G2466" s="11">
        <v>46117</v>
      </c>
      <c r="H2466" s="12">
        <f t="shared" si="38"/>
        <v>2800</v>
      </c>
      <c r="I2466" s="10" t="s">
        <v>10</v>
      </c>
      <c r="J2466" s="13">
        <v>46029</v>
      </c>
      <c r="K2466" t="s">
        <v>467</v>
      </c>
    </row>
    <row r="2467" hidden="1" spans="1:11">
      <c r="A2467" t="s">
        <v>319</v>
      </c>
      <c r="B2467" s="8">
        <v>252603289</v>
      </c>
      <c r="C2467" s="9">
        <v>46008</v>
      </c>
      <c r="D2467" s="8" t="s">
        <v>32</v>
      </c>
      <c r="E2467" s="10">
        <v>200000</v>
      </c>
      <c r="F2467" s="8">
        <v>0.014</v>
      </c>
      <c r="G2467" s="11">
        <v>46117</v>
      </c>
      <c r="H2467" s="12">
        <f t="shared" si="38"/>
        <v>2800</v>
      </c>
      <c r="I2467" s="10" t="s">
        <v>10</v>
      </c>
      <c r="J2467" s="13">
        <v>46029</v>
      </c>
      <c r="K2467" t="s">
        <v>467</v>
      </c>
    </row>
    <row r="2468" hidden="1" spans="1:11">
      <c r="A2468" t="s">
        <v>319</v>
      </c>
      <c r="B2468" s="8">
        <v>252603289</v>
      </c>
      <c r="C2468" s="9">
        <v>46008</v>
      </c>
      <c r="D2468" s="8" t="s">
        <v>32</v>
      </c>
      <c r="E2468" s="10">
        <v>100000</v>
      </c>
      <c r="F2468" s="8">
        <v>0.014</v>
      </c>
      <c r="G2468" s="11">
        <v>46117</v>
      </c>
      <c r="H2468" s="12">
        <f t="shared" si="38"/>
        <v>1400</v>
      </c>
      <c r="I2468" s="10" t="s">
        <v>10</v>
      </c>
      <c r="J2468" s="13">
        <v>46029</v>
      </c>
      <c r="K2468" t="s">
        <v>467</v>
      </c>
    </row>
    <row r="2469" hidden="1" spans="1:11">
      <c r="A2469" t="s">
        <v>319</v>
      </c>
      <c r="B2469" s="8">
        <v>252603290</v>
      </c>
      <c r="C2469" s="9">
        <v>46008</v>
      </c>
      <c r="D2469" s="8" t="s">
        <v>29</v>
      </c>
      <c r="E2469" s="10">
        <v>200000</v>
      </c>
      <c r="F2469" s="8">
        <v>0.0216</v>
      </c>
      <c r="G2469" s="11">
        <v>46117</v>
      </c>
      <c r="H2469" s="12">
        <f t="shared" si="38"/>
        <v>4320</v>
      </c>
      <c r="I2469" s="10" t="s">
        <v>10</v>
      </c>
      <c r="J2469" s="13">
        <v>46062</v>
      </c>
      <c r="K2469" t="s">
        <v>467</v>
      </c>
    </row>
    <row r="2470" hidden="1" spans="1:11">
      <c r="A2470" t="s">
        <v>319</v>
      </c>
      <c r="B2470" s="8">
        <v>252603290</v>
      </c>
      <c r="C2470" s="9">
        <v>46008</v>
      </c>
      <c r="D2470" s="8" t="s">
        <v>29</v>
      </c>
      <c r="E2470" s="10">
        <v>200000</v>
      </c>
      <c r="F2470" s="8">
        <v>0.0216</v>
      </c>
      <c r="G2470" s="11">
        <v>46117</v>
      </c>
      <c r="H2470" s="12">
        <f t="shared" si="38"/>
        <v>4320</v>
      </c>
      <c r="I2470" s="10" t="s">
        <v>10</v>
      </c>
      <c r="J2470" s="13">
        <v>46062</v>
      </c>
      <c r="K2470" t="s">
        <v>467</v>
      </c>
    </row>
    <row r="2471" hidden="1" spans="1:11">
      <c r="A2471" t="s">
        <v>319</v>
      </c>
      <c r="B2471" s="8">
        <v>252603290</v>
      </c>
      <c r="C2471" s="9">
        <v>46008</v>
      </c>
      <c r="D2471" s="8" t="s">
        <v>29</v>
      </c>
      <c r="E2471" s="10">
        <v>200000</v>
      </c>
      <c r="F2471" s="8">
        <v>0.0216</v>
      </c>
      <c r="G2471" s="11">
        <v>46117</v>
      </c>
      <c r="H2471" s="12">
        <f t="shared" si="38"/>
        <v>4320</v>
      </c>
      <c r="I2471" s="10" t="s">
        <v>10</v>
      </c>
      <c r="J2471" s="13">
        <v>46062</v>
      </c>
      <c r="K2471" t="s">
        <v>467</v>
      </c>
    </row>
    <row r="2472" hidden="1" spans="1:11">
      <c r="A2472" t="s">
        <v>319</v>
      </c>
      <c r="B2472" s="8">
        <v>252603290</v>
      </c>
      <c r="C2472" s="9">
        <v>46008</v>
      </c>
      <c r="D2472" s="8" t="s">
        <v>29</v>
      </c>
      <c r="E2472" s="10">
        <v>200000</v>
      </c>
      <c r="F2472" s="8">
        <v>0.0216</v>
      </c>
      <c r="G2472" s="11">
        <v>46117</v>
      </c>
      <c r="H2472" s="12">
        <f t="shared" si="38"/>
        <v>4320</v>
      </c>
      <c r="I2472" s="10" t="s">
        <v>10</v>
      </c>
      <c r="J2472" s="13">
        <v>46062</v>
      </c>
      <c r="K2472" t="s">
        <v>467</v>
      </c>
    </row>
    <row r="2473" hidden="1" spans="1:11">
      <c r="A2473" t="s">
        <v>319</v>
      </c>
      <c r="B2473" s="8">
        <v>252603290</v>
      </c>
      <c r="C2473" s="9">
        <v>46008</v>
      </c>
      <c r="D2473" s="8" t="s">
        <v>29</v>
      </c>
      <c r="E2473" s="10">
        <v>200000</v>
      </c>
      <c r="F2473" s="8">
        <v>0.0216</v>
      </c>
      <c r="G2473" s="11">
        <v>46117</v>
      </c>
      <c r="H2473" s="12">
        <f t="shared" si="38"/>
        <v>4320</v>
      </c>
      <c r="I2473" s="10" t="s">
        <v>10</v>
      </c>
      <c r="J2473" s="13">
        <v>46062</v>
      </c>
      <c r="K2473" t="s">
        <v>467</v>
      </c>
    </row>
    <row r="2474" hidden="1" spans="1:11">
      <c r="A2474" t="s">
        <v>319</v>
      </c>
      <c r="B2474" s="8">
        <v>252603290</v>
      </c>
      <c r="C2474" s="9">
        <v>46008</v>
      </c>
      <c r="D2474" s="8" t="s">
        <v>29</v>
      </c>
      <c r="E2474" s="10">
        <v>200000</v>
      </c>
      <c r="F2474" s="8">
        <v>0.0216</v>
      </c>
      <c r="G2474" s="11">
        <v>46117</v>
      </c>
      <c r="H2474" s="12">
        <f t="shared" si="38"/>
        <v>4320</v>
      </c>
      <c r="I2474" s="10" t="s">
        <v>10</v>
      </c>
      <c r="J2474" s="13">
        <v>46062</v>
      </c>
      <c r="K2474" t="s">
        <v>467</v>
      </c>
    </row>
    <row r="2475" hidden="1" spans="1:11">
      <c r="A2475" t="s">
        <v>319</v>
      </c>
      <c r="B2475" s="8">
        <v>252603290</v>
      </c>
      <c r="C2475" s="9">
        <v>46008</v>
      </c>
      <c r="D2475" s="8" t="s">
        <v>29</v>
      </c>
      <c r="E2475" s="10">
        <v>200000</v>
      </c>
      <c r="F2475" s="8">
        <v>0.0216</v>
      </c>
      <c r="G2475" s="11">
        <v>46117</v>
      </c>
      <c r="H2475" s="12">
        <f t="shared" si="38"/>
        <v>4320</v>
      </c>
      <c r="I2475" s="10" t="s">
        <v>10</v>
      </c>
      <c r="J2475" s="13">
        <v>46062</v>
      </c>
      <c r="K2475" t="s">
        <v>467</v>
      </c>
    </row>
    <row r="2476" hidden="1" spans="1:11">
      <c r="A2476" t="s">
        <v>319</v>
      </c>
      <c r="B2476" s="8">
        <v>252603290</v>
      </c>
      <c r="C2476" s="9">
        <v>46008</v>
      </c>
      <c r="D2476" s="8" t="s">
        <v>29</v>
      </c>
      <c r="E2476" s="10">
        <v>200000</v>
      </c>
      <c r="F2476" s="8">
        <v>0.0216</v>
      </c>
      <c r="G2476" s="11">
        <v>46117</v>
      </c>
      <c r="H2476" s="12">
        <f t="shared" si="38"/>
        <v>4320</v>
      </c>
      <c r="I2476" s="10" t="s">
        <v>10</v>
      </c>
      <c r="J2476" s="13">
        <v>46062</v>
      </c>
      <c r="K2476" t="s">
        <v>467</v>
      </c>
    </row>
    <row r="2477" hidden="1" spans="1:11">
      <c r="A2477" t="s">
        <v>319</v>
      </c>
      <c r="B2477" s="8">
        <v>252603290</v>
      </c>
      <c r="C2477" s="9">
        <v>46008</v>
      </c>
      <c r="D2477" s="8" t="s">
        <v>29</v>
      </c>
      <c r="E2477" s="10">
        <v>200000</v>
      </c>
      <c r="F2477" s="8">
        <v>0.0216</v>
      </c>
      <c r="G2477" s="11">
        <v>46117</v>
      </c>
      <c r="H2477" s="12">
        <f t="shared" si="38"/>
        <v>4320</v>
      </c>
      <c r="I2477" s="10" t="s">
        <v>10</v>
      </c>
      <c r="J2477" s="13">
        <v>46062</v>
      </c>
      <c r="K2477" t="s">
        <v>467</v>
      </c>
    </row>
    <row r="2478" hidden="1" spans="1:11">
      <c r="A2478" t="s">
        <v>319</v>
      </c>
      <c r="B2478" s="8">
        <v>252603290</v>
      </c>
      <c r="C2478" s="9">
        <v>46008</v>
      </c>
      <c r="D2478" s="8" t="s">
        <v>29</v>
      </c>
      <c r="E2478" s="10">
        <v>200000</v>
      </c>
      <c r="F2478" s="8">
        <v>0.0216</v>
      </c>
      <c r="G2478" s="11">
        <v>46117</v>
      </c>
      <c r="H2478" s="12">
        <f t="shared" si="38"/>
        <v>4320</v>
      </c>
      <c r="I2478" s="10" t="s">
        <v>10</v>
      </c>
      <c r="J2478" s="13">
        <v>46062</v>
      </c>
      <c r="K2478" t="s">
        <v>467</v>
      </c>
    </row>
    <row r="2479" hidden="1" spans="1:11">
      <c r="A2479" t="s">
        <v>319</v>
      </c>
      <c r="B2479" s="8">
        <v>252603290</v>
      </c>
      <c r="C2479" s="9">
        <v>46008</v>
      </c>
      <c r="D2479" s="8" t="s">
        <v>78</v>
      </c>
      <c r="E2479" s="10">
        <v>80000</v>
      </c>
      <c r="F2479" s="8">
        <v>0.016</v>
      </c>
      <c r="G2479" s="11">
        <v>46086</v>
      </c>
      <c r="H2479" s="12">
        <f t="shared" si="38"/>
        <v>1280</v>
      </c>
      <c r="I2479" s="10" t="s">
        <v>10</v>
      </c>
      <c r="J2479" s="13">
        <v>46062</v>
      </c>
      <c r="K2479" t="s">
        <v>467</v>
      </c>
    </row>
    <row r="2480" hidden="1" spans="1:11">
      <c r="A2480" t="s">
        <v>319</v>
      </c>
      <c r="B2480" s="8">
        <v>252603291</v>
      </c>
      <c r="C2480" s="9">
        <v>46008</v>
      </c>
      <c r="D2480" s="8" t="s">
        <v>58</v>
      </c>
      <c r="E2480" s="10">
        <v>200000</v>
      </c>
      <c r="F2480" s="8">
        <v>0.014</v>
      </c>
      <c r="G2480" s="11">
        <v>46147</v>
      </c>
      <c r="H2480" s="12">
        <f t="shared" si="38"/>
        <v>2800</v>
      </c>
      <c r="I2480" s="10" t="s">
        <v>10</v>
      </c>
      <c r="J2480" s="13">
        <v>46098</v>
      </c>
      <c r="K2480" t="s">
        <v>467</v>
      </c>
    </row>
    <row r="2481" hidden="1" spans="1:11">
      <c r="A2481" t="s">
        <v>319</v>
      </c>
      <c r="B2481" s="8">
        <v>252603291</v>
      </c>
      <c r="C2481" s="9">
        <v>46008</v>
      </c>
      <c r="D2481" s="8" t="s">
        <v>58</v>
      </c>
      <c r="E2481" s="10">
        <v>200000</v>
      </c>
      <c r="F2481" s="8">
        <v>0.014</v>
      </c>
      <c r="G2481" s="11">
        <v>46147</v>
      </c>
      <c r="H2481" s="12">
        <f t="shared" si="38"/>
        <v>2800</v>
      </c>
      <c r="I2481" s="10" t="s">
        <v>10</v>
      </c>
      <c r="J2481" s="13">
        <v>46098</v>
      </c>
      <c r="K2481" t="s">
        <v>467</v>
      </c>
    </row>
    <row r="2482" hidden="1" spans="1:11">
      <c r="A2482" t="s">
        <v>319</v>
      </c>
      <c r="B2482" s="8">
        <v>252603291</v>
      </c>
      <c r="C2482" s="9">
        <v>46008</v>
      </c>
      <c r="D2482" s="8" t="s">
        <v>181</v>
      </c>
      <c r="E2482" s="10">
        <v>80000</v>
      </c>
      <c r="F2482" s="8">
        <v>0.0243</v>
      </c>
      <c r="G2482" s="11">
        <v>46147</v>
      </c>
      <c r="H2482" s="12">
        <f t="shared" si="38"/>
        <v>1944</v>
      </c>
      <c r="I2482" s="10" t="s">
        <v>10</v>
      </c>
      <c r="J2482" s="13">
        <v>46098</v>
      </c>
      <c r="K2482" t="s">
        <v>467</v>
      </c>
    </row>
    <row r="2483" hidden="1" spans="1:11">
      <c r="A2483" t="s">
        <v>319</v>
      </c>
      <c r="B2483" s="8">
        <v>252603291</v>
      </c>
      <c r="C2483" s="9">
        <v>46008</v>
      </c>
      <c r="D2483" s="8" t="s">
        <v>31</v>
      </c>
      <c r="E2483" s="10">
        <v>200000</v>
      </c>
      <c r="F2483" s="8">
        <v>0.024</v>
      </c>
      <c r="G2483" s="11">
        <v>46147</v>
      </c>
      <c r="H2483" s="12">
        <f t="shared" si="38"/>
        <v>4800</v>
      </c>
      <c r="I2483" s="10" t="s">
        <v>10</v>
      </c>
      <c r="J2483" s="13">
        <v>46098</v>
      </c>
      <c r="K2483" t="s">
        <v>467</v>
      </c>
    </row>
    <row r="2484" hidden="1" spans="1:11">
      <c r="A2484" t="s">
        <v>319</v>
      </c>
      <c r="B2484" s="8">
        <v>252603291</v>
      </c>
      <c r="C2484" s="9">
        <v>46008</v>
      </c>
      <c r="D2484" s="8" t="s">
        <v>31</v>
      </c>
      <c r="E2484" s="10">
        <v>200000</v>
      </c>
      <c r="F2484" s="8">
        <v>0.024</v>
      </c>
      <c r="G2484" s="11">
        <v>46147</v>
      </c>
      <c r="H2484" s="12">
        <f t="shared" si="38"/>
        <v>4800</v>
      </c>
      <c r="I2484" s="10" t="s">
        <v>10</v>
      </c>
      <c r="J2484" s="13">
        <v>46098</v>
      </c>
      <c r="K2484" t="s">
        <v>467</v>
      </c>
    </row>
    <row r="2485" hidden="1" spans="1:11">
      <c r="A2485" t="s">
        <v>319</v>
      </c>
      <c r="B2485" s="8">
        <v>252603291</v>
      </c>
      <c r="C2485" s="9">
        <v>46008</v>
      </c>
      <c r="D2485" s="8" t="s">
        <v>31</v>
      </c>
      <c r="E2485" s="10">
        <v>100000</v>
      </c>
      <c r="F2485" s="8">
        <v>0.024</v>
      </c>
      <c r="G2485" s="11">
        <v>46147</v>
      </c>
      <c r="H2485" s="12">
        <f t="shared" si="38"/>
        <v>2400</v>
      </c>
      <c r="I2485" s="10" t="s">
        <v>10</v>
      </c>
      <c r="J2485" s="13">
        <v>46098</v>
      </c>
      <c r="K2485" t="s">
        <v>467</v>
      </c>
    </row>
    <row r="2486" hidden="1" spans="1:11">
      <c r="A2486" t="s">
        <v>319</v>
      </c>
      <c r="B2486" s="8">
        <v>252603291</v>
      </c>
      <c r="C2486" s="9">
        <v>46008</v>
      </c>
      <c r="D2486" s="8" t="s">
        <v>33</v>
      </c>
      <c r="E2486" s="10">
        <v>200000</v>
      </c>
      <c r="F2486" s="8">
        <v>0.018</v>
      </c>
      <c r="G2486" s="11">
        <v>46147</v>
      </c>
      <c r="H2486" s="12">
        <f t="shared" si="38"/>
        <v>3600</v>
      </c>
      <c r="I2486" s="10" t="s">
        <v>10</v>
      </c>
      <c r="J2486" s="13">
        <v>46098</v>
      </c>
      <c r="K2486" t="s">
        <v>467</v>
      </c>
    </row>
    <row r="2487" hidden="1" spans="1:11">
      <c r="A2487" t="s">
        <v>319</v>
      </c>
      <c r="B2487" s="8">
        <v>252603291</v>
      </c>
      <c r="C2487" s="9">
        <v>46008</v>
      </c>
      <c r="D2487" s="8" t="s">
        <v>33</v>
      </c>
      <c r="E2487" s="10">
        <v>200000</v>
      </c>
      <c r="F2487" s="8">
        <v>0.018</v>
      </c>
      <c r="G2487" s="11">
        <v>46147</v>
      </c>
      <c r="H2487" s="12">
        <f t="shared" si="38"/>
        <v>3600</v>
      </c>
      <c r="I2487" s="10" t="s">
        <v>10</v>
      </c>
      <c r="J2487" s="13">
        <v>46098</v>
      </c>
      <c r="K2487" t="s">
        <v>467</v>
      </c>
    </row>
    <row r="2488" hidden="1" spans="1:11">
      <c r="A2488" t="s">
        <v>319</v>
      </c>
      <c r="B2488" s="8">
        <v>252603291</v>
      </c>
      <c r="C2488" s="9">
        <v>46008</v>
      </c>
      <c r="D2488" s="8" t="s">
        <v>32</v>
      </c>
      <c r="E2488" s="10">
        <v>200000</v>
      </c>
      <c r="F2488" s="8">
        <v>0.014</v>
      </c>
      <c r="G2488" s="11">
        <v>46147</v>
      </c>
      <c r="H2488" s="12">
        <f t="shared" si="38"/>
        <v>2800</v>
      </c>
      <c r="I2488" s="10" t="s">
        <v>10</v>
      </c>
      <c r="J2488" s="13">
        <v>46098</v>
      </c>
      <c r="K2488" t="s">
        <v>467</v>
      </c>
    </row>
    <row r="2489" hidden="1" spans="1:11">
      <c r="A2489" t="s">
        <v>319</v>
      </c>
      <c r="B2489" s="8">
        <v>252603291</v>
      </c>
      <c r="C2489" s="9">
        <v>46008</v>
      </c>
      <c r="D2489" s="8" t="s">
        <v>32</v>
      </c>
      <c r="E2489" s="10">
        <v>200000</v>
      </c>
      <c r="F2489" s="8">
        <v>0.014</v>
      </c>
      <c r="G2489" s="11">
        <v>46147</v>
      </c>
      <c r="H2489" s="12">
        <f t="shared" si="38"/>
        <v>2800</v>
      </c>
      <c r="I2489" s="10" t="s">
        <v>10</v>
      </c>
      <c r="J2489" s="13">
        <v>46098</v>
      </c>
      <c r="K2489" t="s">
        <v>467</v>
      </c>
    </row>
    <row r="2490" hidden="1" spans="1:11">
      <c r="A2490" t="s">
        <v>319</v>
      </c>
      <c r="B2490" s="8">
        <v>252603291</v>
      </c>
      <c r="C2490" s="9">
        <v>46008</v>
      </c>
      <c r="D2490" s="8" t="s">
        <v>32</v>
      </c>
      <c r="E2490" s="10">
        <v>100000</v>
      </c>
      <c r="F2490" s="8">
        <v>0.014</v>
      </c>
      <c r="G2490" s="11">
        <v>46147</v>
      </c>
      <c r="H2490" s="12">
        <f t="shared" si="38"/>
        <v>1400</v>
      </c>
      <c r="I2490" s="10" t="s">
        <v>10</v>
      </c>
      <c r="J2490" s="13">
        <v>46098</v>
      </c>
      <c r="K2490" t="s">
        <v>467</v>
      </c>
    </row>
    <row r="2491" hidden="1" spans="1:11">
      <c r="A2491" t="s">
        <v>319</v>
      </c>
      <c r="B2491" s="8">
        <v>252603291</v>
      </c>
      <c r="C2491" s="9">
        <v>46008</v>
      </c>
      <c r="D2491" s="8" t="s">
        <v>29</v>
      </c>
      <c r="E2491" s="10">
        <v>200000</v>
      </c>
      <c r="F2491" s="8">
        <v>0.0216</v>
      </c>
      <c r="G2491" s="11">
        <v>46147</v>
      </c>
      <c r="H2491" s="12">
        <f t="shared" si="38"/>
        <v>4320</v>
      </c>
      <c r="I2491" s="10" t="s">
        <v>10</v>
      </c>
      <c r="J2491" s="13">
        <v>46098</v>
      </c>
      <c r="K2491" t="s">
        <v>467</v>
      </c>
    </row>
    <row r="2492" hidden="1" spans="1:11">
      <c r="A2492" t="s">
        <v>319</v>
      </c>
      <c r="B2492" s="8">
        <v>252603291</v>
      </c>
      <c r="C2492" s="9">
        <v>46008</v>
      </c>
      <c r="D2492" s="8" t="s">
        <v>29</v>
      </c>
      <c r="E2492" s="10">
        <v>200000</v>
      </c>
      <c r="F2492" s="8">
        <v>0.0216</v>
      </c>
      <c r="G2492" s="11">
        <v>46147</v>
      </c>
      <c r="H2492" s="12">
        <f t="shared" si="38"/>
        <v>4320</v>
      </c>
      <c r="I2492" s="10" t="s">
        <v>10</v>
      </c>
      <c r="J2492" s="13">
        <v>46098</v>
      </c>
      <c r="K2492" t="s">
        <v>467</v>
      </c>
    </row>
    <row r="2493" hidden="1" spans="1:11">
      <c r="A2493" t="s">
        <v>319</v>
      </c>
      <c r="B2493" s="8">
        <v>252603291</v>
      </c>
      <c r="C2493" s="9">
        <v>46008</v>
      </c>
      <c r="D2493" s="8" t="s">
        <v>29</v>
      </c>
      <c r="E2493" s="10">
        <v>200000</v>
      </c>
      <c r="F2493" s="8">
        <v>0.0216</v>
      </c>
      <c r="G2493" s="11">
        <v>46147</v>
      </c>
      <c r="H2493" s="12">
        <f t="shared" si="38"/>
        <v>4320</v>
      </c>
      <c r="I2493" s="10" t="s">
        <v>10</v>
      </c>
      <c r="J2493" s="13">
        <v>46098</v>
      </c>
      <c r="K2493" t="s">
        <v>467</v>
      </c>
    </row>
    <row r="2494" hidden="1" spans="1:11">
      <c r="A2494" t="s">
        <v>319</v>
      </c>
      <c r="B2494" s="8">
        <v>252603291</v>
      </c>
      <c r="C2494" s="9">
        <v>46008</v>
      </c>
      <c r="D2494" s="8" t="s">
        <v>29</v>
      </c>
      <c r="E2494" s="10">
        <v>200000</v>
      </c>
      <c r="F2494" s="8">
        <v>0.0216</v>
      </c>
      <c r="G2494" s="11">
        <v>46147</v>
      </c>
      <c r="H2494" s="12">
        <f t="shared" si="38"/>
        <v>4320</v>
      </c>
      <c r="I2494" s="10" t="s">
        <v>10</v>
      </c>
      <c r="J2494" s="13">
        <v>46098</v>
      </c>
      <c r="K2494" t="s">
        <v>467</v>
      </c>
    </row>
    <row r="2495" hidden="1" spans="1:11">
      <c r="A2495" t="s">
        <v>319</v>
      </c>
      <c r="B2495" s="8">
        <v>252603291</v>
      </c>
      <c r="C2495" s="9">
        <v>46008</v>
      </c>
      <c r="D2495" s="8" t="s">
        <v>29</v>
      </c>
      <c r="E2495" s="10">
        <v>200000</v>
      </c>
      <c r="F2495" s="8">
        <v>0.0216</v>
      </c>
      <c r="G2495" s="11">
        <v>46147</v>
      </c>
      <c r="H2495" s="12">
        <f t="shared" si="38"/>
        <v>4320</v>
      </c>
      <c r="I2495" s="10" t="s">
        <v>10</v>
      </c>
      <c r="J2495" s="13">
        <v>46098</v>
      </c>
      <c r="K2495" t="s">
        <v>467</v>
      </c>
    </row>
    <row r="2496" hidden="1" spans="1:11">
      <c r="A2496" t="s">
        <v>319</v>
      </c>
      <c r="B2496" s="8">
        <v>252603291</v>
      </c>
      <c r="C2496" s="9">
        <v>46008</v>
      </c>
      <c r="D2496" s="8" t="s">
        <v>29</v>
      </c>
      <c r="E2496" s="10">
        <v>200000</v>
      </c>
      <c r="F2496" s="8">
        <v>0.0216</v>
      </c>
      <c r="G2496" s="11">
        <v>46147</v>
      </c>
      <c r="H2496" s="12">
        <f t="shared" si="38"/>
        <v>4320</v>
      </c>
      <c r="I2496" s="10" t="s">
        <v>10</v>
      </c>
      <c r="J2496" s="13">
        <v>46098</v>
      </c>
      <c r="K2496" t="s">
        <v>467</v>
      </c>
    </row>
    <row r="2497" hidden="1" spans="1:11">
      <c r="A2497" t="s">
        <v>319</v>
      </c>
      <c r="B2497" s="8">
        <v>252603292</v>
      </c>
      <c r="C2497" s="9">
        <v>46008</v>
      </c>
      <c r="D2497" s="8" t="s">
        <v>29</v>
      </c>
      <c r="E2497" s="10">
        <v>200000</v>
      </c>
      <c r="F2497" s="8">
        <v>0.0216</v>
      </c>
      <c r="G2497" s="11">
        <v>46147</v>
      </c>
      <c r="H2497" s="12">
        <f t="shared" si="38"/>
        <v>4320</v>
      </c>
      <c r="I2497" s="10" t="s">
        <v>10</v>
      </c>
      <c r="J2497" s="13">
        <v>46042</v>
      </c>
      <c r="K2497" t="s">
        <v>467</v>
      </c>
    </row>
    <row r="2498" hidden="1" spans="1:11">
      <c r="A2498" t="s">
        <v>319</v>
      </c>
      <c r="B2498" s="8">
        <v>252603292</v>
      </c>
      <c r="C2498" s="9">
        <v>46008</v>
      </c>
      <c r="D2498" s="8" t="s">
        <v>29</v>
      </c>
      <c r="E2498" s="10">
        <v>100000</v>
      </c>
      <c r="F2498" s="8">
        <v>0.0216</v>
      </c>
      <c r="G2498" s="11">
        <v>46147</v>
      </c>
      <c r="H2498" s="12">
        <f t="shared" ref="H2498:H2561" si="39">E2498*F2498</f>
        <v>2160</v>
      </c>
      <c r="I2498" s="10" t="s">
        <v>10</v>
      </c>
      <c r="J2498" s="13">
        <v>46042</v>
      </c>
      <c r="K2498" t="s">
        <v>467</v>
      </c>
    </row>
    <row r="2499" hidden="1" spans="1:11">
      <c r="A2499" t="s">
        <v>319</v>
      </c>
      <c r="B2499" s="8">
        <v>252603293</v>
      </c>
      <c r="C2499" s="9">
        <v>46008</v>
      </c>
      <c r="D2499" s="8" t="s">
        <v>58</v>
      </c>
      <c r="E2499" s="10">
        <v>200000</v>
      </c>
      <c r="F2499" s="8">
        <v>0.014</v>
      </c>
      <c r="G2499" s="11">
        <v>46086</v>
      </c>
      <c r="H2499" s="12">
        <f t="shared" si="39"/>
        <v>2800</v>
      </c>
      <c r="I2499" s="10" t="s">
        <v>10</v>
      </c>
      <c r="J2499" s="13">
        <v>46062</v>
      </c>
      <c r="K2499" t="s">
        <v>467</v>
      </c>
    </row>
    <row r="2500" hidden="1" spans="1:11">
      <c r="A2500" t="s">
        <v>319</v>
      </c>
      <c r="B2500" s="8">
        <v>252603293</v>
      </c>
      <c r="C2500" s="9">
        <v>46008</v>
      </c>
      <c r="D2500" s="8" t="s">
        <v>58</v>
      </c>
      <c r="E2500" s="10">
        <v>200000</v>
      </c>
      <c r="F2500" s="8">
        <v>0.014</v>
      </c>
      <c r="G2500" s="11">
        <v>46086</v>
      </c>
      <c r="H2500" s="12">
        <f t="shared" si="39"/>
        <v>2800</v>
      </c>
      <c r="I2500" s="10" t="s">
        <v>10</v>
      </c>
      <c r="J2500" s="13">
        <v>46062</v>
      </c>
      <c r="K2500" t="s">
        <v>467</v>
      </c>
    </row>
    <row r="2501" hidden="1" spans="1:11">
      <c r="A2501" t="s">
        <v>319</v>
      </c>
      <c r="B2501" s="8">
        <v>252603293</v>
      </c>
      <c r="C2501" s="9">
        <v>46008</v>
      </c>
      <c r="D2501" s="8" t="s">
        <v>58</v>
      </c>
      <c r="E2501" s="10">
        <v>100000</v>
      </c>
      <c r="F2501" s="8">
        <v>0.014</v>
      </c>
      <c r="G2501" s="11">
        <v>46086</v>
      </c>
      <c r="H2501" s="12">
        <f t="shared" si="39"/>
        <v>1400</v>
      </c>
      <c r="I2501" s="10" t="s">
        <v>10</v>
      </c>
      <c r="J2501" s="13">
        <v>46062</v>
      </c>
      <c r="K2501" t="s">
        <v>467</v>
      </c>
    </row>
    <row r="2502" hidden="1" spans="1:11">
      <c r="A2502" t="s">
        <v>319</v>
      </c>
      <c r="B2502" s="8">
        <v>252603293</v>
      </c>
      <c r="C2502" s="9">
        <v>46008</v>
      </c>
      <c r="D2502" s="8" t="s">
        <v>58</v>
      </c>
      <c r="E2502" s="10">
        <v>200000</v>
      </c>
      <c r="F2502" s="8">
        <v>0.014</v>
      </c>
      <c r="G2502" s="11">
        <v>46117</v>
      </c>
      <c r="H2502" s="12">
        <f t="shared" si="39"/>
        <v>2800</v>
      </c>
      <c r="I2502" s="10" t="s">
        <v>10</v>
      </c>
      <c r="J2502" s="13">
        <v>46062</v>
      </c>
      <c r="K2502" t="s">
        <v>467</v>
      </c>
    </row>
    <row r="2503" hidden="1" spans="1:11">
      <c r="A2503" t="s">
        <v>319</v>
      </c>
      <c r="B2503" s="8">
        <v>252603293</v>
      </c>
      <c r="C2503" s="9">
        <v>46008</v>
      </c>
      <c r="D2503" s="8" t="s">
        <v>58</v>
      </c>
      <c r="E2503" s="10">
        <v>200000</v>
      </c>
      <c r="F2503" s="8">
        <v>0.014</v>
      </c>
      <c r="G2503" s="11">
        <v>46117</v>
      </c>
      <c r="H2503" s="12">
        <f t="shared" si="39"/>
        <v>2800</v>
      </c>
      <c r="I2503" s="10" t="s">
        <v>10</v>
      </c>
      <c r="J2503" s="13">
        <v>46062</v>
      </c>
      <c r="K2503" t="s">
        <v>467</v>
      </c>
    </row>
    <row r="2504" hidden="1" spans="1:11">
      <c r="A2504" t="s">
        <v>319</v>
      </c>
      <c r="B2504" s="8">
        <v>252603293</v>
      </c>
      <c r="C2504" s="9">
        <v>46008</v>
      </c>
      <c r="D2504" s="8" t="s">
        <v>181</v>
      </c>
      <c r="E2504" s="10">
        <v>80000</v>
      </c>
      <c r="F2504" s="8">
        <v>0.0243</v>
      </c>
      <c r="G2504" s="11">
        <v>46086</v>
      </c>
      <c r="H2504" s="12">
        <f t="shared" si="39"/>
        <v>1944</v>
      </c>
      <c r="I2504" s="10" t="s">
        <v>10</v>
      </c>
      <c r="J2504" s="13">
        <v>46062</v>
      </c>
      <c r="K2504" t="s">
        <v>467</v>
      </c>
    </row>
    <row r="2505" hidden="1" spans="1:11">
      <c r="A2505" t="s">
        <v>319</v>
      </c>
      <c r="B2505" s="8">
        <v>252603293</v>
      </c>
      <c r="C2505" s="9">
        <v>46008</v>
      </c>
      <c r="D2505" s="8" t="s">
        <v>181</v>
      </c>
      <c r="E2505" s="10">
        <v>80000</v>
      </c>
      <c r="F2505" s="8">
        <v>0.0243</v>
      </c>
      <c r="G2505" s="11">
        <v>46117</v>
      </c>
      <c r="H2505" s="12">
        <f t="shared" si="39"/>
        <v>1944</v>
      </c>
      <c r="I2505" s="10" t="s">
        <v>10</v>
      </c>
      <c r="J2505" s="13">
        <v>46062</v>
      </c>
      <c r="K2505" t="s">
        <v>467</v>
      </c>
    </row>
    <row r="2506" hidden="1" spans="1:11">
      <c r="A2506" t="s">
        <v>319</v>
      </c>
      <c r="B2506" s="8">
        <v>252603293</v>
      </c>
      <c r="C2506" s="9">
        <v>46008</v>
      </c>
      <c r="D2506" s="8" t="s">
        <v>11</v>
      </c>
      <c r="E2506" s="10">
        <v>130000</v>
      </c>
      <c r="F2506" s="8">
        <v>0.032</v>
      </c>
      <c r="G2506" s="11">
        <v>46086</v>
      </c>
      <c r="H2506" s="12">
        <f t="shared" si="39"/>
        <v>4160</v>
      </c>
      <c r="I2506" s="10" t="s">
        <v>10</v>
      </c>
      <c r="J2506" s="13">
        <v>46062</v>
      </c>
      <c r="K2506" t="s">
        <v>467</v>
      </c>
    </row>
    <row r="2507" hidden="1" spans="1:11">
      <c r="A2507" t="s">
        <v>319</v>
      </c>
      <c r="B2507" s="8">
        <v>252603293</v>
      </c>
      <c r="C2507" s="9">
        <v>46008</v>
      </c>
      <c r="D2507" s="8" t="s">
        <v>11</v>
      </c>
      <c r="E2507" s="10">
        <v>130000</v>
      </c>
      <c r="F2507" s="8">
        <v>0.032</v>
      </c>
      <c r="G2507" s="11">
        <v>46117</v>
      </c>
      <c r="H2507" s="12">
        <f t="shared" si="39"/>
        <v>4160</v>
      </c>
      <c r="I2507" s="10" t="s">
        <v>10</v>
      </c>
      <c r="J2507" s="13">
        <v>46062</v>
      </c>
      <c r="K2507" t="s">
        <v>467</v>
      </c>
    </row>
    <row r="2508" hidden="1" spans="1:11">
      <c r="A2508" t="s">
        <v>319</v>
      </c>
      <c r="B2508" s="8">
        <v>252603293</v>
      </c>
      <c r="C2508" s="9">
        <v>46008</v>
      </c>
      <c r="D2508" s="8" t="s">
        <v>31</v>
      </c>
      <c r="E2508" s="10">
        <v>200000</v>
      </c>
      <c r="F2508" s="8">
        <v>0.024</v>
      </c>
      <c r="G2508" s="11">
        <v>46086</v>
      </c>
      <c r="H2508" s="12">
        <f t="shared" si="39"/>
        <v>4800</v>
      </c>
      <c r="I2508" s="10" t="s">
        <v>10</v>
      </c>
      <c r="J2508" s="13">
        <v>46062</v>
      </c>
      <c r="K2508" t="s">
        <v>467</v>
      </c>
    </row>
    <row r="2509" hidden="1" spans="1:11">
      <c r="A2509" t="s">
        <v>319</v>
      </c>
      <c r="B2509" s="8">
        <v>252603293</v>
      </c>
      <c r="C2509" s="9">
        <v>46008</v>
      </c>
      <c r="D2509" s="8" t="s">
        <v>31</v>
      </c>
      <c r="E2509" s="10">
        <v>200000</v>
      </c>
      <c r="F2509" s="8">
        <v>0.024</v>
      </c>
      <c r="G2509" s="11">
        <v>46086</v>
      </c>
      <c r="H2509" s="12">
        <f t="shared" si="39"/>
        <v>4800</v>
      </c>
      <c r="I2509" s="10" t="s">
        <v>10</v>
      </c>
      <c r="J2509" s="13">
        <v>46062</v>
      </c>
      <c r="K2509" t="s">
        <v>467</v>
      </c>
    </row>
    <row r="2510" hidden="1" spans="1:11">
      <c r="A2510" t="s">
        <v>319</v>
      </c>
      <c r="B2510" s="8">
        <v>252603293</v>
      </c>
      <c r="C2510" s="9">
        <v>46008</v>
      </c>
      <c r="D2510" s="8" t="s">
        <v>31</v>
      </c>
      <c r="E2510" s="10">
        <v>200000</v>
      </c>
      <c r="F2510" s="8">
        <v>0.024</v>
      </c>
      <c r="G2510" s="11">
        <v>46086</v>
      </c>
      <c r="H2510" s="12">
        <f t="shared" si="39"/>
        <v>4800</v>
      </c>
      <c r="I2510" s="10" t="s">
        <v>10</v>
      </c>
      <c r="J2510" s="13">
        <v>46062</v>
      </c>
      <c r="K2510" t="s">
        <v>467</v>
      </c>
    </row>
    <row r="2511" hidden="1" spans="1:11">
      <c r="A2511" t="s">
        <v>319</v>
      </c>
      <c r="B2511" s="8">
        <v>252603293</v>
      </c>
      <c r="C2511" s="9">
        <v>46008</v>
      </c>
      <c r="D2511" s="8" t="s">
        <v>31</v>
      </c>
      <c r="E2511" s="10">
        <v>200000</v>
      </c>
      <c r="F2511" s="8">
        <v>0.024</v>
      </c>
      <c r="G2511" s="11">
        <v>46086</v>
      </c>
      <c r="H2511" s="12">
        <f t="shared" si="39"/>
        <v>4800</v>
      </c>
      <c r="I2511" s="10" t="s">
        <v>10</v>
      </c>
      <c r="J2511" s="13">
        <v>46062</v>
      </c>
      <c r="K2511" t="s">
        <v>467</v>
      </c>
    </row>
    <row r="2512" hidden="1" spans="1:11">
      <c r="A2512" t="s">
        <v>319</v>
      </c>
      <c r="B2512" s="8">
        <v>252603293</v>
      </c>
      <c r="C2512" s="9">
        <v>46008</v>
      </c>
      <c r="D2512" s="8" t="s">
        <v>31</v>
      </c>
      <c r="E2512" s="10">
        <v>200000</v>
      </c>
      <c r="F2512" s="8">
        <v>0.024</v>
      </c>
      <c r="G2512" s="11">
        <v>46117</v>
      </c>
      <c r="H2512" s="12">
        <f t="shared" si="39"/>
        <v>4800</v>
      </c>
      <c r="I2512" s="10" t="s">
        <v>10</v>
      </c>
      <c r="J2512" s="13">
        <v>46062</v>
      </c>
      <c r="K2512" t="s">
        <v>467</v>
      </c>
    </row>
    <row r="2513" hidden="1" spans="1:11">
      <c r="A2513" t="s">
        <v>319</v>
      </c>
      <c r="B2513" s="8">
        <v>252603293</v>
      </c>
      <c r="C2513" s="9">
        <v>46008</v>
      </c>
      <c r="D2513" s="8" t="s">
        <v>31</v>
      </c>
      <c r="E2513" s="10">
        <v>200000</v>
      </c>
      <c r="F2513" s="8">
        <v>0.024</v>
      </c>
      <c r="G2513" s="11">
        <v>46117</v>
      </c>
      <c r="H2513" s="12">
        <f t="shared" si="39"/>
        <v>4800</v>
      </c>
      <c r="I2513" s="10" t="s">
        <v>10</v>
      </c>
      <c r="J2513" s="13">
        <v>46062</v>
      </c>
      <c r="K2513" t="s">
        <v>467</v>
      </c>
    </row>
    <row r="2514" hidden="1" spans="1:11">
      <c r="A2514" t="s">
        <v>319</v>
      </c>
      <c r="B2514" s="8">
        <v>252603293</v>
      </c>
      <c r="C2514" s="9">
        <v>46008</v>
      </c>
      <c r="D2514" s="8" t="s">
        <v>31</v>
      </c>
      <c r="E2514" s="10">
        <v>200000</v>
      </c>
      <c r="F2514" s="8">
        <v>0.024</v>
      </c>
      <c r="G2514" s="11">
        <v>46117</v>
      </c>
      <c r="H2514" s="12">
        <f t="shared" si="39"/>
        <v>4800</v>
      </c>
      <c r="I2514" s="10" t="s">
        <v>10</v>
      </c>
      <c r="J2514" s="13">
        <v>46062</v>
      </c>
      <c r="K2514" t="s">
        <v>467</v>
      </c>
    </row>
    <row r="2515" hidden="1" spans="1:11">
      <c r="A2515" t="s">
        <v>319</v>
      </c>
      <c r="B2515" s="8">
        <v>252603299</v>
      </c>
      <c r="C2515" s="9">
        <v>46008</v>
      </c>
      <c r="D2515" s="8" t="s">
        <v>242</v>
      </c>
      <c r="E2515" s="10">
        <v>20000</v>
      </c>
      <c r="F2515" s="8">
        <v>0.043</v>
      </c>
      <c r="G2515" s="11">
        <v>46117</v>
      </c>
      <c r="H2515" s="12">
        <f t="shared" si="39"/>
        <v>860</v>
      </c>
      <c r="I2515" s="10" t="s">
        <v>10</v>
      </c>
      <c r="J2515" s="13">
        <v>46051</v>
      </c>
      <c r="K2515" t="s">
        <v>491</v>
      </c>
    </row>
    <row r="2516" hidden="1" spans="1:11">
      <c r="A2516" t="s">
        <v>319</v>
      </c>
      <c r="B2516" s="8">
        <v>252603299</v>
      </c>
      <c r="C2516" s="9">
        <v>46008</v>
      </c>
      <c r="D2516" s="8" t="s">
        <v>242</v>
      </c>
      <c r="E2516" s="10">
        <v>20000</v>
      </c>
      <c r="F2516" s="8">
        <v>0.043</v>
      </c>
      <c r="G2516" s="11">
        <v>46147</v>
      </c>
      <c r="H2516" s="12">
        <f t="shared" si="39"/>
        <v>860</v>
      </c>
      <c r="I2516" s="10" t="s">
        <v>10</v>
      </c>
      <c r="J2516" s="13">
        <v>46051</v>
      </c>
      <c r="K2516" t="s">
        <v>491</v>
      </c>
    </row>
    <row r="2517" hidden="1" spans="1:11">
      <c r="A2517" t="s">
        <v>319</v>
      </c>
      <c r="B2517" s="8">
        <v>252603299</v>
      </c>
      <c r="C2517" s="9">
        <v>46008</v>
      </c>
      <c r="D2517" s="8" t="s">
        <v>512</v>
      </c>
      <c r="E2517" s="10">
        <v>20000</v>
      </c>
      <c r="F2517" s="8">
        <v>0.031</v>
      </c>
      <c r="G2517" s="11">
        <v>46117</v>
      </c>
      <c r="H2517" s="12">
        <f t="shared" si="39"/>
        <v>620</v>
      </c>
      <c r="I2517" s="10" t="s">
        <v>10</v>
      </c>
      <c r="J2517" s="13">
        <v>46051</v>
      </c>
      <c r="K2517" t="s">
        <v>491</v>
      </c>
    </row>
    <row r="2518" hidden="1" spans="1:11">
      <c r="A2518" t="s">
        <v>319</v>
      </c>
      <c r="B2518" s="8">
        <v>252603299</v>
      </c>
      <c r="C2518" s="9">
        <v>46008</v>
      </c>
      <c r="D2518" s="8" t="s">
        <v>512</v>
      </c>
      <c r="E2518" s="10">
        <v>20000</v>
      </c>
      <c r="F2518" s="8">
        <v>0.031</v>
      </c>
      <c r="G2518" s="11">
        <v>46147</v>
      </c>
      <c r="H2518" s="12">
        <f t="shared" si="39"/>
        <v>620</v>
      </c>
      <c r="I2518" s="10" t="s">
        <v>10</v>
      </c>
      <c r="J2518" s="13">
        <v>46051</v>
      </c>
      <c r="K2518" t="s">
        <v>491</v>
      </c>
    </row>
    <row r="2519" hidden="1" spans="1:11">
      <c r="A2519" t="s">
        <v>319</v>
      </c>
      <c r="B2519" s="8">
        <v>252603300</v>
      </c>
      <c r="C2519" s="9">
        <v>46008</v>
      </c>
      <c r="D2519" s="8" t="s">
        <v>512</v>
      </c>
      <c r="E2519" s="10">
        <v>20000</v>
      </c>
      <c r="F2519" s="8">
        <v>0.031</v>
      </c>
      <c r="G2519" s="11">
        <v>46178</v>
      </c>
      <c r="H2519" s="12">
        <f t="shared" si="39"/>
        <v>620</v>
      </c>
      <c r="I2519" s="10" t="s">
        <v>10</v>
      </c>
      <c r="J2519" s="13">
        <v>46142</v>
      </c>
      <c r="K2519" t="s">
        <v>491</v>
      </c>
    </row>
    <row r="2520" hidden="1" spans="1:11">
      <c r="A2520" t="s">
        <v>319</v>
      </c>
      <c r="B2520" s="8">
        <v>252603318</v>
      </c>
      <c r="C2520" s="9">
        <v>46009</v>
      </c>
      <c r="D2520" s="8" t="s">
        <v>58</v>
      </c>
      <c r="E2520" s="10">
        <v>30000</v>
      </c>
      <c r="F2520" s="8">
        <v>0.014</v>
      </c>
      <c r="G2520" s="11">
        <v>46086</v>
      </c>
      <c r="H2520" s="12">
        <f t="shared" si="39"/>
        <v>420</v>
      </c>
      <c r="I2520" s="10" t="s">
        <v>10</v>
      </c>
      <c r="J2520" s="13">
        <v>46021</v>
      </c>
      <c r="K2520" t="s">
        <v>615</v>
      </c>
    </row>
    <row r="2521" hidden="1" spans="1:11">
      <c r="A2521" t="s">
        <v>319</v>
      </c>
      <c r="B2521" s="8">
        <v>252603318</v>
      </c>
      <c r="C2521" s="9">
        <v>46009</v>
      </c>
      <c r="D2521" s="8" t="s">
        <v>108</v>
      </c>
      <c r="E2521" s="10">
        <v>20000</v>
      </c>
      <c r="F2521" s="8">
        <v>0.04</v>
      </c>
      <c r="G2521" s="11">
        <v>46058</v>
      </c>
      <c r="H2521" s="12">
        <f t="shared" si="39"/>
        <v>800</v>
      </c>
      <c r="I2521" s="10" t="s">
        <v>10</v>
      </c>
      <c r="J2521" s="81">
        <v>46015</v>
      </c>
      <c r="K2521" t="s">
        <v>615</v>
      </c>
    </row>
    <row r="2522" hidden="1" spans="1:11">
      <c r="A2522" t="s">
        <v>319</v>
      </c>
      <c r="B2522" s="8">
        <v>252603318</v>
      </c>
      <c r="C2522" s="9">
        <v>46009</v>
      </c>
      <c r="D2522" s="8" t="s">
        <v>108</v>
      </c>
      <c r="E2522" s="10">
        <v>20000</v>
      </c>
      <c r="F2522" s="8">
        <v>0.04</v>
      </c>
      <c r="G2522" s="11">
        <v>46058</v>
      </c>
      <c r="H2522" s="12">
        <f t="shared" si="39"/>
        <v>800</v>
      </c>
      <c r="I2522" s="10" t="s">
        <v>10</v>
      </c>
      <c r="J2522" s="81">
        <v>46015</v>
      </c>
      <c r="K2522" t="s">
        <v>615</v>
      </c>
    </row>
    <row r="2523" hidden="1" spans="1:11">
      <c r="A2523" t="s">
        <v>319</v>
      </c>
      <c r="B2523" s="8">
        <v>252603318</v>
      </c>
      <c r="C2523" s="9">
        <v>46009</v>
      </c>
      <c r="D2523" s="8" t="s">
        <v>516</v>
      </c>
      <c r="E2523" s="10">
        <v>170000</v>
      </c>
      <c r="F2523" s="8">
        <v>0.032</v>
      </c>
      <c r="G2523" s="11">
        <v>46086</v>
      </c>
      <c r="H2523" s="12">
        <f t="shared" si="39"/>
        <v>5440</v>
      </c>
      <c r="I2523" s="10" t="s">
        <v>10</v>
      </c>
      <c r="J2523" s="81">
        <v>46015</v>
      </c>
      <c r="K2523" t="s">
        <v>615</v>
      </c>
    </row>
    <row r="2524" hidden="1" spans="1:11">
      <c r="A2524" t="s">
        <v>319</v>
      </c>
      <c r="B2524" s="8">
        <v>252603318</v>
      </c>
      <c r="C2524" s="9">
        <v>46009</v>
      </c>
      <c r="D2524" s="8" t="s">
        <v>282</v>
      </c>
      <c r="E2524" s="10">
        <v>40000</v>
      </c>
      <c r="F2524" s="8">
        <v>0.0304</v>
      </c>
      <c r="G2524" s="11">
        <v>46058</v>
      </c>
      <c r="H2524" s="12">
        <f t="shared" si="39"/>
        <v>1216</v>
      </c>
      <c r="I2524" s="10" t="s">
        <v>10</v>
      </c>
      <c r="J2524" s="13">
        <v>46021</v>
      </c>
      <c r="K2524" t="s">
        <v>615</v>
      </c>
    </row>
    <row r="2525" hidden="1" spans="1:11">
      <c r="A2525" t="s">
        <v>319</v>
      </c>
      <c r="B2525" s="8">
        <v>252603318</v>
      </c>
      <c r="C2525" s="9">
        <v>46009</v>
      </c>
      <c r="D2525" s="8" t="s">
        <v>282</v>
      </c>
      <c r="E2525" s="10">
        <v>30000</v>
      </c>
      <c r="F2525" s="8">
        <v>0.0304</v>
      </c>
      <c r="G2525" s="11">
        <v>46086</v>
      </c>
      <c r="H2525" s="12">
        <f t="shared" si="39"/>
        <v>912</v>
      </c>
      <c r="I2525" s="10" t="s">
        <v>10</v>
      </c>
      <c r="J2525" s="13">
        <v>46021</v>
      </c>
      <c r="K2525" t="s">
        <v>615</v>
      </c>
    </row>
    <row r="2526" hidden="1" spans="1:11">
      <c r="A2526" t="s">
        <v>319</v>
      </c>
      <c r="B2526" s="8">
        <v>252603318</v>
      </c>
      <c r="C2526" s="9">
        <v>46009</v>
      </c>
      <c r="D2526" s="8" t="s">
        <v>32</v>
      </c>
      <c r="E2526" s="10">
        <v>90000</v>
      </c>
      <c r="F2526" s="8">
        <v>0.014</v>
      </c>
      <c r="G2526" s="11">
        <v>46058</v>
      </c>
      <c r="H2526" s="12">
        <f t="shared" si="39"/>
        <v>1260</v>
      </c>
      <c r="I2526" s="10" t="s">
        <v>10</v>
      </c>
      <c r="J2526" s="13">
        <v>46021</v>
      </c>
      <c r="K2526" t="s">
        <v>615</v>
      </c>
    </row>
    <row r="2527" hidden="1" spans="1:11">
      <c r="A2527" t="s">
        <v>319</v>
      </c>
      <c r="B2527" s="8">
        <v>252603318</v>
      </c>
      <c r="C2527" s="9">
        <v>46009</v>
      </c>
      <c r="D2527" s="8" t="s">
        <v>32</v>
      </c>
      <c r="E2527" s="10">
        <v>60000</v>
      </c>
      <c r="F2527" s="8">
        <v>0.014</v>
      </c>
      <c r="G2527" s="11">
        <v>46086</v>
      </c>
      <c r="H2527" s="12">
        <f t="shared" si="39"/>
        <v>840</v>
      </c>
      <c r="I2527" s="10" t="s">
        <v>10</v>
      </c>
      <c r="J2527" s="13">
        <v>46021</v>
      </c>
      <c r="K2527" t="s">
        <v>615</v>
      </c>
    </row>
    <row r="2528" hidden="1" spans="1:11">
      <c r="A2528" t="s">
        <v>319</v>
      </c>
      <c r="B2528" s="8">
        <v>252603318</v>
      </c>
      <c r="C2528" s="9">
        <v>46009</v>
      </c>
      <c r="D2528" s="8" t="s">
        <v>100</v>
      </c>
      <c r="E2528" s="10">
        <v>30000</v>
      </c>
      <c r="F2528" s="8">
        <v>0.0224</v>
      </c>
      <c r="G2528" s="11">
        <v>46086</v>
      </c>
      <c r="H2528" s="12">
        <f t="shared" si="39"/>
        <v>672</v>
      </c>
      <c r="I2528" s="10" t="s">
        <v>10</v>
      </c>
      <c r="J2528" s="13">
        <v>46021</v>
      </c>
      <c r="K2528" t="s">
        <v>615</v>
      </c>
    </row>
    <row r="2529" hidden="1" spans="1:11">
      <c r="A2529" t="s">
        <v>319</v>
      </c>
      <c r="B2529" s="8">
        <v>252603318</v>
      </c>
      <c r="C2529" s="9">
        <v>46009</v>
      </c>
      <c r="D2529" s="8" t="s">
        <v>515</v>
      </c>
      <c r="E2529" s="10">
        <v>200000</v>
      </c>
      <c r="F2529" s="8">
        <v>0.0238</v>
      </c>
      <c r="G2529" s="11">
        <v>46086</v>
      </c>
      <c r="H2529" s="12">
        <f t="shared" si="39"/>
        <v>4760</v>
      </c>
      <c r="I2529" s="10" t="s">
        <v>10</v>
      </c>
      <c r="J2529" s="81">
        <v>46015</v>
      </c>
      <c r="K2529" t="s">
        <v>615</v>
      </c>
    </row>
    <row r="2530" hidden="1" spans="1:11">
      <c r="A2530" t="s">
        <v>319</v>
      </c>
      <c r="B2530" s="8">
        <v>252603318</v>
      </c>
      <c r="C2530" s="9">
        <v>46009</v>
      </c>
      <c r="D2530" s="8" t="s">
        <v>515</v>
      </c>
      <c r="E2530" s="10">
        <v>50000</v>
      </c>
      <c r="F2530" s="8">
        <v>0.0238</v>
      </c>
      <c r="G2530" s="11">
        <v>46086</v>
      </c>
      <c r="H2530" s="12">
        <f t="shared" si="39"/>
        <v>1190</v>
      </c>
      <c r="I2530" s="10" t="s">
        <v>10</v>
      </c>
      <c r="J2530" s="81">
        <v>46015</v>
      </c>
      <c r="K2530" t="s">
        <v>615</v>
      </c>
    </row>
    <row r="2531" hidden="1" spans="1:11">
      <c r="A2531" t="s">
        <v>319</v>
      </c>
      <c r="B2531" s="8">
        <v>252603318</v>
      </c>
      <c r="C2531" s="9">
        <v>46009</v>
      </c>
      <c r="D2531" s="8" t="s">
        <v>388</v>
      </c>
      <c r="E2531" s="10">
        <v>100000</v>
      </c>
      <c r="F2531" s="8">
        <v>0.035</v>
      </c>
      <c r="G2531" s="11">
        <v>46058</v>
      </c>
      <c r="H2531" s="12">
        <f t="shared" si="39"/>
        <v>3500</v>
      </c>
      <c r="I2531" s="10" t="s">
        <v>10</v>
      </c>
      <c r="J2531" s="81">
        <v>46015</v>
      </c>
      <c r="K2531" t="s">
        <v>615</v>
      </c>
    </row>
    <row r="2532" hidden="1" spans="1:11">
      <c r="A2532" t="s">
        <v>319</v>
      </c>
      <c r="B2532" s="8">
        <v>252603318</v>
      </c>
      <c r="C2532" s="9">
        <v>46009</v>
      </c>
      <c r="D2532" s="8" t="s">
        <v>388</v>
      </c>
      <c r="E2532" s="10">
        <v>200000</v>
      </c>
      <c r="F2532" s="8">
        <v>0.035</v>
      </c>
      <c r="G2532" s="11">
        <v>46086</v>
      </c>
      <c r="H2532" s="12">
        <f t="shared" si="39"/>
        <v>7000</v>
      </c>
      <c r="I2532" s="10" t="s">
        <v>10</v>
      </c>
      <c r="J2532" s="81">
        <v>46015</v>
      </c>
      <c r="K2532" t="s">
        <v>615</v>
      </c>
    </row>
    <row r="2533" hidden="1" spans="1:11">
      <c r="A2533" t="s">
        <v>319</v>
      </c>
      <c r="B2533" s="8">
        <v>252603318</v>
      </c>
      <c r="C2533" s="9">
        <v>46009</v>
      </c>
      <c r="D2533" s="8" t="s">
        <v>213</v>
      </c>
      <c r="E2533" s="10">
        <v>30000</v>
      </c>
      <c r="F2533" s="8">
        <v>0.042</v>
      </c>
      <c r="G2533" s="11">
        <v>46086</v>
      </c>
      <c r="H2533" s="12">
        <f t="shared" si="39"/>
        <v>1260</v>
      </c>
      <c r="I2533" s="10" t="s">
        <v>10</v>
      </c>
      <c r="J2533" s="13">
        <v>46021</v>
      </c>
      <c r="K2533" t="s">
        <v>615</v>
      </c>
    </row>
    <row r="2534" hidden="1" spans="1:11">
      <c r="A2534" t="s">
        <v>319</v>
      </c>
      <c r="B2534" s="8">
        <v>252603318</v>
      </c>
      <c r="C2534" s="9">
        <v>46009</v>
      </c>
      <c r="D2534" s="8" t="s">
        <v>181</v>
      </c>
      <c r="E2534" s="10">
        <v>70000</v>
      </c>
      <c r="F2534" s="8">
        <v>0.0243</v>
      </c>
      <c r="G2534" s="11">
        <v>46086</v>
      </c>
      <c r="H2534" s="12">
        <f t="shared" si="39"/>
        <v>1701</v>
      </c>
      <c r="I2534" s="10" t="s">
        <v>10</v>
      </c>
      <c r="J2534" s="13">
        <v>46021</v>
      </c>
      <c r="K2534" t="s">
        <v>615</v>
      </c>
    </row>
    <row r="2535" hidden="1" spans="1:11">
      <c r="A2535" t="s">
        <v>319</v>
      </c>
      <c r="B2535" s="8">
        <v>252603318</v>
      </c>
      <c r="C2535" s="9">
        <v>46009</v>
      </c>
      <c r="D2535" s="8" t="s">
        <v>31</v>
      </c>
      <c r="E2535" s="10">
        <v>200000</v>
      </c>
      <c r="F2535" s="8">
        <v>0.024</v>
      </c>
      <c r="G2535" s="11">
        <v>46086</v>
      </c>
      <c r="H2535" s="12">
        <f t="shared" si="39"/>
        <v>4800</v>
      </c>
      <c r="I2535" s="10" t="s">
        <v>10</v>
      </c>
      <c r="J2535" s="13">
        <v>46021</v>
      </c>
      <c r="K2535" t="s">
        <v>615</v>
      </c>
    </row>
    <row r="2536" hidden="1" spans="1:11">
      <c r="A2536" t="s">
        <v>319</v>
      </c>
      <c r="B2536" s="8">
        <v>252603318</v>
      </c>
      <c r="C2536" s="9">
        <v>46009</v>
      </c>
      <c r="D2536" s="8" t="s">
        <v>31</v>
      </c>
      <c r="E2536" s="10">
        <v>150000</v>
      </c>
      <c r="F2536" s="8">
        <v>0.024</v>
      </c>
      <c r="G2536" s="11">
        <v>46086</v>
      </c>
      <c r="H2536" s="12">
        <f t="shared" si="39"/>
        <v>3600</v>
      </c>
      <c r="I2536" s="10" t="s">
        <v>10</v>
      </c>
      <c r="J2536" s="13">
        <v>46021</v>
      </c>
      <c r="K2536" t="s">
        <v>615</v>
      </c>
    </row>
    <row r="2537" hidden="1" spans="1:11">
      <c r="A2537" t="s">
        <v>319</v>
      </c>
      <c r="B2537" s="8">
        <v>252603318</v>
      </c>
      <c r="C2537" s="9">
        <v>46009</v>
      </c>
      <c r="D2537" s="8" t="s">
        <v>25</v>
      </c>
      <c r="E2537" s="10">
        <v>20000</v>
      </c>
      <c r="F2537" s="8">
        <v>0.016</v>
      </c>
      <c r="G2537" s="11">
        <v>46058</v>
      </c>
      <c r="H2537" s="12">
        <f t="shared" si="39"/>
        <v>320</v>
      </c>
      <c r="I2537" s="10" t="s">
        <v>10</v>
      </c>
      <c r="J2537" s="81">
        <v>46015</v>
      </c>
      <c r="K2537" t="s">
        <v>615</v>
      </c>
    </row>
    <row r="2538" hidden="1" spans="1:11">
      <c r="A2538" t="s">
        <v>319</v>
      </c>
      <c r="B2538" s="8">
        <v>252603318</v>
      </c>
      <c r="C2538" s="9">
        <v>46009</v>
      </c>
      <c r="D2538" s="8" t="s">
        <v>106</v>
      </c>
      <c r="E2538" s="10">
        <v>100000</v>
      </c>
      <c r="F2538" s="8">
        <v>0.033</v>
      </c>
      <c r="G2538" s="11">
        <v>46086</v>
      </c>
      <c r="H2538" s="12">
        <f t="shared" si="39"/>
        <v>3300</v>
      </c>
      <c r="I2538" s="10" t="s">
        <v>10</v>
      </c>
      <c r="J2538" s="13">
        <v>46021</v>
      </c>
      <c r="K2538" t="s">
        <v>615</v>
      </c>
    </row>
    <row r="2539" hidden="1" spans="1:11">
      <c r="A2539" t="s">
        <v>319</v>
      </c>
      <c r="B2539" s="8">
        <v>252603327</v>
      </c>
      <c r="C2539" s="9">
        <v>46010</v>
      </c>
      <c r="D2539" s="8" t="s">
        <v>35</v>
      </c>
      <c r="E2539" s="10">
        <v>40000</v>
      </c>
      <c r="F2539" s="8">
        <v>0.05</v>
      </c>
      <c r="G2539" s="11">
        <v>46027</v>
      </c>
      <c r="H2539" s="12">
        <f t="shared" si="39"/>
        <v>2000</v>
      </c>
      <c r="I2539" s="10" t="s">
        <v>10</v>
      </c>
      <c r="J2539" s="81">
        <v>46015</v>
      </c>
      <c r="K2539" t="s">
        <v>486</v>
      </c>
    </row>
    <row r="2540" hidden="1" spans="1:11">
      <c r="A2540" t="s">
        <v>319</v>
      </c>
      <c r="B2540" s="8">
        <v>252603327</v>
      </c>
      <c r="C2540" s="9">
        <v>46010</v>
      </c>
      <c r="D2540" s="8" t="s">
        <v>35</v>
      </c>
      <c r="E2540" s="10">
        <v>40000</v>
      </c>
      <c r="F2540" s="8">
        <v>0.05</v>
      </c>
      <c r="G2540" s="11">
        <v>46117</v>
      </c>
      <c r="H2540" s="12">
        <f t="shared" si="39"/>
        <v>2000</v>
      </c>
      <c r="I2540" s="10" t="s">
        <v>10</v>
      </c>
      <c r="J2540" s="81">
        <v>46015</v>
      </c>
      <c r="K2540" t="s">
        <v>486</v>
      </c>
    </row>
    <row r="2541" hidden="1" spans="1:11">
      <c r="A2541" t="s">
        <v>319</v>
      </c>
      <c r="B2541" s="8">
        <v>252603339</v>
      </c>
      <c r="C2541" s="9">
        <v>46010</v>
      </c>
      <c r="D2541" s="8" t="s">
        <v>611</v>
      </c>
      <c r="E2541" s="10">
        <v>60000</v>
      </c>
      <c r="F2541" s="8">
        <v>0.062</v>
      </c>
      <c r="G2541" s="11">
        <v>46027</v>
      </c>
      <c r="H2541" s="12">
        <f t="shared" si="39"/>
        <v>3720</v>
      </c>
      <c r="I2541" s="10" t="s">
        <v>10</v>
      </c>
      <c r="J2541" s="81">
        <v>46015</v>
      </c>
      <c r="K2541" t="s">
        <v>369</v>
      </c>
    </row>
    <row r="2542" hidden="1" spans="1:11">
      <c r="A2542" t="s">
        <v>319</v>
      </c>
      <c r="B2542" s="8">
        <v>252603363</v>
      </c>
      <c r="C2542" s="9">
        <v>46013</v>
      </c>
      <c r="D2542" s="8" t="s">
        <v>289</v>
      </c>
      <c r="E2542" s="10">
        <v>200000</v>
      </c>
      <c r="F2542" s="8">
        <v>0.033</v>
      </c>
      <c r="G2542" s="11">
        <v>46058</v>
      </c>
      <c r="H2542" s="12">
        <f t="shared" si="39"/>
        <v>6600</v>
      </c>
      <c r="I2542" s="10" t="s">
        <v>10</v>
      </c>
      <c r="J2542" s="81">
        <v>46015</v>
      </c>
      <c r="K2542" t="s">
        <v>435</v>
      </c>
    </row>
    <row r="2543" hidden="1" spans="1:11">
      <c r="A2543" t="s">
        <v>319</v>
      </c>
      <c r="B2543" s="8">
        <v>252603363</v>
      </c>
      <c r="C2543" s="9">
        <v>46013</v>
      </c>
      <c r="D2543" s="8" t="s">
        <v>289</v>
      </c>
      <c r="E2543" s="10">
        <v>200000</v>
      </c>
      <c r="F2543" s="8">
        <v>0.033</v>
      </c>
      <c r="G2543" s="11">
        <v>46058</v>
      </c>
      <c r="H2543" s="12">
        <f t="shared" si="39"/>
        <v>6600</v>
      </c>
      <c r="I2543" s="10" t="s">
        <v>10</v>
      </c>
      <c r="J2543" s="81">
        <v>46015</v>
      </c>
      <c r="K2543" t="s">
        <v>435</v>
      </c>
    </row>
    <row r="2544" hidden="1" spans="1:11">
      <c r="A2544" t="s">
        <v>319</v>
      </c>
      <c r="B2544" s="8">
        <v>252603363</v>
      </c>
      <c r="C2544" s="9">
        <v>46013</v>
      </c>
      <c r="D2544" s="8" t="s">
        <v>289</v>
      </c>
      <c r="E2544" s="10">
        <v>100000</v>
      </c>
      <c r="F2544" s="8">
        <v>0.033</v>
      </c>
      <c r="G2544" s="11">
        <v>46058</v>
      </c>
      <c r="H2544" s="12">
        <f t="shared" si="39"/>
        <v>3300</v>
      </c>
      <c r="I2544" s="10" t="s">
        <v>10</v>
      </c>
      <c r="J2544" s="81">
        <v>46015</v>
      </c>
      <c r="K2544" t="s">
        <v>435</v>
      </c>
    </row>
    <row r="2545" hidden="1" spans="1:11">
      <c r="A2545" t="s">
        <v>319</v>
      </c>
      <c r="B2545" s="8">
        <v>252603363</v>
      </c>
      <c r="C2545" s="9">
        <v>46013</v>
      </c>
      <c r="D2545" s="8" t="s">
        <v>289</v>
      </c>
      <c r="E2545" s="10">
        <v>200000</v>
      </c>
      <c r="F2545" s="8">
        <v>0.033</v>
      </c>
      <c r="G2545" s="11">
        <v>46086</v>
      </c>
      <c r="H2545" s="12">
        <f t="shared" si="39"/>
        <v>6600</v>
      </c>
      <c r="I2545" s="10" t="s">
        <v>10</v>
      </c>
      <c r="J2545" s="81">
        <v>46015</v>
      </c>
      <c r="K2545" t="s">
        <v>435</v>
      </c>
    </row>
    <row r="2546" hidden="1" spans="1:11">
      <c r="A2546" t="s">
        <v>319</v>
      </c>
      <c r="B2546" s="8">
        <v>252603363</v>
      </c>
      <c r="C2546" s="9">
        <v>46013</v>
      </c>
      <c r="D2546" s="8" t="s">
        <v>289</v>
      </c>
      <c r="E2546" s="10">
        <v>200000</v>
      </c>
      <c r="F2546" s="8">
        <v>0.033</v>
      </c>
      <c r="G2546" s="11">
        <v>46086</v>
      </c>
      <c r="H2546" s="12">
        <f t="shared" si="39"/>
        <v>6600</v>
      </c>
      <c r="I2546" s="10" t="s">
        <v>10</v>
      </c>
      <c r="J2546" s="81">
        <v>46015</v>
      </c>
      <c r="K2546" t="s">
        <v>435</v>
      </c>
    </row>
    <row r="2547" hidden="1" spans="1:11">
      <c r="A2547" t="s">
        <v>319</v>
      </c>
      <c r="B2547" s="8">
        <v>252603363</v>
      </c>
      <c r="C2547" s="9">
        <v>46013</v>
      </c>
      <c r="D2547" s="8" t="s">
        <v>289</v>
      </c>
      <c r="E2547" s="10">
        <v>100000</v>
      </c>
      <c r="F2547" s="8">
        <v>0.033</v>
      </c>
      <c r="G2547" s="11">
        <v>46086</v>
      </c>
      <c r="H2547" s="12">
        <f t="shared" si="39"/>
        <v>3300</v>
      </c>
      <c r="I2547" s="10" t="s">
        <v>10</v>
      </c>
      <c r="J2547" s="81">
        <v>46015</v>
      </c>
      <c r="K2547" t="s">
        <v>435</v>
      </c>
    </row>
    <row r="2548" hidden="1" spans="1:11">
      <c r="A2548" t="s">
        <v>319</v>
      </c>
      <c r="B2548" s="8">
        <v>252603363</v>
      </c>
      <c r="C2548" s="9">
        <v>46013</v>
      </c>
      <c r="D2548" s="8" t="s">
        <v>136</v>
      </c>
      <c r="E2548" s="10">
        <v>200000</v>
      </c>
      <c r="F2548" s="8">
        <v>0.028</v>
      </c>
      <c r="G2548" s="11">
        <v>46058</v>
      </c>
      <c r="H2548" s="12">
        <f t="shared" si="39"/>
        <v>5600</v>
      </c>
      <c r="I2548" s="10" t="s">
        <v>10</v>
      </c>
      <c r="J2548" s="81">
        <v>46015</v>
      </c>
      <c r="K2548" t="s">
        <v>435</v>
      </c>
    </row>
    <row r="2549" hidden="1" spans="1:11">
      <c r="A2549" t="s">
        <v>319</v>
      </c>
      <c r="B2549" s="8">
        <v>252603363</v>
      </c>
      <c r="C2549" s="9">
        <v>46013</v>
      </c>
      <c r="D2549" s="8" t="s">
        <v>136</v>
      </c>
      <c r="E2549" s="10">
        <v>200000</v>
      </c>
      <c r="F2549" s="8">
        <v>0.028</v>
      </c>
      <c r="G2549" s="11">
        <v>46058</v>
      </c>
      <c r="H2549" s="12">
        <f t="shared" si="39"/>
        <v>5600</v>
      </c>
      <c r="I2549" s="10" t="s">
        <v>10</v>
      </c>
      <c r="J2549" s="81">
        <v>46015</v>
      </c>
      <c r="K2549" t="s">
        <v>435</v>
      </c>
    </row>
    <row r="2550" hidden="1" spans="1:11">
      <c r="A2550" t="s">
        <v>319</v>
      </c>
      <c r="B2550" s="8">
        <v>252603363</v>
      </c>
      <c r="C2550" s="9">
        <v>46013</v>
      </c>
      <c r="D2550" s="8" t="s">
        <v>136</v>
      </c>
      <c r="E2550" s="10">
        <v>200000</v>
      </c>
      <c r="F2550" s="8">
        <v>0.028</v>
      </c>
      <c r="G2550" s="11">
        <v>46086</v>
      </c>
      <c r="H2550" s="12">
        <f t="shared" si="39"/>
        <v>5600</v>
      </c>
      <c r="I2550" s="10" t="s">
        <v>10</v>
      </c>
      <c r="J2550" s="81">
        <v>46015</v>
      </c>
      <c r="K2550" t="s">
        <v>435</v>
      </c>
    </row>
    <row r="2551" hidden="1" spans="1:11">
      <c r="A2551" t="s">
        <v>319</v>
      </c>
      <c r="B2551" s="8">
        <v>252603363</v>
      </c>
      <c r="C2551" s="9">
        <v>46013</v>
      </c>
      <c r="D2551" s="8" t="s">
        <v>136</v>
      </c>
      <c r="E2551" s="10">
        <v>100000</v>
      </c>
      <c r="F2551" s="8">
        <v>0.028</v>
      </c>
      <c r="G2551" s="11">
        <v>46086</v>
      </c>
      <c r="H2551" s="12">
        <f t="shared" si="39"/>
        <v>2800</v>
      </c>
      <c r="I2551" s="10" t="s">
        <v>10</v>
      </c>
      <c r="J2551" s="81">
        <v>46015</v>
      </c>
      <c r="K2551" t="s">
        <v>435</v>
      </c>
    </row>
    <row r="2552" hidden="1" spans="1:11">
      <c r="A2552" t="s">
        <v>319</v>
      </c>
      <c r="B2552" s="8">
        <v>252603363</v>
      </c>
      <c r="C2552" s="9">
        <v>46013</v>
      </c>
      <c r="D2552" s="8" t="s">
        <v>181</v>
      </c>
      <c r="E2552" s="10">
        <v>200000</v>
      </c>
      <c r="F2552" s="8">
        <v>0.0243</v>
      </c>
      <c r="G2552" s="11">
        <v>46086</v>
      </c>
      <c r="H2552" s="12">
        <f t="shared" si="39"/>
        <v>4860</v>
      </c>
      <c r="I2552" s="10" t="s">
        <v>10</v>
      </c>
      <c r="J2552" s="13">
        <v>46021</v>
      </c>
      <c r="K2552" t="s">
        <v>435</v>
      </c>
    </row>
    <row r="2553" hidden="1" spans="1:11">
      <c r="A2553" t="s">
        <v>319</v>
      </c>
      <c r="B2553" s="8">
        <v>252603363</v>
      </c>
      <c r="C2553" s="9">
        <v>46013</v>
      </c>
      <c r="D2553" s="8" t="s">
        <v>181</v>
      </c>
      <c r="E2553" s="10">
        <v>100000</v>
      </c>
      <c r="F2553" s="8">
        <v>0.0243</v>
      </c>
      <c r="G2553" s="11">
        <v>46086</v>
      </c>
      <c r="H2553" s="12">
        <f t="shared" si="39"/>
        <v>2430</v>
      </c>
      <c r="I2553" s="10" t="s">
        <v>10</v>
      </c>
      <c r="J2553" s="13">
        <v>46021</v>
      </c>
      <c r="K2553" t="s">
        <v>435</v>
      </c>
    </row>
    <row r="2554" hidden="1" spans="1:11">
      <c r="A2554" t="s">
        <v>319</v>
      </c>
      <c r="B2554" s="8">
        <v>252603367</v>
      </c>
      <c r="C2554" s="9">
        <v>46013</v>
      </c>
      <c r="D2554" s="8" t="s">
        <v>603</v>
      </c>
      <c r="E2554" s="10">
        <v>100000</v>
      </c>
      <c r="F2554" s="8">
        <v>0.027</v>
      </c>
      <c r="G2554" s="11">
        <v>46086</v>
      </c>
      <c r="H2554" s="12">
        <f t="shared" si="39"/>
        <v>2700</v>
      </c>
      <c r="I2554" s="10" t="s">
        <v>10</v>
      </c>
      <c r="J2554" s="13">
        <v>46038</v>
      </c>
      <c r="K2554" t="s">
        <v>435</v>
      </c>
    </row>
    <row r="2555" hidden="1" spans="1:11">
      <c r="A2555" t="s">
        <v>319</v>
      </c>
      <c r="B2555" s="8">
        <v>252603367</v>
      </c>
      <c r="C2555" s="9">
        <v>46013</v>
      </c>
      <c r="D2555" s="8" t="s">
        <v>602</v>
      </c>
      <c r="E2555" s="10">
        <v>120000</v>
      </c>
      <c r="F2555" s="8">
        <v>0.022</v>
      </c>
      <c r="G2555" s="11">
        <v>46086</v>
      </c>
      <c r="H2555" s="12">
        <f t="shared" si="39"/>
        <v>2640</v>
      </c>
      <c r="I2555" s="10" t="s">
        <v>10</v>
      </c>
      <c r="J2555" s="13">
        <v>46036</v>
      </c>
      <c r="K2555" t="s">
        <v>435</v>
      </c>
    </row>
    <row r="2556" hidden="1" spans="1:11">
      <c r="A2556" t="s">
        <v>319</v>
      </c>
      <c r="B2556" s="8">
        <v>252603368</v>
      </c>
      <c r="C2556" s="9">
        <v>46013</v>
      </c>
      <c r="D2556" s="8" t="s">
        <v>289</v>
      </c>
      <c r="E2556" s="10">
        <v>200000</v>
      </c>
      <c r="F2556" s="8">
        <v>0.033</v>
      </c>
      <c r="G2556" s="11">
        <v>46117</v>
      </c>
      <c r="H2556" s="12">
        <f t="shared" si="39"/>
        <v>6600</v>
      </c>
      <c r="I2556" s="10" t="s">
        <v>10</v>
      </c>
      <c r="J2556" s="13">
        <v>46049</v>
      </c>
      <c r="K2556" t="s">
        <v>435</v>
      </c>
    </row>
    <row r="2557" hidden="1" spans="1:11">
      <c r="A2557" t="s">
        <v>319</v>
      </c>
      <c r="B2557" s="8">
        <v>252603368</v>
      </c>
      <c r="C2557" s="9">
        <v>46013</v>
      </c>
      <c r="D2557" s="8" t="s">
        <v>289</v>
      </c>
      <c r="E2557" s="10">
        <v>200000</v>
      </c>
      <c r="F2557" s="8">
        <v>0.033</v>
      </c>
      <c r="G2557" s="11">
        <v>46117</v>
      </c>
      <c r="H2557" s="12">
        <f t="shared" si="39"/>
        <v>6600</v>
      </c>
      <c r="I2557" s="10" t="s">
        <v>10</v>
      </c>
      <c r="J2557" s="13">
        <v>46049</v>
      </c>
      <c r="K2557" t="s">
        <v>435</v>
      </c>
    </row>
    <row r="2558" hidden="1" spans="1:11">
      <c r="A2558" t="s">
        <v>319</v>
      </c>
      <c r="B2558" s="8">
        <v>252603368</v>
      </c>
      <c r="C2558" s="9">
        <v>46013</v>
      </c>
      <c r="D2558" s="8" t="s">
        <v>136</v>
      </c>
      <c r="E2558" s="10">
        <v>200000</v>
      </c>
      <c r="F2558" s="8">
        <v>0.028</v>
      </c>
      <c r="G2558" s="11">
        <v>46117</v>
      </c>
      <c r="H2558" s="12">
        <f t="shared" si="39"/>
        <v>5600</v>
      </c>
      <c r="I2558" s="10" t="s">
        <v>10</v>
      </c>
      <c r="J2558" s="13">
        <v>46049</v>
      </c>
      <c r="K2558" t="s">
        <v>435</v>
      </c>
    </row>
    <row r="2559" hidden="1" spans="1:11">
      <c r="A2559" t="s">
        <v>319</v>
      </c>
      <c r="B2559" s="8">
        <v>252603368</v>
      </c>
      <c r="C2559" s="9">
        <v>46013</v>
      </c>
      <c r="D2559" s="8" t="s">
        <v>136</v>
      </c>
      <c r="E2559" s="10">
        <v>100000</v>
      </c>
      <c r="F2559" s="8">
        <v>0.028</v>
      </c>
      <c r="G2559" s="11">
        <v>46117</v>
      </c>
      <c r="H2559" s="12">
        <f t="shared" si="39"/>
        <v>2800</v>
      </c>
      <c r="I2559" s="10" t="s">
        <v>10</v>
      </c>
      <c r="J2559" s="13">
        <v>46049</v>
      </c>
      <c r="K2559" t="s">
        <v>435</v>
      </c>
    </row>
    <row r="2560" hidden="1" spans="1:11">
      <c r="A2560" t="s">
        <v>319</v>
      </c>
      <c r="B2560" s="8">
        <v>252603368</v>
      </c>
      <c r="C2560" s="9">
        <v>46013</v>
      </c>
      <c r="D2560" s="8" t="s">
        <v>181</v>
      </c>
      <c r="E2560" s="10">
        <v>200000</v>
      </c>
      <c r="F2560" s="8">
        <v>0.0243</v>
      </c>
      <c r="G2560" s="11">
        <v>46117</v>
      </c>
      <c r="H2560" s="12">
        <f t="shared" si="39"/>
        <v>4860</v>
      </c>
      <c r="I2560" s="10" t="s">
        <v>10</v>
      </c>
      <c r="J2560" s="13">
        <v>46050</v>
      </c>
      <c r="K2560" t="s">
        <v>435</v>
      </c>
    </row>
    <row r="2561" hidden="1" spans="1:11">
      <c r="A2561" t="s">
        <v>319</v>
      </c>
      <c r="B2561" s="8">
        <v>252603368</v>
      </c>
      <c r="C2561" s="9">
        <v>46013</v>
      </c>
      <c r="D2561" s="8" t="s">
        <v>181</v>
      </c>
      <c r="E2561" s="10">
        <v>100000</v>
      </c>
      <c r="F2561" s="8">
        <v>0.0243</v>
      </c>
      <c r="G2561" s="11">
        <v>46117</v>
      </c>
      <c r="H2561" s="12">
        <f t="shared" si="39"/>
        <v>2430</v>
      </c>
      <c r="I2561" s="10" t="s">
        <v>10</v>
      </c>
      <c r="J2561" s="13">
        <v>46050</v>
      </c>
      <c r="K2561" t="s">
        <v>435</v>
      </c>
    </row>
    <row r="2562" hidden="1" spans="1:11">
      <c r="A2562" t="s">
        <v>319</v>
      </c>
      <c r="B2562" s="8">
        <v>252603368</v>
      </c>
      <c r="C2562" s="9">
        <v>46013</v>
      </c>
      <c r="D2562" s="8" t="s">
        <v>603</v>
      </c>
      <c r="E2562" s="10">
        <v>100000</v>
      </c>
      <c r="F2562" s="8">
        <v>0.027</v>
      </c>
      <c r="G2562" s="11">
        <v>46117</v>
      </c>
      <c r="H2562" s="12">
        <f t="shared" ref="H2562:H2625" si="40">E2562*F2562</f>
        <v>2700</v>
      </c>
      <c r="I2562" s="10" t="s">
        <v>10</v>
      </c>
      <c r="J2562" s="13">
        <v>46050</v>
      </c>
      <c r="K2562" t="s">
        <v>435</v>
      </c>
    </row>
    <row r="2563" hidden="1" spans="1:11">
      <c r="A2563" t="s">
        <v>319</v>
      </c>
      <c r="B2563" s="8">
        <v>252603368</v>
      </c>
      <c r="C2563" s="9">
        <v>46013</v>
      </c>
      <c r="D2563" s="8" t="s">
        <v>602</v>
      </c>
      <c r="E2563" s="10">
        <v>120000</v>
      </c>
      <c r="F2563" s="8">
        <v>0.022</v>
      </c>
      <c r="G2563" s="11">
        <v>46117</v>
      </c>
      <c r="H2563" s="12">
        <f t="shared" si="40"/>
        <v>2640</v>
      </c>
      <c r="I2563" s="10" t="s">
        <v>10</v>
      </c>
      <c r="J2563" s="13">
        <v>46049</v>
      </c>
      <c r="K2563" t="s">
        <v>435</v>
      </c>
    </row>
    <row r="2564" hidden="1" spans="1:11">
      <c r="A2564" t="s">
        <v>319</v>
      </c>
      <c r="B2564" s="8">
        <v>252603369</v>
      </c>
      <c r="C2564" s="9">
        <v>46013</v>
      </c>
      <c r="D2564" s="8" t="s">
        <v>625</v>
      </c>
      <c r="E2564" s="10">
        <v>200000</v>
      </c>
      <c r="F2564" s="8">
        <v>0.032</v>
      </c>
      <c r="G2564" s="11">
        <v>46147</v>
      </c>
      <c r="H2564" s="12">
        <f t="shared" si="40"/>
        <v>6400</v>
      </c>
      <c r="I2564" s="10" t="s">
        <v>10</v>
      </c>
      <c r="J2564" s="13">
        <v>46147</v>
      </c>
      <c r="K2564" t="s">
        <v>489</v>
      </c>
    </row>
    <row r="2565" hidden="1" spans="1:11">
      <c r="A2565" t="s">
        <v>319</v>
      </c>
      <c r="B2565" s="8">
        <v>252603369</v>
      </c>
      <c r="C2565" s="9">
        <v>46013</v>
      </c>
      <c r="D2565" s="8" t="s">
        <v>625</v>
      </c>
      <c r="E2565" s="10">
        <v>200000</v>
      </c>
      <c r="F2565" s="8">
        <v>0.032</v>
      </c>
      <c r="G2565" s="11">
        <v>46147</v>
      </c>
      <c r="H2565" s="12">
        <f t="shared" si="40"/>
        <v>6400</v>
      </c>
      <c r="I2565" s="10" t="s">
        <v>10</v>
      </c>
      <c r="J2565" s="13">
        <v>46147</v>
      </c>
      <c r="K2565" t="s">
        <v>489</v>
      </c>
    </row>
    <row r="2566" hidden="1" spans="1:11">
      <c r="A2566" t="s">
        <v>319</v>
      </c>
      <c r="B2566" s="8">
        <v>252603369</v>
      </c>
      <c r="C2566" s="9">
        <v>46013</v>
      </c>
      <c r="D2566" s="8" t="s">
        <v>625</v>
      </c>
      <c r="E2566" s="10">
        <v>100000</v>
      </c>
      <c r="F2566" s="8">
        <v>0.032</v>
      </c>
      <c r="G2566" s="11">
        <v>46147</v>
      </c>
      <c r="H2566" s="12">
        <f t="shared" si="40"/>
        <v>3200</v>
      </c>
      <c r="I2566" s="10" t="s">
        <v>10</v>
      </c>
      <c r="J2566" s="13">
        <v>46147</v>
      </c>
      <c r="K2566" t="s">
        <v>489</v>
      </c>
    </row>
    <row r="2567" hidden="1" spans="1:11">
      <c r="A2567" t="s">
        <v>319</v>
      </c>
      <c r="B2567" s="8">
        <v>252603369</v>
      </c>
      <c r="C2567" s="9">
        <v>46013</v>
      </c>
      <c r="D2567" s="8" t="s">
        <v>425</v>
      </c>
      <c r="E2567" s="10">
        <v>100000</v>
      </c>
      <c r="F2567" s="8">
        <v>0.07</v>
      </c>
      <c r="G2567" s="11">
        <v>46147</v>
      </c>
      <c r="H2567" s="12">
        <f t="shared" si="40"/>
        <v>7000</v>
      </c>
      <c r="I2567" s="10" t="s">
        <v>10</v>
      </c>
      <c r="J2567" s="13">
        <v>46147</v>
      </c>
      <c r="K2567" t="s">
        <v>489</v>
      </c>
    </row>
    <row r="2568" hidden="1" spans="1:11">
      <c r="A2568" t="s">
        <v>319</v>
      </c>
      <c r="B2568" s="8">
        <v>252603369</v>
      </c>
      <c r="C2568" s="9">
        <v>46013</v>
      </c>
      <c r="D2568" s="8" t="s">
        <v>425</v>
      </c>
      <c r="E2568" s="10">
        <v>100000</v>
      </c>
      <c r="F2568" s="8">
        <v>0.07</v>
      </c>
      <c r="G2568" s="11">
        <v>46147</v>
      </c>
      <c r="H2568" s="12">
        <f t="shared" si="40"/>
        <v>7000</v>
      </c>
      <c r="I2568" s="10" t="s">
        <v>10</v>
      </c>
      <c r="J2568" s="13">
        <v>46147</v>
      </c>
      <c r="K2568" t="s">
        <v>489</v>
      </c>
    </row>
    <row r="2569" hidden="1" spans="1:11">
      <c r="A2569" t="s">
        <v>319</v>
      </c>
      <c r="B2569" s="8">
        <v>252603386</v>
      </c>
      <c r="C2569" s="9">
        <v>46014</v>
      </c>
      <c r="D2569" s="8" t="s">
        <v>39</v>
      </c>
      <c r="E2569" s="10">
        <v>500000</v>
      </c>
      <c r="F2569" s="8">
        <v>0.022</v>
      </c>
      <c r="G2569" s="11">
        <v>46086</v>
      </c>
      <c r="H2569" s="12">
        <f t="shared" si="40"/>
        <v>11000</v>
      </c>
      <c r="I2569" s="10" t="s">
        <v>10</v>
      </c>
      <c r="J2569" s="13">
        <v>46055</v>
      </c>
      <c r="K2569" t="s">
        <v>337</v>
      </c>
    </row>
    <row r="2570" hidden="1" spans="1:11">
      <c r="A2570" t="s">
        <v>319</v>
      </c>
      <c r="B2570" s="8">
        <v>252603386</v>
      </c>
      <c r="C2570" s="9">
        <v>46014</v>
      </c>
      <c r="D2570" s="8" t="s">
        <v>39</v>
      </c>
      <c r="E2570" s="10">
        <v>450000</v>
      </c>
      <c r="F2570" s="8">
        <v>0.022</v>
      </c>
      <c r="G2570" s="11">
        <v>46117</v>
      </c>
      <c r="H2570" s="12">
        <f t="shared" si="40"/>
        <v>9900</v>
      </c>
      <c r="I2570" s="10" t="s">
        <v>10</v>
      </c>
      <c r="J2570" s="13">
        <v>46055</v>
      </c>
      <c r="K2570" t="s">
        <v>337</v>
      </c>
    </row>
    <row r="2571" hidden="1" spans="1:11">
      <c r="A2571" t="s">
        <v>319</v>
      </c>
      <c r="B2571" s="8">
        <v>252603386</v>
      </c>
      <c r="C2571" s="9">
        <v>46014</v>
      </c>
      <c r="D2571" s="8" t="s">
        <v>40</v>
      </c>
      <c r="E2571" s="10">
        <v>200000</v>
      </c>
      <c r="F2571" s="8">
        <v>0.035</v>
      </c>
      <c r="G2571" s="11">
        <v>46086</v>
      </c>
      <c r="H2571" s="12">
        <f t="shared" si="40"/>
        <v>7000</v>
      </c>
      <c r="I2571" s="10" t="s">
        <v>10</v>
      </c>
      <c r="J2571" s="13">
        <v>46050</v>
      </c>
      <c r="K2571" t="s">
        <v>337</v>
      </c>
    </row>
    <row r="2572" hidden="1" spans="1:11">
      <c r="A2572" t="s">
        <v>319</v>
      </c>
      <c r="B2572" s="8">
        <v>252603386</v>
      </c>
      <c r="C2572" s="9">
        <v>46014</v>
      </c>
      <c r="D2572" s="8" t="s">
        <v>40</v>
      </c>
      <c r="E2572" s="10">
        <v>250000</v>
      </c>
      <c r="F2572" s="8">
        <v>0.035</v>
      </c>
      <c r="G2572" s="11">
        <v>46117</v>
      </c>
      <c r="H2572" s="12">
        <f t="shared" si="40"/>
        <v>8750</v>
      </c>
      <c r="I2572" s="10" t="s">
        <v>10</v>
      </c>
      <c r="J2572" s="13">
        <v>46050</v>
      </c>
      <c r="K2572" t="s">
        <v>337</v>
      </c>
    </row>
    <row r="2573" hidden="1" spans="1:11">
      <c r="A2573" t="s">
        <v>319</v>
      </c>
      <c r="B2573" s="8">
        <v>252603398</v>
      </c>
      <c r="C2573" s="9">
        <v>46014</v>
      </c>
      <c r="D2573" s="8" t="s">
        <v>16</v>
      </c>
      <c r="E2573" s="10">
        <v>100000</v>
      </c>
      <c r="F2573" s="8">
        <v>0.0292</v>
      </c>
      <c r="G2573" s="11">
        <v>46086</v>
      </c>
      <c r="H2573" s="12">
        <f t="shared" si="40"/>
        <v>2920</v>
      </c>
      <c r="I2573" s="10" t="s">
        <v>10</v>
      </c>
      <c r="J2573" s="13">
        <v>46049</v>
      </c>
      <c r="K2573" t="s">
        <v>405</v>
      </c>
    </row>
    <row r="2574" hidden="1" spans="1:11">
      <c r="A2574" t="s">
        <v>319</v>
      </c>
      <c r="B2574" s="8">
        <v>252603398</v>
      </c>
      <c r="C2574" s="9">
        <v>46014</v>
      </c>
      <c r="D2574" s="8" t="s">
        <v>16</v>
      </c>
      <c r="E2574" s="10">
        <v>200000</v>
      </c>
      <c r="F2574" s="8">
        <v>0.0292</v>
      </c>
      <c r="G2574" s="11">
        <v>46117</v>
      </c>
      <c r="H2574" s="12">
        <f t="shared" si="40"/>
        <v>5840</v>
      </c>
      <c r="I2574" s="10" t="s">
        <v>10</v>
      </c>
      <c r="J2574" s="13">
        <v>46049</v>
      </c>
      <c r="K2574" t="s">
        <v>405</v>
      </c>
    </row>
    <row r="2575" hidden="1" spans="1:11">
      <c r="A2575" t="s">
        <v>319</v>
      </c>
      <c r="B2575" s="8">
        <v>252603398</v>
      </c>
      <c r="C2575" s="9">
        <v>46014</v>
      </c>
      <c r="D2575" s="8" t="s">
        <v>16</v>
      </c>
      <c r="E2575" s="10">
        <v>100000</v>
      </c>
      <c r="F2575" s="8">
        <v>0.0292</v>
      </c>
      <c r="G2575" s="11">
        <v>46117</v>
      </c>
      <c r="H2575" s="12">
        <f t="shared" si="40"/>
        <v>2920</v>
      </c>
      <c r="I2575" s="10" t="s">
        <v>10</v>
      </c>
      <c r="J2575" s="13">
        <v>46049</v>
      </c>
      <c r="K2575" t="s">
        <v>405</v>
      </c>
    </row>
    <row r="2576" hidden="1" spans="1:11">
      <c r="A2576" t="s">
        <v>319</v>
      </c>
      <c r="B2576" s="8">
        <v>252603398</v>
      </c>
      <c r="C2576" s="9">
        <v>46014</v>
      </c>
      <c r="D2576" s="8" t="s">
        <v>104</v>
      </c>
      <c r="E2576" s="10">
        <v>150000</v>
      </c>
      <c r="F2576" s="8">
        <v>0.028</v>
      </c>
      <c r="G2576" s="11">
        <v>46086</v>
      </c>
      <c r="H2576" s="12">
        <f t="shared" si="40"/>
        <v>4200</v>
      </c>
      <c r="I2576" s="10" t="s">
        <v>10</v>
      </c>
      <c r="J2576" s="13">
        <v>46049</v>
      </c>
      <c r="K2576" t="s">
        <v>405</v>
      </c>
    </row>
    <row r="2577" hidden="1" spans="1:11">
      <c r="A2577" t="s">
        <v>319</v>
      </c>
      <c r="B2577" s="8">
        <v>252603398</v>
      </c>
      <c r="C2577" s="9">
        <v>46014</v>
      </c>
      <c r="D2577" s="8" t="s">
        <v>104</v>
      </c>
      <c r="E2577" s="10">
        <v>150000</v>
      </c>
      <c r="F2577" s="8">
        <v>0.028</v>
      </c>
      <c r="G2577" s="11">
        <v>46117</v>
      </c>
      <c r="H2577" s="12">
        <f t="shared" si="40"/>
        <v>4200</v>
      </c>
      <c r="I2577" s="10" t="s">
        <v>10</v>
      </c>
      <c r="J2577" s="13">
        <v>46049</v>
      </c>
      <c r="K2577" t="s">
        <v>405</v>
      </c>
    </row>
    <row r="2578" hidden="1" spans="1:11">
      <c r="A2578" t="s">
        <v>319</v>
      </c>
      <c r="B2578" s="8">
        <v>252603398</v>
      </c>
      <c r="C2578" s="9">
        <v>46014</v>
      </c>
      <c r="D2578" s="8" t="s">
        <v>36</v>
      </c>
      <c r="E2578" s="10">
        <v>201000</v>
      </c>
      <c r="F2578" s="8">
        <v>0.00656</v>
      </c>
      <c r="G2578" s="11">
        <v>46086</v>
      </c>
      <c r="H2578" s="12">
        <f t="shared" si="40"/>
        <v>1318.56</v>
      </c>
      <c r="I2578" s="10" t="s">
        <v>10</v>
      </c>
      <c r="J2578" s="13">
        <v>46050</v>
      </c>
      <c r="K2578" t="s">
        <v>405</v>
      </c>
    </row>
    <row r="2579" hidden="1" spans="1:11">
      <c r="A2579" t="s">
        <v>319</v>
      </c>
      <c r="B2579" s="8">
        <v>252603398</v>
      </c>
      <c r="C2579" s="9">
        <v>46014</v>
      </c>
      <c r="D2579" s="8" t="s">
        <v>36</v>
      </c>
      <c r="E2579" s="10">
        <v>99000</v>
      </c>
      <c r="F2579" s="8">
        <v>0.00656</v>
      </c>
      <c r="G2579" s="11">
        <v>46086</v>
      </c>
      <c r="H2579" s="12">
        <f t="shared" si="40"/>
        <v>649.44</v>
      </c>
      <c r="I2579" s="10" t="s">
        <v>10</v>
      </c>
      <c r="J2579" s="13">
        <v>46050</v>
      </c>
      <c r="K2579" t="s">
        <v>405</v>
      </c>
    </row>
    <row r="2580" hidden="1" spans="1:11">
      <c r="A2580" t="s">
        <v>319</v>
      </c>
      <c r="B2580" s="8">
        <v>252603398</v>
      </c>
      <c r="C2580" s="9">
        <v>46014</v>
      </c>
      <c r="D2580" s="8" t="s">
        <v>36</v>
      </c>
      <c r="E2580" s="10">
        <v>201000</v>
      </c>
      <c r="F2580" s="8">
        <v>0.00656</v>
      </c>
      <c r="G2580" s="11">
        <v>46117</v>
      </c>
      <c r="H2580" s="12">
        <f t="shared" si="40"/>
        <v>1318.56</v>
      </c>
      <c r="I2580" s="10" t="s">
        <v>10</v>
      </c>
      <c r="J2580" s="13">
        <v>46050</v>
      </c>
      <c r="K2580" t="s">
        <v>405</v>
      </c>
    </row>
    <row r="2581" hidden="1" spans="1:11">
      <c r="A2581" t="s">
        <v>319</v>
      </c>
      <c r="B2581" s="8">
        <v>252603398</v>
      </c>
      <c r="C2581" s="9">
        <v>46014</v>
      </c>
      <c r="D2581" s="8" t="s">
        <v>36</v>
      </c>
      <c r="E2581" s="10">
        <v>99000</v>
      </c>
      <c r="F2581" s="8">
        <v>0.00656</v>
      </c>
      <c r="G2581" s="11">
        <v>46117</v>
      </c>
      <c r="H2581" s="12">
        <f t="shared" si="40"/>
        <v>649.44</v>
      </c>
      <c r="I2581" s="10" t="s">
        <v>10</v>
      </c>
      <c r="J2581" s="13">
        <v>46050</v>
      </c>
      <c r="K2581" t="s">
        <v>405</v>
      </c>
    </row>
    <row r="2582" hidden="1" spans="1:11">
      <c r="A2582" t="s">
        <v>319</v>
      </c>
      <c r="B2582" s="8">
        <v>252603398</v>
      </c>
      <c r="C2582" s="9">
        <v>46014</v>
      </c>
      <c r="D2582" s="8" t="s">
        <v>114</v>
      </c>
      <c r="E2582" s="10">
        <v>42000</v>
      </c>
      <c r="F2582" s="8">
        <v>0.0145</v>
      </c>
      <c r="G2582" s="11">
        <v>46117</v>
      </c>
      <c r="H2582" s="12">
        <f t="shared" si="40"/>
        <v>609</v>
      </c>
      <c r="I2582" s="10" t="s">
        <v>10</v>
      </c>
      <c r="J2582" s="13">
        <v>46049</v>
      </c>
      <c r="K2582" t="s">
        <v>405</v>
      </c>
    </row>
    <row r="2583" hidden="1" spans="1:11">
      <c r="A2583" t="s">
        <v>319</v>
      </c>
      <c r="B2583" s="8">
        <v>252603398</v>
      </c>
      <c r="C2583" s="9">
        <v>46014</v>
      </c>
      <c r="D2583" s="8" t="s">
        <v>517</v>
      </c>
      <c r="E2583" s="10">
        <v>200000</v>
      </c>
      <c r="F2583" s="8">
        <v>0.0238</v>
      </c>
      <c r="G2583" s="11">
        <v>46086</v>
      </c>
      <c r="H2583" s="12">
        <f t="shared" si="40"/>
        <v>4760</v>
      </c>
      <c r="I2583" s="10" t="s">
        <v>10</v>
      </c>
      <c r="J2583" s="13">
        <v>46049</v>
      </c>
      <c r="K2583" t="s">
        <v>405</v>
      </c>
    </row>
    <row r="2584" hidden="1" spans="1:11">
      <c r="A2584" t="s">
        <v>319</v>
      </c>
      <c r="B2584" s="8">
        <v>252603398</v>
      </c>
      <c r="C2584" s="9">
        <v>46014</v>
      </c>
      <c r="D2584" s="8" t="s">
        <v>517</v>
      </c>
      <c r="E2584" s="10">
        <v>200000</v>
      </c>
      <c r="F2584" s="8">
        <v>0.0238</v>
      </c>
      <c r="G2584" s="11">
        <v>46117</v>
      </c>
      <c r="H2584" s="12">
        <f t="shared" si="40"/>
        <v>4760</v>
      </c>
      <c r="I2584" s="10" t="s">
        <v>10</v>
      </c>
      <c r="J2584" s="13">
        <v>46049</v>
      </c>
      <c r="K2584" t="s">
        <v>405</v>
      </c>
    </row>
    <row r="2585" hidden="1" spans="1:11">
      <c r="A2585" t="s">
        <v>319</v>
      </c>
      <c r="B2585" s="8">
        <v>252603398</v>
      </c>
      <c r="C2585" s="9">
        <v>46014</v>
      </c>
      <c r="D2585" s="8" t="s">
        <v>390</v>
      </c>
      <c r="E2585" s="10">
        <v>30000</v>
      </c>
      <c r="F2585" s="8">
        <v>0.04</v>
      </c>
      <c r="G2585" s="11">
        <v>46117</v>
      </c>
      <c r="H2585" s="12">
        <f t="shared" si="40"/>
        <v>1200</v>
      </c>
      <c r="I2585" s="10" t="s">
        <v>10</v>
      </c>
      <c r="J2585" s="13">
        <v>46049</v>
      </c>
      <c r="K2585" t="s">
        <v>405</v>
      </c>
    </row>
    <row r="2586" hidden="1" spans="1:11">
      <c r="A2586" t="s">
        <v>319</v>
      </c>
      <c r="B2586" s="8">
        <v>252603398</v>
      </c>
      <c r="C2586" s="9">
        <v>46014</v>
      </c>
      <c r="D2586" s="8" t="s">
        <v>404</v>
      </c>
      <c r="E2586" s="10">
        <v>50000</v>
      </c>
      <c r="F2586" s="8">
        <v>0.06</v>
      </c>
      <c r="G2586" s="11">
        <v>46117</v>
      </c>
      <c r="H2586" s="12">
        <f t="shared" si="40"/>
        <v>3000</v>
      </c>
      <c r="I2586" s="10" t="s">
        <v>10</v>
      </c>
      <c r="J2586" s="13">
        <v>46049</v>
      </c>
      <c r="K2586" t="s">
        <v>405</v>
      </c>
    </row>
    <row r="2587" hidden="1" spans="1:11">
      <c r="A2587" t="s">
        <v>319</v>
      </c>
      <c r="B2587" s="8">
        <v>252603399</v>
      </c>
      <c r="C2587" s="9">
        <v>46014</v>
      </c>
      <c r="D2587" s="8" t="s">
        <v>114</v>
      </c>
      <c r="E2587" s="10">
        <v>42000</v>
      </c>
      <c r="F2587" s="8">
        <v>0.0145</v>
      </c>
      <c r="G2587" s="11">
        <v>46147</v>
      </c>
      <c r="H2587" s="12">
        <f t="shared" si="40"/>
        <v>609</v>
      </c>
      <c r="I2587" s="10" t="s">
        <v>10</v>
      </c>
      <c r="J2587" s="13">
        <v>46157</v>
      </c>
      <c r="K2587" t="s">
        <v>405</v>
      </c>
    </row>
    <row r="2588" hidden="1" spans="1:11">
      <c r="A2588" t="s">
        <v>319</v>
      </c>
      <c r="B2588" s="8">
        <v>252603410</v>
      </c>
      <c r="C2588" s="9">
        <v>46015</v>
      </c>
      <c r="D2588" s="8" t="s">
        <v>16</v>
      </c>
      <c r="E2588" s="10">
        <v>20000</v>
      </c>
      <c r="F2588" s="8">
        <v>0.0292</v>
      </c>
      <c r="G2588" s="11">
        <v>46027</v>
      </c>
      <c r="H2588" s="12">
        <f t="shared" si="40"/>
        <v>584</v>
      </c>
      <c r="I2588" s="10" t="s">
        <v>10</v>
      </c>
      <c r="J2588" s="13">
        <v>46024</v>
      </c>
      <c r="K2588" t="s">
        <v>571</v>
      </c>
    </row>
    <row r="2589" hidden="1" spans="1:11">
      <c r="A2589" t="s">
        <v>319</v>
      </c>
      <c r="B2589" s="8">
        <v>252603410</v>
      </c>
      <c r="C2589" s="9">
        <v>46015</v>
      </c>
      <c r="D2589" s="8" t="s">
        <v>626</v>
      </c>
      <c r="E2589" s="10">
        <v>20000</v>
      </c>
      <c r="F2589" s="8">
        <v>0.0224</v>
      </c>
      <c r="G2589" s="11">
        <v>46047</v>
      </c>
      <c r="H2589" s="12">
        <f t="shared" si="40"/>
        <v>448</v>
      </c>
      <c r="I2589" s="10" t="s">
        <v>10</v>
      </c>
      <c r="J2589" s="13">
        <v>46036</v>
      </c>
      <c r="K2589" t="s">
        <v>571</v>
      </c>
    </row>
    <row r="2590" hidden="1" spans="1:11">
      <c r="A2590" t="s">
        <v>319</v>
      </c>
      <c r="B2590" s="8">
        <v>252603429</v>
      </c>
      <c r="C2590" s="9">
        <v>46016</v>
      </c>
      <c r="D2590" s="8" t="s">
        <v>497</v>
      </c>
      <c r="E2590" s="10">
        <v>10000</v>
      </c>
      <c r="F2590" s="8">
        <v>0.17</v>
      </c>
      <c r="G2590" s="11">
        <v>46027</v>
      </c>
      <c r="H2590" s="12">
        <f t="shared" si="40"/>
        <v>1700</v>
      </c>
      <c r="I2590" s="10" t="s">
        <v>10</v>
      </c>
      <c r="J2590" s="13">
        <v>46024</v>
      </c>
      <c r="K2590" t="s">
        <v>627</v>
      </c>
    </row>
    <row r="2591" hidden="1" spans="1:11">
      <c r="A2591" t="s">
        <v>319</v>
      </c>
      <c r="B2591" s="8">
        <v>252603429</v>
      </c>
      <c r="C2591" s="9">
        <v>46016</v>
      </c>
      <c r="D2591" s="8" t="s">
        <v>574</v>
      </c>
      <c r="E2591" s="10">
        <v>32000</v>
      </c>
      <c r="F2591" s="8">
        <v>0.09</v>
      </c>
      <c r="G2591" s="11">
        <v>46047</v>
      </c>
      <c r="H2591" s="12">
        <f t="shared" si="40"/>
        <v>2880</v>
      </c>
      <c r="I2591" s="10" t="s">
        <v>10</v>
      </c>
      <c r="J2591" s="13">
        <v>46036</v>
      </c>
      <c r="K2591" t="s">
        <v>627</v>
      </c>
    </row>
    <row r="2592" hidden="1" spans="1:11">
      <c r="A2592" t="s">
        <v>319</v>
      </c>
      <c r="B2592" s="8">
        <v>252603473</v>
      </c>
      <c r="C2592" s="9">
        <v>46017</v>
      </c>
      <c r="D2592" s="8" t="s">
        <v>40</v>
      </c>
      <c r="E2592" s="10">
        <v>48000</v>
      </c>
      <c r="F2592" s="8">
        <v>0.035</v>
      </c>
      <c r="G2592" s="11">
        <v>46047</v>
      </c>
      <c r="H2592" s="12">
        <f t="shared" si="40"/>
        <v>1680</v>
      </c>
      <c r="I2592" s="10" t="s">
        <v>10</v>
      </c>
      <c r="J2592" s="13">
        <v>46029</v>
      </c>
      <c r="K2592" t="s">
        <v>460</v>
      </c>
    </row>
    <row r="2593" hidden="1" spans="1:11">
      <c r="A2593" t="s">
        <v>319</v>
      </c>
      <c r="B2593" s="8">
        <v>252603480</v>
      </c>
      <c r="C2593" s="9">
        <v>46016</v>
      </c>
      <c r="D2593" s="8" t="s">
        <v>282</v>
      </c>
      <c r="E2593" s="10">
        <v>200000</v>
      </c>
      <c r="F2593" s="8">
        <v>0.0304</v>
      </c>
      <c r="G2593" s="11">
        <v>46058</v>
      </c>
      <c r="H2593" s="12">
        <f t="shared" si="40"/>
        <v>6080</v>
      </c>
      <c r="I2593" s="10" t="s">
        <v>10</v>
      </c>
      <c r="J2593" s="13">
        <v>46038</v>
      </c>
      <c r="K2593" t="s">
        <v>628</v>
      </c>
    </row>
    <row r="2594" hidden="1" spans="1:11">
      <c r="A2594" t="s">
        <v>319</v>
      </c>
      <c r="B2594" s="8">
        <v>252603480</v>
      </c>
      <c r="C2594" s="9">
        <v>46016</v>
      </c>
      <c r="D2594" s="8" t="s">
        <v>282</v>
      </c>
      <c r="E2594" s="10">
        <v>200000</v>
      </c>
      <c r="F2594" s="8">
        <v>0.0304</v>
      </c>
      <c r="G2594" s="11">
        <v>46086</v>
      </c>
      <c r="H2594" s="12">
        <f t="shared" si="40"/>
        <v>6080</v>
      </c>
      <c r="I2594" s="10" t="s">
        <v>10</v>
      </c>
      <c r="J2594" s="13">
        <v>46038</v>
      </c>
      <c r="K2594" t="s">
        <v>628</v>
      </c>
    </row>
    <row r="2595" hidden="1" spans="1:11">
      <c r="A2595" t="s">
        <v>319</v>
      </c>
      <c r="B2595" s="8">
        <v>252603480</v>
      </c>
      <c r="C2595" s="9">
        <v>46016</v>
      </c>
      <c r="D2595" s="8" t="s">
        <v>36</v>
      </c>
      <c r="E2595" s="10">
        <v>102000</v>
      </c>
      <c r="F2595" s="8">
        <v>0.00656</v>
      </c>
      <c r="G2595" s="11">
        <v>46058</v>
      </c>
      <c r="H2595" s="12">
        <f t="shared" si="40"/>
        <v>669.12</v>
      </c>
      <c r="I2595" s="10" t="s">
        <v>10</v>
      </c>
      <c r="J2595" s="13">
        <v>46038</v>
      </c>
      <c r="K2595" t="s">
        <v>628</v>
      </c>
    </row>
    <row r="2596" hidden="1" spans="1:11">
      <c r="A2596" t="s">
        <v>319</v>
      </c>
      <c r="B2596" s="8">
        <v>252603480</v>
      </c>
      <c r="C2596" s="9">
        <v>46016</v>
      </c>
      <c r="D2596" s="8" t="s">
        <v>626</v>
      </c>
      <c r="E2596" s="10">
        <v>80000</v>
      </c>
      <c r="F2596" s="8">
        <v>0.0224</v>
      </c>
      <c r="G2596" s="11">
        <v>46058</v>
      </c>
      <c r="H2596" s="12">
        <f t="shared" si="40"/>
        <v>1792</v>
      </c>
      <c r="I2596" s="10" t="s">
        <v>10</v>
      </c>
      <c r="J2596" s="13">
        <v>46038</v>
      </c>
      <c r="K2596" t="s">
        <v>628</v>
      </c>
    </row>
    <row r="2597" hidden="1" spans="1:11">
      <c r="A2597" t="s">
        <v>319</v>
      </c>
      <c r="B2597" s="8">
        <v>252603480</v>
      </c>
      <c r="C2597" s="9">
        <v>46016</v>
      </c>
      <c r="D2597" s="8" t="s">
        <v>282</v>
      </c>
      <c r="E2597" s="10">
        <v>100000</v>
      </c>
      <c r="F2597" s="8">
        <v>0.0304</v>
      </c>
      <c r="G2597" s="11">
        <v>46058</v>
      </c>
      <c r="H2597" s="12">
        <f t="shared" si="40"/>
        <v>3040</v>
      </c>
      <c r="I2597" s="10" t="s">
        <v>10</v>
      </c>
      <c r="J2597" s="13">
        <v>46038</v>
      </c>
      <c r="K2597" t="s">
        <v>628</v>
      </c>
    </row>
    <row r="2598" hidden="1" spans="1:11">
      <c r="A2598" t="s">
        <v>319</v>
      </c>
      <c r="B2598" s="8">
        <v>252603484</v>
      </c>
      <c r="C2598" s="9">
        <v>46020</v>
      </c>
      <c r="D2598" s="8" t="s">
        <v>285</v>
      </c>
      <c r="E2598" s="10">
        <v>24000</v>
      </c>
      <c r="F2598" s="8">
        <v>0.02</v>
      </c>
      <c r="G2598" s="11">
        <v>46027</v>
      </c>
      <c r="H2598" s="12">
        <f t="shared" si="40"/>
        <v>480</v>
      </c>
      <c r="I2598" s="10" t="s">
        <v>10</v>
      </c>
      <c r="J2598" s="13">
        <v>46022</v>
      </c>
      <c r="K2598" t="s">
        <v>469</v>
      </c>
    </row>
    <row r="2599" hidden="1" spans="1:11">
      <c r="A2599" t="s">
        <v>319</v>
      </c>
      <c r="B2599" s="8">
        <v>252603484</v>
      </c>
      <c r="C2599" s="9">
        <v>46020</v>
      </c>
      <c r="D2599" s="8" t="s">
        <v>285</v>
      </c>
      <c r="E2599" s="10">
        <v>36000</v>
      </c>
      <c r="F2599" s="8">
        <v>0.02</v>
      </c>
      <c r="G2599" s="11">
        <v>46058</v>
      </c>
      <c r="H2599" s="12">
        <f t="shared" si="40"/>
        <v>720</v>
      </c>
      <c r="I2599" s="10" t="s">
        <v>10</v>
      </c>
      <c r="J2599" s="13">
        <v>46022</v>
      </c>
      <c r="K2599" t="s">
        <v>469</v>
      </c>
    </row>
    <row r="2600" hidden="1" spans="1:11">
      <c r="A2600" t="s">
        <v>319</v>
      </c>
      <c r="B2600" s="8">
        <v>252603484</v>
      </c>
      <c r="C2600" s="9">
        <v>46020</v>
      </c>
      <c r="D2600" s="8" t="s">
        <v>286</v>
      </c>
      <c r="E2600" s="10">
        <v>42000</v>
      </c>
      <c r="F2600" s="8">
        <v>0.0235</v>
      </c>
      <c r="G2600" s="11">
        <v>46027</v>
      </c>
      <c r="H2600" s="12">
        <f t="shared" si="40"/>
        <v>987</v>
      </c>
      <c r="I2600" s="10" t="s">
        <v>10</v>
      </c>
      <c r="J2600" s="13">
        <v>46022</v>
      </c>
      <c r="K2600" t="s">
        <v>469</v>
      </c>
    </row>
    <row r="2601" hidden="1" spans="1:11">
      <c r="A2601" t="s">
        <v>319</v>
      </c>
      <c r="B2601" s="8">
        <v>252603484</v>
      </c>
      <c r="C2601" s="9">
        <v>46020</v>
      </c>
      <c r="D2601" s="8" t="s">
        <v>286</v>
      </c>
      <c r="E2601" s="10">
        <v>42000</v>
      </c>
      <c r="F2601" s="8">
        <v>0.0235</v>
      </c>
      <c r="G2601" s="11">
        <v>46058</v>
      </c>
      <c r="H2601" s="12">
        <f t="shared" si="40"/>
        <v>987</v>
      </c>
      <c r="I2601" s="10" t="s">
        <v>10</v>
      </c>
      <c r="J2601" s="13">
        <v>46022</v>
      </c>
      <c r="K2601" t="s">
        <v>469</v>
      </c>
    </row>
    <row r="2602" hidden="1" spans="1:11">
      <c r="A2602" t="s">
        <v>319</v>
      </c>
      <c r="B2602" s="8">
        <v>252603484</v>
      </c>
      <c r="C2602" s="9">
        <v>46020</v>
      </c>
      <c r="D2602" s="8" t="s">
        <v>465</v>
      </c>
      <c r="E2602" s="10">
        <v>42000</v>
      </c>
      <c r="F2602" s="8">
        <v>0.018</v>
      </c>
      <c r="G2602" s="11">
        <v>46027</v>
      </c>
      <c r="H2602" s="12">
        <f t="shared" si="40"/>
        <v>756</v>
      </c>
      <c r="I2602" s="10" t="s">
        <v>10</v>
      </c>
      <c r="J2602" s="13">
        <v>46022</v>
      </c>
      <c r="K2602" t="s">
        <v>469</v>
      </c>
    </row>
    <row r="2603" hidden="1" spans="1:11">
      <c r="A2603" t="s">
        <v>319</v>
      </c>
      <c r="B2603" s="8">
        <v>252603484</v>
      </c>
      <c r="C2603" s="9">
        <v>46020</v>
      </c>
      <c r="D2603" s="8" t="s">
        <v>465</v>
      </c>
      <c r="E2603" s="10">
        <v>42000</v>
      </c>
      <c r="F2603" s="8">
        <v>0.018</v>
      </c>
      <c r="G2603" s="11">
        <v>46058</v>
      </c>
      <c r="H2603" s="12">
        <f t="shared" si="40"/>
        <v>756</v>
      </c>
      <c r="I2603" s="10" t="s">
        <v>10</v>
      </c>
      <c r="J2603" s="13">
        <v>46022</v>
      </c>
      <c r="K2603" t="s">
        <v>469</v>
      </c>
    </row>
    <row r="2604" hidden="1" spans="1:11">
      <c r="A2604" t="s">
        <v>319</v>
      </c>
      <c r="B2604" s="8">
        <v>252603484</v>
      </c>
      <c r="C2604" s="9">
        <v>46020</v>
      </c>
      <c r="D2604" s="8" t="s">
        <v>288</v>
      </c>
      <c r="E2604" s="10">
        <v>24000</v>
      </c>
      <c r="F2604" s="8">
        <v>0.022</v>
      </c>
      <c r="G2604" s="11">
        <v>46027</v>
      </c>
      <c r="H2604" s="12">
        <f t="shared" si="40"/>
        <v>528</v>
      </c>
      <c r="I2604" s="10" t="s">
        <v>10</v>
      </c>
      <c r="J2604" s="13">
        <v>46022</v>
      </c>
      <c r="K2604" t="s">
        <v>469</v>
      </c>
    </row>
    <row r="2605" hidden="1" spans="1:11">
      <c r="A2605" t="s">
        <v>319</v>
      </c>
      <c r="B2605" s="8">
        <v>252603484</v>
      </c>
      <c r="C2605" s="9">
        <v>46020</v>
      </c>
      <c r="D2605" s="8" t="s">
        <v>288</v>
      </c>
      <c r="E2605" s="10">
        <v>36000</v>
      </c>
      <c r="F2605" s="8">
        <v>0.022</v>
      </c>
      <c r="G2605" s="11">
        <v>46058</v>
      </c>
      <c r="H2605" s="12">
        <f t="shared" si="40"/>
        <v>792</v>
      </c>
      <c r="I2605" s="10" t="s">
        <v>10</v>
      </c>
      <c r="J2605" s="13">
        <v>46022</v>
      </c>
      <c r="K2605" t="s">
        <v>469</v>
      </c>
    </row>
    <row r="2606" hidden="1" spans="1:11">
      <c r="A2606" t="s">
        <v>319</v>
      </c>
      <c r="B2606" s="8">
        <v>252603485</v>
      </c>
      <c r="C2606" s="9">
        <v>46020</v>
      </c>
      <c r="D2606" s="8" t="s">
        <v>285</v>
      </c>
      <c r="E2606" s="10">
        <v>42000</v>
      </c>
      <c r="F2606" s="8">
        <v>0.02</v>
      </c>
      <c r="G2606" s="11">
        <v>46086</v>
      </c>
      <c r="H2606" s="12">
        <f t="shared" si="40"/>
        <v>840</v>
      </c>
      <c r="I2606" s="10" t="s">
        <v>10</v>
      </c>
      <c r="J2606" s="13">
        <v>46037</v>
      </c>
      <c r="K2606" t="s">
        <v>469</v>
      </c>
    </row>
    <row r="2607" hidden="1" spans="1:11">
      <c r="A2607" t="s">
        <v>319</v>
      </c>
      <c r="B2607" s="8">
        <v>252603485</v>
      </c>
      <c r="C2607" s="9">
        <v>46020</v>
      </c>
      <c r="D2607" s="8" t="s">
        <v>288</v>
      </c>
      <c r="E2607" s="10">
        <v>42000</v>
      </c>
      <c r="F2607" s="8">
        <v>0.022</v>
      </c>
      <c r="G2607" s="11">
        <v>46086</v>
      </c>
      <c r="H2607" s="12">
        <f t="shared" si="40"/>
        <v>924</v>
      </c>
      <c r="I2607" s="10" t="s">
        <v>10</v>
      </c>
      <c r="J2607" s="13">
        <v>46037</v>
      </c>
      <c r="K2607" t="s">
        <v>469</v>
      </c>
    </row>
    <row r="2608" hidden="1" spans="1:11">
      <c r="A2608" t="s">
        <v>319</v>
      </c>
      <c r="B2608" s="8">
        <v>252603553</v>
      </c>
      <c r="C2608" s="9">
        <v>46021</v>
      </c>
      <c r="D2608" s="8" t="s">
        <v>616</v>
      </c>
      <c r="E2608" s="10">
        <v>32000</v>
      </c>
      <c r="F2608" s="8">
        <v>0.06</v>
      </c>
      <c r="G2608" s="11">
        <v>46027</v>
      </c>
      <c r="H2608" s="12">
        <f t="shared" si="40"/>
        <v>1920</v>
      </c>
      <c r="I2608" s="10" t="s">
        <v>10</v>
      </c>
      <c r="J2608" s="13">
        <v>46024</v>
      </c>
      <c r="K2608" t="s">
        <v>377</v>
      </c>
    </row>
    <row r="2609" hidden="1" spans="1:11">
      <c r="A2609" t="s">
        <v>319</v>
      </c>
      <c r="B2609" s="8">
        <v>252603553</v>
      </c>
      <c r="C2609" s="9">
        <v>46021</v>
      </c>
      <c r="D2609" s="8" t="s">
        <v>616</v>
      </c>
      <c r="E2609" s="10">
        <v>32000</v>
      </c>
      <c r="F2609" s="8">
        <v>0.06</v>
      </c>
      <c r="G2609" s="11">
        <v>46027</v>
      </c>
      <c r="H2609" s="12">
        <f t="shared" si="40"/>
        <v>1920</v>
      </c>
      <c r="I2609" s="10" t="s">
        <v>10</v>
      </c>
      <c r="J2609" s="13">
        <v>46024</v>
      </c>
      <c r="K2609" t="s">
        <v>377</v>
      </c>
    </row>
    <row r="2610" hidden="1" spans="1:11">
      <c r="A2610" t="s">
        <v>319</v>
      </c>
      <c r="B2610" s="8">
        <v>252603554</v>
      </c>
      <c r="C2610" s="9">
        <v>46022</v>
      </c>
      <c r="D2610" s="8" t="s">
        <v>38</v>
      </c>
      <c r="E2610" s="10">
        <v>100000</v>
      </c>
      <c r="F2610" s="8">
        <v>0.01</v>
      </c>
      <c r="G2610" s="11">
        <v>46058</v>
      </c>
      <c r="H2610" s="12">
        <f t="shared" si="40"/>
        <v>1000</v>
      </c>
      <c r="I2610" s="10" t="s">
        <v>10</v>
      </c>
      <c r="J2610" s="13">
        <v>46037</v>
      </c>
      <c r="K2610" t="s">
        <v>536</v>
      </c>
    </row>
    <row r="2611" hidden="1" spans="1:11">
      <c r="A2611" t="s">
        <v>319</v>
      </c>
      <c r="B2611" s="8">
        <v>252603555</v>
      </c>
      <c r="C2611" s="9">
        <v>46022</v>
      </c>
      <c r="D2611" s="8" t="s">
        <v>38</v>
      </c>
      <c r="E2611" s="10">
        <v>200000</v>
      </c>
      <c r="F2611" s="8">
        <v>0.01</v>
      </c>
      <c r="G2611" s="11">
        <v>46058</v>
      </c>
      <c r="H2611" s="12">
        <f t="shared" si="40"/>
        <v>2000</v>
      </c>
      <c r="I2611" s="10" t="s">
        <v>10</v>
      </c>
      <c r="J2611" s="13">
        <v>46037</v>
      </c>
      <c r="K2611" t="s">
        <v>534</v>
      </c>
    </row>
    <row r="2612" hidden="1" spans="1:11">
      <c r="A2612" t="s">
        <v>319</v>
      </c>
      <c r="B2612" s="8">
        <v>252603582</v>
      </c>
      <c r="C2612" s="9">
        <v>46022</v>
      </c>
      <c r="D2612" s="8" t="s">
        <v>33</v>
      </c>
      <c r="E2612" s="10">
        <v>80000</v>
      </c>
      <c r="F2612" s="8">
        <v>0.018</v>
      </c>
      <c r="G2612" s="11">
        <v>46086</v>
      </c>
      <c r="H2612" s="12">
        <f t="shared" si="40"/>
        <v>1440</v>
      </c>
      <c r="I2612" s="10" t="s">
        <v>10</v>
      </c>
      <c r="J2612" s="13">
        <v>46038</v>
      </c>
      <c r="K2612" t="s">
        <v>467</v>
      </c>
    </row>
    <row r="2613" hidden="1" spans="1:11">
      <c r="A2613" t="s">
        <v>319</v>
      </c>
      <c r="B2613" s="8">
        <v>252603582</v>
      </c>
      <c r="C2613" s="9">
        <v>46022</v>
      </c>
      <c r="D2613" s="8" t="s">
        <v>33</v>
      </c>
      <c r="E2613" s="10">
        <v>80000</v>
      </c>
      <c r="F2613" s="8">
        <v>0.018</v>
      </c>
      <c r="G2613" s="11">
        <v>46117</v>
      </c>
      <c r="H2613" s="12">
        <f t="shared" si="40"/>
        <v>1440</v>
      </c>
      <c r="I2613" s="10" t="s">
        <v>10</v>
      </c>
      <c r="J2613" s="13">
        <v>46038</v>
      </c>
      <c r="K2613" t="s">
        <v>467</v>
      </c>
    </row>
    <row r="2614" hidden="1" spans="1:11">
      <c r="A2614" t="s">
        <v>319</v>
      </c>
      <c r="B2614" s="8">
        <v>252603582</v>
      </c>
      <c r="C2614" s="9">
        <v>46022</v>
      </c>
      <c r="D2614" s="8" t="s">
        <v>315</v>
      </c>
      <c r="E2614" s="10">
        <v>20000</v>
      </c>
      <c r="F2614" s="8">
        <v>0.0522</v>
      </c>
      <c r="G2614" s="11">
        <v>46086</v>
      </c>
      <c r="H2614" s="12">
        <f t="shared" si="40"/>
        <v>1044</v>
      </c>
      <c r="I2614" s="10" t="s">
        <v>10</v>
      </c>
      <c r="J2614" s="13">
        <v>46038</v>
      </c>
      <c r="K2614" t="s">
        <v>467</v>
      </c>
    </row>
    <row r="2615" hidden="1" spans="1:11">
      <c r="A2615" t="s">
        <v>319</v>
      </c>
      <c r="B2615" s="8">
        <v>252603582</v>
      </c>
      <c r="C2615" s="9">
        <v>46022</v>
      </c>
      <c r="D2615" s="8" t="s">
        <v>315</v>
      </c>
      <c r="E2615" s="10">
        <v>20000</v>
      </c>
      <c r="F2615" s="8">
        <v>0.0522</v>
      </c>
      <c r="G2615" s="11">
        <v>46117</v>
      </c>
      <c r="H2615" s="12">
        <f t="shared" si="40"/>
        <v>1044</v>
      </c>
      <c r="I2615" s="10" t="s">
        <v>10</v>
      </c>
      <c r="J2615" s="13">
        <v>46038</v>
      </c>
      <c r="K2615" t="s">
        <v>467</v>
      </c>
    </row>
    <row r="2616" hidden="1" spans="1:11">
      <c r="A2616" t="s">
        <v>319</v>
      </c>
      <c r="B2616" s="8">
        <v>252603582</v>
      </c>
      <c r="C2616" s="9">
        <v>46022</v>
      </c>
      <c r="D2616" s="8" t="s">
        <v>31</v>
      </c>
      <c r="E2616" s="10">
        <v>200000</v>
      </c>
      <c r="F2616" s="8">
        <v>0.024</v>
      </c>
      <c r="G2616" s="11">
        <v>46086</v>
      </c>
      <c r="H2616" s="12">
        <f t="shared" si="40"/>
        <v>4800</v>
      </c>
      <c r="I2616" s="10" t="s">
        <v>10</v>
      </c>
      <c r="J2616" s="13">
        <v>46038</v>
      </c>
      <c r="K2616" t="s">
        <v>467</v>
      </c>
    </row>
    <row r="2617" hidden="1" spans="1:11">
      <c r="A2617" t="s">
        <v>319</v>
      </c>
      <c r="B2617" s="8">
        <v>252603582</v>
      </c>
      <c r="C2617" s="9">
        <v>46022</v>
      </c>
      <c r="D2617" s="8" t="s">
        <v>31</v>
      </c>
      <c r="E2617" s="10">
        <v>100000</v>
      </c>
      <c r="F2617" s="8">
        <v>0.024</v>
      </c>
      <c r="G2617" s="11">
        <v>46086</v>
      </c>
      <c r="H2617" s="12">
        <f t="shared" si="40"/>
        <v>2400</v>
      </c>
      <c r="I2617" s="10" t="s">
        <v>10</v>
      </c>
      <c r="J2617" s="13">
        <v>46038</v>
      </c>
      <c r="K2617" t="s">
        <v>467</v>
      </c>
    </row>
    <row r="2618" hidden="1" spans="1:11">
      <c r="A2618" t="s">
        <v>319</v>
      </c>
      <c r="B2618" s="8">
        <v>252603582</v>
      </c>
      <c r="C2618" s="9">
        <v>46022</v>
      </c>
      <c r="D2618" s="8" t="s">
        <v>31</v>
      </c>
      <c r="E2618" s="10">
        <v>200000</v>
      </c>
      <c r="F2618" s="8">
        <v>0.024</v>
      </c>
      <c r="G2618" s="11">
        <v>46117</v>
      </c>
      <c r="H2618" s="12">
        <f t="shared" si="40"/>
        <v>4800</v>
      </c>
      <c r="I2618" s="10" t="s">
        <v>10</v>
      </c>
      <c r="J2618" s="13">
        <v>46038</v>
      </c>
      <c r="K2618" t="s">
        <v>467</v>
      </c>
    </row>
    <row r="2619" hidden="1" spans="1:11">
      <c r="A2619" t="s">
        <v>319</v>
      </c>
      <c r="B2619" s="8">
        <v>252603582</v>
      </c>
      <c r="C2619" s="9">
        <v>46022</v>
      </c>
      <c r="D2619" s="8" t="s">
        <v>31</v>
      </c>
      <c r="E2619" s="10">
        <v>100000</v>
      </c>
      <c r="F2619" s="8">
        <v>0.024</v>
      </c>
      <c r="G2619" s="11">
        <v>46117</v>
      </c>
      <c r="H2619" s="12">
        <f t="shared" si="40"/>
        <v>2400</v>
      </c>
      <c r="I2619" s="10" t="s">
        <v>10</v>
      </c>
      <c r="J2619" s="13">
        <v>46038</v>
      </c>
      <c r="K2619" t="s">
        <v>467</v>
      </c>
    </row>
    <row r="2620" hidden="1" spans="1:11">
      <c r="A2620" t="s">
        <v>319</v>
      </c>
      <c r="B2620" s="8">
        <v>252603582</v>
      </c>
      <c r="C2620" s="9">
        <v>46022</v>
      </c>
      <c r="D2620" s="8" t="s">
        <v>468</v>
      </c>
      <c r="E2620" s="10">
        <v>50000</v>
      </c>
      <c r="F2620" s="8">
        <v>0.028</v>
      </c>
      <c r="G2620" s="11">
        <v>46086</v>
      </c>
      <c r="H2620" s="12">
        <f t="shared" si="40"/>
        <v>1400</v>
      </c>
      <c r="I2620" s="10" t="s">
        <v>10</v>
      </c>
      <c r="J2620" s="13">
        <v>46038</v>
      </c>
      <c r="K2620" t="s">
        <v>467</v>
      </c>
    </row>
    <row r="2621" hidden="1" spans="1:11">
      <c r="A2621" t="s">
        <v>319</v>
      </c>
      <c r="B2621" s="8">
        <v>252603582</v>
      </c>
      <c r="C2621" s="9">
        <v>46022</v>
      </c>
      <c r="D2621" s="8" t="s">
        <v>468</v>
      </c>
      <c r="E2621" s="10">
        <v>50000</v>
      </c>
      <c r="F2621" s="8">
        <v>0.028</v>
      </c>
      <c r="G2621" s="11">
        <v>46117</v>
      </c>
      <c r="H2621" s="12">
        <f t="shared" si="40"/>
        <v>1400</v>
      </c>
      <c r="I2621" s="10" t="s">
        <v>10</v>
      </c>
      <c r="J2621" s="13">
        <v>46038</v>
      </c>
      <c r="K2621" t="s">
        <v>467</v>
      </c>
    </row>
    <row r="2622" hidden="1" spans="1:11">
      <c r="A2622" t="s">
        <v>319</v>
      </c>
      <c r="B2622" s="8">
        <v>252603583</v>
      </c>
      <c r="C2622" s="9">
        <v>46022</v>
      </c>
      <c r="D2622" s="8" t="s">
        <v>33</v>
      </c>
      <c r="E2622" s="10">
        <v>80000</v>
      </c>
      <c r="F2622" s="8">
        <v>0.018</v>
      </c>
      <c r="G2622" s="11">
        <v>46147</v>
      </c>
      <c r="H2622" s="12">
        <f t="shared" si="40"/>
        <v>1440</v>
      </c>
      <c r="I2622" s="10" t="s">
        <v>10</v>
      </c>
      <c r="J2622" s="13">
        <v>46126</v>
      </c>
      <c r="K2622" t="s">
        <v>467</v>
      </c>
    </row>
    <row r="2623" hidden="1" spans="1:11">
      <c r="A2623" t="s">
        <v>319</v>
      </c>
      <c r="B2623" s="8">
        <v>252603583</v>
      </c>
      <c r="C2623" s="9">
        <v>46022</v>
      </c>
      <c r="D2623" s="8" t="s">
        <v>31</v>
      </c>
      <c r="E2623" s="10">
        <v>200000</v>
      </c>
      <c r="F2623" s="8">
        <v>0.024</v>
      </c>
      <c r="G2623" s="11">
        <v>46147</v>
      </c>
      <c r="H2623" s="12">
        <f t="shared" si="40"/>
        <v>4800</v>
      </c>
      <c r="I2623" s="10" t="s">
        <v>10</v>
      </c>
      <c r="J2623" s="13">
        <v>46126</v>
      </c>
      <c r="K2623" t="s">
        <v>467</v>
      </c>
    </row>
    <row r="2624" hidden="1" spans="1:11">
      <c r="A2624" t="s">
        <v>319</v>
      </c>
      <c r="B2624" s="8">
        <v>252603583</v>
      </c>
      <c r="C2624" s="9">
        <v>46022</v>
      </c>
      <c r="D2624" s="8" t="s">
        <v>31</v>
      </c>
      <c r="E2624" s="10">
        <v>100000</v>
      </c>
      <c r="F2624" s="8">
        <v>0.024</v>
      </c>
      <c r="G2624" s="11">
        <v>46147</v>
      </c>
      <c r="H2624" s="12">
        <f t="shared" si="40"/>
        <v>2400</v>
      </c>
      <c r="I2624" s="10" t="s">
        <v>10</v>
      </c>
      <c r="J2624" s="13">
        <v>46126</v>
      </c>
      <c r="K2624" t="s">
        <v>467</v>
      </c>
    </row>
    <row r="2625" hidden="1" spans="1:11">
      <c r="A2625" t="s">
        <v>319</v>
      </c>
      <c r="B2625" s="8">
        <v>252603584</v>
      </c>
      <c r="C2625" s="9">
        <v>46022</v>
      </c>
      <c r="D2625" s="8" t="s">
        <v>30</v>
      </c>
      <c r="E2625" s="10">
        <v>50000</v>
      </c>
      <c r="F2625" s="8">
        <v>0.022</v>
      </c>
      <c r="G2625" s="11">
        <v>46086</v>
      </c>
      <c r="H2625" s="12">
        <f t="shared" si="40"/>
        <v>1100</v>
      </c>
      <c r="I2625" s="10" t="s">
        <v>10</v>
      </c>
      <c r="J2625" s="13">
        <v>46062</v>
      </c>
      <c r="K2625" t="s">
        <v>405</v>
      </c>
    </row>
    <row r="2626" hidden="1" spans="1:11">
      <c r="A2626" t="s">
        <v>319</v>
      </c>
      <c r="B2626" s="8">
        <v>252603592</v>
      </c>
      <c r="C2626" s="9">
        <v>46024</v>
      </c>
      <c r="D2626" s="8" t="s">
        <v>461</v>
      </c>
      <c r="E2626" s="10">
        <v>60000</v>
      </c>
      <c r="F2626" s="8">
        <v>0.06</v>
      </c>
      <c r="G2626" s="11">
        <v>46058</v>
      </c>
      <c r="H2626" s="12">
        <f t="shared" ref="H2626:H2689" si="41">E2626*F2626</f>
        <v>3600</v>
      </c>
      <c r="I2626" s="10" t="s">
        <v>10</v>
      </c>
      <c r="J2626" s="13">
        <v>46028</v>
      </c>
      <c r="K2626" t="s">
        <v>437</v>
      </c>
    </row>
    <row r="2627" hidden="1" spans="1:11">
      <c r="A2627" t="s">
        <v>319</v>
      </c>
      <c r="B2627" s="8">
        <v>252603592</v>
      </c>
      <c r="C2627" s="9">
        <v>46024</v>
      </c>
      <c r="D2627" s="8" t="s">
        <v>587</v>
      </c>
      <c r="E2627" s="10">
        <v>30000</v>
      </c>
      <c r="F2627" s="8">
        <v>0.028</v>
      </c>
      <c r="G2627" s="11">
        <v>46058</v>
      </c>
      <c r="H2627" s="12">
        <f t="shared" si="41"/>
        <v>840</v>
      </c>
      <c r="I2627" s="10" t="s">
        <v>10</v>
      </c>
      <c r="J2627" s="13">
        <v>46028</v>
      </c>
      <c r="K2627" t="s">
        <v>437</v>
      </c>
    </row>
    <row r="2628" hidden="1" spans="1:11">
      <c r="A2628" t="s">
        <v>319</v>
      </c>
      <c r="B2628" s="8">
        <v>252603600</v>
      </c>
      <c r="C2628" s="9">
        <v>46022</v>
      </c>
      <c r="D2628" s="8" t="s">
        <v>32</v>
      </c>
      <c r="E2628" s="10">
        <v>200000</v>
      </c>
      <c r="F2628" s="8">
        <v>0.014</v>
      </c>
      <c r="G2628" s="11">
        <v>46058</v>
      </c>
      <c r="H2628" s="12">
        <f t="shared" si="41"/>
        <v>2800</v>
      </c>
      <c r="I2628" s="10" t="s">
        <v>10</v>
      </c>
      <c r="J2628" s="13">
        <v>46035</v>
      </c>
      <c r="K2628" t="s">
        <v>467</v>
      </c>
    </row>
    <row r="2629" hidden="1" spans="1:11">
      <c r="A2629" t="s">
        <v>319</v>
      </c>
      <c r="B2629" s="8">
        <v>252603600</v>
      </c>
      <c r="C2629" s="9">
        <v>46022</v>
      </c>
      <c r="D2629" s="8" t="s">
        <v>36</v>
      </c>
      <c r="E2629" s="10">
        <v>120000</v>
      </c>
      <c r="F2629" s="8">
        <v>0.00656</v>
      </c>
      <c r="G2629" s="11">
        <v>46058</v>
      </c>
      <c r="H2629" s="12">
        <f t="shared" si="41"/>
        <v>787.2</v>
      </c>
      <c r="I2629" s="10" t="s">
        <v>10</v>
      </c>
      <c r="J2629" s="13">
        <v>46035</v>
      </c>
      <c r="K2629" t="s">
        <v>467</v>
      </c>
    </row>
    <row r="2630" hidden="1" spans="1:11">
      <c r="A2630" t="s">
        <v>319</v>
      </c>
      <c r="B2630" s="8">
        <v>252603600</v>
      </c>
      <c r="C2630" s="9">
        <v>46022</v>
      </c>
      <c r="D2630" s="8" t="s">
        <v>181</v>
      </c>
      <c r="E2630" s="10">
        <v>60000</v>
      </c>
      <c r="F2630" s="8">
        <v>0.0243</v>
      </c>
      <c r="G2630" s="11">
        <v>46058</v>
      </c>
      <c r="H2630" s="12">
        <f t="shared" si="41"/>
        <v>1458</v>
      </c>
      <c r="I2630" s="10" t="s">
        <v>10</v>
      </c>
      <c r="J2630" s="13">
        <v>46035</v>
      </c>
      <c r="K2630" t="s">
        <v>467</v>
      </c>
    </row>
    <row r="2631" hidden="1" spans="1:11">
      <c r="A2631" t="s">
        <v>319</v>
      </c>
      <c r="B2631" s="8">
        <v>252603600</v>
      </c>
      <c r="C2631" s="9">
        <v>46022</v>
      </c>
      <c r="D2631" s="8" t="s">
        <v>34</v>
      </c>
      <c r="E2631" s="10">
        <v>100000</v>
      </c>
      <c r="F2631" s="8">
        <v>0.0368</v>
      </c>
      <c r="G2631" s="11">
        <v>46027</v>
      </c>
      <c r="H2631" s="12">
        <f t="shared" si="41"/>
        <v>3680</v>
      </c>
      <c r="I2631" s="10" t="s">
        <v>10</v>
      </c>
      <c r="J2631" s="13">
        <v>46035</v>
      </c>
      <c r="K2631" t="s">
        <v>467</v>
      </c>
    </row>
    <row r="2632" hidden="1" spans="1:11">
      <c r="A2632" t="s">
        <v>319</v>
      </c>
      <c r="B2632" s="8">
        <v>252603600</v>
      </c>
      <c r="C2632" s="9">
        <v>46022</v>
      </c>
      <c r="D2632" s="8" t="s">
        <v>34</v>
      </c>
      <c r="E2632" s="10">
        <v>60000</v>
      </c>
      <c r="F2632" s="8">
        <v>0.0368</v>
      </c>
      <c r="G2632" s="11">
        <v>46058</v>
      </c>
      <c r="H2632" s="12">
        <f t="shared" si="41"/>
        <v>2208</v>
      </c>
      <c r="I2632" s="10" t="s">
        <v>10</v>
      </c>
      <c r="J2632" s="13">
        <v>46035</v>
      </c>
      <c r="K2632" t="s">
        <v>467</v>
      </c>
    </row>
    <row r="2633" hidden="1" spans="1:11">
      <c r="A2633" t="s">
        <v>319</v>
      </c>
      <c r="B2633" s="8">
        <v>252603600</v>
      </c>
      <c r="C2633" s="9">
        <v>46022</v>
      </c>
      <c r="D2633" s="8" t="s">
        <v>29</v>
      </c>
      <c r="E2633" s="10">
        <v>100000</v>
      </c>
      <c r="F2633" s="8">
        <v>0.0216</v>
      </c>
      <c r="G2633" s="11">
        <v>46058</v>
      </c>
      <c r="H2633" s="12">
        <f t="shared" si="41"/>
        <v>2160</v>
      </c>
      <c r="I2633" s="10" t="s">
        <v>10</v>
      </c>
      <c r="J2633" s="13">
        <v>46035</v>
      </c>
      <c r="K2633" t="s">
        <v>467</v>
      </c>
    </row>
    <row r="2634" hidden="1" spans="1:11">
      <c r="A2634" t="s">
        <v>319</v>
      </c>
      <c r="B2634" s="8">
        <v>252603600</v>
      </c>
      <c r="C2634" s="9">
        <v>46022</v>
      </c>
      <c r="D2634" s="8" t="s">
        <v>33</v>
      </c>
      <c r="E2634" s="10">
        <v>50000</v>
      </c>
      <c r="F2634" s="8">
        <v>0.018</v>
      </c>
      <c r="G2634" s="11">
        <v>46058</v>
      </c>
      <c r="H2634" s="12">
        <f t="shared" si="41"/>
        <v>900</v>
      </c>
      <c r="I2634" s="10" t="s">
        <v>10</v>
      </c>
      <c r="J2634" s="13">
        <v>46035</v>
      </c>
      <c r="K2634" t="s">
        <v>467</v>
      </c>
    </row>
    <row r="2635" hidden="1" spans="1:11">
      <c r="A2635" t="s">
        <v>319</v>
      </c>
      <c r="B2635" s="8">
        <v>252603600</v>
      </c>
      <c r="C2635" s="9">
        <v>46022</v>
      </c>
      <c r="D2635" s="8" t="s">
        <v>626</v>
      </c>
      <c r="E2635" s="10">
        <v>70000</v>
      </c>
      <c r="F2635" s="8">
        <v>0.0224</v>
      </c>
      <c r="G2635" s="11">
        <v>46058</v>
      </c>
      <c r="H2635" s="12">
        <f t="shared" si="41"/>
        <v>1568</v>
      </c>
      <c r="I2635" s="10" t="s">
        <v>10</v>
      </c>
      <c r="J2635" s="13">
        <v>46035</v>
      </c>
      <c r="K2635" t="s">
        <v>467</v>
      </c>
    </row>
    <row r="2636" hidden="1" spans="1:11">
      <c r="A2636" t="s">
        <v>319</v>
      </c>
      <c r="B2636" s="8">
        <v>252603601</v>
      </c>
      <c r="C2636" s="9">
        <v>46022</v>
      </c>
      <c r="D2636" s="8" t="s">
        <v>58</v>
      </c>
      <c r="E2636" s="10">
        <v>200000</v>
      </c>
      <c r="F2636" s="8">
        <v>0.014</v>
      </c>
      <c r="G2636" s="11">
        <v>46086</v>
      </c>
      <c r="H2636" s="12">
        <f t="shared" si="41"/>
        <v>2800</v>
      </c>
      <c r="I2636" s="10" t="s">
        <v>10</v>
      </c>
      <c r="J2636" s="13">
        <v>46050</v>
      </c>
      <c r="K2636" t="s">
        <v>467</v>
      </c>
    </row>
    <row r="2637" hidden="1" spans="1:11">
      <c r="A2637" t="s">
        <v>319</v>
      </c>
      <c r="B2637" s="8">
        <v>252603601</v>
      </c>
      <c r="C2637" s="9">
        <v>46022</v>
      </c>
      <c r="D2637" s="8" t="s">
        <v>58</v>
      </c>
      <c r="E2637" s="10">
        <v>100000</v>
      </c>
      <c r="F2637" s="8">
        <v>0.014</v>
      </c>
      <c r="G2637" s="11">
        <v>46086</v>
      </c>
      <c r="H2637" s="12">
        <f t="shared" si="41"/>
        <v>1400</v>
      </c>
      <c r="I2637" s="10" t="s">
        <v>10</v>
      </c>
      <c r="J2637" s="13">
        <v>46050</v>
      </c>
      <c r="K2637" t="s">
        <v>467</v>
      </c>
    </row>
    <row r="2638" hidden="1" spans="1:11">
      <c r="A2638" t="s">
        <v>319</v>
      </c>
      <c r="B2638" s="8">
        <v>252603601</v>
      </c>
      <c r="C2638" s="9">
        <v>46022</v>
      </c>
      <c r="D2638" s="8" t="s">
        <v>58</v>
      </c>
      <c r="E2638" s="10">
        <v>200000</v>
      </c>
      <c r="F2638" s="8">
        <v>0.014</v>
      </c>
      <c r="G2638" s="11">
        <v>46117</v>
      </c>
      <c r="H2638" s="12">
        <f t="shared" si="41"/>
        <v>2800</v>
      </c>
      <c r="I2638" s="10" t="s">
        <v>10</v>
      </c>
      <c r="J2638" s="13">
        <v>46050</v>
      </c>
      <c r="K2638" t="s">
        <v>467</v>
      </c>
    </row>
    <row r="2639" hidden="1" spans="1:11">
      <c r="A2639" t="s">
        <v>319</v>
      </c>
      <c r="B2639" s="8">
        <v>252603601</v>
      </c>
      <c r="C2639" s="9">
        <v>46022</v>
      </c>
      <c r="D2639" s="8" t="s">
        <v>58</v>
      </c>
      <c r="E2639" s="10">
        <v>100000</v>
      </c>
      <c r="F2639" s="8">
        <v>0.014</v>
      </c>
      <c r="G2639" s="11">
        <v>46117</v>
      </c>
      <c r="H2639" s="12">
        <f t="shared" si="41"/>
        <v>1400</v>
      </c>
      <c r="I2639" s="10" t="s">
        <v>10</v>
      </c>
      <c r="J2639" s="13">
        <v>46050</v>
      </c>
      <c r="K2639" t="s">
        <v>467</v>
      </c>
    </row>
    <row r="2640" hidden="1" spans="1:11">
      <c r="A2640" t="s">
        <v>319</v>
      </c>
      <c r="B2640" s="8">
        <v>252603601</v>
      </c>
      <c r="C2640" s="9">
        <v>46022</v>
      </c>
      <c r="D2640" s="8" t="s">
        <v>31</v>
      </c>
      <c r="E2640" s="10">
        <v>200000</v>
      </c>
      <c r="F2640" s="8">
        <v>0.024</v>
      </c>
      <c r="G2640" s="11">
        <v>46086</v>
      </c>
      <c r="H2640" s="12">
        <f t="shared" si="41"/>
        <v>4800</v>
      </c>
      <c r="I2640" s="10" t="s">
        <v>10</v>
      </c>
      <c r="J2640" s="13">
        <v>46050</v>
      </c>
      <c r="K2640" t="s">
        <v>467</v>
      </c>
    </row>
    <row r="2641" hidden="1" spans="1:11">
      <c r="A2641" t="s">
        <v>319</v>
      </c>
      <c r="B2641" s="8">
        <v>252603601</v>
      </c>
      <c r="C2641" s="9">
        <v>46022</v>
      </c>
      <c r="D2641" s="8" t="s">
        <v>31</v>
      </c>
      <c r="E2641" s="10">
        <v>200000</v>
      </c>
      <c r="F2641" s="8">
        <v>0.024</v>
      </c>
      <c r="G2641" s="11">
        <v>46086</v>
      </c>
      <c r="H2641" s="12">
        <f t="shared" si="41"/>
        <v>4800</v>
      </c>
      <c r="I2641" s="10" t="s">
        <v>10</v>
      </c>
      <c r="J2641" s="13">
        <v>46050</v>
      </c>
      <c r="K2641" t="s">
        <v>467</v>
      </c>
    </row>
    <row r="2642" hidden="1" spans="1:11">
      <c r="A2642" t="s">
        <v>319</v>
      </c>
      <c r="B2642" s="8">
        <v>252603601</v>
      </c>
      <c r="C2642" s="9">
        <v>46022</v>
      </c>
      <c r="D2642" s="8" t="s">
        <v>31</v>
      </c>
      <c r="E2642" s="10">
        <v>200000</v>
      </c>
      <c r="F2642" s="8">
        <v>0.024</v>
      </c>
      <c r="G2642" s="11">
        <v>46117</v>
      </c>
      <c r="H2642" s="12">
        <f t="shared" si="41"/>
        <v>4800</v>
      </c>
      <c r="I2642" s="10" t="s">
        <v>10</v>
      </c>
      <c r="J2642" s="13">
        <v>46050</v>
      </c>
      <c r="K2642" t="s">
        <v>467</v>
      </c>
    </row>
    <row r="2643" hidden="1" spans="1:11">
      <c r="A2643" t="s">
        <v>319</v>
      </c>
      <c r="B2643" s="8">
        <v>252603601</v>
      </c>
      <c r="C2643" s="9">
        <v>46022</v>
      </c>
      <c r="D2643" s="8" t="s">
        <v>32</v>
      </c>
      <c r="E2643" s="10">
        <v>150000</v>
      </c>
      <c r="F2643" s="8">
        <v>0.014</v>
      </c>
      <c r="G2643" s="11">
        <v>46086</v>
      </c>
      <c r="H2643" s="12">
        <f t="shared" si="41"/>
        <v>2100</v>
      </c>
      <c r="I2643" s="10" t="s">
        <v>10</v>
      </c>
      <c r="J2643" s="13">
        <v>46050</v>
      </c>
      <c r="K2643" t="s">
        <v>467</v>
      </c>
    </row>
    <row r="2644" hidden="1" spans="1:11">
      <c r="A2644" t="s">
        <v>319</v>
      </c>
      <c r="B2644" s="8">
        <v>252603601</v>
      </c>
      <c r="C2644" s="9">
        <v>46022</v>
      </c>
      <c r="D2644" s="8" t="s">
        <v>32</v>
      </c>
      <c r="E2644" s="10">
        <v>150000</v>
      </c>
      <c r="F2644" s="8">
        <v>0.014</v>
      </c>
      <c r="G2644" s="11">
        <v>46117</v>
      </c>
      <c r="H2644" s="12">
        <f t="shared" si="41"/>
        <v>2100</v>
      </c>
      <c r="I2644" s="10" t="s">
        <v>10</v>
      </c>
      <c r="J2644" s="13">
        <v>46050</v>
      </c>
      <c r="K2644" t="s">
        <v>467</v>
      </c>
    </row>
    <row r="2645" hidden="1" spans="1:11">
      <c r="A2645" t="s">
        <v>319</v>
      </c>
      <c r="B2645" s="8">
        <v>252603601</v>
      </c>
      <c r="C2645" s="9">
        <v>46022</v>
      </c>
      <c r="D2645" s="8" t="s">
        <v>36</v>
      </c>
      <c r="E2645" s="10">
        <v>120000</v>
      </c>
      <c r="F2645" s="8">
        <v>0.00656</v>
      </c>
      <c r="G2645" s="11">
        <v>46086</v>
      </c>
      <c r="H2645" s="12">
        <f t="shared" si="41"/>
        <v>787.2</v>
      </c>
      <c r="I2645" s="10" t="s">
        <v>10</v>
      </c>
      <c r="J2645" s="13">
        <v>46050</v>
      </c>
      <c r="K2645" t="s">
        <v>467</v>
      </c>
    </row>
    <row r="2646" hidden="1" spans="1:11">
      <c r="A2646" t="s">
        <v>319</v>
      </c>
      <c r="B2646" s="8">
        <v>252603601</v>
      </c>
      <c r="C2646" s="9">
        <v>46022</v>
      </c>
      <c r="D2646" s="8" t="s">
        <v>29</v>
      </c>
      <c r="E2646" s="10">
        <v>100000</v>
      </c>
      <c r="F2646" s="8">
        <v>0.0216</v>
      </c>
      <c r="G2646" s="11">
        <v>46086</v>
      </c>
      <c r="H2646" s="12">
        <f t="shared" si="41"/>
        <v>2160</v>
      </c>
      <c r="I2646" s="10" t="s">
        <v>10</v>
      </c>
      <c r="J2646" s="13">
        <v>46050</v>
      </c>
      <c r="K2646" t="s">
        <v>467</v>
      </c>
    </row>
    <row r="2647" hidden="1" spans="1:11">
      <c r="A2647" t="s">
        <v>319</v>
      </c>
      <c r="B2647" s="8">
        <v>252603601</v>
      </c>
      <c r="C2647" s="9">
        <v>46022</v>
      </c>
      <c r="D2647" s="8" t="s">
        <v>29</v>
      </c>
      <c r="E2647" s="10">
        <v>100000</v>
      </c>
      <c r="F2647" s="8">
        <v>0.0216</v>
      </c>
      <c r="G2647" s="11">
        <v>46117</v>
      </c>
      <c r="H2647" s="12">
        <f t="shared" si="41"/>
        <v>2160</v>
      </c>
      <c r="I2647" s="10" t="s">
        <v>10</v>
      </c>
      <c r="J2647" s="13">
        <v>46050</v>
      </c>
      <c r="K2647" t="s">
        <v>467</v>
      </c>
    </row>
    <row r="2648" hidden="1" spans="1:11">
      <c r="A2648" t="s">
        <v>319</v>
      </c>
      <c r="B2648" s="8">
        <v>252603601</v>
      </c>
      <c r="C2648" s="9">
        <v>46022</v>
      </c>
      <c r="D2648" s="8" t="s">
        <v>626</v>
      </c>
      <c r="E2648" s="10">
        <v>60000</v>
      </c>
      <c r="F2648" s="8">
        <v>0.0224</v>
      </c>
      <c r="G2648" s="11">
        <v>46086</v>
      </c>
      <c r="H2648" s="12">
        <f t="shared" si="41"/>
        <v>1344</v>
      </c>
      <c r="I2648" s="10" t="s">
        <v>10</v>
      </c>
      <c r="J2648" s="13">
        <v>46050</v>
      </c>
      <c r="K2648" t="s">
        <v>467</v>
      </c>
    </row>
    <row r="2649" hidden="1" spans="1:11">
      <c r="A2649" t="s">
        <v>319</v>
      </c>
      <c r="B2649" s="8">
        <v>252603603</v>
      </c>
      <c r="C2649" s="9">
        <v>46024</v>
      </c>
      <c r="D2649" s="8" t="s">
        <v>58</v>
      </c>
      <c r="E2649" s="10">
        <v>200000</v>
      </c>
      <c r="F2649" s="8">
        <v>0.014</v>
      </c>
      <c r="G2649" s="11">
        <v>46147</v>
      </c>
      <c r="H2649" s="12">
        <f t="shared" si="41"/>
        <v>2800</v>
      </c>
      <c r="I2649" s="10" t="s">
        <v>10</v>
      </c>
      <c r="J2649" s="13">
        <v>46119</v>
      </c>
      <c r="K2649" t="s">
        <v>467</v>
      </c>
    </row>
    <row r="2650" hidden="1" spans="1:11">
      <c r="A2650" t="s">
        <v>319</v>
      </c>
      <c r="B2650" s="8">
        <v>252603603</v>
      </c>
      <c r="C2650" s="9">
        <v>46024</v>
      </c>
      <c r="D2650" s="8" t="s">
        <v>58</v>
      </c>
      <c r="E2650" s="10">
        <v>100000</v>
      </c>
      <c r="F2650" s="8">
        <v>0.014</v>
      </c>
      <c r="G2650" s="11">
        <v>46147</v>
      </c>
      <c r="H2650" s="12">
        <f t="shared" si="41"/>
        <v>1400</v>
      </c>
      <c r="I2650" s="10" t="s">
        <v>10</v>
      </c>
      <c r="J2650" s="13">
        <v>46119</v>
      </c>
      <c r="K2650" t="s">
        <v>467</v>
      </c>
    </row>
    <row r="2651" hidden="1" spans="1:11">
      <c r="A2651" t="s">
        <v>319</v>
      </c>
      <c r="B2651" s="8">
        <v>252603603</v>
      </c>
      <c r="C2651" s="9">
        <v>46024</v>
      </c>
      <c r="D2651" s="8" t="s">
        <v>31</v>
      </c>
      <c r="E2651" s="10">
        <v>200000</v>
      </c>
      <c r="F2651" s="8">
        <v>0.024</v>
      </c>
      <c r="G2651" s="11">
        <v>46147</v>
      </c>
      <c r="H2651" s="12">
        <f t="shared" si="41"/>
        <v>4800</v>
      </c>
      <c r="I2651" s="10" t="s">
        <v>10</v>
      </c>
      <c r="J2651" s="13">
        <v>46119</v>
      </c>
      <c r="K2651" t="s">
        <v>467</v>
      </c>
    </row>
    <row r="2652" hidden="1" spans="1:11">
      <c r="A2652" t="s">
        <v>319</v>
      </c>
      <c r="B2652" s="8">
        <v>252603603</v>
      </c>
      <c r="C2652" s="9">
        <v>46024</v>
      </c>
      <c r="D2652" s="8" t="s">
        <v>32</v>
      </c>
      <c r="E2652" s="10">
        <v>150000</v>
      </c>
      <c r="F2652" s="8">
        <v>0.014</v>
      </c>
      <c r="G2652" s="11">
        <v>46147</v>
      </c>
      <c r="H2652" s="12">
        <f t="shared" si="41"/>
        <v>2100</v>
      </c>
      <c r="I2652" s="10" t="s">
        <v>10</v>
      </c>
      <c r="J2652" s="13">
        <v>46119</v>
      </c>
      <c r="K2652" t="s">
        <v>467</v>
      </c>
    </row>
    <row r="2653" hidden="1" spans="1:11">
      <c r="A2653" t="s">
        <v>319</v>
      </c>
      <c r="B2653" s="8">
        <v>252603603</v>
      </c>
      <c r="C2653" s="9">
        <v>46024</v>
      </c>
      <c r="D2653" s="8" t="s">
        <v>29</v>
      </c>
      <c r="E2653" s="10">
        <v>100000</v>
      </c>
      <c r="F2653" s="8">
        <v>0.0216</v>
      </c>
      <c r="G2653" s="11">
        <v>46147</v>
      </c>
      <c r="H2653" s="12">
        <f t="shared" si="41"/>
        <v>2160</v>
      </c>
      <c r="I2653" s="10" t="s">
        <v>10</v>
      </c>
      <c r="J2653" s="13">
        <v>46119</v>
      </c>
      <c r="K2653" t="s">
        <v>467</v>
      </c>
    </row>
    <row r="2654" hidden="1" spans="1:11">
      <c r="A2654" t="s">
        <v>319</v>
      </c>
      <c r="B2654" s="8">
        <v>252603615</v>
      </c>
      <c r="C2654" s="9">
        <v>46027</v>
      </c>
      <c r="D2654" s="8" t="s">
        <v>629</v>
      </c>
      <c r="E2654" s="10">
        <v>70000</v>
      </c>
      <c r="F2654" s="8">
        <v>0.03</v>
      </c>
      <c r="G2654" s="11">
        <v>46047</v>
      </c>
      <c r="H2654" s="12">
        <f t="shared" si="41"/>
        <v>2100</v>
      </c>
      <c r="I2654" s="10" t="s">
        <v>10</v>
      </c>
      <c r="J2654" s="13">
        <v>46031</v>
      </c>
      <c r="K2654" t="s">
        <v>491</v>
      </c>
    </row>
    <row r="2655" hidden="1" spans="1:11">
      <c r="A2655" t="s">
        <v>319</v>
      </c>
      <c r="B2655" s="8">
        <v>252603615</v>
      </c>
      <c r="C2655" s="9">
        <v>46027</v>
      </c>
      <c r="D2655" s="8" t="s">
        <v>629</v>
      </c>
      <c r="E2655" s="10">
        <v>70000</v>
      </c>
      <c r="F2655" s="8">
        <v>0.03</v>
      </c>
      <c r="G2655" s="11">
        <v>46058</v>
      </c>
      <c r="H2655" s="12">
        <f t="shared" si="41"/>
        <v>2100</v>
      </c>
      <c r="I2655" s="10" t="s">
        <v>10</v>
      </c>
      <c r="J2655" s="13">
        <v>46031</v>
      </c>
      <c r="K2655" t="s">
        <v>491</v>
      </c>
    </row>
    <row r="2656" hidden="1" spans="1:11">
      <c r="A2656" t="s">
        <v>319</v>
      </c>
      <c r="B2656" s="14">
        <v>252603627</v>
      </c>
      <c r="C2656" s="13">
        <v>46027</v>
      </c>
      <c r="D2656" s="14" t="s">
        <v>630</v>
      </c>
      <c r="E2656" s="15">
        <v>2000</v>
      </c>
      <c r="F2656" s="14">
        <v>0.037</v>
      </c>
      <c r="G2656" s="16">
        <v>46027</v>
      </c>
      <c r="H2656" s="17">
        <f t="shared" si="41"/>
        <v>74</v>
      </c>
      <c r="I2656" s="15" t="s">
        <v>51</v>
      </c>
      <c r="J2656" s="15"/>
      <c r="K2656" t="s">
        <v>486</v>
      </c>
    </row>
    <row r="2657" hidden="1" spans="1:11">
      <c r="A2657" t="s">
        <v>319</v>
      </c>
      <c r="B2657" s="14">
        <v>252603627</v>
      </c>
      <c r="C2657" s="13">
        <v>46027</v>
      </c>
      <c r="D2657" s="14" t="s">
        <v>630</v>
      </c>
      <c r="E2657" s="15">
        <v>2000</v>
      </c>
      <c r="F2657" s="14">
        <v>0.037</v>
      </c>
      <c r="G2657" s="16">
        <v>46208</v>
      </c>
      <c r="H2657" s="17">
        <f t="shared" si="41"/>
        <v>74</v>
      </c>
      <c r="I2657" s="15" t="s">
        <v>51</v>
      </c>
      <c r="J2657" s="15"/>
      <c r="K2657" t="s">
        <v>486</v>
      </c>
    </row>
    <row r="2658" hidden="1" spans="1:11">
      <c r="A2658" t="s">
        <v>319</v>
      </c>
      <c r="B2658" s="14">
        <v>252603627</v>
      </c>
      <c r="C2658" s="13">
        <v>46027</v>
      </c>
      <c r="D2658" s="14" t="s">
        <v>479</v>
      </c>
      <c r="E2658" s="15">
        <v>2000</v>
      </c>
      <c r="F2658" s="14">
        <v>0.035</v>
      </c>
      <c r="G2658" s="16">
        <v>46027</v>
      </c>
      <c r="H2658" s="17">
        <f t="shared" si="41"/>
        <v>70</v>
      </c>
      <c r="I2658" s="15" t="s">
        <v>51</v>
      </c>
      <c r="J2658" s="15"/>
      <c r="K2658" t="s">
        <v>486</v>
      </c>
    </row>
    <row r="2659" hidden="1" spans="1:11">
      <c r="A2659" t="s">
        <v>319</v>
      </c>
      <c r="B2659" s="14">
        <v>252603627</v>
      </c>
      <c r="C2659" s="13">
        <v>46027</v>
      </c>
      <c r="D2659" s="14" t="s">
        <v>479</v>
      </c>
      <c r="E2659" s="15">
        <v>2000</v>
      </c>
      <c r="F2659" s="14">
        <v>0.035</v>
      </c>
      <c r="G2659" s="16">
        <v>46208</v>
      </c>
      <c r="H2659" s="17">
        <f t="shared" si="41"/>
        <v>70</v>
      </c>
      <c r="I2659" s="15" t="s">
        <v>51</v>
      </c>
      <c r="J2659" s="15"/>
      <c r="K2659" t="s">
        <v>486</v>
      </c>
    </row>
    <row r="2660" hidden="1" spans="1:11">
      <c r="A2660" t="s">
        <v>319</v>
      </c>
      <c r="B2660" s="8">
        <v>252603711</v>
      </c>
      <c r="C2660" s="9">
        <v>46034</v>
      </c>
      <c r="D2660" s="8" t="s">
        <v>631</v>
      </c>
      <c r="E2660" s="10">
        <v>600000</v>
      </c>
      <c r="F2660" s="8">
        <v>0.04</v>
      </c>
      <c r="G2660" s="11">
        <v>46045</v>
      </c>
      <c r="H2660" s="12">
        <f t="shared" si="41"/>
        <v>24000</v>
      </c>
      <c r="I2660" s="10" t="s">
        <v>10</v>
      </c>
      <c r="J2660" s="13">
        <v>46057</v>
      </c>
    </row>
    <row r="2661" hidden="1" spans="1:11">
      <c r="A2661" t="s">
        <v>319</v>
      </c>
      <c r="B2661" s="8">
        <v>252603714</v>
      </c>
      <c r="C2661" s="9">
        <v>46034</v>
      </c>
      <c r="D2661" s="8" t="s">
        <v>577</v>
      </c>
      <c r="E2661" s="10">
        <v>28000</v>
      </c>
      <c r="F2661" s="8">
        <v>0.055</v>
      </c>
      <c r="G2661" s="11">
        <v>46086</v>
      </c>
      <c r="H2661" s="12">
        <f t="shared" si="41"/>
        <v>1540</v>
      </c>
      <c r="I2661" s="10" t="s">
        <v>10</v>
      </c>
      <c r="J2661" s="13">
        <v>46037</v>
      </c>
      <c r="K2661" t="s">
        <v>615</v>
      </c>
    </row>
    <row r="2662" hidden="1" spans="1:11">
      <c r="A2662" t="s">
        <v>319</v>
      </c>
      <c r="B2662" s="8">
        <v>252603714</v>
      </c>
      <c r="C2662" s="9">
        <v>46034</v>
      </c>
      <c r="D2662" s="8" t="s">
        <v>577</v>
      </c>
      <c r="E2662" s="10">
        <v>28000</v>
      </c>
      <c r="F2662" s="8">
        <v>0.055</v>
      </c>
      <c r="G2662" s="11">
        <v>46117</v>
      </c>
      <c r="H2662" s="12">
        <f t="shared" si="41"/>
        <v>1540</v>
      </c>
      <c r="I2662" s="10" t="s">
        <v>10</v>
      </c>
      <c r="J2662" s="13">
        <v>46037</v>
      </c>
      <c r="K2662" t="s">
        <v>615</v>
      </c>
    </row>
    <row r="2663" hidden="1" spans="1:11">
      <c r="A2663" t="s">
        <v>319</v>
      </c>
      <c r="B2663" s="8">
        <v>252603719</v>
      </c>
      <c r="C2663" s="9">
        <v>46031</v>
      </c>
      <c r="D2663" s="8" t="s">
        <v>569</v>
      </c>
      <c r="E2663" s="10">
        <v>50000</v>
      </c>
      <c r="F2663" s="8">
        <v>0.035</v>
      </c>
      <c r="G2663" s="11">
        <v>46044</v>
      </c>
      <c r="H2663" s="12">
        <f t="shared" si="41"/>
        <v>1750</v>
      </c>
      <c r="I2663" s="10" t="s">
        <v>10</v>
      </c>
      <c r="J2663" s="13">
        <v>46035</v>
      </c>
    </row>
    <row r="2664" hidden="1" spans="1:11">
      <c r="A2664" t="s">
        <v>319</v>
      </c>
      <c r="B2664" s="8">
        <v>252603719</v>
      </c>
      <c r="C2664" s="9">
        <v>46031</v>
      </c>
      <c r="D2664" s="8" t="s">
        <v>569</v>
      </c>
      <c r="E2664" s="10">
        <v>50000</v>
      </c>
      <c r="F2664" s="8">
        <v>0.035</v>
      </c>
      <c r="G2664" s="11">
        <v>46058</v>
      </c>
      <c r="H2664" s="12">
        <f t="shared" si="41"/>
        <v>1750</v>
      </c>
      <c r="I2664" s="10" t="s">
        <v>10</v>
      </c>
      <c r="J2664" s="13">
        <v>46035</v>
      </c>
    </row>
    <row r="2665" hidden="1" spans="1:11">
      <c r="A2665" t="s">
        <v>319</v>
      </c>
      <c r="B2665" s="8">
        <v>252603761</v>
      </c>
      <c r="C2665" s="9">
        <v>46037</v>
      </c>
      <c r="D2665" s="8" t="s">
        <v>47</v>
      </c>
      <c r="E2665" s="10">
        <v>160000</v>
      </c>
      <c r="F2665" s="8">
        <v>0.022</v>
      </c>
      <c r="G2665" s="11">
        <v>46058</v>
      </c>
      <c r="H2665" s="12">
        <f t="shared" si="41"/>
        <v>3520</v>
      </c>
      <c r="I2665" s="10" t="s">
        <v>10</v>
      </c>
      <c r="J2665" s="13">
        <v>46049</v>
      </c>
      <c r="K2665" t="s">
        <v>632</v>
      </c>
    </row>
    <row r="2666" hidden="1" spans="1:11">
      <c r="A2666" t="s">
        <v>319</v>
      </c>
      <c r="B2666" s="8">
        <v>252603761</v>
      </c>
      <c r="C2666" s="9">
        <v>46037</v>
      </c>
      <c r="D2666" s="8" t="s">
        <v>47</v>
      </c>
      <c r="E2666" s="10">
        <v>160000</v>
      </c>
      <c r="F2666" s="8">
        <v>0.022</v>
      </c>
      <c r="G2666" s="11">
        <v>46058</v>
      </c>
      <c r="H2666" s="12">
        <f t="shared" si="41"/>
        <v>3520</v>
      </c>
      <c r="I2666" s="10" t="s">
        <v>10</v>
      </c>
      <c r="J2666" s="13">
        <v>46049</v>
      </c>
      <c r="K2666" t="s">
        <v>632</v>
      </c>
    </row>
    <row r="2667" hidden="1" spans="1:11">
      <c r="A2667" t="s">
        <v>319</v>
      </c>
      <c r="B2667" s="8">
        <v>252603766</v>
      </c>
      <c r="C2667" s="9">
        <v>46038</v>
      </c>
      <c r="D2667" s="8" t="s">
        <v>47</v>
      </c>
      <c r="E2667" s="10">
        <v>200000</v>
      </c>
      <c r="F2667" s="8">
        <v>0.022</v>
      </c>
      <c r="G2667" s="11">
        <v>46086</v>
      </c>
      <c r="H2667" s="12">
        <f t="shared" si="41"/>
        <v>4400</v>
      </c>
      <c r="I2667" s="10" t="s">
        <v>10</v>
      </c>
      <c r="J2667" s="13">
        <v>46049</v>
      </c>
      <c r="K2667" t="s">
        <v>499</v>
      </c>
    </row>
    <row r="2668" hidden="1" spans="1:11">
      <c r="A2668" t="s">
        <v>319</v>
      </c>
      <c r="B2668" s="8">
        <v>252603766</v>
      </c>
      <c r="C2668" s="9">
        <v>46038</v>
      </c>
      <c r="D2668" s="8" t="s">
        <v>38</v>
      </c>
      <c r="E2668" s="10">
        <v>200000</v>
      </c>
      <c r="F2668" s="8">
        <v>0.01</v>
      </c>
      <c r="G2668" s="11">
        <v>46086</v>
      </c>
      <c r="H2668" s="12">
        <f t="shared" si="41"/>
        <v>2000</v>
      </c>
      <c r="I2668" s="10" t="s">
        <v>10</v>
      </c>
      <c r="J2668" s="13">
        <v>46049</v>
      </c>
      <c r="K2668" t="s">
        <v>499</v>
      </c>
    </row>
    <row r="2669" hidden="1" spans="1:11">
      <c r="A2669" t="s">
        <v>319</v>
      </c>
      <c r="B2669" s="8">
        <v>252603767</v>
      </c>
      <c r="C2669" s="9">
        <v>46038</v>
      </c>
      <c r="D2669" s="8" t="s">
        <v>38</v>
      </c>
      <c r="E2669" s="10">
        <v>200000</v>
      </c>
      <c r="F2669" s="8">
        <v>0.01</v>
      </c>
      <c r="G2669" s="11">
        <v>46147</v>
      </c>
      <c r="H2669" s="12">
        <f t="shared" si="41"/>
        <v>2000</v>
      </c>
      <c r="I2669" s="10" t="s">
        <v>10</v>
      </c>
      <c r="J2669" s="13">
        <v>46108</v>
      </c>
      <c r="K2669" t="s">
        <v>536</v>
      </c>
    </row>
    <row r="2670" hidden="1" spans="1:11">
      <c r="A2670" t="s">
        <v>319</v>
      </c>
      <c r="B2670" s="8">
        <v>252603768</v>
      </c>
      <c r="C2670" s="9">
        <v>46038</v>
      </c>
      <c r="D2670" s="8" t="s">
        <v>47</v>
      </c>
      <c r="E2670" s="10">
        <v>200000</v>
      </c>
      <c r="F2670" s="8">
        <v>0.022</v>
      </c>
      <c r="G2670" s="11">
        <v>46147</v>
      </c>
      <c r="H2670" s="12">
        <f t="shared" si="41"/>
        <v>4400</v>
      </c>
      <c r="I2670" s="10" t="s">
        <v>10</v>
      </c>
      <c r="J2670" s="13">
        <v>46120</v>
      </c>
      <c r="K2670" t="s">
        <v>534</v>
      </c>
    </row>
    <row r="2671" hidden="1" spans="1:11">
      <c r="A2671" t="s">
        <v>319</v>
      </c>
      <c r="B2671" s="8">
        <v>252603774</v>
      </c>
      <c r="C2671" s="9">
        <v>46037</v>
      </c>
      <c r="D2671" s="8" t="s">
        <v>285</v>
      </c>
      <c r="E2671" s="10">
        <v>30000</v>
      </c>
      <c r="F2671" s="8">
        <v>0.02</v>
      </c>
      <c r="G2671" s="11">
        <v>46058</v>
      </c>
      <c r="H2671" s="12">
        <f t="shared" si="41"/>
        <v>600</v>
      </c>
      <c r="I2671" s="10" t="s">
        <v>10</v>
      </c>
      <c r="J2671" s="13">
        <v>46044</v>
      </c>
      <c r="K2671" t="s">
        <v>469</v>
      </c>
    </row>
    <row r="2672" hidden="1" spans="1:11">
      <c r="A2672" t="s">
        <v>319</v>
      </c>
      <c r="B2672" s="8">
        <v>252603774</v>
      </c>
      <c r="C2672" s="9">
        <v>46037</v>
      </c>
      <c r="D2672" s="8" t="s">
        <v>286</v>
      </c>
      <c r="E2672" s="10">
        <v>72000</v>
      </c>
      <c r="F2672" s="8">
        <v>0.0235</v>
      </c>
      <c r="G2672" s="11">
        <v>46058</v>
      </c>
      <c r="H2672" s="12">
        <f t="shared" si="41"/>
        <v>1692</v>
      </c>
      <c r="I2672" s="10" t="s">
        <v>10</v>
      </c>
      <c r="J2672" s="13">
        <v>46044</v>
      </c>
      <c r="K2672" t="s">
        <v>469</v>
      </c>
    </row>
    <row r="2673" hidden="1" spans="1:11">
      <c r="A2673" t="s">
        <v>319</v>
      </c>
      <c r="B2673" s="8">
        <v>252603774</v>
      </c>
      <c r="C2673" s="9">
        <v>46037</v>
      </c>
      <c r="D2673" s="8" t="s">
        <v>465</v>
      </c>
      <c r="E2673" s="10">
        <v>60000</v>
      </c>
      <c r="F2673" s="8">
        <v>0.018</v>
      </c>
      <c r="G2673" s="11">
        <v>46058</v>
      </c>
      <c r="H2673" s="12">
        <f t="shared" si="41"/>
        <v>1080</v>
      </c>
      <c r="I2673" s="10" t="s">
        <v>10</v>
      </c>
      <c r="J2673" s="13">
        <v>46044</v>
      </c>
      <c r="K2673" t="s">
        <v>469</v>
      </c>
    </row>
    <row r="2674" hidden="1" spans="1:11">
      <c r="A2674" t="s">
        <v>319</v>
      </c>
      <c r="B2674" s="8">
        <v>252603774</v>
      </c>
      <c r="C2674" s="9">
        <v>46037</v>
      </c>
      <c r="D2674" s="8" t="s">
        <v>288</v>
      </c>
      <c r="E2674" s="10">
        <v>30000</v>
      </c>
      <c r="F2674" s="8">
        <v>0.022</v>
      </c>
      <c r="G2674" s="11">
        <v>46058</v>
      </c>
      <c r="H2674" s="12">
        <f t="shared" si="41"/>
        <v>660</v>
      </c>
      <c r="I2674" s="10" t="s">
        <v>10</v>
      </c>
      <c r="J2674" s="13">
        <v>46044</v>
      </c>
      <c r="K2674" t="s">
        <v>469</v>
      </c>
    </row>
    <row r="2675" hidden="1" spans="1:11">
      <c r="A2675" t="s">
        <v>319</v>
      </c>
      <c r="B2675" s="8">
        <v>252603774</v>
      </c>
      <c r="C2675" s="9">
        <v>46037</v>
      </c>
      <c r="D2675" s="8" t="s">
        <v>285</v>
      </c>
      <c r="E2675" s="10">
        <v>42000</v>
      </c>
      <c r="F2675" s="8">
        <v>0.02</v>
      </c>
      <c r="G2675" s="11">
        <v>46086</v>
      </c>
      <c r="H2675" s="12">
        <f t="shared" si="41"/>
        <v>840</v>
      </c>
      <c r="I2675" s="10" t="s">
        <v>10</v>
      </c>
      <c r="J2675" s="13">
        <v>46044</v>
      </c>
      <c r="K2675" t="s">
        <v>469</v>
      </c>
    </row>
    <row r="2676" hidden="1" spans="1:11">
      <c r="A2676" t="s">
        <v>319</v>
      </c>
      <c r="B2676" s="8">
        <v>252603774</v>
      </c>
      <c r="C2676" s="9">
        <v>46037</v>
      </c>
      <c r="D2676" s="8" t="s">
        <v>286</v>
      </c>
      <c r="E2676" s="10">
        <v>42000</v>
      </c>
      <c r="F2676" s="8">
        <v>0.0235</v>
      </c>
      <c r="G2676" s="11">
        <v>46086</v>
      </c>
      <c r="H2676" s="12">
        <f t="shared" si="41"/>
        <v>987</v>
      </c>
      <c r="I2676" s="10" t="s">
        <v>10</v>
      </c>
      <c r="J2676" s="13">
        <v>46044</v>
      </c>
      <c r="K2676" t="s">
        <v>469</v>
      </c>
    </row>
    <row r="2677" hidden="1" spans="1:11">
      <c r="A2677" t="s">
        <v>319</v>
      </c>
      <c r="B2677" s="8">
        <v>252603774</v>
      </c>
      <c r="C2677" s="9">
        <v>46037</v>
      </c>
      <c r="D2677" s="8" t="s">
        <v>465</v>
      </c>
      <c r="E2677" s="10">
        <v>42000</v>
      </c>
      <c r="F2677" s="8">
        <v>0.018</v>
      </c>
      <c r="G2677" s="11">
        <v>46086</v>
      </c>
      <c r="H2677" s="12">
        <f t="shared" si="41"/>
        <v>756</v>
      </c>
      <c r="I2677" s="10" t="s">
        <v>10</v>
      </c>
      <c r="J2677" s="13">
        <v>46044</v>
      </c>
      <c r="K2677" t="s">
        <v>469</v>
      </c>
    </row>
    <row r="2678" hidden="1" spans="1:11">
      <c r="A2678" t="s">
        <v>319</v>
      </c>
      <c r="B2678" s="8">
        <v>252603774</v>
      </c>
      <c r="C2678" s="9">
        <v>46037</v>
      </c>
      <c r="D2678" s="8" t="s">
        <v>288</v>
      </c>
      <c r="E2678" s="10">
        <v>42000</v>
      </c>
      <c r="F2678" s="8">
        <v>0.022</v>
      </c>
      <c r="G2678" s="11">
        <v>46086</v>
      </c>
      <c r="H2678" s="12">
        <f t="shared" si="41"/>
        <v>924</v>
      </c>
      <c r="I2678" s="10" t="s">
        <v>10</v>
      </c>
      <c r="J2678" s="13">
        <v>46044</v>
      </c>
      <c r="K2678" t="s">
        <v>469</v>
      </c>
    </row>
    <row r="2679" hidden="1" spans="1:11">
      <c r="A2679" t="s">
        <v>319</v>
      </c>
      <c r="B2679" s="8">
        <v>252603775</v>
      </c>
      <c r="C2679" s="9">
        <v>46037</v>
      </c>
      <c r="D2679" s="8" t="s">
        <v>285</v>
      </c>
      <c r="E2679" s="10">
        <v>36000</v>
      </c>
      <c r="F2679" s="8">
        <v>0.02</v>
      </c>
      <c r="G2679" s="11">
        <v>46117</v>
      </c>
      <c r="H2679" s="12">
        <f t="shared" si="41"/>
        <v>720</v>
      </c>
      <c r="I2679" s="10" t="s">
        <v>10</v>
      </c>
      <c r="J2679" s="13">
        <v>46044</v>
      </c>
      <c r="K2679" t="s">
        <v>469</v>
      </c>
    </row>
    <row r="2680" hidden="1" spans="1:11">
      <c r="A2680" t="s">
        <v>319</v>
      </c>
      <c r="B2680" s="8">
        <v>252603775</v>
      </c>
      <c r="C2680" s="9">
        <v>46037</v>
      </c>
      <c r="D2680" s="8" t="s">
        <v>286</v>
      </c>
      <c r="E2680" s="10">
        <v>36000</v>
      </c>
      <c r="F2680" s="8">
        <v>0.0235</v>
      </c>
      <c r="G2680" s="11">
        <v>46117</v>
      </c>
      <c r="H2680" s="12">
        <f t="shared" si="41"/>
        <v>846</v>
      </c>
      <c r="I2680" s="10" t="s">
        <v>10</v>
      </c>
      <c r="J2680" s="13">
        <v>46044</v>
      </c>
      <c r="K2680" t="s">
        <v>469</v>
      </c>
    </row>
    <row r="2681" hidden="1" spans="1:11">
      <c r="A2681" t="s">
        <v>319</v>
      </c>
      <c r="B2681" s="8">
        <v>252603775</v>
      </c>
      <c r="C2681" s="9">
        <v>46037</v>
      </c>
      <c r="D2681" s="8" t="s">
        <v>465</v>
      </c>
      <c r="E2681" s="10">
        <v>36000</v>
      </c>
      <c r="F2681" s="8">
        <v>0.018</v>
      </c>
      <c r="G2681" s="11">
        <v>46117</v>
      </c>
      <c r="H2681" s="12">
        <f t="shared" si="41"/>
        <v>648</v>
      </c>
      <c r="I2681" s="10" t="s">
        <v>10</v>
      </c>
      <c r="J2681" s="13">
        <v>46044</v>
      </c>
      <c r="K2681" t="s">
        <v>469</v>
      </c>
    </row>
    <row r="2682" hidden="1" spans="1:11">
      <c r="A2682" t="s">
        <v>319</v>
      </c>
      <c r="B2682" s="8">
        <v>252603775</v>
      </c>
      <c r="C2682" s="9">
        <v>46037</v>
      </c>
      <c r="D2682" s="8" t="s">
        <v>288</v>
      </c>
      <c r="E2682" s="10">
        <v>42000</v>
      </c>
      <c r="F2682" s="8">
        <v>0.022</v>
      </c>
      <c r="G2682" s="11">
        <v>46117</v>
      </c>
      <c r="H2682" s="12">
        <f t="shared" si="41"/>
        <v>924</v>
      </c>
      <c r="I2682" s="10" t="s">
        <v>10</v>
      </c>
      <c r="J2682" s="13">
        <v>46044</v>
      </c>
      <c r="K2682" t="s">
        <v>469</v>
      </c>
    </row>
    <row r="2683" hidden="1" spans="1:11">
      <c r="A2683" t="s">
        <v>319</v>
      </c>
      <c r="B2683" s="14">
        <v>252603793</v>
      </c>
      <c r="C2683" s="13">
        <v>46042</v>
      </c>
      <c r="D2683" s="14" t="s">
        <v>633</v>
      </c>
      <c r="E2683" s="15">
        <v>4000</v>
      </c>
      <c r="F2683" s="14">
        <v>0.035</v>
      </c>
      <c r="G2683" s="16">
        <v>46044</v>
      </c>
      <c r="H2683" s="17">
        <f t="shared" si="41"/>
        <v>140</v>
      </c>
      <c r="I2683" s="15" t="s">
        <v>51</v>
      </c>
      <c r="J2683" s="15"/>
      <c r="K2683" t="s">
        <v>486</v>
      </c>
    </row>
    <row r="2684" hidden="1" spans="1:11">
      <c r="A2684" t="s">
        <v>319</v>
      </c>
      <c r="B2684" s="14">
        <v>252603814</v>
      </c>
      <c r="C2684" s="13">
        <v>46041</v>
      </c>
      <c r="D2684" s="14" t="s">
        <v>634</v>
      </c>
      <c r="E2684" s="15">
        <v>2000</v>
      </c>
      <c r="F2684" s="14">
        <v>0.0435</v>
      </c>
      <c r="G2684" s="16">
        <v>46058</v>
      </c>
      <c r="H2684" s="17">
        <f t="shared" si="41"/>
        <v>87</v>
      </c>
      <c r="I2684" s="15" t="s">
        <v>51</v>
      </c>
      <c r="J2684" s="15"/>
      <c r="K2684" t="s">
        <v>627</v>
      </c>
    </row>
    <row r="2685" hidden="1" spans="1:11">
      <c r="A2685" t="s">
        <v>319</v>
      </c>
      <c r="B2685" s="8">
        <v>252603837</v>
      </c>
      <c r="C2685" s="9">
        <v>46043</v>
      </c>
      <c r="D2685" s="8" t="s">
        <v>557</v>
      </c>
      <c r="E2685" s="10">
        <v>100000</v>
      </c>
      <c r="F2685" s="8">
        <v>0.026</v>
      </c>
      <c r="G2685" s="11">
        <v>46058</v>
      </c>
      <c r="H2685" s="12">
        <f t="shared" si="41"/>
        <v>2600</v>
      </c>
      <c r="I2685" s="10" t="s">
        <v>10</v>
      </c>
      <c r="J2685" s="13">
        <v>46045</v>
      </c>
      <c r="K2685" t="s">
        <v>377</v>
      </c>
    </row>
    <row r="2686" hidden="1" spans="1:11">
      <c r="A2686" t="s">
        <v>319</v>
      </c>
      <c r="B2686" s="8">
        <v>252603837</v>
      </c>
      <c r="C2686" s="9">
        <v>46043</v>
      </c>
      <c r="D2686" s="8" t="s">
        <v>162</v>
      </c>
      <c r="E2686" s="10">
        <v>150000</v>
      </c>
      <c r="F2686" s="8">
        <v>0.05</v>
      </c>
      <c r="G2686" s="11">
        <v>46058</v>
      </c>
      <c r="H2686" s="12">
        <f t="shared" si="41"/>
        <v>7500</v>
      </c>
      <c r="I2686" s="10" t="s">
        <v>10</v>
      </c>
      <c r="J2686" s="13">
        <v>46045</v>
      </c>
      <c r="K2686" t="s">
        <v>377</v>
      </c>
    </row>
    <row r="2687" hidden="1" spans="1:11">
      <c r="A2687" t="s">
        <v>319</v>
      </c>
      <c r="B2687" s="8">
        <v>252603837</v>
      </c>
      <c r="C2687" s="9">
        <v>46043</v>
      </c>
      <c r="D2687" s="8" t="s">
        <v>105</v>
      </c>
      <c r="E2687" s="10">
        <v>50000</v>
      </c>
      <c r="F2687" s="8">
        <v>0.18</v>
      </c>
      <c r="G2687" s="11">
        <v>46058</v>
      </c>
      <c r="H2687" s="12">
        <f t="shared" si="41"/>
        <v>9000</v>
      </c>
      <c r="I2687" s="10" t="s">
        <v>10</v>
      </c>
      <c r="J2687" s="13">
        <v>46045</v>
      </c>
      <c r="K2687" t="s">
        <v>377</v>
      </c>
    </row>
    <row r="2688" hidden="1" spans="1:11">
      <c r="A2688" t="s">
        <v>319</v>
      </c>
      <c r="B2688" s="8">
        <v>252603837</v>
      </c>
      <c r="C2688" s="9">
        <v>46043</v>
      </c>
      <c r="D2688" s="8" t="s">
        <v>105</v>
      </c>
      <c r="E2688" s="10">
        <v>50000</v>
      </c>
      <c r="F2688" s="8">
        <v>0.18</v>
      </c>
      <c r="G2688" s="11">
        <v>46086</v>
      </c>
      <c r="H2688" s="12">
        <f t="shared" si="41"/>
        <v>9000</v>
      </c>
      <c r="I2688" s="10" t="s">
        <v>10</v>
      </c>
      <c r="J2688" s="13">
        <v>46045</v>
      </c>
      <c r="K2688" t="s">
        <v>377</v>
      </c>
    </row>
    <row r="2689" hidden="1" spans="1:11">
      <c r="A2689" t="s">
        <v>319</v>
      </c>
      <c r="B2689" s="8">
        <v>252603837</v>
      </c>
      <c r="C2689" s="9">
        <v>46043</v>
      </c>
      <c r="D2689" s="8" t="s">
        <v>502</v>
      </c>
      <c r="E2689" s="10">
        <v>100000</v>
      </c>
      <c r="F2689" s="8">
        <v>0.1</v>
      </c>
      <c r="G2689" s="11">
        <v>46058</v>
      </c>
      <c r="H2689" s="12">
        <f t="shared" si="41"/>
        <v>10000</v>
      </c>
      <c r="I2689" s="10" t="s">
        <v>10</v>
      </c>
      <c r="J2689" s="13">
        <v>46045</v>
      </c>
      <c r="K2689" t="s">
        <v>377</v>
      </c>
    </row>
    <row r="2690" hidden="1" spans="1:11">
      <c r="A2690" t="s">
        <v>319</v>
      </c>
      <c r="B2690" s="8">
        <v>252603837</v>
      </c>
      <c r="C2690" s="9">
        <v>46043</v>
      </c>
      <c r="D2690" s="8" t="s">
        <v>509</v>
      </c>
      <c r="E2690" s="10">
        <v>40000</v>
      </c>
      <c r="F2690" s="8">
        <v>0.16</v>
      </c>
      <c r="G2690" s="11">
        <v>46058</v>
      </c>
      <c r="H2690" s="12">
        <f t="shared" ref="H2690:H2753" si="42">E2690*F2690</f>
        <v>6400</v>
      </c>
      <c r="I2690" s="10" t="s">
        <v>10</v>
      </c>
      <c r="J2690" s="13">
        <v>46050</v>
      </c>
      <c r="K2690" t="s">
        <v>377</v>
      </c>
    </row>
    <row r="2691" hidden="1" spans="1:11">
      <c r="A2691" t="s">
        <v>319</v>
      </c>
      <c r="B2691" s="8">
        <v>252603837</v>
      </c>
      <c r="C2691" s="9">
        <v>46043</v>
      </c>
      <c r="D2691" s="8" t="s">
        <v>511</v>
      </c>
      <c r="E2691" s="10">
        <v>40000</v>
      </c>
      <c r="F2691" s="8">
        <v>0.041</v>
      </c>
      <c r="G2691" s="11">
        <v>46058</v>
      </c>
      <c r="H2691" s="12">
        <f t="shared" si="42"/>
        <v>1640</v>
      </c>
      <c r="I2691" s="10" t="s">
        <v>10</v>
      </c>
      <c r="J2691" s="13">
        <v>46045</v>
      </c>
      <c r="K2691" t="s">
        <v>377</v>
      </c>
    </row>
    <row r="2692" hidden="1" spans="1:11">
      <c r="A2692" t="s">
        <v>319</v>
      </c>
      <c r="B2692" s="8">
        <v>252603837</v>
      </c>
      <c r="C2692" s="9">
        <v>46043</v>
      </c>
      <c r="D2692" s="8" t="s">
        <v>38</v>
      </c>
      <c r="E2692" s="10">
        <v>60000</v>
      </c>
      <c r="F2692" s="8">
        <v>0.01</v>
      </c>
      <c r="G2692" s="11">
        <v>46086</v>
      </c>
      <c r="H2692" s="12">
        <f t="shared" si="42"/>
        <v>600</v>
      </c>
      <c r="I2692" s="10" t="s">
        <v>10</v>
      </c>
      <c r="J2692" s="13">
        <v>46045</v>
      </c>
      <c r="K2692" t="s">
        <v>377</v>
      </c>
    </row>
    <row r="2693" hidden="1" spans="1:11">
      <c r="A2693" t="s">
        <v>319</v>
      </c>
      <c r="B2693" s="8">
        <v>252603863</v>
      </c>
      <c r="C2693" s="9">
        <v>46044</v>
      </c>
      <c r="D2693" s="8" t="s">
        <v>38</v>
      </c>
      <c r="E2693" s="10">
        <v>20000</v>
      </c>
      <c r="F2693" s="8">
        <v>0.01</v>
      </c>
      <c r="G2693" s="11">
        <v>46086</v>
      </c>
      <c r="H2693" s="12">
        <f t="shared" si="42"/>
        <v>200</v>
      </c>
      <c r="I2693" s="10" t="s">
        <v>10</v>
      </c>
      <c r="J2693" s="13">
        <v>46056</v>
      </c>
      <c r="K2693" t="s">
        <v>369</v>
      </c>
    </row>
    <row r="2694" hidden="1" spans="1:11">
      <c r="A2694" t="s">
        <v>319</v>
      </c>
      <c r="B2694" s="8">
        <v>252603863</v>
      </c>
      <c r="C2694" s="9">
        <v>46044</v>
      </c>
      <c r="D2694" s="8" t="s">
        <v>38</v>
      </c>
      <c r="E2694" s="10">
        <v>20000</v>
      </c>
      <c r="F2694" s="8">
        <v>0.01</v>
      </c>
      <c r="G2694" s="11">
        <v>46117</v>
      </c>
      <c r="H2694" s="12">
        <f t="shared" si="42"/>
        <v>200</v>
      </c>
      <c r="I2694" s="10" t="s">
        <v>10</v>
      </c>
      <c r="J2694" s="13">
        <v>46056</v>
      </c>
      <c r="K2694" t="s">
        <v>369</v>
      </c>
    </row>
    <row r="2695" hidden="1" spans="1:11">
      <c r="A2695" t="s">
        <v>319</v>
      </c>
      <c r="B2695" s="8">
        <v>252603866</v>
      </c>
      <c r="C2695" s="9">
        <v>46045</v>
      </c>
      <c r="D2695" s="8" t="s">
        <v>30</v>
      </c>
      <c r="E2695" s="10">
        <v>70000</v>
      </c>
      <c r="F2695" s="8">
        <v>0.022</v>
      </c>
      <c r="G2695" s="11">
        <v>46058</v>
      </c>
      <c r="H2695" s="12">
        <f t="shared" si="42"/>
        <v>1540</v>
      </c>
      <c r="I2695" s="10" t="s">
        <v>10</v>
      </c>
      <c r="J2695" s="13">
        <v>46062</v>
      </c>
      <c r="K2695" t="s">
        <v>369</v>
      </c>
    </row>
    <row r="2696" hidden="1" spans="1:11">
      <c r="A2696" t="s">
        <v>319</v>
      </c>
      <c r="B2696" s="8">
        <v>252603866</v>
      </c>
      <c r="C2696" s="9">
        <v>46045</v>
      </c>
      <c r="D2696" s="8" t="s">
        <v>30</v>
      </c>
      <c r="E2696" s="10">
        <v>70000</v>
      </c>
      <c r="F2696" s="8">
        <v>0.022</v>
      </c>
      <c r="G2696" s="11">
        <v>46058</v>
      </c>
      <c r="H2696" s="12">
        <f t="shared" si="42"/>
        <v>1540</v>
      </c>
      <c r="I2696" s="10" t="s">
        <v>10</v>
      </c>
      <c r="J2696" s="13">
        <v>46062</v>
      </c>
      <c r="K2696" t="s">
        <v>369</v>
      </c>
    </row>
    <row r="2697" hidden="1" spans="1:11">
      <c r="A2697" t="s">
        <v>319</v>
      </c>
      <c r="B2697" s="8">
        <v>252603872</v>
      </c>
      <c r="C2697" s="9">
        <v>46045</v>
      </c>
      <c r="D2697" s="8" t="s">
        <v>153</v>
      </c>
      <c r="E2697" s="10">
        <v>20000</v>
      </c>
      <c r="F2697" s="8">
        <v>0.097</v>
      </c>
      <c r="G2697" s="11">
        <v>46058</v>
      </c>
      <c r="H2697" s="12">
        <f t="shared" si="42"/>
        <v>1940</v>
      </c>
      <c r="I2697" s="10" t="s">
        <v>10</v>
      </c>
      <c r="J2697" s="13">
        <v>46050</v>
      </c>
      <c r="K2697" t="s">
        <v>337</v>
      </c>
    </row>
    <row r="2698" hidden="1" spans="1:11">
      <c r="A2698" t="s">
        <v>319</v>
      </c>
      <c r="B2698" s="8">
        <v>252603872</v>
      </c>
      <c r="C2698" s="9">
        <v>46045</v>
      </c>
      <c r="D2698" s="8" t="s">
        <v>153</v>
      </c>
      <c r="E2698" s="10">
        <v>20000</v>
      </c>
      <c r="F2698" s="8">
        <v>0.097</v>
      </c>
      <c r="G2698" s="11">
        <v>46058</v>
      </c>
      <c r="H2698" s="12">
        <f t="shared" si="42"/>
        <v>1940</v>
      </c>
      <c r="I2698" s="10" t="s">
        <v>10</v>
      </c>
      <c r="J2698" s="13">
        <v>46050</v>
      </c>
      <c r="K2698" t="s">
        <v>337</v>
      </c>
    </row>
    <row r="2699" hidden="1" spans="1:11">
      <c r="A2699" t="s">
        <v>319</v>
      </c>
      <c r="B2699" s="8">
        <v>252603872</v>
      </c>
      <c r="C2699" s="9">
        <v>46045</v>
      </c>
      <c r="D2699" s="8" t="s">
        <v>624</v>
      </c>
      <c r="E2699" s="10">
        <v>24000</v>
      </c>
      <c r="F2699" s="8">
        <v>0.05</v>
      </c>
      <c r="G2699" s="11">
        <v>46058</v>
      </c>
      <c r="H2699" s="12">
        <f t="shared" si="42"/>
        <v>1200</v>
      </c>
      <c r="I2699" s="10" t="s">
        <v>10</v>
      </c>
      <c r="J2699" s="13">
        <v>46050</v>
      </c>
      <c r="K2699" t="s">
        <v>337</v>
      </c>
    </row>
    <row r="2700" hidden="1" spans="1:11">
      <c r="A2700" t="s">
        <v>319</v>
      </c>
      <c r="B2700" s="8">
        <v>252603885</v>
      </c>
      <c r="C2700" s="9">
        <v>46049</v>
      </c>
      <c r="D2700" s="8" t="s">
        <v>181</v>
      </c>
      <c r="E2700" s="10">
        <v>20000</v>
      </c>
      <c r="F2700" s="8">
        <v>0.0243</v>
      </c>
      <c r="G2700" s="11">
        <v>46058</v>
      </c>
      <c r="H2700" s="12">
        <f t="shared" si="42"/>
        <v>486</v>
      </c>
      <c r="I2700" s="10" t="s">
        <v>10</v>
      </c>
      <c r="J2700" s="13">
        <v>46050</v>
      </c>
      <c r="K2700" t="s">
        <v>493</v>
      </c>
    </row>
    <row r="2701" hidden="1" spans="1:11">
      <c r="A2701" t="s">
        <v>319</v>
      </c>
      <c r="B2701" s="8">
        <v>252603899</v>
      </c>
      <c r="C2701" s="9">
        <v>46049</v>
      </c>
      <c r="D2701" s="8" t="s">
        <v>35</v>
      </c>
      <c r="E2701" s="10">
        <v>60000</v>
      </c>
      <c r="F2701" s="8">
        <v>0.05</v>
      </c>
      <c r="G2701" s="11">
        <v>46058</v>
      </c>
      <c r="H2701" s="12">
        <f t="shared" si="42"/>
        <v>3000</v>
      </c>
      <c r="I2701" s="10" t="s">
        <v>10</v>
      </c>
      <c r="J2701" s="13">
        <v>46050</v>
      </c>
      <c r="K2701" t="s">
        <v>486</v>
      </c>
    </row>
    <row r="2702" hidden="1" spans="1:11">
      <c r="A2702" t="s">
        <v>319</v>
      </c>
      <c r="B2702" s="8">
        <v>252603903</v>
      </c>
      <c r="C2702" s="9">
        <v>46045</v>
      </c>
      <c r="D2702" s="8" t="s">
        <v>9</v>
      </c>
      <c r="E2702" s="10">
        <v>30000</v>
      </c>
      <c r="F2702" s="8">
        <v>0.0254</v>
      </c>
      <c r="G2702" s="11">
        <v>46086</v>
      </c>
      <c r="H2702" s="12">
        <f t="shared" si="42"/>
        <v>762</v>
      </c>
      <c r="I2702" s="10" t="s">
        <v>10</v>
      </c>
      <c r="J2702" s="13">
        <v>46051</v>
      </c>
      <c r="K2702" t="s">
        <v>635</v>
      </c>
    </row>
    <row r="2703" hidden="1" spans="1:11">
      <c r="A2703" t="s">
        <v>319</v>
      </c>
      <c r="B2703" s="8">
        <v>252603903</v>
      </c>
      <c r="C2703" s="9">
        <v>46045</v>
      </c>
      <c r="D2703" s="8" t="s">
        <v>9</v>
      </c>
      <c r="E2703" s="10">
        <v>20000</v>
      </c>
      <c r="F2703" s="8">
        <v>0.0254</v>
      </c>
      <c r="G2703" s="11">
        <v>46117</v>
      </c>
      <c r="H2703" s="12">
        <f t="shared" si="42"/>
        <v>508</v>
      </c>
      <c r="I2703" s="10" t="s">
        <v>10</v>
      </c>
      <c r="J2703" s="13">
        <v>46051</v>
      </c>
      <c r="K2703" t="s">
        <v>635</v>
      </c>
    </row>
    <row r="2704" hidden="1" spans="1:11">
      <c r="A2704" t="s">
        <v>319</v>
      </c>
      <c r="B2704" s="8">
        <v>252603923</v>
      </c>
      <c r="C2704" s="9">
        <v>46044</v>
      </c>
      <c r="D2704" s="8" t="s">
        <v>46</v>
      </c>
      <c r="E2704" s="10">
        <v>68000</v>
      </c>
      <c r="F2704" s="8">
        <v>0.02</v>
      </c>
      <c r="G2704" s="11">
        <v>46058</v>
      </c>
      <c r="H2704" s="12">
        <f t="shared" si="42"/>
        <v>1360</v>
      </c>
      <c r="I2704" s="10" t="s">
        <v>10</v>
      </c>
      <c r="J2704" s="13">
        <v>46051</v>
      </c>
      <c r="K2704" t="s">
        <v>377</v>
      </c>
    </row>
    <row r="2705" hidden="1" spans="1:11">
      <c r="A2705" t="s">
        <v>319</v>
      </c>
      <c r="B2705" s="8">
        <v>252603923</v>
      </c>
      <c r="C2705" s="9">
        <v>46044</v>
      </c>
      <c r="D2705" s="8" t="s">
        <v>46</v>
      </c>
      <c r="E2705" s="10">
        <v>72000</v>
      </c>
      <c r="F2705" s="8">
        <v>0.02</v>
      </c>
      <c r="G2705" s="11">
        <v>46086</v>
      </c>
      <c r="H2705" s="12">
        <f t="shared" si="42"/>
        <v>1440</v>
      </c>
      <c r="I2705" s="10" t="s">
        <v>10</v>
      </c>
      <c r="J2705" s="13">
        <v>46051</v>
      </c>
      <c r="K2705" t="s">
        <v>377</v>
      </c>
    </row>
    <row r="2706" hidden="1" spans="1:11">
      <c r="A2706" t="s">
        <v>319</v>
      </c>
      <c r="B2706" s="8">
        <v>252603929</v>
      </c>
      <c r="C2706" s="9">
        <v>46051</v>
      </c>
      <c r="D2706" s="8" t="s">
        <v>569</v>
      </c>
      <c r="E2706" s="10">
        <v>60000</v>
      </c>
      <c r="F2706" s="8">
        <v>0.035</v>
      </c>
      <c r="G2706" s="11">
        <v>46058</v>
      </c>
      <c r="H2706" s="12">
        <f t="shared" si="42"/>
        <v>2100</v>
      </c>
      <c r="I2706" s="10" t="s">
        <v>10</v>
      </c>
      <c r="J2706" s="13">
        <v>46057</v>
      </c>
      <c r="K2706" t="s">
        <v>378</v>
      </c>
    </row>
    <row r="2707" hidden="1" spans="1:11">
      <c r="A2707" t="s">
        <v>319</v>
      </c>
      <c r="B2707" s="8">
        <v>252603931</v>
      </c>
      <c r="C2707" s="9">
        <v>46050</v>
      </c>
      <c r="D2707" s="8" t="s">
        <v>242</v>
      </c>
      <c r="E2707" s="10">
        <v>40000</v>
      </c>
      <c r="F2707" s="8">
        <v>0.043</v>
      </c>
      <c r="G2707" s="11">
        <v>46086</v>
      </c>
      <c r="H2707" s="12">
        <f t="shared" si="42"/>
        <v>1720</v>
      </c>
      <c r="I2707" s="10" t="s">
        <v>10</v>
      </c>
      <c r="J2707" s="13">
        <v>46056</v>
      </c>
      <c r="K2707" t="s">
        <v>491</v>
      </c>
    </row>
    <row r="2708" hidden="1" spans="1:11">
      <c r="A2708" t="s">
        <v>319</v>
      </c>
      <c r="B2708" s="8">
        <v>252603931</v>
      </c>
      <c r="C2708" s="9">
        <v>46050</v>
      </c>
      <c r="D2708" s="8" t="s">
        <v>512</v>
      </c>
      <c r="E2708" s="10">
        <v>20000</v>
      </c>
      <c r="F2708" s="8">
        <v>0.31</v>
      </c>
      <c r="G2708" s="11">
        <v>46086</v>
      </c>
      <c r="H2708" s="12">
        <f t="shared" si="42"/>
        <v>6200</v>
      </c>
      <c r="I2708" s="10" t="s">
        <v>10</v>
      </c>
      <c r="J2708" s="13">
        <v>46056</v>
      </c>
      <c r="K2708" t="s">
        <v>491</v>
      </c>
    </row>
    <row r="2709" hidden="1" spans="1:11">
      <c r="A2709" t="s">
        <v>319</v>
      </c>
      <c r="B2709" s="8">
        <v>252603959</v>
      </c>
      <c r="C2709" s="9">
        <v>46052</v>
      </c>
      <c r="D2709" s="8" t="s">
        <v>30</v>
      </c>
      <c r="E2709" s="10">
        <v>70000</v>
      </c>
      <c r="F2709" s="8">
        <v>0.022</v>
      </c>
      <c r="G2709" s="11">
        <v>46058</v>
      </c>
      <c r="H2709" s="12">
        <f t="shared" si="42"/>
        <v>1540</v>
      </c>
      <c r="I2709" s="10" t="s">
        <v>10</v>
      </c>
      <c r="J2709" s="13">
        <v>46062</v>
      </c>
      <c r="K2709" t="s">
        <v>365</v>
      </c>
    </row>
    <row r="2710" hidden="1" spans="1:11">
      <c r="A2710" t="s">
        <v>319</v>
      </c>
      <c r="B2710" s="8">
        <v>252603959</v>
      </c>
      <c r="C2710" s="9">
        <v>46052</v>
      </c>
      <c r="D2710" s="8" t="s">
        <v>30</v>
      </c>
      <c r="E2710" s="10">
        <v>70000</v>
      </c>
      <c r="F2710" s="8">
        <v>0.022</v>
      </c>
      <c r="G2710" s="11">
        <v>46086</v>
      </c>
      <c r="H2710" s="12">
        <f t="shared" si="42"/>
        <v>1540</v>
      </c>
      <c r="I2710" s="10" t="s">
        <v>10</v>
      </c>
      <c r="J2710" s="13">
        <v>46062</v>
      </c>
      <c r="K2710" t="s">
        <v>365</v>
      </c>
    </row>
    <row r="2711" hidden="1" spans="1:11">
      <c r="A2711" t="s">
        <v>319</v>
      </c>
      <c r="B2711" s="8">
        <v>252603964</v>
      </c>
      <c r="C2711" s="9">
        <v>46051</v>
      </c>
      <c r="D2711" s="8" t="s">
        <v>100</v>
      </c>
      <c r="E2711" s="10">
        <v>20000</v>
      </c>
      <c r="F2711" s="8">
        <v>0.0224</v>
      </c>
      <c r="G2711" s="11">
        <v>46117</v>
      </c>
      <c r="H2711" s="12">
        <f t="shared" si="42"/>
        <v>448</v>
      </c>
      <c r="I2711" s="10" t="s">
        <v>10</v>
      </c>
      <c r="J2711" s="13">
        <v>46097</v>
      </c>
      <c r="K2711" t="s">
        <v>467</v>
      </c>
    </row>
    <row r="2712" hidden="1" spans="1:11">
      <c r="A2712" t="s">
        <v>319</v>
      </c>
      <c r="B2712" s="8">
        <v>252603964</v>
      </c>
      <c r="C2712" s="9">
        <v>46051</v>
      </c>
      <c r="D2712" s="8" t="s">
        <v>11</v>
      </c>
      <c r="E2712" s="10">
        <v>140000</v>
      </c>
      <c r="F2712" s="8">
        <v>0.032</v>
      </c>
      <c r="G2712" s="11">
        <v>46147</v>
      </c>
      <c r="H2712" s="12">
        <f t="shared" si="42"/>
        <v>4480</v>
      </c>
      <c r="I2712" s="10" t="s">
        <v>10</v>
      </c>
      <c r="J2712" s="13">
        <v>46097</v>
      </c>
      <c r="K2712" t="s">
        <v>467</v>
      </c>
    </row>
    <row r="2713" hidden="1" spans="1:11">
      <c r="A2713" t="s">
        <v>319</v>
      </c>
      <c r="B2713" s="8">
        <v>252603964</v>
      </c>
      <c r="C2713" s="9">
        <v>46051</v>
      </c>
      <c r="D2713" s="8" t="s">
        <v>31</v>
      </c>
      <c r="E2713" s="10">
        <v>200000</v>
      </c>
      <c r="F2713" s="8">
        <v>0.024</v>
      </c>
      <c r="G2713" s="11">
        <v>46147</v>
      </c>
      <c r="H2713" s="12">
        <f t="shared" si="42"/>
        <v>4800</v>
      </c>
      <c r="I2713" s="10" t="s">
        <v>10</v>
      </c>
      <c r="J2713" s="13">
        <v>46097</v>
      </c>
      <c r="K2713" t="s">
        <v>467</v>
      </c>
    </row>
    <row r="2714" hidden="1" spans="1:11">
      <c r="A2714" t="s">
        <v>319</v>
      </c>
      <c r="B2714" s="8">
        <v>252603964</v>
      </c>
      <c r="C2714" s="9">
        <v>46051</v>
      </c>
      <c r="D2714" s="8" t="s">
        <v>31</v>
      </c>
      <c r="E2714" s="10">
        <v>200000</v>
      </c>
      <c r="F2714" s="8">
        <v>0.024</v>
      </c>
      <c r="G2714" s="11">
        <v>46147</v>
      </c>
      <c r="H2714" s="12">
        <f t="shared" si="42"/>
        <v>4800</v>
      </c>
      <c r="I2714" s="10" t="s">
        <v>10</v>
      </c>
      <c r="J2714" s="13">
        <v>46097</v>
      </c>
      <c r="K2714" t="s">
        <v>467</v>
      </c>
    </row>
    <row r="2715" hidden="1" spans="1:11">
      <c r="A2715" t="s">
        <v>319</v>
      </c>
      <c r="B2715" s="8">
        <v>252603964</v>
      </c>
      <c r="C2715" s="9">
        <v>46051</v>
      </c>
      <c r="D2715" s="8" t="s">
        <v>31</v>
      </c>
      <c r="E2715" s="10">
        <v>200000</v>
      </c>
      <c r="F2715" s="8">
        <v>0.024</v>
      </c>
      <c r="G2715" s="11">
        <v>46147</v>
      </c>
      <c r="H2715" s="12">
        <f t="shared" si="42"/>
        <v>4800</v>
      </c>
      <c r="I2715" s="10" t="s">
        <v>10</v>
      </c>
      <c r="J2715" s="13">
        <v>46097</v>
      </c>
      <c r="K2715" t="s">
        <v>467</v>
      </c>
    </row>
    <row r="2716" hidden="1" spans="1:11">
      <c r="A2716" t="s">
        <v>319</v>
      </c>
      <c r="B2716" s="8">
        <v>252603964</v>
      </c>
      <c r="C2716" s="9">
        <v>46051</v>
      </c>
      <c r="D2716" s="8" t="s">
        <v>31</v>
      </c>
      <c r="E2716" s="10">
        <v>200000</v>
      </c>
      <c r="F2716" s="8">
        <v>0.024</v>
      </c>
      <c r="G2716" s="11">
        <v>46147</v>
      </c>
      <c r="H2716" s="12">
        <f t="shared" si="42"/>
        <v>4800</v>
      </c>
      <c r="I2716" s="10" t="s">
        <v>10</v>
      </c>
      <c r="J2716" s="13">
        <v>46097</v>
      </c>
      <c r="K2716" t="s">
        <v>467</v>
      </c>
    </row>
    <row r="2717" hidden="1" spans="1:11">
      <c r="A2717" t="s">
        <v>319</v>
      </c>
      <c r="B2717" s="8">
        <v>252603964</v>
      </c>
      <c r="C2717" s="9">
        <v>46051</v>
      </c>
      <c r="D2717" s="8" t="s">
        <v>32</v>
      </c>
      <c r="E2717" s="10">
        <v>200000</v>
      </c>
      <c r="F2717" s="8">
        <v>0.014</v>
      </c>
      <c r="G2717" s="11">
        <v>46147</v>
      </c>
      <c r="H2717" s="12">
        <f t="shared" si="42"/>
        <v>2800</v>
      </c>
      <c r="I2717" s="10" t="s">
        <v>10</v>
      </c>
      <c r="J2717" s="13">
        <v>46097</v>
      </c>
      <c r="K2717" t="s">
        <v>467</v>
      </c>
    </row>
    <row r="2718" hidden="1" spans="1:11">
      <c r="A2718" t="s">
        <v>319</v>
      </c>
      <c r="B2718" s="8">
        <v>252603964</v>
      </c>
      <c r="C2718" s="9">
        <v>46051</v>
      </c>
      <c r="D2718" s="8" t="s">
        <v>32</v>
      </c>
      <c r="E2718" s="10">
        <v>200000</v>
      </c>
      <c r="F2718" s="8">
        <v>0.014</v>
      </c>
      <c r="G2718" s="11">
        <v>46147</v>
      </c>
      <c r="H2718" s="12">
        <f t="shared" si="42"/>
        <v>2800</v>
      </c>
      <c r="I2718" s="10" t="s">
        <v>10</v>
      </c>
      <c r="J2718" s="13">
        <v>46097</v>
      </c>
      <c r="K2718" t="s">
        <v>467</v>
      </c>
    </row>
    <row r="2719" hidden="1" spans="1:11">
      <c r="A2719" t="s">
        <v>319</v>
      </c>
      <c r="B2719" s="8">
        <v>252603964</v>
      </c>
      <c r="C2719" s="9">
        <v>46051</v>
      </c>
      <c r="D2719" s="8" t="s">
        <v>32</v>
      </c>
      <c r="E2719" s="10">
        <v>200000</v>
      </c>
      <c r="F2719" s="8">
        <v>0.014</v>
      </c>
      <c r="G2719" s="11">
        <v>46147</v>
      </c>
      <c r="H2719" s="12">
        <f t="shared" si="42"/>
        <v>2800</v>
      </c>
      <c r="I2719" s="10" t="s">
        <v>10</v>
      </c>
      <c r="J2719" s="13">
        <v>46097</v>
      </c>
      <c r="K2719" t="s">
        <v>467</v>
      </c>
    </row>
    <row r="2720" hidden="1" spans="1:11">
      <c r="A2720" t="s">
        <v>319</v>
      </c>
      <c r="B2720" s="8">
        <v>252603964</v>
      </c>
      <c r="C2720" s="9">
        <v>46051</v>
      </c>
      <c r="D2720" s="8" t="s">
        <v>32</v>
      </c>
      <c r="E2720" s="10">
        <v>120000</v>
      </c>
      <c r="F2720" s="8">
        <v>0.014</v>
      </c>
      <c r="G2720" s="11">
        <v>46147</v>
      </c>
      <c r="H2720" s="12">
        <f t="shared" si="42"/>
        <v>1680</v>
      </c>
      <c r="I2720" s="10" t="s">
        <v>10</v>
      </c>
      <c r="J2720" s="13">
        <v>46097</v>
      </c>
      <c r="K2720" t="s">
        <v>467</v>
      </c>
    </row>
    <row r="2721" hidden="1" spans="1:11">
      <c r="A2721" t="s">
        <v>319</v>
      </c>
      <c r="B2721" s="8">
        <v>252603964</v>
      </c>
      <c r="C2721" s="9">
        <v>46051</v>
      </c>
      <c r="D2721" s="8" t="s">
        <v>29</v>
      </c>
      <c r="E2721" s="10">
        <v>200000</v>
      </c>
      <c r="F2721" s="8">
        <v>0.0216</v>
      </c>
      <c r="G2721" s="11">
        <v>46117</v>
      </c>
      <c r="H2721" s="12">
        <f t="shared" si="42"/>
        <v>4320</v>
      </c>
      <c r="I2721" s="10" t="s">
        <v>10</v>
      </c>
      <c r="J2721" s="13">
        <v>46097</v>
      </c>
      <c r="K2721" t="s">
        <v>467</v>
      </c>
    </row>
    <row r="2722" hidden="1" spans="1:11">
      <c r="A2722" t="s">
        <v>319</v>
      </c>
      <c r="B2722" s="8">
        <v>252603964</v>
      </c>
      <c r="C2722" s="9">
        <v>46051</v>
      </c>
      <c r="D2722" s="8" t="s">
        <v>29</v>
      </c>
      <c r="E2722" s="10">
        <v>200000</v>
      </c>
      <c r="F2722" s="8">
        <v>0.0216</v>
      </c>
      <c r="G2722" s="11">
        <v>46117</v>
      </c>
      <c r="H2722" s="12">
        <f t="shared" si="42"/>
        <v>4320</v>
      </c>
      <c r="I2722" s="10" t="s">
        <v>10</v>
      </c>
      <c r="J2722" s="13">
        <v>46097</v>
      </c>
      <c r="K2722" t="s">
        <v>467</v>
      </c>
    </row>
    <row r="2723" hidden="1" spans="1:11">
      <c r="A2723" t="s">
        <v>319</v>
      </c>
      <c r="B2723" s="8">
        <v>252603964</v>
      </c>
      <c r="C2723" s="9">
        <v>46051</v>
      </c>
      <c r="D2723" s="8" t="s">
        <v>29</v>
      </c>
      <c r="E2723" s="10">
        <v>200000</v>
      </c>
      <c r="F2723" s="8">
        <v>0.0216</v>
      </c>
      <c r="G2723" s="11">
        <v>46117</v>
      </c>
      <c r="H2723" s="12">
        <f t="shared" si="42"/>
        <v>4320</v>
      </c>
      <c r="I2723" s="10" t="s">
        <v>10</v>
      </c>
      <c r="J2723" s="13">
        <v>46097</v>
      </c>
      <c r="K2723" t="s">
        <v>467</v>
      </c>
    </row>
    <row r="2724" hidden="1" spans="1:11">
      <c r="A2724" t="s">
        <v>319</v>
      </c>
      <c r="B2724" s="8">
        <v>252603964</v>
      </c>
      <c r="C2724" s="9">
        <v>46051</v>
      </c>
      <c r="D2724" s="8" t="s">
        <v>29</v>
      </c>
      <c r="E2724" s="10">
        <v>200000</v>
      </c>
      <c r="F2724" s="8">
        <v>0.0216</v>
      </c>
      <c r="G2724" s="11">
        <v>46117</v>
      </c>
      <c r="H2724" s="12">
        <f t="shared" si="42"/>
        <v>4320</v>
      </c>
      <c r="I2724" s="10" t="s">
        <v>10</v>
      </c>
      <c r="J2724" s="13">
        <v>46097</v>
      </c>
      <c r="K2724" t="s">
        <v>467</v>
      </c>
    </row>
    <row r="2725" hidden="1" spans="1:11">
      <c r="A2725" t="s">
        <v>319</v>
      </c>
      <c r="B2725" s="8">
        <v>252603964</v>
      </c>
      <c r="C2725" s="9">
        <v>46051</v>
      </c>
      <c r="D2725" s="8" t="s">
        <v>29</v>
      </c>
      <c r="E2725" s="10">
        <v>200000</v>
      </c>
      <c r="F2725" s="8">
        <v>0.0216</v>
      </c>
      <c r="G2725" s="11">
        <v>46117</v>
      </c>
      <c r="H2725" s="12">
        <f t="shared" si="42"/>
        <v>4320</v>
      </c>
      <c r="I2725" s="10" t="s">
        <v>10</v>
      </c>
      <c r="J2725" s="13">
        <v>46097</v>
      </c>
      <c r="K2725" t="s">
        <v>467</v>
      </c>
    </row>
    <row r="2726" hidden="1" spans="1:11">
      <c r="A2726" t="s">
        <v>319</v>
      </c>
      <c r="B2726" s="8">
        <v>252603965</v>
      </c>
      <c r="C2726" s="9">
        <v>46051</v>
      </c>
      <c r="D2726" s="8" t="s">
        <v>29</v>
      </c>
      <c r="E2726" s="10">
        <v>200000</v>
      </c>
      <c r="F2726" s="8">
        <v>0.0216</v>
      </c>
      <c r="G2726" s="11">
        <v>46117</v>
      </c>
      <c r="H2726" s="12">
        <f t="shared" si="42"/>
        <v>4320</v>
      </c>
      <c r="I2726" s="10" t="s">
        <v>10</v>
      </c>
      <c r="J2726" s="13">
        <v>46094</v>
      </c>
      <c r="K2726" t="s">
        <v>467</v>
      </c>
    </row>
    <row r="2727" hidden="1" spans="1:11">
      <c r="A2727" t="s">
        <v>319</v>
      </c>
      <c r="B2727" s="8">
        <v>252603965</v>
      </c>
      <c r="C2727" s="9">
        <v>46051</v>
      </c>
      <c r="D2727" s="8" t="s">
        <v>29</v>
      </c>
      <c r="E2727" s="10">
        <v>200000</v>
      </c>
      <c r="F2727" s="8">
        <v>0.0216</v>
      </c>
      <c r="G2727" s="11">
        <v>46117</v>
      </c>
      <c r="H2727" s="12">
        <f t="shared" si="42"/>
        <v>4320</v>
      </c>
      <c r="I2727" s="10" t="s">
        <v>10</v>
      </c>
      <c r="J2727" s="13">
        <v>46094</v>
      </c>
      <c r="K2727" t="s">
        <v>467</v>
      </c>
    </row>
    <row r="2728" hidden="1" spans="1:11">
      <c r="A2728" t="s">
        <v>319</v>
      </c>
      <c r="B2728" s="8">
        <v>252603965</v>
      </c>
      <c r="C2728" s="9">
        <v>46051</v>
      </c>
      <c r="D2728" s="8" t="s">
        <v>29</v>
      </c>
      <c r="E2728" s="10">
        <v>200000</v>
      </c>
      <c r="F2728" s="8">
        <v>0.0216</v>
      </c>
      <c r="G2728" s="11">
        <v>46117</v>
      </c>
      <c r="H2728" s="12">
        <f t="shared" si="42"/>
        <v>4320</v>
      </c>
      <c r="I2728" s="10" t="s">
        <v>10</v>
      </c>
      <c r="J2728" s="13">
        <v>46094</v>
      </c>
      <c r="K2728" t="s">
        <v>467</v>
      </c>
    </row>
    <row r="2729" hidden="1" spans="1:11">
      <c r="A2729" t="s">
        <v>319</v>
      </c>
      <c r="B2729" s="8">
        <v>252603965</v>
      </c>
      <c r="C2729" s="9">
        <v>46051</v>
      </c>
      <c r="D2729" s="8" t="s">
        <v>29</v>
      </c>
      <c r="E2729" s="10">
        <v>200000</v>
      </c>
      <c r="F2729" s="8">
        <v>0.0216</v>
      </c>
      <c r="G2729" s="11">
        <v>46117</v>
      </c>
      <c r="H2729" s="12">
        <f t="shared" si="42"/>
        <v>4320</v>
      </c>
      <c r="I2729" s="10" t="s">
        <v>10</v>
      </c>
      <c r="J2729" s="13">
        <v>46094</v>
      </c>
      <c r="K2729" t="s">
        <v>467</v>
      </c>
    </row>
    <row r="2730" hidden="1" spans="1:11">
      <c r="A2730" t="s">
        <v>319</v>
      </c>
      <c r="B2730" s="8">
        <v>252603965</v>
      </c>
      <c r="C2730" s="9">
        <v>46051</v>
      </c>
      <c r="D2730" s="8" t="s">
        <v>29</v>
      </c>
      <c r="E2730" s="10">
        <v>200000</v>
      </c>
      <c r="F2730" s="8">
        <v>0.0216</v>
      </c>
      <c r="G2730" s="11">
        <v>46117</v>
      </c>
      <c r="H2730" s="12">
        <f t="shared" si="42"/>
        <v>4320</v>
      </c>
      <c r="I2730" s="10" t="s">
        <v>10</v>
      </c>
      <c r="J2730" s="13">
        <v>46094</v>
      </c>
      <c r="K2730" t="s">
        <v>467</v>
      </c>
    </row>
    <row r="2731" hidden="1" spans="1:11">
      <c r="A2731" t="s">
        <v>319</v>
      </c>
      <c r="B2731" s="8">
        <v>252603965</v>
      </c>
      <c r="C2731" s="9">
        <v>46051</v>
      </c>
      <c r="D2731" s="8" t="s">
        <v>29</v>
      </c>
      <c r="E2731" s="10">
        <v>200000</v>
      </c>
      <c r="F2731" s="8">
        <v>0.0216</v>
      </c>
      <c r="G2731" s="11">
        <v>46117</v>
      </c>
      <c r="H2731" s="12">
        <f t="shared" si="42"/>
        <v>4320</v>
      </c>
      <c r="I2731" s="10" t="s">
        <v>10</v>
      </c>
      <c r="J2731" s="13">
        <v>46094</v>
      </c>
      <c r="K2731" t="s">
        <v>467</v>
      </c>
    </row>
    <row r="2732" hidden="1" spans="1:11">
      <c r="A2732" t="s">
        <v>319</v>
      </c>
      <c r="B2732" s="8">
        <v>252603965</v>
      </c>
      <c r="C2732" s="9">
        <v>46051</v>
      </c>
      <c r="D2732" s="8" t="s">
        <v>29</v>
      </c>
      <c r="E2732" s="10">
        <v>200000</v>
      </c>
      <c r="F2732" s="8">
        <v>0.0216</v>
      </c>
      <c r="G2732" s="11">
        <v>46117</v>
      </c>
      <c r="H2732" s="12">
        <f t="shared" si="42"/>
        <v>4320</v>
      </c>
      <c r="I2732" s="10" t="s">
        <v>10</v>
      </c>
      <c r="J2732" s="13">
        <v>46094</v>
      </c>
      <c r="K2732" t="s">
        <v>467</v>
      </c>
    </row>
    <row r="2733" hidden="1" spans="1:11">
      <c r="A2733" t="s">
        <v>319</v>
      </c>
      <c r="B2733" s="8">
        <v>252603965</v>
      </c>
      <c r="C2733" s="9">
        <v>46051</v>
      </c>
      <c r="D2733" s="8" t="s">
        <v>29</v>
      </c>
      <c r="E2733" s="10">
        <v>100000</v>
      </c>
      <c r="F2733" s="8">
        <v>0.0216</v>
      </c>
      <c r="G2733" s="11">
        <v>46117</v>
      </c>
      <c r="H2733" s="12">
        <f t="shared" si="42"/>
        <v>2160</v>
      </c>
      <c r="I2733" s="10" t="s">
        <v>10</v>
      </c>
      <c r="J2733" s="13">
        <v>46094</v>
      </c>
      <c r="K2733" t="s">
        <v>467</v>
      </c>
    </row>
    <row r="2734" hidden="1" spans="1:11">
      <c r="A2734" t="s">
        <v>319</v>
      </c>
      <c r="B2734" s="8">
        <v>252603965</v>
      </c>
      <c r="C2734" s="9">
        <v>46051</v>
      </c>
      <c r="D2734" s="8" t="s">
        <v>29</v>
      </c>
      <c r="E2734" s="10">
        <v>200000</v>
      </c>
      <c r="F2734" s="8">
        <v>0.0216</v>
      </c>
      <c r="G2734" s="11">
        <v>46147</v>
      </c>
      <c r="H2734" s="12">
        <f t="shared" si="42"/>
        <v>4320</v>
      </c>
      <c r="I2734" s="10" t="s">
        <v>10</v>
      </c>
      <c r="J2734" s="13">
        <v>46094</v>
      </c>
      <c r="K2734" t="s">
        <v>467</v>
      </c>
    </row>
    <row r="2735" hidden="1" spans="1:11">
      <c r="A2735" t="s">
        <v>319</v>
      </c>
      <c r="B2735" s="8">
        <v>252603965</v>
      </c>
      <c r="C2735" s="9">
        <v>46051</v>
      </c>
      <c r="D2735" s="8" t="s">
        <v>29</v>
      </c>
      <c r="E2735" s="10">
        <v>200000</v>
      </c>
      <c r="F2735" s="8">
        <v>0.0216</v>
      </c>
      <c r="G2735" s="11">
        <v>46147</v>
      </c>
      <c r="H2735" s="12">
        <f t="shared" si="42"/>
        <v>4320</v>
      </c>
      <c r="I2735" s="10" t="s">
        <v>10</v>
      </c>
      <c r="J2735" s="13">
        <v>46094</v>
      </c>
      <c r="K2735" t="s">
        <v>467</v>
      </c>
    </row>
    <row r="2736" hidden="1" spans="1:11">
      <c r="A2736" t="s">
        <v>319</v>
      </c>
      <c r="B2736" s="8">
        <v>252603965</v>
      </c>
      <c r="C2736" s="9">
        <v>46051</v>
      </c>
      <c r="D2736" s="8" t="s">
        <v>29</v>
      </c>
      <c r="E2736" s="10">
        <v>200000</v>
      </c>
      <c r="F2736" s="8">
        <v>0.0216</v>
      </c>
      <c r="G2736" s="11">
        <v>46147</v>
      </c>
      <c r="H2736" s="12">
        <f t="shared" si="42"/>
        <v>4320</v>
      </c>
      <c r="I2736" s="10" t="s">
        <v>10</v>
      </c>
      <c r="J2736" s="13">
        <v>46094</v>
      </c>
      <c r="K2736" t="s">
        <v>467</v>
      </c>
    </row>
    <row r="2737" hidden="1" spans="1:11">
      <c r="A2737" t="s">
        <v>319</v>
      </c>
      <c r="B2737" s="8">
        <v>252603965</v>
      </c>
      <c r="C2737" s="9">
        <v>46051</v>
      </c>
      <c r="D2737" s="8" t="s">
        <v>29</v>
      </c>
      <c r="E2737" s="10">
        <v>200000</v>
      </c>
      <c r="F2737" s="8">
        <v>0.0216</v>
      </c>
      <c r="G2737" s="11">
        <v>46147</v>
      </c>
      <c r="H2737" s="12">
        <f t="shared" si="42"/>
        <v>4320</v>
      </c>
      <c r="I2737" s="10" t="s">
        <v>10</v>
      </c>
      <c r="J2737" s="13">
        <v>46094</v>
      </c>
      <c r="K2737" t="s">
        <v>467</v>
      </c>
    </row>
    <row r="2738" hidden="1" spans="1:11">
      <c r="A2738" t="s">
        <v>319</v>
      </c>
      <c r="B2738" s="8">
        <v>252603965</v>
      </c>
      <c r="C2738" s="9">
        <v>46051</v>
      </c>
      <c r="D2738" s="8" t="s">
        <v>29</v>
      </c>
      <c r="E2738" s="10">
        <v>200000</v>
      </c>
      <c r="F2738" s="8">
        <v>0.0216</v>
      </c>
      <c r="G2738" s="11">
        <v>46147</v>
      </c>
      <c r="H2738" s="12">
        <f t="shared" si="42"/>
        <v>4320</v>
      </c>
      <c r="I2738" s="10" t="s">
        <v>10</v>
      </c>
      <c r="J2738" s="13">
        <v>46094</v>
      </c>
      <c r="K2738" t="s">
        <v>467</v>
      </c>
    </row>
    <row r="2739" hidden="1" spans="1:11">
      <c r="A2739" t="s">
        <v>319</v>
      </c>
      <c r="B2739" s="8">
        <v>252603965</v>
      </c>
      <c r="C2739" s="9">
        <v>46051</v>
      </c>
      <c r="D2739" s="8" t="s">
        <v>29</v>
      </c>
      <c r="E2739" s="10">
        <v>200000</v>
      </c>
      <c r="F2739" s="8">
        <v>0.0216</v>
      </c>
      <c r="G2739" s="11">
        <v>46147</v>
      </c>
      <c r="H2739" s="12">
        <f t="shared" si="42"/>
        <v>4320</v>
      </c>
      <c r="I2739" s="10" t="s">
        <v>10</v>
      </c>
      <c r="J2739" s="13">
        <v>46094</v>
      </c>
      <c r="K2739" t="s">
        <v>467</v>
      </c>
    </row>
    <row r="2740" hidden="1" spans="1:11">
      <c r="A2740" t="s">
        <v>319</v>
      </c>
      <c r="B2740" s="8">
        <v>252603966</v>
      </c>
      <c r="C2740" s="9">
        <v>46051</v>
      </c>
      <c r="D2740" s="8" t="s">
        <v>29</v>
      </c>
      <c r="E2740" s="10">
        <v>200000</v>
      </c>
      <c r="F2740" s="8">
        <v>0.0216</v>
      </c>
      <c r="G2740" s="11">
        <v>46147</v>
      </c>
      <c r="H2740" s="12">
        <f t="shared" si="42"/>
        <v>4320</v>
      </c>
      <c r="I2740" s="10" t="s">
        <v>10</v>
      </c>
      <c r="J2740" s="13">
        <v>46119</v>
      </c>
      <c r="K2740" t="s">
        <v>467</v>
      </c>
    </row>
    <row r="2741" hidden="1" spans="1:11">
      <c r="A2741" t="s">
        <v>319</v>
      </c>
      <c r="B2741" s="8">
        <v>252603966</v>
      </c>
      <c r="C2741" s="9">
        <v>46051</v>
      </c>
      <c r="D2741" s="8" t="s">
        <v>29</v>
      </c>
      <c r="E2741" s="10">
        <v>200000</v>
      </c>
      <c r="F2741" s="8">
        <v>0.0216</v>
      </c>
      <c r="G2741" s="11">
        <v>46147</v>
      </c>
      <c r="H2741" s="12">
        <f t="shared" si="42"/>
        <v>4320</v>
      </c>
      <c r="I2741" s="10" t="s">
        <v>10</v>
      </c>
      <c r="J2741" s="13">
        <v>46119</v>
      </c>
      <c r="K2741" t="s">
        <v>467</v>
      </c>
    </row>
    <row r="2742" hidden="1" spans="1:11">
      <c r="A2742" t="s">
        <v>319</v>
      </c>
      <c r="B2742" s="8">
        <v>252603966</v>
      </c>
      <c r="C2742" s="9">
        <v>46051</v>
      </c>
      <c r="D2742" s="8" t="s">
        <v>29</v>
      </c>
      <c r="E2742" s="10">
        <v>200000</v>
      </c>
      <c r="F2742" s="8">
        <v>0.0216</v>
      </c>
      <c r="G2742" s="11">
        <v>46147</v>
      </c>
      <c r="H2742" s="12">
        <f t="shared" si="42"/>
        <v>4320</v>
      </c>
      <c r="I2742" s="10" t="s">
        <v>10</v>
      </c>
      <c r="J2742" s="13">
        <v>46119</v>
      </c>
      <c r="K2742" t="s">
        <v>467</v>
      </c>
    </row>
    <row r="2743" hidden="1" spans="1:11">
      <c r="A2743" t="s">
        <v>319</v>
      </c>
      <c r="B2743" s="8">
        <v>252603966</v>
      </c>
      <c r="C2743" s="9">
        <v>46051</v>
      </c>
      <c r="D2743" s="8" t="s">
        <v>29</v>
      </c>
      <c r="E2743" s="10">
        <v>200000</v>
      </c>
      <c r="F2743" s="8">
        <v>0.0216</v>
      </c>
      <c r="G2743" s="11">
        <v>46147</v>
      </c>
      <c r="H2743" s="12">
        <f t="shared" si="42"/>
        <v>4320</v>
      </c>
      <c r="I2743" s="10" t="s">
        <v>10</v>
      </c>
      <c r="J2743" s="13">
        <v>46119</v>
      </c>
      <c r="K2743" t="s">
        <v>467</v>
      </c>
    </row>
    <row r="2744" hidden="1" spans="1:11">
      <c r="A2744" t="s">
        <v>319</v>
      </c>
      <c r="B2744" s="8">
        <v>252603966</v>
      </c>
      <c r="C2744" s="9">
        <v>46051</v>
      </c>
      <c r="D2744" s="8" t="s">
        <v>29</v>
      </c>
      <c r="E2744" s="10">
        <v>200000</v>
      </c>
      <c r="F2744" s="8">
        <v>0.0216</v>
      </c>
      <c r="G2744" s="11">
        <v>46147</v>
      </c>
      <c r="H2744" s="12">
        <f t="shared" si="42"/>
        <v>4320</v>
      </c>
      <c r="I2744" s="10" t="s">
        <v>10</v>
      </c>
      <c r="J2744" s="13">
        <v>46119</v>
      </c>
      <c r="K2744" t="s">
        <v>467</v>
      </c>
    </row>
    <row r="2745" hidden="1" spans="1:11">
      <c r="A2745" t="s">
        <v>319</v>
      </c>
      <c r="B2745" s="8">
        <v>252603966</v>
      </c>
      <c r="C2745" s="9">
        <v>46051</v>
      </c>
      <c r="D2745" s="8" t="s">
        <v>29</v>
      </c>
      <c r="E2745" s="10">
        <v>200000</v>
      </c>
      <c r="F2745" s="8">
        <v>0.0216</v>
      </c>
      <c r="G2745" s="11">
        <v>46147</v>
      </c>
      <c r="H2745" s="12">
        <f t="shared" si="42"/>
        <v>4320</v>
      </c>
      <c r="I2745" s="10" t="s">
        <v>10</v>
      </c>
      <c r="J2745" s="13">
        <v>46119</v>
      </c>
      <c r="K2745" t="s">
        <v>467</v>
      </c>
    </row>
    <row r="2746" hidden="1" spans="1:11">
      <c r="A2746" t="s">
        <v>319</v>
      </c>
      <c r="B2746" s="8">
        <v>252603966</v>
      </c>
      <c r="C2746" s="9">
        <v>46051</v>
      </c>
      <c r="D2746" s="8" t="s">
        <v>29</v>
      </c>
      <c r="E2746" s="10">
        <v>100000</v>
      </c>
      <c r="F2746" s="8">
        <v>0.0216</v>
      </c>
      <c r="G2746" s="11">
        <v>46147</v>
      </c>
      <c r="H2746" s="12">
        <f t="shared" si="42"/>
        <v>2160</v>
      </c>
      <c r="I2746" s="10" t="s">
        <v>10</v>
      </c>
      <c r="J2746" s="13">
        <v>46119</v>
      </c>
      <c r="K2746" t="s">
        <v>467</v>
      </c>
    </row>
    <row r="2747" hidden="1" spans="1:11">
      <c r="A2747" t="s">
        <v>319</v>
      </c>
      <c r="B2747" s="8">
        <v>252603967</v>
      </c>
      <c r="C2747" s="9">
        <v>46051</v>
      </c>
      <c r="D2747" s="8" t="s">
        <v>58</v>
      </c>
      <c r="E2747" s="10">
        <v>200000</v>
      </c>
      <c r="F2747" s="8">
        <v>0.014</v>
      </c>
      <c r="G2747" s="11">
        <v>46178</v>
      </c>
      <c r="H2747" s="12">
        <f t="shared" si="42"/>
        <v>2800</v>
      </c>
      <c r="I2747" s="10" t="s">
        <v>10</v>
      </c>
      <c r="J2747" s="13">
        <v>46129</v>
      </c>
      <c r="K2747" t="s">
        <v>467</v>
      </c>
    </row>
    <row r="2748" hidden="1" spans="1:11">
      <c r="A2748" t="s">
        <v>319</v>
      </c>
      <c r="B2748" s="8">
        <v>252603967</v>
      </c>
      <c r="C2748" s="9">
        <v>46051</v>
      </c>
      <c r="D2748" s="8" t="s">
        <v>58</v>
      </c>
      <c r="E2748" s="10">
        <v>200000</v>
      </c>
      <c r="F2748" s="8">
        <v>0.014</v>
      </c>
      <c r="G2748" s="11">
        <v>46178</v>
      </c>
      <c r="H2748" s="12">
        <f t="shared" si="42"/>
        <v>2800</v>
      </c>
      <c r="I2748" s="10" t="s">
        <v>10</v>
      </c>
      <c r="J2748" s="13">
        <v>46129</v>
      </c>
      <c r="K2748" t="s">
        <v>467</v>
      </c>
    </row>
    <row r="2749" hidden="1" spans="1:11">
      <c r="A2749" t="s">
        <v>319</v>
      </c>
      <c r="B2749" s="8">
        <v>252603967</v>
      </c>
      <c r="C2749" s="9">
        <v>46051</v>
      </c>
      <c r="D2749" s="8" t="s">
        <v>58</v>
      </c>
      <c r="E2749" s="10">
        <v>100000</v>
      </c>
      <c r="F2749" s="8">
        <v>0.014</v>
      </c>
      <c r="G2749" s="11">
        <v>46178</v>
      </c>
      <c r="H2749" s="12">
        <f t="shared" si="42"/>
        <v>1400</v>
      </c>
      <c r="I2749" s="10" t="s">
        <v>10</v>
      </c>
      <c r="J2749" s="13">
        <v>46129</v>
      </c>
      <c r="K2749" t="s">
        <v>467</v>
      </c>
    </row>
    <row r="2750" hidden="1" spans="1:11">
      <c r="A2750" t="s">
        <v>319</v>
      </c>
      <c r="B2750" s="8">
        <v>252603967</v>
      </c>
      <c r="C2750" s="9">
        <v>46051</v>
      </c>
      <c r="D2750" s="8" t="s">
        <v>58</v>
      </c>
      <c r="E2750" s="10">
        <v>200000</v>
      </c>
      <c r="F2750" s="8">
        <v>0.014</v>
      </c>
      <c r="G2750" s="11">
        <v>46208</v>
      </c>
      <c r="H2750" s="12">
        <f t="shared" si="42"/>
        <v>2800</v>
      </c>
      <c r="I2750" s="10" t="s">
        <v>10</v>
      </c>
      <c r="J2750" s="13">
        <v>46129</v>
      </c>
      <c r="K2750" t="s">
        <v>467</v>
      </c>
    </row>
    <row r="2751" hidden="1" spans="1:11">
      <c r="A2751" t="s">
        <v>319</v>
      </c>
      <c r="B2751" s="8">
        <v>252603967</v>
      </c>
      <c r="C2751" s="9">
        <v>46051</v>
      </c>
      <c r="D2751" s="8" t="s">
        <v>58</v>
      </c>
      <c r="E2751" s="10">
        <v>200000</v>
      </c>
      <c r="F2751" s="8">
        <v>0.014</v>
      </c>
      <c r="G2751" s="11">
        <v>46208</v>
      </c>
      <c r="H2751" s="12">
        <f t="shared" si="42"/>
        <v>2800</v>
      </c>
      <c r="I2751" s="10" t="s">
        <v>10</v>
      </c>
      <c r="J2751" s="13">
        <v>46129</v>
      </c>
      <c r="K2751" t="s">
        <v>467</v>
      </c>
    </row>
    <row r="2752" hidden="1" spans="1:11">
      <c r="A2752" t="s">
        <v>319</v>
      </c>
      <c r="B2752" s="8">
        <v>252603967</v>
      </c>
      <c r="C2752" s="9">
        <v>46051</v>
      </c>
      <c r="D2752" s="8" t="s">
        <v>58</v>
      </c>
      <c r="E2752" s="10">
        <v>100000</v>
      </c>
      <c r="F2752" s="8">
        <v>0.014</v>
      </c>
      <c r="G2752" s="11">
        <v>46208</v>
      </c>
      <c r="H2752" s="12">
        <f t="shared" si="42"/>
        <v>1400</v>
      </c>
      <c r="I2752" s="10" t="s">
        <v>10</v>
      </c>
      <c r="J2752" s="13">
        <v>46129</v>
      </c>
      <c r="K2752" t="s">
        <v>467</v>
      </c>
    </row>
    <row r="2753" hidden="1" spans="1:11">
      <c r="A2753" t="s">
        <v>319</v>
      </c>
      <c r="B2753" s="8">
        <v>252603967</v>
      </c>
      <c r="C2753" s="9">
        <v>46051</v>
      </c>
      <c r="D2753" s="8" t="s">
        <v>181</v>
      </c>
      <c r="E2753" s="10">
        <v>100000</v>
      </c>
      <c r="F2753" s="8">
        <v>0.0243</v>
      </c>
      <c r="G2753" s="11">
        <v>46178</v>
      </c>
      <c r="H2753" s="12">
        <f t="shared" si="42"/>
        <v>2430</v>
      </c>
      <c r="I2753" s="10" t="s">
        <v>10</v>
      </c>
      <c r="J2753" s="13">
        <v>46129</v>
      </c>
      <c r="K2753" t="s">
        <v>467</v>
      </c>
    </row>
    <row r="2754" hidden="1" spans="1:11">
      <c r="A2754" t="s">
        <v>319</v>
      </c>
      <c r="B2754" s="8">
        <v>252603967</v>
      </c>
      <c r="C2754" s="9">
        <v>46051</v>
      </c>
      <c r="D2754" s="8" t="s">
        <v>181</v>
      </c>
      <c r="E2754" s="10">
        <v>100000</v>
      </c>
      <c r="F2754" s="8">
        <v>0.0243</v>
      </c>
      <c r="G2754" s="11">
        <v>46208</v>
      </c>
      <c r="H2754" s="12">
        <f t="shared" ref="H2754:H2817" si="43">E2754*F2754</f>
        <v>2430</v>
      </c>
      <c r="I2754" s="10" t="s">
        <v>10</v>
      </c>
      <c r="J2754" s="13">
        <v>46129</v>
      </c>
      <c r="K2754" t="s">
        <v>467</v>
      </c>
    </row>
    <row r="2755" hidden="1" spans="1:11">
      <c r="A2755" t="s">
        <v>319</v>
      </c>
      <c r="B2755" s="8">
        <v>252603967</v>
      </c>
      <c r="C2755" s="9">
        <v>46051</v>
      </c>
      <c r="D2755" s="8" t="s">
        <v>11</v>
      </c>
      <c r="E2755" s="10">
        <v>140000</v>
      </c>
      <c r="F2755" s="8">
        <v>0.032</v>
      </c>
      <c r="G2755" s="11">
        <v>46178</v>
      </c>
      <c r="H2755" s="12">
        <f t="shared" si="43"/>
        <v>4480</v>
      </c>
      <c r="I2755" s="10" t="s">
        <v>10</v>
      </c>
      <c r="J2755" s="13">
        <v>46129</v>
      </c>
      <c r="K2755" t="s">
        <v>467</v>
      </c>
    </row>
    <row r="2756" hidden="1" spans="1:11">
      <c r="A2756" t="s">
        <v>319</v>
      </c>
      <c r="B2756" s="8">
        <v>252603967</v>
      </c>
      <c r="C2756" s="9">
        <v>46051</v>
      </c>
      <c r="D2756" s="8" t="s">
        <v>11</v>
      </c>
      <c r="E2756" s="10">
        <v>140000</v>
      </c>
      <c r="F2756" s="8">
        <v>0.032</v>
      </c>
      <c r="G2756" s="11">
        <v>46208</v>
      </c>
      <c r="H2756" s="12">
        <f t="shared" si="43"/>
        <v>4480</v>
      </c>
      <c r="I2756" s="10" t="s">
        <v>10</v>
      </c>
      <c r="J2756" s="13">
        <v>46129</v>
      </c>
      <c r="K2756" t="s">
        <v>467</v>
      </c>
    </row>
    <row r="2757" hidden="1" spans="1:11">
      <c r="A2757" t="s">
        <v>319</v>
      </c>
      <c r="B2757" s="8">
        <v>252603967</v>
      </c>
      <c r="C2757" s="9">
        <v>46051</v>
      </c>
      <c r="D2757" s="8" t="s">
        <v>31</v>
      </c>
      <c r="E2757" s="10">
        <v>200000</v>
      </c>
      <c r="F2757" s="8">
        <v>0.024</v>
      </c>
      <c r="G2757" s="11">
        <v>46178</v>
      </c>
      <c r="H2757" s="12">
        <f t="shared" si="43"/>
        <v>4800</v>
      </c>
      <c r="I2757" s="10" t="s">
        <v>10</v>
      </c>
      <c r="J2757" s="13">
        <v>46129</v>
      </c>
      <c r="K2757" t="s">
        <v>467</v>
      </c>
    </row>
    <row r="2758" hidden="1" spans="1:11">
      <c r="A2758" t="s">
        <v>319</v>
      </c>
      <c r="B2758" s="8">
        <v>252603967</v>
      </c>
      <c r="C2758" s="9">
        <v>46051</v>
      </c>
      <c r="D2758" s="8" t="s">
        <v>31</v>
      </c>
      <c r="E2758" s="10">
        <v>200000</v>
      </c>
      <c r="F2758" s="8">
        <v>0.024</v>
      </c>
      <c r="G2758" s="11">
        <v>46178</v>
      </c>
      <c r="H2758" s="12">
        <f t="shared" si="43"/>
        <v>4800</v>
      </c>
      <c r="I2758" s="10" t="s">
        <v>10</v>
      </c>
      <c r="J2758" s="13">
        <v>46129</v>
      </c>
      <c r="K2758" t="s">
        <v>467</v>
      </c>
    </row>
    <row r="2759" hidden="1" spans="1:11">
      <c r="A2759" t="s">
        <v>319</v>
      </c>
      <c r="B2759" s="8">
        <v>252603967</v>
      </c>
      <c r="C2759" s="9">
        <v>46051</v>
      </c>
      <c r="D2759" s="8" t="s">
        <v>31</v>
      </c>
      <c r="E2759" s="10">
        <v>200000</v>
      </c>
      <c r="F2759" s="8">
        <v>0.024</v>
      </c>
      <c r="G2759" s="11">
        <v>46178</v>
      </c>
      <c r="H2759" s="12">
        <f t="shared" si="43"/>
        <v>4800</v>
      </c>
      <c r="I2759" s="10" t="s">
        <v>10</v>
      </c>
      <c r="J2759" s="13">
        <v>46129</v>
      </c>
      <c r="K2759" t="s">
        <v>467</v>
      </c>
    </row>
    <row r="2760" hidden="1" spans="1:11">
      <c r="A2760" t="s">
        <v>319</v>
      </c>
      <c r="B2760" s="8">
        <v>252603967</v>
      </c>
      <c r="C2760" s="9">
        <v>46051</v>
      </c>
      <c r="D2760" s="8" t="s">
        <v>31</v>
      </c>
      <c r="E2760" s="10">
        <v>200000</v>
      </c>
      <c r="F2760" s="8">
        <v>0.024</v>
      </c>
      <c r="G2760" s="11">
        <v>46178</v>
      </c>
      <c r="H2760" s="12">
        <f t="shared" si="43"/>
        <v>4800</v>
      </c>
      <c r="I2760" s="10" t="s">
        <v>10</v>
      </c>
      <c r="J2760" s="13">
        <v>46129</v>
      </c>
      <c r="K2760" t="s">
        <v>467</v>
      </c>
    </row>
    <row r="2761" hidden="1" spans="1:11">
      <c r="A2761" t="s">
        <v>319</v>
      </c>
      <c r="B2761" s="8">
        <v>252603967</v>
      </c>
      <c r="C2761" s="9">
        <v>46051</v>
      </c>
      <c r="D2761" s="8" t="s">
        <v>31</v>
      </c>
      <c r="E2761" s="10">
        <v>200000</v>
      </c>
      <c r="F2761" s="8">
        <v>0.024</v>
      </c>
      <c r="G2761" s="11">
        <v>46208</v>
      </c>
      <c r="H2761" s="12">
        <f t="shared" si="43"/>
        <v>4800</v>
      </c>
      <c r="I2761" s="10" t="s">
        <v>10</v>
      </c>
      <c r="J2761" s="13">
        <v>46129</v>
      </c>
      <c r="K2761" t="s">
        <v>467</v>
      </c>
    </row>
    <row r="2762" hidden="1" spans="1:11">
      <c r="A2762" t="s">
        <v>319</v>
      </c>
      <c r="B2762" s="8">
        <v>252603967</v>
      </c>
      <c r="C2762" s="9">
        <v>46051</v>
      </c>
      <c r="D2762" s="8" t="s">
        <v>31</v>
      </c>
      <c r="E2762" s="10">
        <v>200000</v>
      </c>
      <c r="F2762" s="8">
        <v>0.024</v>
      </c>
      <c r="G2762" s="11">
        <v>46208</v>
      </c>
      <c r="H2762" s="12">
        <f t="shared" si="43"/>
        <v>4800</v>
      </c>
      <c r="I2762" s="10" t="s">
        <v>10</v>
      </c>
      <c r="J2762" s="13">
        <v>46129</v>
      </c>
      <c r="K2762" t="s">
        <v>467</v>
      </c>
    </row>
    <row r="2763" hidden="1" spans="1:11">
      <c r="A2763" t="s">
        <v>319</v>
      </c>
      <c r="B2763" s="8">
        <v>252603968</v>
      </c>
      <c r="C2763" s="9">
        <v>46051</v>
      </c>
      <c r="D2763" s="8" t="s">
        <v>31</v>
      </c>
      <c r="E2763" s="10">
        <v>200000</v>
      </c>
      <c r="F2763" s="8">
        <v>0.024</v>
      </c>
      <c r="G2763" s="11">
        <v>46208</v>
      </c>
      <c r="H2763" s="12">
        <f t="shared" si="43"/>
        <v>4800</v>
      </c>
      <c r="I2763" s="10" t="s">
        <v>10</v>
      </c>
      <c r="J2763" s="13">
        <v>46101</v>
      </c>
      <c r="K2763" t="s">
        <v>467</v>
      </c>
    </row>
    <row r="2764" hidden="1" spans="1:11">
      <c r="A2764" t="s">
        <v>319</v>
      </c>
      <c r="B2764" s="8">
        <v>252603968</v>
      </c>
      <c r="C2764" s="9">
        <v>46051</v>
      </c>
      <c r="D2764" s="8" t="s">
        <v>31</v>
      </c>
      <c r="E2764" s="10">
        <v>200000</v>
      </c>
      <c r="F2764" s="8">
        <v>0.024</v>
      </c>
      <c r="G2764" s="11">
        <v>46208</v>
      </c>
      <c r="H2764" s="12">
        <f t="shared" si="43"/>
        <v>4800</v>
      </c>
      <c r="I2764" s="10" t="s">
        <v>10</v>
      </c>
      <c r="J2764" s="13">
        <v>46101</v>
      </c>
      <c r="K2764" t="s">
        <v>467</v>
      </c>
    </row>
    <row r="2765" hidden="1" spans="1:11">
      <c r="A2765" t="s">
        <v>319</v>
      </c>
      <c r="B2765" s="8">
        <v>252603968</v>
      </c>
      <c r="C2765" s="9">
        <v>46051</v>
      </c>
      <c r="D2765" s="8" t="s">
        <v>33</v>
      </c>
      <c r="E2765" s="10">
        <v>200000</v>
      </c>
      <c r="F2765" s="8">
        <v>0.018</v>
      </c>
      <c r="G2765" s="11">
        <v>46178</v>
      </c>
      <c r="H2765" s="12">
        <f t="shared" si="43"/>
        <v>3600</v>
      </c>
      <c r="I2765" s="10" t="s">
        <v>10</v>
      </c>
      <c r="J2765" s="13">
        <v>46101</v>
      </c>
      <c r="K2765" t="s">
        <v>467</v>
      </c>
    </row>
    <row r="2766" hidden="1" spans="1:11">
      <c r="A2766" t="s">
        <v>319</v>
      </c>
      <c r="B2766" s="8">
        <v>252603968</v>
      </c>
      <c r="C2766" s="9">
        <v>46051</v>
      </c>
      <c r="D2766" s="8" t="s">
        <v>33</v>
      </c>
      <c r="E2766" s="10">
        <v>200000</v>
      </c>
      <c r="F2766" s="8">
        <v>0.018</v>
      </c>
      <c r="G2766" s="11">
        <v>46178</v>
      </c>
      <c r="H2766" s="12">
        <f t="shared" si="43"/>
        <v>3600</v>
      </c>
      <c r="I2766" s="10" t="s">
        <v>10</v>
      </c>
      <c r="J2766" s="13">
        <v>46101</v>
      </c>
      <c r="K2766" t="s">
        <v>467</v>
      </c>
    </row>
    <row r="2767" hidden="1" spans="1:11">
      <c r="A2767" t="s">
        <v>319</v>
      </c>
      <c r="B2767" s="8">
        <v>252603968</v>
      </c>
      <c r="C2767" s="9">
        <v>46051</v>
      </c>
      <c r="D2767" s="8" t="s">
        <v>33</v>
      </c>
      <c r="E2767" s="10">
        <v>200000</v>
      </c>
      <c r="F2767" s="8">
        <v>0.018</v>
      </c>
      <c r="G2767" s="11">
        <v>46178</v>
      </c>
      <c r="H2767" s="12">
        <f t="shared" si="43"/>
        <v>3600</v>
      </c>
      <c r="I2767" s="10" t="s">
        <v>10</v>
      </c>
      <c r="J2767" s="13">
        <v>46101</v>
      </c>
      <c r="K2767" t="s">
        <v>467</v>
      </c>
    </row>
    <row r="2768" hidden="1" spans="1:11">
      <c r="A2768" t="s">
        <v>319</v>
      </c>
      <c r="B2768" s="8">
        <v>252603968</v>
      </c>
      <c r="C2768" s="9">
        <v>46051</v>
      </c>
      <c r="D2768" s="8" t="s">
        <v>33</v>
      </c>
      <c r="E2768" s="10">
        <v>100000</v>
      </c>
      <c r="F2768" s="8">
        <v>0.018</v>
      </c>
      <c r="G2768" s="11">
        <v>46178</v>
      </c>
      <c r="H2768" s="12">
        <f t="shared" si="43"/>
        <v>1800</v>
      </c>
      <c r="I2768" s="10" t="s">
        <v>10</v>
      </c>
      <c r="J2768" s="13">
        <v>46101</v>
      </c>
      <c r="K2768" t="s">
        <v>467</v>
      </c>
    </row>
    <row r="2769" hidden="1" spans="1:11">
      <c r="A2769" t="s">
        <v>319</v>
      </c>
      <c r="B2769" s="8">
        <v>252603968</v>
      </c>
      <c r="C2769" s="9">
        <v>46051</v>
      </c>
      <c r="D2769" s="8" t="s">
        <v>33</v>
      </c>
      <c r="E2769" s="10">
        <v>200000</v>
      </c>
      <c r="F2769" s="8">
        <v>0.018</v>
      </c>
      <c r="G2769" s="11">
        <v>46208</v>
      </c>
      <c r="H2769" s="12">
        <f t="shared" si="43"/>
        <v>3600</v>
      </c>
      <c r="I2769" s="10" t="s">
        <v>10</v>
      </c>
      <c r="J2769" s="13">
        <v>46101</v>
      </c>
      <c r="K2769" t="s">
        <v>467</v>
      </c>
    </row>
    <row r="2770" hidden="1" spans="1:11">
      <c r="A2770" t="s">
        <v>319</v>
      </c>
      <c r="B2770" s="8">
        <v>252603968</v>
      </c>
      <c r="C2770" s="9">
        <v>46051</v>
      </c>
      <c r="D2770" s="8" t="s">
        <v>33</v>
      </c>
      <c r="E2770" s="10">
        <v>200000</v>
      </c>
      <c r="F2770" s="8">
        <v>0.018</v>
      </c>
      <c r="G2770" s="11">
        <v>46208</v>
      </c>
      <c r="H2770" s="12">
        <f t="shared" si="43"/>
        <v>3600</v>
      </c>
      <c r="I2770" s="10" t="s">
        <v>10</v>
      </c>
      <c r="J2770" s="13">
        <v>46101</v>
      </c>
      <c r="K2770" t="s">
        <v>467</v>
      </c>
    </row>
    <row r="2771" hidden="1" spans="1:11">
      <c r="A2771" t="s">
        <v>319</v>
      </c>
      <c r="B2771" s="8">
        <v>252603968</v>
      </c>
      <c r="C2771" s="9">
        <v>46051</v>
      </c>
      <c r="D2771" s="8" t="s">
        <v>33</v>
      </c>
      <c r="E2771" s="10">
        <v>200000</v>
      </c>
      <c r="F2771" s="8">
        <v>0.018</v>
      </c>
      <c r="G2771" s="11">
        <v>46208</v>
      </c>
      <c r="H2771" s="12">
        <f t="shared" si="43"/>
        <v>3600</v>
      </c>
      <c r="I2771" s="10" t="s">
        <v>10</v>
      </c>
      <c r="J2771" s="13">
        <v>46101</v>
      </c>
      <c r="K2771" t="s">
        <v>467</v>
      </c>
    </row>
    <row r="2772" hidden="1" spans="1:11">
      <c r="A2772" t="s">
        <v>319</v>
      </c>
      <c r="B2772" s="8">
        <v>252603968</v>
      </c>
      <c r="C2772" s="9">
        <v>46051</v>
      </c>
      <c r="D2772" s="8" t="s">
        <v>33</v>
      </c>
      <c r="E2772" s="10">
        <v>100000</v>
      </c>
      <c r="F2772" s="8">
        <v>0.018</v>
      </c>
      <c r="G2772" s="11">
        <v>46208</v>
      </c>
      <c r="H2772" s="12">
        <f t="shared" si="43"/>
        <v>1800</v>
      </c>
      <c r="I2772" s="10" t="s">
        <v>10</v>
      </c>
      <c r="J2772" s="13">
        <v>46101</v>
      </c>
      <c r="K2772" t="s">
        <v>467</v>
      </c>
    </row>
    <row r="2773" hidden="1" spans="1:11">
      <c r="A2773" t="s">
        <v>319</v>
      </c>
      <c r="B2773" s="8">
        <v>252603968</v>
      </c>
      <c r="C2773" s="9">
        <v>46051</v>
      </c>
      <c r="D2773" s="8" t="s">
        <v>32</v>
      </c>
      <c r="E2773" s="10">
        <v>200000</v>
      </c>
      <c r="F2773" s="8">
        <v>0.014</v>
      </c>
      <c r="G2773" s="11">
        <v>46178</v>
      </c>
      <c r="H2773" s="12">
        <f t="shared" si="43"/>
        <v>2800</v>
      </c>
      <c r="I2773" s="10" t="s">
        <v>10</v>
      </c>
      <c r="J2773" s="13">
        <v>46101</v>
      </c>
      <c r="K2773" t="s">
        <v>467</v>
      </c>
    </row>
    <row r="2774" hidden="1" spans="1:11">
      <c r="A2774" t="s">
        <v>319</v>
      </c>
      <c r="B2774" s="8">
        <v>252603968</v>
      </c>
      <c r="C2774" s="9">
        <v>46051</v>
      </c>
      <c r="D2774" s="8" t="s">
        <v>32</v>
      </c>
      <c r="E2774" s="10">
        <v>200000</v>
      </c>
      <c r="F2774" s="8">
        <v>0.014</v>
      </c>
      <c r="G2774" s="11">
        <v>46178</v>
      </c>
      <c r="H2774" s="12">
        <f t="shared" si="43"/>
        <v>2800</v>
      </c>
      <c r="I2774" s="10" t="s">
        <v>10</v>
      </c>
      <c r="J2774" s="13">
        <v>46101</v>
      </c>
      <c r="K2774" t="s">
        <v>467</v>
      </c>
    </row>
    <row r="2775" hidden="1" spans="1:11">
      <c r="A2775" t="s">
        <v>319</v>
      </c>
      <c r="B2775" s="8">
        <v>252603968</v>
      </c>
      <c r="C2775" s="9">
        <v>46051</v>
      </c>
      <c r="D2775" s="8" t="s">
        <v>32</v>
      </c>
      <c r="E2775" s="10">
        <v>200000</v>
      </c>
      <c r="F2775" s="8">
        <v>0.014</v>
      </c>
      <c r="G2775" s="11">
        <v>46178</v>
      </c>
      <c r="H2775" s="12">
        <f t="shared" si="43"/>
        <v>2800</v>
      </c>
      <c r="I2775" s="10" t="s">
        <v>10</v>
      </c>
      <c r="J2775" s="13">
        <v>46101</v>
      </c>
      <c r="K2775" t="s">
        <v>467</v>
      </c>
    </row>
    <row r="2776" hidden="1" spans="1:11">
      <c r="A2776" t="s">
        <v>319</v>
      </c>
      <c r="B2776" s="8">
        <v>252603968</v>
      </c>
      <c r="C2776" s="9">
        <v>46051</v>
      </c>
      <c r="D2776" s="8" t="s">
        <v>32</v>
      </c>
      <c r="E2776" s="10">
        <v>120000</v>
      </c>
      <c r="F2776" s="8">
        <v>0.014</v>
      </c>
      <c r="G2776" s="11">
        <v>46178</v>
      </c>
      <c r="H2776" s="12">
        <f t="shared" si="43"/>
        <v>1680</v>
      </c>
      <c r="I2776" s="10" t="s">
        <v>10</v>
      </c>
      <c r="J2776" s="13">
        <v>46101</v>
      </c>
      <c r="K2776" t="s">
        <v>467</v>
      </c>
    </row>
    <row r="2777" hidden="1" spans="1:11">
      <c r="A2777" t="s">
        <v>319</v>
      </c>
      <c r="B2777" s="8">
        <v>252603968</v>
      </c>
      <c r="C2777" s="9">
        <v>46051</v>
      </c>
      <c r="D2777" s="8" t="s">
        <v>32</v>
      </c>
      <c r="E2777" s="10">
        <v>200000</v>
      </c>
      <c r="F2777" s="8">
        <v>0.014</v>
      </c>
      <c r="G2777" s="11">
        <v>46208</v>
      </c>
      <c r="H2777" s="12">
        <f t="shared" si="43"/>
        <v>2800</v>
      </c>
      <c r="I2777" s="10" t="s">
        <v>10</v>
      </c>
      <c r="J2777" s="13">
        <v>46101</v>
      </c>
      <c r="K2777" t="s">
        <v>467</v>
      </c>
    </row>
    <row r="2778" hidden="1" spans="1:11">
      <c r="A2778" t="s">
        <v>319</v>
      </c>
      <c r="B2778" s="8">
        <v>252603968</v>
      </c>
      <c r="C2778" s="9">
        <v>46051</v>
      </c>
      <c r="D2778" s="8" t="s">
        <v>32</v>
      </c>
      <c r="E2778" s="10">
        <v>200000</v>
      </c>
      <c r="F2778" s="8">
        <v>0.014</v>
      </c>
      <c r="G2778" s="11">
        <v>46208</v>
      </c>
      <c r="H2778" s="12">
        <f t="shared" si="43"/>
        <v>2800</v>
      </c>
      <c r="I2778" s="10" t="s">
        <v>10</v>
      </c>
      <c r="J2778" s="13">
        <v>46101</v>
      </c>
      <c r="K2778" t="s">
        <v>467</v>
      </c>
    </row>
    <row r="2779" hidden="1" spans="1:11">
      <c r="A2779" t="s">
        <v>319</v>
      </c>
      <c r="B2779" s="8">
        <v>252603968</v>
      </c>
      <c r="C2779" s="9">
        <v>46051</v>
      </c>
      <c r="D2779" s="8" t="s">
        <v>32</v>
      </c>
      <c r="E2779" s="10">
        <v>200000</v>
      </c>
      <c r="F2779" s="8">
        <v>0.014</v>
      </c>
      <c r="G2779" s="11">
        <v>46208</v>
      </c>
      <c r="H2779" s="12">
        <f t="shared" si="43"/>
        <v>2800</v>
      </c>
      <c r="I2779" s="10" t="s">
        <v>10</v>
      </c>
      <c r="J2779" s="13">
        <v>46101</v>
      </c>
      <c r="K2779" t="s">
        <v>467</v>
      </c>
    </row>
    <row r="2780" hidden="1" spans="1:11">
      <c r="A2780" t="s">
        <v>319</v>
      </c>
      <c r="B2780" s="8">
        <v>252603968</v>
      </c>
      <c r="C2780" s="9">
        <v>46051</v>
      </c>
      <c r="D2780" s="8" t="s">
        <v>32</v>
      </c>
      <c r="E2780" s="10">
        <v>120000</v>
      </c>
      <c r="F2780" s="8">
        <v>0.014</v>
      </c>
      <c r="G2780" s="11">
        <v>46208</v>
      </c>
      <c r="H2780" s="12">
        <f t="shared" si="43"/>
        <v>1680</v>
      </c>
      <c r="I2780" s="10" t="s">
        <v>10</v>
      </c>
      <c r="J2780" s="13">
        <v>46101</v>
      </c>
      <c r="K2780" t="s">
        <v>467</v>
      </c>
    </row>
    <row r="2781" hidden="1" spans="1:11">
      <c r="A2781" t="s">
        <v>319</v>
      </c>
      <c r="B2781" s="8">
        <v>252603969</v>
      </c>
      <c r="C2781" s="9">
        <v>46051</v>
      </c>
      <c r="D2781" s="8" t="s">
        <v>29</v>
      </c>
      <c r="E2781" s="10">
        <v>200000</v>
      </c>
      <c r="F2781" s="8">
        <v>0.0216</v>
      </c>
      <c r="G2781" s="11">
        <v>46178</v>
      </c>
      <c r="H2781" s="12">
        <f t="shared" si="43"/>
        <v>4320</v>
      </c>
      <c r="I2781" s="10" t="s">
        <v>10</v>
      </c>
      <c r="J2781" s="13">
        <v>46132</v>
      </c>
      <c r="K2781" t="s">
        <v>467</v>
      </c>
    </row>
    <row r="2782" hidden="1" spans="1:11">
      <c r="A2782" t="s">
        <v>319</v>
      </c>
      <c r="B2782" s="8">
        <v>252603969</v>
      </c>
      <c r="C2782" s="9">
        <v>46051</v>
      </c>
      <c r="D2782" s="8" t="s">
        <v>29</v>
      </c>
      <c r="E2782" s="10">
        <v>200000</v>
      </c>
      <c r="F2782" s="8">
        <v>0.0216</v>
      </c>
      <c r="G2782" s="11">
        <v>46178</v>
      </c>
      <c r="H2782" s="12">
        <f t="shared" si="43"/>
        <v>4320</v>
      </c>
      <c r="I2782" s="10" t="s">
        <v>10</v>
      </c>
      <c r="J2782" s="13">
        <v>46132</v>
      </c>
      <c r="K2782" t="s">
        <v>467</v>
      </c>
    </row>
    <row r="2783" hidden="1" spans="1:11">
      <c r="A2783" t="s">
        <v>319</v>
      </c>
      <c r="B2783" s="8">
        <v>252603969</v>
      </c>
      <c r="C2783" s="9">
        <v>46051</v>
      </c>
      <c r="D2783" s="8" t="s">
        <v>29</v>
      </c>
      <c r="E2783" s="10">
        <v>200000</v>
      </c>
      <c r="F2783" s="8">
        <v>0.0216</v>
      </c>
      <c r="G2783" s="11">
        <v>46178</v>
      </c>
      <c r="H2783" s="12">
        <f t="shared" si="43"/>
        <v>4320</v>
      </c>
      <c r="I2783" s="10" t="s">
        <v>10</v>
      </c>
      <c r="J2783" s="13">
        <v>46132</v>
      </c>
      <c r="K2783" t="s">
        <v>467</v>
      </c>
    </row>
    <row r="2784" hidden="1" spans="1:11">
      <c r="A2784" t="s">
        <v>319</v>
      </c>
      <c r="B2784" s="8">
        <v>252603969</v>
      </c>
      <c r="C2784" s="9">
        <v>46051</v>
      </c>
      <c r="D2784" s="8" t="s">
        <v>29</v>
      </c>
      <c r="E2784" s="10">
        <v>200000</v>
      </c>
      <c r="F2784" s="8">
        <v>0.0216</v>
      </c>
      <c r="G2784" s="11">
        <v>46178</v>
      </c>
      <c r="H2784" s="12">
        <f t="shared" si="43"/>
        <v>4320</v>
      </c>
      <c r="I2784" s="10" t="s">
        <v>10</v>
      </c>
      <c r="J2784" s="13">
        <v>46132</v>
      </c>
      <c r="K2784" t="s">
        <v>467</v>
      </c>
    </row>
    <row r="2785" hidden="1" spans="1:11">
      <c r="A2785" t="s">
        <v>319</v>
      </c>
      <c r="B2785" s="8">
        <v>252603969</v>
      </c>
      <c r="C2785" s="9">
        <v>46051</v>
      </c>
      <c r="D2785" s="8" t="s">
        <v>29</v>
      </c>
      <c r="E2785" s="10">
        <v>200000</v>
      </c>
      <c r="F2785" s="8">
        <v>0.0216</v>
      </c>
      <c r="G2785" s="11">
        <v>46178</v>
      </c>
      <c r="H2785" s="12">
        <f t="shared" si="43"/>
        <v>4320</v>
      </c>
      <c r="I2785" s="10" t="s">
        <v>10</v>
      </c>
      <c r="J2785" s="13">
        <v>46132</v>
      </c>
      <c r="K2785" t="s">
        <v>467</v>
      </c>
    </row>
    <row r="2786" hidden="1" spans="1:11">
      <c r="A2786" t="s">
        <v>319</v>
      </c>
      <c r="B2786" s="8">
        <v>252603969</v>
      </c>
      <c r="C2786" s="9">
        <v>46051</v>
      </c>
      <c r="D2786" s="8" t="s">
        <v>29</v>
      </c>
      <c r="E2786" s="10">
        <v>200000</v>
      </c>
      <c r="F2786" s="8">
        <v>0.0216</v>
      </c>
      <c r="G2786" s="11">
        <v>46178</v>
      </c>
      <c r="H2786" s="12">
        <f t="shared" si="43"/>
        <v>4320</v>
      </c>
      <c r="I2786" s="10" t="s">
        <v>10</v>
      </c>
      <c r="J2786" s="13">
        <v>46132</v>
      </c>
      <c r="K2786" t="s">
        <v>467</v>
      </c>
    </row>
    <row r="2787" hidden="1" spans="1:11">
      <c r="A2787" t="s">
        <v>319</v>
      </c>
      <c r="B2787" s="8">
        <v>252603969</v>
      </c>
      <c r="C2787" s="9">
        <v>46051</v>
      </c>
      <c r="D2787" s="8" t="s">
        <v>29</v>
      </c>
      <c r="E2787" s="10">
        <v>200000</v>
      </c>
      <c r="F2787" s="8">
        <v>0.0216</v>
      </c>
      <c r="G2787" s="11">
        <v>46178</v>
      </c>
      <c r="H2787" s="12">
        <f t="shared" si="43"/>
        <v>4320</v>
      </c>
      <c r="I2787" s="10" t="s">
        <v>10</v>
      </c>
      <c r="J2787" s="13">
        <v>46132</v>
      </c>
      <c r="K2787" t="s">
        <v>467</v>
      </c>
    </row>
    <row r="2788" hidden="1" spans="1:11">
      <c r="A2788" t="s">
        <v>319</v>
      </c>
      <c r="B2788" s="8">
        <v>252603969</v>
      </c>
      <c r="C2788" s="9">
        <v>46051</v>
      </c>
      <c r="D2788" s="8" t="s">
        <v>29</v>
      </c>
      <c r="E2788" s="10">
        <v>200000</v>
      </c>
      <c r="F2788" s="8">
        <v>0.0216</v>
      </c>
      <c r="G2788" s="11">
        <v>46178</v>
      </c>
      <c r="H2788" s="12">
        <f t="shared" si="43"/>
        <v>4320</v>
      </c>
      <c r="I2788" s="10" t="s">
        <v>10</v>
      </c>
      <c r="J2788" s="13">
        <v>46132</v>
      </c>
      <c r="K2788" t="s">
        <v>467</v>
      </c>
    </row>
    <row r="2789" hidden="1" spans="1:11">
      <c r="A2789" t="s">
        <v>319</v>
      </c>
      <c r="B2789" s="8">
        <v>252603969</v>
      </c>
      <c r="C2789" s="9">
        <v>46051</v>
      </c>
      <c r="D2789" s="8" t="s">
        <v>29</v>
      </c>
      <c r="E2789" s="10">
        <v>200000</v>
      </c>
      <c r="F2789" s="8">
        <v>0.0216</v>
      </c>
      <c r="G2789" s="11">
        <v>46178</v>
      </c>
      <c r="H2789" s="12">
        <f t="shared" si="43"/>
        <v>4320</v>
      </c>
      <c r="I2789" s="10" t="s">
        <v>10</v>
      </c>
      <c r="J2789" s="13">
        <v>46132</v>
      </c>
      <c r="K2789" t="s">
        <v>467</v>
      </c>
    </row>
    <row r="2790" hidden="1" spans="1:11">
      <c r="A2790" t="s">
        <v>319</v>
      </c>
      <c r="B2790" s="8">
        <v>252603969</v>
      </c>
      <c r="C2790" s="9">
        <v>46051</v>
      </c>
      <c r="D2790" s="8" t="s">
        <v>29</v>
      </c>
      <c r="E2790" s="10">
        <v>200000</v>
      </c>
      <c r="F2790" s="8">
        <v>0.0216</v>
      </c>
      <c r="G2790" s="11">
        <v>46178</v>
      </c>
      <c r="H2790" s="12">
        <f t="shared" si="43"/>
        <v>4320</v>
      </c>
      <c r="I2790" s="10" t="s">
        <v>10</v>
      </c>
      <c r="J2790" s="13">
        <v>46132</v>
      </c>
      <c r="K2790" t="s">
        <v>467</v>
      </c>
    </row>
    <row r="2791" hidden="1" spans="1:11">
      <c r="A2791" t="s">
        <v>319</v>
      </c>
      <c r="B2791" s="8">
        <v>252603969</v>
      </c>
      <c r="C2791" s="9">
        <v>46051</v>
      </c>
      <c r="D2791" s="8" t="s">
        <v>29</v>
      </c>
      <c r="E2791" s="10">
        <v>200000</v>
      </c>
      <c r="F2791" s="8">
        <v>0.0216</v>
      </c>
      <c r="G2791" s="11">
        <v>46178</v>
      </c>
      <c r="H2791" s="12">
        <f t="shared" si="43"/>
        <v>4320</v>
      </c>
      <c r="I2791" s="10" t="s">
        <v>10</v>
      </c>
      <c r="J2791" s="13">
        <v>46132</v>
      </c>
      <c r="K2791" t="s">
        <v>467</v>
      </c>
    </row>
    <row r="2792" hidden="1" spans="1:11">
      <c r="A2792" t="s">
        <v>319</v>
      </c>
      <c r="B2792" s="8">
        <v>252603969</v>
      </c>
      <c r="C2792" s="9">
        <v>46051</v>
      </c>
      <c r="D2792" s="8" t="s">
        <v>29</v>
      </c>
      <c r="E2792" s="10">
        <v>200000</v>
      </c>
      <c r="F2792" s="8">
        <v>0.0216</v>
      </c>
      <c r="G2792" s="11">
        <v>46208</v>
      </c>
      <c r="H2792" s="12">
        <f t="shared" si="43"/>
        <v>4320</v>
      </c>
      <c r="I2792" s="10" t="s">
        <v>10</v>
      </c>
      <c r="J2792" s="13">
        <v>46132</v>
      </c>
      <c r="K2792" t="s">
        <v>467</v>
      </c>
    </row>
    <row r="2793" hidden="1" spans="1:11">
      <c r="A2793" t="s">
        <v>319</v>
      </c>
      <c r="B2793" s="8">
        <v>252603969</v>
      </c>
      <c r="C2793" s="9">
        <v>46051</v>
      </c>
      <c r="D2793" s="8" t="s">
        <v>29</v>
      </c>
      <c r="E2793" s="10">
        <v>200000</v>
      </c>
      <c r="F2793" s="8">
        <v>0.0216</v>
      </c>
      <c r="G2793" s="11">
        <v>46208</v>
      </c>
      <c r="H2793" s="12">
        <f t="shared" si="43"/>
        <v>4320</v>
      </c>
      <c r="I2793" s="10" t="s">
        <v>10</v>
      </c>
      <c r="J2793" s="13">
        <v>46132</v>
      </c>
      <c r="K2793" t="s">
        <v>467</v>
      </c>
    </row>
    <row r="2794" hidden="1" spans="1:11">
      <c r="A2794" t="s">
        <v>319</v>
      </c>
      <c r="B2794" s="8">
        <v>252603970</v>
      </c>
      <c r="C2794" s="9">
        <v>46051</v>
      </c>
      <c r="D2794" s="8" t="s">
        <v>29</v>
      </c>
      <c r="E2794" s="10">
        <v>200000</v>
      </c>
      <c r="F2794" s="8">
        <v>0.0216</v>
      </c>
      <c r="G2794" s="11">
        <v>46208</v>
      </c>
      <c r="H2794" s="12">
        <f t="shared" si="43"/>
        <v>4320</v>
      </c>
      <c r="I2794" s="10" t="s">
        <v>10</v>
      </c>
      <c r="J2794" s="13">
        <v>46184</v>
      </c>
      <c r="K2794" t="s">
        <v>467</v>
      </c>
    </row>
    <row r="2795" hidden="1" spans="1:11">
      <c r="A2795" t="s">
        <v>319</v>
      </c>
      <c r="B2795" s="8">
        <v>252603970</v>
      </c>
      <c r="C2795" s="9">
        <v>46051</v>
      </c>
      <c r="D2795" s="8" t="s">
        <v>29</v>
      </c>
      <c r="E2795" s="10">
        <v>200000</v>
      </c>
      <c r="F2795" s="8">
        <v>0.0216</v>
      </c>
      <c r="G2795" s="11">
        <v>46208</v>
      </c>
      <c r="H2795" s="12">
        <f t="shared" si="43"/>
        <v>4320</v>
      </c>
      <c r="I2795" s="10" t="s">
        <v>10</v>
      </c>
      <c r="J2795" s="13">
        <v>46184</v>
      </c>
      <c r="K2795" t="s">
        <v>467</v>
      </c>
    </row>
    <row r="2796" hidden="1" spans="1:11">
      <c r="A2796" t="s">
        <v>319</v>
      </c>
      <c r="B2796" s="8">
        <v>252603970</v>
      </c>
      <c r="C2796" s="9">
        <v>46051</v>
      </c>
      <c r="D2796" s="8" t="s">
        <v>29</v>
      </c>
      <c r="E2796" s="10">
        <v>200000</v>
      </c>
      <c r="F2796" s="8">
        <v>0.0216</v>
      </c>
      <c r="G2796" s="11">
        <v>46208</v>
      </c>
      <c r="H2796" s="12">
        <f t="shared" si="43"/>
        <v>4320</v>
      </c>
      <c r="I2796" s="10" t="s">
        <v>10</v>
      </c>
      <c r="J2796" s="13">
        <v>46184</v>
      </c>
      <c r="K2796" t="s">
        <v>467</v>
      </c>
    </row>
    <row r="2797" hidden="1" spans="1:11">
      <c r="A2797" t="s">
        <v>319</v>
      </c>
      <c r="B2797" s="8">
        <v>252603970</v>
      </c>
      <c r="C2797" s="9">
        <v>46051</v>
      </c>
      <c r="D2797" s="8" t="s">
        <v>78</v>
      </c>
      <c r="E2797" s="10">
        <v>40000</v>
      </c>
      <c r="F2797" s="8">
        <v>0.016</v>
      </c>
      <c r="G2797" s="11">
        <v>46178</v>
      </c>
      <c r="H2797" s="12">
        <f t="shared" si="43"/>
        <v>640</v>
      </c>
      <c r="I2797" s="10" t="s">
        <v>10</v>
      </c>
      <c r="J2797" s="13">
        <v>46184</v>
      </c>
      <c r="K2797" t="s">
        <v>467</v>
      </c>
    </row>
    <row r="2798" hidden="1" spans="1:11">
      <c r="A2798" t="s">
        <v>319</v>
      </c>
      <c r="B2798" s="8">
        <v>252603970</v>
      </c>
      <c r="C2798" s="9">
        <v>46051</v>
      </c>
      <c r="D2798" s="8" t="s">
        <v>78</v>
      </c>
      <c r="E2798" s="10">
        <v>40000</v>
      </c>
      <c r="F2798" s="8">
        <v>0.016</v>
      </c>
      <c r="G2798" s="11">
        <v>46208</v>
      </c>
      <c r="H2798" s="12">
        <f t="shared" si="43"/>
        <v>640</v>
      </c>
      <c r="I2798" s="10" t="s">
        <v>10</v>
      </c>
      <c r="J2798" s="13">
        <v>46184</v>
      </c>
      <c r="K2798" t="s">
        <v>467</v>
      </c>
    </row>
    <row r="2799" hidden="1" spans="1:11">
      <c r="A2799" t="s">
        <v>319</v>
      </c>
      <c r="B2799" s="8">
        <v>252603977</v>
      </c>
      <c r="C2799" s="9">
        <v>46055</v>
      </c>
      <c r="D2799" s="8" t="s">
        <v>162</v>
      </c>
      <c r="E2799" s="10">
        <v>200000</v>
      </c>
      <c r="F2799" s="8">
        <v>0.05</v>
      </c>
      <c r="G2799" s="11">
        <v>46086</v>
      </c>
      <c r="H2799" s="12">
        <f t="shared" si="43"/>
        <v>10000</v>
      </c>
      <c r="I2799" s="10" t="s">
        <v>10</v>
      </c>
      <c r="J2799" s="13">
        <v>46057</v>
      </c>
      <c r="K2799" t="s">
        <v>377</v>
      </c>
    </row>
    <row r="2800" hidden="1" spans="1:11">
      <c r="A2800" t="s">
        <v>319</v>
      </c>
      <c r="B2800" s="8">
        <v>252603977</v>
      </c>
      <c r="C2800" s="9">
        <v>46055</v>
      </c>
      <c r="D2800" s="8" t="s">
        <v>50</v>
      </c>
      <c r="E2800" s="10">
        <v>100000</v>
      </c>
      <c r="F2800" s="8">
        <v>0.08</v>
      </c>
      <c r="G2800" s="11">
        <v>46117</v>
      </c>
      <c r="H2800" s="12">
        <f t="shared" si="43"/>
        <v>8000</v>
      </c>
      <c r="I2800" s="10" t="s">
        <v>10</v>
      </c>
      <c r="J2800" s="13">
        <v>46057</v>
      </c>
      <c r="K2800" t="s">
        <v>377</v>
      </c>
    </row>
    <row r="2801" hidden="1" spans="1:11">
      <c r="A2801" t="s">
        <v>319</v>
      </c>
      <c r="B2801" s="8">
        <v>252603977</v>
      </c>
      <c r="C2801" s="9">
        <v>46055</v>
      </c>
      <c r="D2801" s="8" t="s">
        <v>46</v>
      </c>
      <c r="E2801" s="10">
        <v>48000</v>
      </c>
      <c r="F2801" s="8">
        <v>0.02</v>
      </c>
      <c r="G2801" s="11">
        <v>46117</v>
      </c>
      <c r="H2801" s="12">
        <f t="shared" si="43"/>
        <v>960</v>
      </c>
      <c r="I2801" s="10" t="s">
        <v>10</v>
      </c>
      <c r="J2801" s="13">
        <v>46057</v>
      </c>
      <c r="K2801" t="s">
        <v>377</v>
      </c>
    </row>
    <row r="2802" hidden="1" spans="1:11">
      <c r="A2802" t="s">
        <v>319</v>
      </c>
      <c r="B2802" s="8">
        <v>252603977</v>
      </c>
      <c r="C2802" s="9">
        <v>46055</v>
      </c>
      <c r="D2802" s="8" t="s">
        <v>502</v>
      </c>
      <c r="E2802" s="10">
        <v>100000</v>
      </c>
      <c r="F2802" s="8">
        <v>0.1</v>
      </c>
      <c r="G2802" s="11">
        <v>46117</v>
      </c>
      <c r="H2802" s="12">
        <f t="shared" si="43"/>
        <v>10000</v>
      </c>
      <c r="I2802" s="10" t="s">
        <v>10</v>
      </c>
      <c r="J2802" s="13">
        <v>46057</v>
      </c>
      <c r="K2802" t="s">
        <v>377</v>
      </c>
    </row>
    <row r="2803" hidden="1" spans="1:11">
      <c r="A2803" t="s">
        <v>319</v>
      </c>
      <c r="B2803" s="8">
        <v>252603977</v>
      </c>
      <c r="C2803" s="9">
        <v>46055</v>
      </c>
      <c r="D2803" s="8" t="s">
        <v>558</v>
      </c>
      <c r="E2803" s="10">
        <v>80000</v>
      </c>
      <c r="F2803" s="8">
        <v>0.07</v>
      </c>
      <c r="G2803" s="11">
        <v>46117</v>
      </c>
      <c r="H2803" s="12">
        <f t="shared" si="43"/>
        <v>5600</v>
      </c>
      <c r="I2803" s="10" t="s">
        <v>10</v>
      </c>
      <c r="J2803" s="13">
        <v>46057</v>
      </c>
      <c r="K2803" t="s">
        <v>377</v>
      </c>
    </row>
    <row r="2804" hidden="1" spans="1:11">
      <c r="A2804" t="s">
        <v>319</v>
      </c>
      <c r="B2804" s="8">
        <v>252603977</v>
      </c>
      <c r="C2804" s="9">
        <v>46055</v>
      </c>
      <c r="D2804" s="8" t="s">
        <v>558</v>
      </c>
      <c r="E2804" s="10">
        <v>80000</v>
      </c>
      <c r="F2804" s="8">
        <v>0.07</v>
      </c>
      <c r="G2804" s="11">
        <v>46117</v>
      </c>
      <c r="H2804" s="12">
        <f t="shared" si="43"/>
        <v>5600</v>
      </c>
      <c r="I2804" s="10" t="s">
        <v>10</v>
      </c>
      <c r="J2804" s="13">
        <v>46057</v>
      </c>
      <c r="K2804" t="s">
        <v>377</v>
      </c>
    </row>
    <row r="2805" hidden="1" spans="1:11">
      <c r="A2805" t="s">
        <v>319</v>
      </c>
      <c r="B2805" s="8">
        <v>252603977</v>
      </c>
      <c r="C2805" s="9">
        <v>46055</v>
      </c>
      <c r="D2805" s="8" t="s">
        <v>557</v>
      </c>
      <c r="E2805" s="10">
        <v>50000</v>
      </c>
      <c r="F2805" s="8">
        <v>0.026</v>
      </c>
      <c r="G2805" s="11">
        <v>46117</v>
      </c>
      <c r="H2805" s="12">
        <f t="shared" si="43"/>
        <v>1300</v>
      </c>
      <c r="I2805" s="10" t="s">
        <v>10</v>
      </c>
      <c r="J2805" s="13">
        <v>46057</v>
      </c>
      <c r="K2805" t="s">
        <v>377</v>
      </c>
    </row>
    <row r="2806" hidden="1" spans="1:11">
      <c r="A2806" t="s">
        <v>319</v>
      </c>
      <c r="B2806" s="8">
        <v>252603977</v>
      </c>
      <c r="C2806" s="9">
        <v>46055</v>
      </c>
      <c r="D2806" s="8" t="s">
        <v>511</v>
      </c>
      <c r="E2806" s="10">
        <v>32000</v>
      </c>
      <c r="F2806" s="8">
        <v>0.041</v>
      </c>
      <c r="G2806" s="11">
        <v>46117</v>
      </c>
      <c r="H2806" s="12">
        <f t="shared" si="43"/>
        <v>1312</v>
      </c>
      <c r="I2806" s="10" t="s">
        <v>10</v>
      </c>
      <c r="J2806" s="13">
        <v>46057</v>
      </c>
      <c r="K2806" t="s">
        <v>377</v>
      </c>
    </row>
    <row r="2807" hidden="1" spans="1:11">
      <c r="A2807" t="s">
        <v>319</v>
      </c>
      <c r="B2807" s="8">
        <v>252603989</v>
      </c>
      <c r="C2807" s="9">
        <v>46055</v>
      </c>
      <c r="D2807" s="8" t="s">
        <v>30</v>
      </c>
      <c r="E2807" s="10">
        <v>200000</v>
      </c>
      <c r="F2807" s="8">
        <v>0.022</v>
      </c>
      <c r="G2807" s="11">
        <v>46086</v>
      </c>
      <c r="H2807" s="12">
        <f t="shared" si="43"/>
        <v>4400</v>
      </c>
      <c r="I2807" s="10" t="s">
        <v>10</v>
      </c>
      <c r="J2807" s="13">
        <v>46062</v>
      </c>
      <c r="K2807" t="s">
        <v>445</v>
      </c>
    </row>
    <row r="2808" hidden="1" spans="1:11">
      <c r="A2808" t="s">
        <v>319</v>
      </c>
      <c r="B2808" s="8">
        <v>252603989</v>
      </c>
      <c r="C2808" s="9">
        <v>46055</v>
      </c>
      <c r="D2808" s="8" t="s">
        <v>30</v>
      </c>
      <c r="E2808" s="10">
        <v>200000</v>
      </c>
      <c r="F2808" s="8">
        <v>0.022</v>
      </c>
      <c r="G2808" s="11">
        <v>46086</v>
      </c>
      <c r="H2808" s="12">
        <f t="shared" si="43"/>
        <v>4400</v>
      </c>
      <c r="I2808" s="10" t="s">
        <v>10</v>
      </c>
      <c r="J2808" s="13">
        <v>46062</v>
      </c>
      <c r="K2808" t="s">
        <v>445</v>
      </c>
    </row>
    <row r="2809" hidden="1" spans="1:11">
      <c r="A2809" t="s">
        <v>319</v>
      </c>
      <c r="B2809" s="8">
        <v>252603989</v>
      </c>
      <c r="C2809" s="9">
        <v>46055</v>
      </c>
      <c r="D2809" s="8" t="s">
        <v>30</v>
      </c>
      <c r="E2809" s="10">
        <v>200000</v>
      </c>
      <c r="F2809" s="8">
        <v>0.022</v>
      </c>
      <c r="G2809" s="11">
        <v>46086</v>
      </c>
      <c r="H2809" s="12">
        <f t="shared" si="43"/>
        <v>4400</v>
      </c>
      <c r="I2809" s="10" t="s">
        <v>10</v>
      </c>
      <c r="J2809" s="13">
        <v>46062</v>
      </c>
      <c r="K2809" t="s">
        <v>445</v>
      </c>
    </row>
    <row r="2810" hidden="1" spans="1:11">
      <c r="A2810" t="s">
        <v>319</v>
      </c>
      <c r="B2810" s="8">
        <v>252603989</v>
      </c>
      <c r="C2810" s="9">
        <v>46055</v>
      </c>
      <c r="D2810" s="8" t="s">
        <v>30</v>
      </c>
      <c r="E2810" s="10">
        <v>200000</v>
      </c>
      <c r="F2810" s="8">
        <v>0.022</v>
      </c>
      <c r="G2810" s="11">
        <v>46086</v>
      </c>
      <c r="H2810" s="12">
        <f t="shared" si="43"/>
        <v>4400</v>
      </c>
      <c r="I2810" s="10" t="s">
        <v>10</v>
      </c>
      <c r="J2810" s="13">
        <v>46062</v>
      </c>
      <c r="K2810" t="s">
        <v>445</v>
      </c>
    </row>
    <row r="2811" hidden="1" spans="1:11">
      <c r="A2811" t="s">
        <v>319</v>
      </c>
      <c r="B2811" s="8">
        <v>252603989</v>
      </c>
      <c r="C2811" s="9">
        <v>46055</v>
      </c>
      <c r="D2811" s="8" t="s">
        <v>30</v>
      </c>
      <c r="E2811" s="10">
        <v>200000</v>
      </c>
      <c r="F2811" s="8">
        <v>0.022</v>
      </c>
      <c r="G2811" s="11">
        <v>46117</v>
      </c>
      <c r="H2811" s="12">
        <f t="shared" si="43"/>
        <v>4400</v>
      </c>
      <c r="I2811" s="10" t="s">
        <v>10</v>
      </c>
      <c r="J2811" s="13">
        <v>46062</v>
      </c>
      <c r="K2811" t="s">
        <v>445</v>
      </c>
    </row>
    <row r="2812" hidden="1" spans="1:11">
      <c r="A2812" t="s">
        <v>319</v>
      </c>
      <c r="B2812" s="8">
        <v>252603989</v>
      </c>
      <c r="C2812" s="9">
        <v>46055</v>
      </c>
      <c r="D2812" s="8" t="s">
        <v>30</v>
      </c>
      <c r="E2812" s="10">
        <v>200000</v>
      </c>
      <c r="F2812" s="8">
        <v>0.022</v>
      </c>
      <c r="G2812" s="11">
        <v>46117</v>
      </c>
      <c r="H2812" s="12">
        <f t="shared" si="43"/>
        <v>4400</v>
      </c>
      <c r="I2812" s="10" t="s">
        <v>10</v>
      </c>
      <c r="J2812" s="13">
        <v>46062</v>
      </c>
      <c r="K2812" t="s">
        <v>445</v>
      </c>
    </row>
    <row r="2813" hidden="1" spans="1:11">
      <c r="A2813" t="s">
        <v>319</v>
      </c>
      <c r="B2813" s="8">
        <v>252603989</v>
      </c>
      <c r="C2813" s="9">
        <v>46055</v>
      </c>
      <c r="D2813" s="8" t="s">
        <v>30</v>
      </c>
      <c r="E2813" s="10">
        <v>200000</v>
      </c>
      <c r="F2813" s="8">
        <v>0.022</v>
      </c>
      <c r="G2813" s="11">
        <v>46117</v>
      </c>
      <c r="H2813" s="12">
        <f t="shared" si="43"/>
        <v>4400</v>
      </c>
      <c r="I2813" s="10" t="s">
        <v>10</v>
      </c>
      <c r="J2813" s="13">
        <v>46062</v>
      </c>
      <c r="K2813" t="s">
        <v>445</v>
      </c>
    </row>
    <row r="2814" hidden="1" spans="1:11">
      <c r="A2814" t="s">
        <v>319</v>
      </c>
      <c r="B2814" s="8">
        <v>252603989</v>
      </c>
      <c r="C2814" s="9">
        <v>46055</v>
      </c>
      <c r="D2814" s="8" t="s">
        <v>30</v>
      </c>
      <c r="E2814" s="10">
        <v>200000</v>
      </c>
      <c r="F2814" s="8">
        <v>0.022</v>
      </c>
      <c r="G2814" s="11">
        <v>46117</v>
      </c>
      <c r="H2814" s="12">
        <f t="shared" si="43"/>
        <v>4400</v>
      </c>
      <c r="I2814" s="10" t="s">
        <v>10</v>
      </c>
      <c r="J2814" s="13">
        <v>46062</v>
      </c>
      <c r="K2814" t="s">
        <v>445</v>
      </c>
    </row>
    <row r="2815" hidden="1" spans="1:11">
      <c r="A2815" t="s">
        <v>319</v>
      </c>
      <c r="B2815" s="8">
        <v>252603990</v>
      </c>
      <c r="C2815" s="9">
        <v>46055</v>
      </c>
      <c r="D2815" s="8" t="s">
        <v>30</v>
      </c>
      <c r="E2815" s="10">
        <v>200000</v>
      </c>
      <c r="F2815" s="8">
        <v>0.022</v>
      </c>
      <c r="G2815" s="11">
        <v>46147</v>
      </c>
      <c r="H2815" s="12">
        <f t="shared" si="43"/>
        <v>4400</v>
      </c>
      <c r="I2815" s="10" t="s">
        <v>10</v>
      </c>
      <c r="J2815" s="13">
        <v>46126</v>
      </c>
      <c r="K2815" t="s">
        <v>445</v>
      </c>
    </row>
    <row r="2816" hidden="1" spans="1:11">
      <c r="A2816" t="s">
        <v>319</v>
      </c>
      <c r="B2816" s="8">
        <v>252603990</v>
      </c>
      <c r="C2816" s="9">
        <v>46055</v>
      </c>
      <c r="D2816" s="8" t="s">
        <v>30</v>
      </c>
      <c r="E2816" s="10">
        <v>200000</v>
      </c>
      <c r="F2816" s="8">
        <v>0.022</v>
      </c>
      <c r="G2816" s="11">
        <v>46147</v>
      </c>
      <c r="H2816" s="12">
        <f t="shared" si="43"/>
        <v>4400</v>
      </c>
      <c r="I2816" s="10" t="s">
        <v>10</v>
      </c>
      <c r="J2816" s="13">
        <v>46126</v>
      </c>
      <c r="K2816" t="s">
        <v>445</v>
      </c>
    </row>
    <row r="2817" hidden="1" spans="1:11">
      <c r="A2817" t="s">
        <v>319</v>
      </c>
      <c r="B2817" s="8">
        <v>252603990</v>
      </c>
      <c r="C2817" s="9">
        <v>46055</v>
      </c>
      <c r="D2817" s="8" t="s">
        <v>30</v>
      </c>
      <c r="E2817" s="10">
        <v>200000</v>
      </c>
      <c r="F2817" s="8">
        <v>0.022</v>
      </c>
      <c r="G2817" s="11">
        <v>46147</v>
      </c>
      <c r="H2817" s="12">
        <f t="shared" si="43"/>
        <v>4400</v>
      </c>
      <c r="I2817" s="10" t="s">
        <v>10</v>
      </c>
      <c r="J2817" s="13">
        <v>46126</v>
      </c>
      <c r="K2817" t="s">
        <v>445</v>
      </c>
    </row>
    <row r="2818" hidden="1" spans="1:11">
      <c r="A2818" t="s">
        <v>319</v>
      </c>
      <c r="B2818" s="8">
        <v>252603990</v>
      </c>
      <c r="C2818" s="9">
        <v>46055</v>
      </c>
      <c r="D2818" s="8" t="s">
        <v>30</v>
      </c>
      <c r="E2818" s="10">
        <v>200000</v>
      </c>
      <c r="F2818" s="8">
        <v>0.022</v>
      </c>
      <c r="G2818" s="11">
        <v>46147</v>
      </c>
      <c r="H2818" s="12">
        <f t="shared" ref="H2818:H2881" si="44">E2818*F2818</f>
        <v>4400</v>
      </c>
      <c r="I2818" s="10" t="s">
        <v>10</v>
      </c>
      <c r="J2818" s="13">
        <v>46126</v>
      </c>
      <c r="K2818" t="s">
        <v>445</v>
      </c>
    </row>
    <row r="2819" hidden="1" spans="1:11">
      <c r="A2819" t="s">
        <v>319</v>
      </c>
      <c r="B2819" s="8">
        <v>252603990</v>
      </c>
      <c r="C2819" s="9">
        <v>46055</v>
      </c>
      <c r="D2819" s="8" t="s">
        <v>30</v>
      </c>
      <c r="E2819" s="10">
        <v>200000</v>
      </c>
      <c r="F2819" s="8">
        <v>0.022</v>
      </c>
      <c r="G2819" s="11">
        <v>46178</v>
      </c>
      <c r="H2819" s="12">
        <f t="shared" si="44"/>
        <v>4400</v>
      </c>
      <c r="I2819" s="10" t="s">
        <v>10</v>
      </c>
      <c r="J2819" s="13">
        <v>46126</v>
      </c>
      <c r="K2819" t="s">
        <v>445</v>
      </c>
    </row>
    <row r="2820" hidden="1" spans="1:11">
      <c r="A2820" t="s">
        <v>319</v>
      </c>
      <c r="B2820" s="8">
        <v>252603990</v>
      </c>
      <c r="C2820" s="9">
        <v>46055</v>
      </c>
      <c r="D2820" s="8" t="s">
        <v>30</v>
      </c>
      <c r="E2820" s="10">
        <v>200000</v>
      </c>
      <c r="F2820" s="8">
        <v>0.022</v>
      </c>
      <c r="G2820" s="11">
        <v>46178</v>
      </c>
      <c r="H2820" s="12">
        <f t="shared" si="44"/>
        <v>4400</v>
      </c>
      <c r="I2820" s="10" t="s">
        <v>10</v>
      </c>
      <c r="J2820" s="13">
        <v>46126</v>
      </c>
      <c r="K2820" t="s">
        <v>445</v>
      </c>
    </row>
    <row r="2821" hidden="1" spans="1:11">
      <c r="A2821" t="s">
        <v>319</v>
      </c>
      <c r="B2821" s="8">
        <v>252603990</v>
      </c>
      <c r="C2821" s="9">
        <v>46055</v>
      </c>
      <c r="D2821" s="8" t="s">
        <v>30</v>
      </c>
      <c r="E2821" s="10">
        <v>200000</v>
      </c>
      <c r="F2821" s="8">
        <v>0.022</v>
      </c>
      <c r="G2821" s="11">
        <v>46178</v>
      </c>
      <c r="H2821" s="12">
        <f t="shared" si="44"/>
        <v>4400</v>
      </c>
      <c r="I2821" s="10" t="s">
        <v>10</v>
      </c>
      <c r="J2821" s="13">
        <v>46126</v>
      </c>
      <c r="K2821" t="s">
        <v>445</v>
      </c>
    </row>
    <row r="2822" hidden="1" spans="1:11">
      <c r="A2822" t="s">
        <v>319</v>
      </c>
      <c r="B2822" s="8">
        <v>252603990</v>
      </c>
      <c r="C2822" s="9">
        <v>46055</v>
      </c>
      <c r="D2822" s="8" t="s">
        <v>604</v>
      </c>
      <c r="E2822" s="10">
        <v>200000</v>
      </c>
      <c r="F2822" s="8">
        <v>0.015</v>
      </c>
      <c r="G2822" s="11">
        <v>46147</v>
      </c>
      <c r="H2822" s="12">
        <f t="shared" si="44"/>
        <v>3000</v>
      </c>
      <c r="I2822" s="10" t="s">
        <v>10</v>
      </c>
      <c r="J2822" s="13">
        <v>46113</v>
      </c>
      <c r="K2822" t="s">
        <v>445</v>
      </c>
    </row>
    <row r="2823" hidden="1" spans="1:11">
      <c r="A2823" t="s">
        <v>319</v>
      </c>
      <c r="B2823" s="8">
        <v>252603990</v>
      </c>
      <c r="C2823" s="9">
        <v>46055</v>
      </c>
      <c r="D2823" s="8" t="s">
        <v>604</v>
      </c>
      <c r="E2823" s="10">
        <v>200000</v>
      </c>
      <c r="F2823" s="8">
        <v>0.015</v>
      </c>
      <c r="G2823" s="11">
        <v>46178</v>
      </c>
      <c r="H2823" s="12">
        <f t="shared" si="44"/>
        <v>3000</v>
      </c>
      <c r="I2823" s="10" t="s">
        <v>10</v>
      </c>
      <c r="J2823" s="13">
        <v>46113</v>
      </c>
      <c r="K2823" t="s">
        <v>445</v>
      </c>
    </row>
    <row r="2824" hidden="1" spans="1:11">
      <c r="A2824" t="s">
        <v>319</v>
      </c>
      <c r="B2824" s="8">
        <v>252604067</v>
      </c>
      <c r="C2824" s="9">
        <v>46057</v>
      </c>
      <c r="D2824" s="8" t="s">
        <v>127</v>
      </c>
      <c r="E2824" s="10">
        <v>200000</v>
      </c>
      <c r="F2824" s="8">
        <v>0.03</v>
      </c>
      <c r="G2824" s="11">
        <v>46117</v>
      </c>
      <c r="H2824" s="12">
        <f t="shared" si="44"/>
        <v>6000</v>
      </c>
      <c r="I2824" s="10" t="s">
        <v>10</v>
      </c>
      <c r="J2824" s="13">
        <v>46063</v>
      </c>
      <c r="K2824" t="s">
        <v>615</v>
      </c>
    </row>
    <row r="2825" hidden="1" spans="1:11">
      <c r="A2825" t="s">
        <v>319</v>
      </c>
      <c r="B2825" s="8">
        <v>252604067</v>
      </c>
      <c r="C2825" s="9">
        <v>46057</v>
      </c>
      <c r="D2825" s="8" t="s">
        <v>127</v>
      </c>
      <c r="E2825" s="10">
        <v>100000</v>
      </c>
      <c r="F2825" s="8">
        <v>0.03</v>
      </c>
      <c r="G2825" s="11">
        <v>46117</v>
      </c>
      <c r="H2825" s="12">
        <f t="shared" si="44"/>
        <v>3000</v>
      </c>
      <c r="I2825" s="10" t="s">
        <v>10</v>
      </c>
      <c r="J2825" s="13">
        <v>46063</v>
      </c>
      <c r="K2825" t="s">
        <v>615</v>
      </c>
    </row>
    <row r="2826" hidden="1" spans="1:11">
      <c r="A2826" t="s">
        <v>319</v>
      </c>
      <c r="B2826" s="8">
        <v>252604067</v>
      </c>
      <c r="C2826" s="9">
        <v>46057</v>
      </c>
      <c r="D2826" s="8" t="s">
        <v>128</v>
      </c>
      <c r="E2826" s="10">
        <v>110000</v>
      </c>
      <c r="F2826" s="8">
        <v>0.025</v>
      </c>
      <c r="G2826" s="11">
        <v>46117</v>
      </c>
      <c r="H2826" s="12">
        <f t="shared" si="44"/>
        <v>2750</v>
      </c>
      <c r="I2826" s="10" t="s">
        <v>10</v>
      </c>
      <c r="J2826" s="13">
        <v>46063</v>
      </c>
      <c r="K2826" t="s">
        <v>615</v>
      </c>
    </row>
    <row r="2827" hidden="1" spans="1:11">
      <c r="A2827" t="s">
        <v>319</v>
      </c>
      <c r="B2827" s="8">
        <v>252604067</v>
      </c>
      <c r="C2827" s="9">
        <v>46057</v>
      </c>
      <c r="D2827" s="8" t="s">
        <v>128</v>
      </c>
      <c r="E2827" s="10">
        <v>110000</v>
      </c>
      <c r="F2827" s="8">
        <v>0.025</v>
      </c>
      <c r="G2827" s="11">
        <v>46117</v>
      </c>
      <c r="H2827" s="12">
        <f t="shared" si="44"/>
        <v>2750</v>
      </c>
      <c r="I2827" s="10" t="s">
        <v>10</v>
      </c>
      <c r="J2827" s="13">
        <v>46063</v>
      </c>
      <c r="K2827" t="s">
        <v>615</v>
      </c>
    </row>
    <row r="2828" hidden="1" spans="1:11">
      <c r="A2828" t="s">
        <v>319</v>
      </c>
      <c r="B2828" s="8">
        <v>252604067</v>
      </c>
      <c r="C2828" s="9">
        <v>46057</v>
      </c>
      <c r="D2828" s="8" t="s">
        <v>32</v>
      </c>
      <c r="E2828" s="10">
        <v>100000</v>
      </c>
      <c r="F2828" s="8">
        <v>0.014</v>
      </c>
      <c r="G2828" s="11">
        <v>46086</v>
      </c>
      <c r="H2828" s="12">
        <f t="shared" si="44"/>
        <v>1400</v>
      </c>
      <c r="I2828" s="10" t="s">
        <v>10</v>
      </c>
      <c r="J2828" s="13">
        <v>46063</v>
      </c>
      <c r="K2828" t="s">
        <v>615</v>
      </c>
    </row>
    <row r="2829" hidden="1" spans="1:11">
      <c r="A2829" t="s">
        <v>319</v>
      </c>
      <c r="B2829" s="8">
        <v>252604067</v>
      </c>
      <c r="C2829" s="9">
        <v>46057</v>
      </c>
      <c r="D2829" s="8" t="s">
        <v>32</v>
      </c>
      <c r="E2829" s="10">
        <v>100000</v>
      </c>
      <c r="F2829" s="8">
        <v>0.014</v>
      </c>
      <c r="G2829" s="11">
        <v>46117</v>
      </c>
      <c r="H2829" s="12">
        <f t="shared" si="44"/>
        <v>1400</v>
      </c>
      <c r="I2829" s="10" t="s">
        <v>10</v>
      </c>
      <c r="J2829" s="13">
        <v>46063</v>
      </c>
      <c r="K2829" t="s">
        <v>615</v>
      </c>
    </row>
    <row r="2830" hidden="1" spans="1:11">
      <c r="A2830" t="s">
        <v>319</v>
      </c>
      <c r="B2830" s="8">
        <v>252604067</v>
      </c>
      <c r="C2830" s="9">
        <v>46057</v>
      </c>
      <c r="D2830" s="8" t="s">
        <v>58</v>
      </c>
      <c r="E2830" s="10">
        <v>40000</v>
      </c>
      <c r="F2830" s="8">
        <v>0.014</v>
      </c>
      <c r="G2830" s="11">
        <v>46117</v>
      </c>
      <c r="H2830" s="12">
        <f t="shared" si="44"/>
        <v>560</v>
      </c>
      <c r="I2830" s="10" t="s">
        <v>10</v>
      </c>
      <c r="J2830" s="13">
        <v>46063</v>
      </c>
      <c r="K2830" t="s">
        <v>615</v>
      </c>
    </row>
    <row r="2831" hidden="1" spans="1:11">
      <c r="A2831" t="s">
        <v>319</v>
      </c>
      <c r="B2831" s="8">
        <v>252604067</v>
      </c>
      <c r="C2831" s="9">
        <v>46057</v>
      </c>
      <c r="D2831" s="8" t="s">
        <v>387</v>
      </c>
      <c r="E2831" s="10">
        <v>100000</v>
      </c>
      <c r="F2831" s="8">
        <v>0.025</v>
      </c>
      <c r="G2831" s="11">
        <v>46117</v>
      </c>
      <c r="H2831" s="12">
        <f t="shared" si="44"/>
        <v>2500</v>
      </c>
      <c r="I2831" s="10" t="s">
        <v>10</v>
      </c>
      <c r="J2831" s="13">
        <v>46063</v>
      </c>
      <c r="K2831" t="s">
        <v>615</v>
      </c>
    </row>
    <row r="2832" hidden="1" spans="1:11">
      <c r="A2832" t="s">
        <v>319</v>
      </c>
      <c r="B2832" s="8">
        <v>252604067</v>
      </c>
      <c r="C2832" s="9">
        <v>46057</v>
      </c>
      <c r="D2832" s="8" t="s">
        <v>516</v>
      </c>
      <c r="E2832" s="10">
        <v>130000</v>
      </c>
      <c r="F2832" s="8">
        <v>0.032</v>
      </c>
      <c r="G2832" s="11">
        <v>46117</v>
      </c>
      <c r="H2832" s="12">
        <f t="shared" si="44"/>
        <v>4160</v>
      </c>
      <c r="I2832" s="10" t="s">
        <v>10</v>
      </c>
      <c r="J2832" s="13">
        <v>46059</v>
      </c>
      <c r="K2832" t="s">
        <v>615</v>
      </c>
    </row>
    <row r="2833" hidden="1" spans="1:11">
      <c r="A2833" t="s">
        <v>319</v>
      </c>
      <c r="B2833" s="8">
        <v>252604067</v>
      </c>
      <c r="C2833" s="9">
        <v>46057</v>
      </c>
      <c r="D2833" s="8" t="s">
        <v>515</v>
      </c>
      <c r="E2833" s="10">
        <v>150000</v>
      </c>
      <c r="F2833" s="8">
        <v>0.0238</v>
      </c>
      <c r="G2833" s="11">
        <v>46117</v>
      </c>
      <c r="H2833" s="12">
        <f t="shared" si="44"/>
        <v>3570</v>
      </c>
      <c r="I2833" s="10" t="s">
        <v>10</v>
      </c>
      <c r="J2833" s="13">
        <v>46059</v>
      </c>
      <c r="K2833" t="s">
        <v>615</v>
      </c>
    </row>
    <row r="2834" hidden="1" spans="1:11">
      <c r="A2834" t="s">
        <v>319</v>
      </c>
      <c r="B2834" s="8">
        <v>252604067</v>
      </c>
      <c r="C2834" s="9">
        <v>46057</v>
      </c>
      <c r="D2834" s="8" t="s">
        <v>515</v>
      </c>
      <c r="E2834" s="10">
        <v>100000</v>
      </c>
      <c r="F2834" s="8">
        <v>0.0238</v>
      </c>
      <c r="G2834" s="11">
        <v>46117</v>
      </c>
      <c r="H2834" s="12">
        <f t="shared" si="44"/>
        <v>2380</v>
      </c>
      <c r="I2834" s="10" t="s">
        <v>10</v>
      </c>
      <c r="J2834" s="13">
        <v>46059</v>
      </c>
      <c r="K2834" t="s">
        <v>615</v>
      </c>
    </row>
    <row r="2835" hidden="1" spans="1:11">
      <c r="A2835" t="s">
        <v>319</v>
      </c>
      <c r="B2835" s="8">
        <v>252604068</v>
      </c>
      <c r="C2835" s="9">
        <v>46057</v>
      </c>
      <c r="D2835" s="8" t="s">
        <v>127</v>
      </c>
      <c r="E2835" s="10">
        <v>200000</v>
      </c>
      <c r="F2835" s="8">
        <v>0.03</v>
      </c>
      <c r="G2835" s="11">
        <v>46147</v>
      </c>
      <c r="H2835" s="12">
        <f t="shared" si="44"/>
        <v>6000</v>
      </c>
      <c r="I2835" s="10" t="s">
        <v>10</v>
      </c>
      <c r="J2835" s="13">
        <v>46101</v>
      </c>
      <c r="K2835" t="s">
        <v>615</v>
      </c>
    </row>
    <row r="2836" hidden="1" spans="1:11">
      <c r="A2836" t="s">
        <v>319</v>
      </c>
      <c r="B2836" s="8">
        <v>252604068</v>
      </c>
      <c r="C2836" s="9">
        <v>46057</v>
      </c>
      <c r="D2836" s="8" t="s">
        <v>127</v>
      </c>
      <c r="E2836" s="10">
        <v>100000</v>
      </c>
      <c r="F2836" s="8">
        <v>0.03</v>
      </c>
      <c r="G2836" s="11">
        <v>46147</v>
      </c>
      <c r="H2836" s="12">
        <f t="shared" si="44"/>
        <v>3000</v>
      </c>
      <c r="I2836" s="10" t="s">
        <v>10</v>
      </c>
      <c r="J2836" s="13">
        <v>46101</v>
      </c>
      <c r="K2836" t="s">
        <v>615</v>
      </c>
    </row>
    <row r="2837" hidden="1" spans="1:11">
      <c r="A2837" t="s">
        <v>319</v>
      </c>
      <c r="B2837" s="8">
        <v>252604068</v>
      </c>
      <c r="C2837" s="9">
        <v>46057</v>
      </c>
      <c r="D2837" s="8" t="s">
        <v>127</v>
      </c>
      <c r="E2837" s="10">
        <v>200000</v>
      </c>
      <c r="F2837" s="8">
        <v>0.03</v>
      </c>
      <c r="G2837" s="11">
        <v>46178</v>
      </c>
      <c r="H2837" s="12">
        <f t="shared" si="44"/>
        <v>6000</v>
      </c>
      <c r="I2837" s="10" t="s">
        <v>10</v>
      </c>
      <c r="J2837" s="13">
        <v>46101</v>
      </c>
      <c r="K2837" t="s">
        <v>615</v>
      </c>
    </row>
    <row r="2838" hidden="1" spans="1:11">
      <c r="A2838" t="s">
        <v>319</v>
      </c>
      <c r="B2838" s="8">
        <v>252604068</v>
      </c>
      <c r="C2838" s="9">
        <v>46057</v>
      </c>
      <c r="D2838" s="8" t="s">
        <v>127</v>
      </c>
      <c r="E2838" s="10">
        <v>100000</v>
      </c>
      <c r="F2838" s="8">
        <v>0.03</v>
      </c>
      <c r="G2838" s="11">
        <v>46178</v>
      </c>
      <c r="H2838" s="12">
        <f t="shared" si="44"/>
        <v>3000</v>
      </c>
      <c r="I2838" s="10" t="s">
        <v>10</v>
      </c>
      <c r="J2838" s="13">
        <v>46101</v>
      </c>
      <c r="K2838" t="s">
        <v>615</v>
      </c>
    </row>
    <row r="2839" hidden="1" spans="1:11">
      <c r="A2839" t="s">
        <v>319</v>
      </c>
      <c r="B2839" s="8">
        <v>252604068</v>
      </c>
      <c r="C2839" s="9">
        <v>46057</v>
      </c>
      <c r="D2839" s="8" t="s">
        <v>129</v>
      </c>
      <c r="E2839" s="10">
        <v>200000</v>
      </c>
      <c r="F2839" s="8">
        <v>0.025</v>
      </c>
      <c r="G2839" s="11">
        <v>46147</v>
      </c>
      <c r="H2839" s="12">
        <f t="shared" si="44"/>
        <v>5000</v>
      </c>
      <c r="I2839" s="10" t="s">
        <v>10</v>
      </c>
      <c r="J2839" s="13">
        <v>46101</v>
      </c>
      <c r="K2839" t="s">
        <v>615</v>
      </c>
    </row>
    <row r="2840" hidden="1" spans="1:11">
      <c r="A2840" t="s">
        <v>319</v>
      </c>
      <c r="B2840" s="8">
        <v>252604068</v>
      </c>
      <c r="C2840" s="9">
        <v>46057</v>
      </c>
      <c r="D2840" s="8" t="s">
        <v>129</v>
      </c>
      <c r="E2840" s="10">
        <v>200000</v>
      </c>
      <c r="F2840" s="8">
        <v>0.025</v>
      </c>
      <c r="G2840" s="11">
        <v>46178</v>
      </c>
      <c r="H2840" s="12">
        <f t="shared" si="44"/>
        <v>5000</v>
      </c>
      <c r="I2840" s="10" t="s">
        <v>10</v>
      </c>
      <c r="J2840" s="13">
        <v>46101</v>
      </c>
      <c r="K2840" t="s">
        <v>615</v>
      </c>
    </row>
    <row r="2841" hidden="1" spans="1:11">
      <c r="A2841" t="s">
        <v>319</v>
      </c>
      <c r="B2841" s="8">
        <v>252604068</v>
      </c>
      <c r="C2841" s="9">
        <v>46057</v>
      </c>
      <c r="D2841" s="8" t="s">
        <v>128</v>
      </c>
      <c r="E2841" s="10">
        <v>110000</v>
      </c>
      <c r="F2841" s="8">
        <v>0.025</v>
      </c>
      <c r="G2841" s="11">
        <v>46147</v>
      </c>
      <c r="H2841" s="12">
        <f t="shared" si="44"/>
        <v>2750</v>
      </c>
      <c r="I2841" s="10" t="s">
        <v>10</v>
      </c>
      <c r="J2841" s="13">
        <v>46101</v>
      </c>
      <c r="K2841" t="s">
        <v>615</v>
      </c>
    </row>
    <row r="2842" hidden="1" spans="1:11">
      <c r="A2842" t="s">
        <v>319</v>
      </c>
      <c r="B2842" s="8">
        <v>252604068</v>
      </c>
      <c r="C2842" s="9">
        <v>46057</v>
      </c>
      <c r="D2842" s="8" t="s">
        <v>128</v>
      </c>
      <c r="E2842" s="10">
        <v>110000</v>
      </c>
      <c r="F2842" s="8">
        <v>0.025</v>
      </c>
      <c r="G2842" s="11">
        <v>46147</v>
      </c>
      <c r="H2842" s="12">
        <f t="shared" si="44"/>
        <v>2750</v>
      </c>
      <c r="I2842" s="10" t="s">
        <v>10</v>
      </c>
      <c r="J2842" s="13">
        <v>46101</v>
      </c>
      <c r="K2842" t="s">
        <v>615</v>
      </c>
    </row>
    <row r="2843" hidden="1" spans="1:11">
      <c r="A2843" t="s">
        <v>319</v>
      </c>
      <c r="B2843" s="8">
        <v>252604068</v>
      </c>
      <c r="C2843" s="9">
        <v>46057</v>
      </c>
      <c r="D2843" s="8" t="s">
        <v>128</v>
      </c>
      <c r="E2843" s="10">
        <v>110000</v>
      </c>
      <c r="F2843" s="8">
        <v>0.025</v>
      </c>
      <c r="G2843" s="11">
        <v>46178</v>
      </c>
      <c r="H2843" s="12">
        <f t="shared" si="44"/>
        <v>2750</v>
      </c>
      <c r="I2843" s="10" t="s">
        <v>10</v>
      </c>
      <c r="J2843" s="13">
        <v>46101</v>
      </c>
      <c r="K2843" t="s">
        <v>615</v>
      </c>
    </row>
    <row r="2844" hidden="1" spans="1:11">
      <c r="A2844" t="s">
        <v>319</v>
      </c>
      <c r="B2844" s="8">
        <v>252604068</v>
      </c>
      <c r="C2844" s="9">
        <v>46057</v>
      </c>
      <c r="D2844" s="8" t="s">
        <v>128</v>
      </c>
      <c r="E2844" s="10">
        <v>110000</v>
      </c>
      <c r="F2844" s="8">
        <v>0.025</v>
      </c>
      <c r="G2844" s="11">
        <v>46178</v>
      </c>
      <c r="H2844" s="12">
        <f t="shared" si="44"/>
        <v>2750</v>
      </c>
      <c r="I2844" s="10" t="s">
        <v>10</v>
      </c>
      <c r="J2844" s="13">
        <v>46101</v>
      </c>
      <c r="K2844" t="s">
        <v>615</v>
      </c>
    </row>
    <row r="2845" hidden="1" spans="1:11">
      <c r="A2845" t="s">
        <v>319</v>
      </c>
      <c r="B2845" s="14">
        <v>252604068</v>
      </c>
      <c r="C2845" s="13">
        <v>46057</v>
      </c>
      <c r="D2845" s="14" t="s">
        <v>32</v>
      </c>
      <c r="E2845" s="15">
        <v>100000</v>
      </c>
      <c r="F2845" s="14">
        <v>0.014</v>
      </c>
      <c r="G2845" s="16">
        <v>46147</v>
      </c>
      <c r="H2845" s="17">
        <f t="shared" si="44"/>
        <v>1400</v>
      </c>
      <c r="I2845" s="15" t="s">
        <v>317</v>
      </c>
      <c r="J2845" s="15" t="s">
        <v>360</v>
      </c>
      <c r="K2845" t="s">
        <v>615</v>
      </c>
    </row>
    <row r="2846" hidden="1" spans="1:11">
      <c r="A2846" t="s">
        <v>319</v>
      </c>
      <c r="B2846" s="14">
        <v>252604068</v>
      </c>
      <c r="C2846" s="13">
        <v>46057</v>
      </c>
      <c r="D2846" s="14" t="s">
        <v>32</v>
      </c>
      <c r="E2846" s="15">
        <v>100000</v>
      </c>
      <c r="F2846" s="14">
        <v>0.014</v>
      </c>
      <c r="G2846" s="16">
        <v>46178</v>
      </c>
      <c r="H2846" s="17">
        <f t="shared" si="44"/>
        <v>1400</v>
      </c>
      <c r="I2846" s="15" t="s">
        <v>317</v>
      </c>
      <c r="J2846" s="15" t="s">
        <v>360</v>
      </c>
      <c r="K2846" t="s">
        <v>615</v>
      </c>
    </row>
    <row r="2847" hidden="1" spans="1:11">
      <c r="A2847" t="s">
        <v>319</v>
      </c>
      <c r="B2847" s="14">
        <v>252604068</v>
      </c>
      <c r="C2847" s="13">
        <v>46057</v>
      </c>
      <c r="D2847" s="14" t="s">
        <v>607</v>
      </c>
      <c r="E2847" s="15">
        <v>200000</v>
      </c>
      <c r="F2847" s="14">
        <v>0.025</v>
      </c>
      <c r="G2847" s="16">
        <v>46147</v>
      </c>
      <c r="H2847" s="17">
        <f t="shared" si="44"/>
        <v>5000</v>
      </c>
      <c r="I2847" s="15" t="s">
        <v>317</v>
      </c>
      <c r="J2847" s="15" t="s">
        <v>360</v>
      </c>
      <c r="K2847" t="s">
        <v>615</v>
      </c>
    </row>
    <row r="2848" hidden="1" spans="1:11">
      <c r="A2848" t="s">
        <v>319</v>
      </c>
      <c r="B2848" s="14">
        <v>252604068</v>
      </c>
      <c r="C2848" s="13">
        <v>46057</v>
      </c>
      <c r="D2848" s="14" t="s">
        <v>607</v>
      </c>
      <c r="E2848" s="15">
        <v>100000</v>
      </c>
      <c r="F2848" s="14">
        <v>0.025</v>
      </c>
      <c r="G2848" s="16">
        <v>46147</v>
      </c>
      <c r="H2848" s="17">
        <f t="shared" si="44"/>
        <v>2500</v>
      </c>
      <c r="I2848" s="15" t="s">
        <v>317</v>
      </c>
      <c r="J2848" s="15" t="s">
        <v>360</v>
      </c>
      <c r="K2848" t="s">
        <v>615</v>
      </c>
    </row>
    <row r="2849" hidden="1" spans="1:11">
      <c r="A2849" t="s">
        <v>319</v>
      </c>
      <c r="B2849" s="14">
        <v>252604068</v>
      </c>
      <c r="C2849" s="13">
        <v>46057</v>
      </c>
      <c r="D2849" s="14" t="s">
        <v>607</v>
      </c>
      <c r="E2849" s="15">
        <v>200000</v>
      </c>
      <c r="F2849" s="14">
        <v>0.025</v>
      </c>
      <c r="G2849" s="16">
        <v>46178</v>
      </c>
      <c r="H2849" s="17">
        <f t="shared" si="44"/>
        <v>5000</v>
      </c>
      <c r="I2849" s="15" t="s">
        <v>317</v>
      </c>
      <c r="J2849" s="15" t="s">
        <v>360</v>
      </c>
      <c r="K2849" t="s">
        <v>615</v>
      </c>
    </row>
    <row r="2850" hidden="1" spans="1:11">
      <c r="A2850" t="s">
        <v>319</v>
      </c>
      <c r="B2850" s="14">
        <v>252604068</v>
      </c>
      <c r="C2850" s="13">
        <v>46057</v>
      </c>
      <c r="D2850" s="14" t="s">
        <v>607</v>
      </c>
      <c r="E2850" s="15">
        <v>100000</v>
      </c>
      <c r="F2850" s="14">
        <v>0.025</v>
      </c>
      <c r="G2850" s="16">
        <v>46178</v>
      </c>
      <c r="H2850" s="17">
        <f t="shared" si="44"/>
        <v>2500</v>
      </c>
      <c r="I2850" s="15" t="s">
        <v>317</v>
      </c>
      <c r="J2850" s="15" t="s">
        <v>360</v>
      </c>
      <c r="K2850" t="s">
        <v>615</v>
      </c>
    </row>
    <row r="2851" hidden="1" spans="1:11">
      <c r="A2851" t="s">
        <v>319</v>
      </c>
      <c r="B2851" s="8">
        <v>252604069</v>
      </c>
      <c r="C2851" s="9">
        <v>46057</v>
      </c>
      <c r="D2851" s="8" t="s">
        <v>636</v>
      </c>
      <c r="E2851" s="10">
        <v>140000</v>
      </c>
      <c r="F2851" s="8">
        <v>0.026</v>
      </c>
      <c r="G2851" s="11">
        <v>46147</v>
      </c>
      <c r="H2851" s="12">
        <f t="shared" si="44"/>
        <v>3640</v>
      </c>
      <c r="I2851" s="10" t="s">
        <v>10</v>
      </c>
      <c r="J2851" s="13">
        <v>46127</v>
      </c>
      <c r="K2851" t="s">
        <v>615</v>
      </c>
    </row>
    <row r="2852" hidden="1" spans="1:11">
      <c r="A2852" t="s">
        <v>319</v>
      </c>
      <c r="B2852" s="8">
        <v>252604069</v>
      </c>
      <c r="C2852" s="9">
        <v>46057</v>
      </c>
      <c r="D2852" s="8" t="s">
        <v>636</v>
      </c>
      <c r="E2852" s="10">
        <v>140000</v>
      </c>
      <c r="F2852" s="8">
        <v>0.026</v>
      </c>
      <c r="G2852" s="11">
        <v>46178</v>
      </c>
      <c r="H2852" s="12">
        <f t="shared" si="44"/>
        <v>3640</v>
      </c>
      <c r="I2852" s="10" t="s">
        <v>10</v>
      </c>
      <c r="J2852" s="13">
        <v>46127</v>
      </c>
      <c r="K2852" t="s">
        <v>615</v>
      </c>
    </row>
    <row r="2853" hidden="1" spans="1:11">
      <c r="A2853" t="s">
        <v>319</v>
      </c>
      <c r="B2853" s="8">
        <v>252604069</v>
      </c>
      <c r="C2853" s="9">
        <v>46057</v>
      </c>
      <c r="D2853" s="8" t="s">
        <v>58</v>
      </c>
      <c r="E2853" s="10">
        <v>40000</v>
      </c>
      <c r="F2853" s="8">
        <v>0.014</v>
      </c>
      <c r="G2853" s="11">
        <v>46147</v>
      </c>
      <c r="H2853" s="12">
        <f t="shared" si="44"/>
        <v>560</v>
      </c>
      <c r="I2853" s="10" t="s">
        <v>10</v>
      </c>
      <c r="J2853" s="13">
        <v>46129</v>
      </c>
      <c r="K2853" t="s">
        <v>615</v>
      </c>
    </row>
    <row r="2854" hidden="1" spans="1:11">
      <c r="A2854" t="s">
        <v>319</v>
      </c>
      <c r="B2854" s="8">
        <v>252604069</v>
      </c>
      <c r="C2854" s="9">
        <v>46057</v>
      </c>
      <c r="D2854" s="8" t="s">
        <v>58</v>
      </c>
      <c r="E2854" s="10">
        <v>40000</v>
      </c>
      <c r="F2854" s="8">
        <v>0.014</v>
      </c>
      <c r="G2854" s="11">
        <v>46178</v>
      </c>
      <c r="H2854" s="12">
        <f t="shared" si="44"/>
        <v>560</v>
      </c>
      <c r="I2854" s="10" t="s">
        <v>10</v>
      </c>
      <c r="J2854" s="13">
        <v>46129</v>
      </c>
      <c r="K2854" t="s">
        <v>615</v>
      </c>
    </row>
    <row r="2855" hidden="1" spans="1:11">
      <c r="A2855" t="s">
        <v>319</v>
      </c>
      <c r="B2855" s="8">
        <v>252604069</v>
      </c>
      <c r="C2855" s="9">
        <v>46057</v>
      </c>
      <c r="D2855" s="8" t="s">
        <v>108</v>
      </c>
      <c r="E2855" s="10">
        <v>20000</v>
      </c>
      <c r="F2855" s="8">
        <v>0.04</v>
      </c>
      <c r="G2855" s="11">
        <v>46178</v>
      </c>
      <c r="H2855" s="12">
        <f t="shared" si="44"/>
        <v>800</v>
      </c>
      <c r="I2855" s="10" t="s">
        <v>10</v>
      </c>
      <c r="J2855" s="13">
        <v>46127</v>
      </c>
      <c r="K2855" t="s">
        <v>615</v>
      </c>
    </row>
    <row r="2856" hidden="1" spans="1:11">
      <c r="A2856" t="s">
        <v>319</v>
      </c>
      <c r="B2856" s="8">
        <v>252604069</v>
      </c>
      <c r="C2856" s="9">
        <v>46057</v>
      </c>
      <c r="D2856" s="8" t="s">
        <v>386</v>
      </c>
      <c r="E2856" s="10">
        <v>80000</v>
      </c>
      <c r="F2856" s="8">
        <v>0.03</v>
      </c>
      <c r="G2856" s="11">
        <v>46147</v>
      </c>
      <c r="H2856" s="12">
        <f t="shared" si="44"/>
        <v>2400</v>
      </c>
      <c r="I2856" s="10" t="s">
        <v>10</v>
      </c>
      <c r="J2856" s="13">
        <v>46129</v>
      </c>
      <c r="K2856" t="s">
        <v>615</v>
      </c>
    </row>
    <row r="2857" hidden="1" spans="1:11">
      <c r="A2857" t="s">
        <v>319</v>
      </c>
      <c r="B2857" s="8">
        <v>252604069</v>
      </c>
      <c r="C2857" s="9">
        <v>46057</v>
      </c>
      <c r="D2857" s="8" t="s">
        <v>386</v>
      </c>
      <c r="E2857" s="10">
        <v>80000</v>
      </c>
      <c r="F2857" s="8">
        <v>0.03</v>
      </c>
      <c r="G2857" s="11">
        <v>46178</v>
      </c>
      <c r="H2857" s="12">
        <f t="shared" si="44"/>
        <v>2400</v>
      </c>
      <c r="I2857" s="10" t="s">
        <v>10</v>
      </c>
      <c r="J2857" s="13">
        <v>46129</v>
      </c>
      <c r="K2857" t="s">
        <v>615</v>
      </c>
    </row>
    <row r="2858" hidden="1" spans="1:11">
      <c r="A2858" t="s">
        <v>319</v>
      </c>
      <c r="B2858" s="8">
        <v>252604069</v>
      </c>
      <c r="C2858" s="9">
        <v>46057</v>
      </c>
      <c r="D2858" s="8" t="s">
        <v>387</v>
      </c>
      <c r="E2858" s="10">
        <v>100000</v>
      </c>
      <c r="F2858" s="8">
        <v>0.025</v>
      </c>
      <c r="G2858" s="11">
        <v>46147</v>
      </c>
      <c r="H2858" s="12">
        <f t="shared" si="44"/>
        <v>2500</v>
      </c>
      <c r="I2858" s="10" t="s">
        <v>10</v>
      </c>
      <c r="J2858" s="13">
        <v>46129</v>
      </c>
      <c r="K2858" t="s">
        <v>615</v>
      </c>
    </row>
    <row r="2859" hidden="1" spans="1:11">
      <c r="A2859" t="s">
        <v>319</v>
      </c>
      <c r="B2859" s="8">
        <v>252604069</v>
      </c>
      <c r="C2859" s="9">
        <v>46057</v>
      </c>
      <c r="D2859" s="8" t="s">
        <v>387</v>
      </c>
      <c r="E2859" s="10">
        <v>100000</v>
      </c>
      <c r="F2859" s="8">
        <v>0.025</v>
      </c>
      <c r="G2859" s="11">
        <v>46178</v>
      </c>
      <c r="H2859" s="12">
        <f t="shared" si="44"/>
        <v>2500</v>
      </c>
      <c r="I2859" s="10" t="s">
        <v>10</v>
      </c>
      <c r="J2859" s="13">
        <v>46129</v>
      </c>
      <c r="K2859" t="s">
        <v>615</v>
      </c>
    </row>
    <row r="2860" hidden="1" spans="1:11">
      <c r="A2860" t="s">
        <v>319</v>
      </c>
      <c r="B2860" s="8">
        <v>252604069</v>
      </c>
      <c r="C2860" s="9">
        <v>46057</v>
      </c>
      <c r="D2860" s="8" t="s">
        <v>282</v>
      </c>
      <c r="E2860" s="10">
        <v>30000</v>
      </c>
      <c r="F2860" s="8">
        <v>0.0304</v>
      </c>
      <c r="G2860" s="11">
        <v>46147</v>
      </c>
      <c r="H2860" s="12">
        <f t="shared" si="44"/>
        <v>912</v>
      </c>
      <c r="I2860" s="10" t="s">
        <v>10</v>
      </c>
      <c r="J2860" s="13">
        <v>46129</v>
      </c>
      <c r="K2860" t="s">
        <v>615</v>
      </c>
    </row>
    <row r="2861" hidden="1" spans="1:11">
      <c r="A2861" t="s">
        <v>319</v>
      </c>
      <c r="B2861" s="8">
        <v>252604069</v>
      </c>
      <c r="C2861" s="9">
        <v>46057</v>
      </c>
      <c r="D2861" s="8" t="s">
        <v>282</v>
      </c>
      <c r="E2861" s="10">
        <v>30000</v>
      </c>
      <c r="F2861" s="8">
        <v>0.0304</v>
      </c>
      <c r="G2861" s="11">
        <v>46178</v>
      </c>
      <c r="H2861" s="12">
        <f t="shared" si="44"/>
        <v>912</v>
      </c>
      <c r="I2861" s="10" t="s">
        <v>10</v>
      </c>
      <c r="J2861" s="13">
        <v>46129</v>
      </c>
      <c r="K2861" t="s">
        <v>615</v>
      </c>
    </row>
    <row r="2862" hidden="1" spans="1:11">
      <c r="A2862" t="s">
        <v>319</v>
      </c>
      <c r="B2862" s="8">
        <v>252604069</v>
      </c>
      <c r="C2862" s="9">
        <v>46057</v>
      </c>
      <c r="D2862" s="8" t="s">
        <v>626</v>
      </c>
      <c r="E2862" s="10">
        <v>30000</v>
      </c>
      <c r="F2862" s="8">
        <v>0.0224</v>
      </c>
      <c r="G2862" s="11">
        <v>46147</v>
      </c>
      <c r="H2862" s="12">
        <f t="shared" si="44"/>
        <v>672</v>
      </c>
      <c r="I2862" s="10" t="s">
        <v>10</v>
      </c>
      <c r="J2862" s="13">
        <v>46129</v>
      </c>
      <c r="K2862" t="s">
        <v>615</v>
      </c>
    </row>
    <row r="2863" hidden="1" spans="1:11">
      <c r="A2863" t="s">
        <v>319</v>
      </c>
      <c r="B2863" s="8">
        <v>252604069</v>
      </c>
      <c r="C2863" s="9">
        <v>46057</v>
      </c>
      <c r="D2863" s="8" t="s">
        <v>626</v>
      </c>
      <c r="E2863" s="10">
        <v>30000</v>
      </c>
      <c r="F2863" s="8">
        <v>0.0224</v>
      </c>
      <c r="G2863" s="11">
        <v>46178</v>
      </c>
      <c r="H2863" s="12">
        <f t="shared" si="44"/>
        <v>672</v>
      </c>
      <c r="I2863" s="10" t="s">
        <v>10</v>
      </c>
      <c r="J2863" s="13">
        <v>46129</v>
      </c>
      <c r="K2863" t="s">
        <v>615</v>
      </c>
    </row>
    <row r="2864" hidden="1" spans="1:11">
      <c r="A2864" t="s">
        <v>319</v>
      </c>
      <c r="B2864" s="8">
        <v>252604069</v>
      </c>
      <c r="C2864" s="9">
        <v>46057</v>
      </c>
      <c r="D2864" s="8" t="s">
        <v>515</v>
      </c>
      <c r="E2864" s="10">
        <v>150000</v>
      </c>
      <c r="F2864" s="8">
        <v>0.0238</v>
      </c>
      <c r="G2864" s="11">
        <v>46147</v>
      </c>
      <c r="H2864" s="12">
        <f t="shared" si="44"/>
        <v>3570</v>
      </c>
      <c r="I2864" s="10" t="s">
        <v>10</v>
      </c>
      <c r="J2864" s="13">
        <v>46127</v>
      </c>
      <c r="K2864" t="s">
        <v>615</v>
      </c>
    </row>
    <row r="2865" hidden="1" spans="1:11">
      <c r="A2865" t="s">
        <v>319</v>
      </c>
      <c r="B2865" s="8">
        <v>252604069</v>
      </c>
      <c r="C2865" s="9">
        <v>46057</v>
      </c>
      <c r="D2865" s="8" t="s">
        <v>515</v>
      </c>
      <c r="E2865" s="10">
        <v>100000</v>
      </c>
      <c r="F2865" s="8">
        <v>0.0238</v>
      </c>
      <c r="G2865" s="11">
        <v>46147</v>
      </c>
      <c r="H2865" s="12">
        <f t="shared" si="44"/>
        <v>2380</v>
      </c>
      <c r="I2865" s="10" t="s">
        <v>10</v>
      </c>
      <c r="J2865" s="13">
        <v>46127</v>
      </c>
      <c r="K2865" t="s">
        <v>615</v>
      </c>
    </row>
    <row r="2866" hidden="1" spans="1:11">
      <c r="A2866" t="s">
        <v>319</v>
      </c>
      <c r="B2866" s="8">
        <v>252604069</v>
      </c>
      <c r="C2866" s="9">
        <v>46057</v>
      </c>
      <c r="D2866" s="8" t="s">
        <v>515</v>
      </c>
      <c r="E2866" s="10">
        <v>150000</v>
      </c>
      <c r="F2866" s="8">
        <v>0.0238</v>
      </c>
      <c r="G2866" s="11">
        <v>46178</v>
      </c>
      <c r="H2866" s="12">
        <f t="shared" si="44"/>
        <v>3570</v>
      </c>
      <c r="I2866" s="10" t="s">
        <v>10</v>
      </c>
      <c r="J2866" s="13">
        <v>46127</v>
      </c>
      <c r="K2866" t="s">
        <v>615</v>
      </c>
    </row>
    <row r="2867" hidden="1" spans="1:11">
      <c r="A2867" t="s">
        <v>319</v>
      </c>
      <c r="B2867" s="8">
        <v>252604069</v>
      </c>
      <c r="C2867" s="9">
        <v>46057</v>
      </c>
      <c r="D2867" s="8" t="s">
        <v>515</v>
      </c>
      <c r="E2867" s="10">
        <v>100000</v>
      </c>
      <c r="F2867" s="8">
        <v>0.0238</v>
      </c>
      <c r="G2867" s="11">
        <v>46178</v>
      </c>
      <c r="H2867" s="12">
        <f t="shared" si="44"/>
        <v>2380</v>
      </c>
      <c r="I2867" s="10" t="s">
        <v>10</v>
      </c>
      <c r="J2867" s="13">
        <v>46127</v>
      </c>
      <c r="K2867" t="s">
        <v>615</v>
      </c>
    </row>
    <row r="2868" hidden="1" spans="1:11">
      <c r="A2868" t="s">
        <v>319</v>
      </c>
      <c r="B2868" s="8">
        <v>252604071</v>
      </c>
      <c r="C2868" s="9">
        <v>46057</v>
      </c>
      <c r="D2868" s="8" t="s">
        <v>213</v>
      </c>
      <c r="E2868" s="10">
        <v>180000</v>
      </c>
      <c r="F2868" s="8">
        <v>0.042</v>
      </c>
      <c r="G2868" s="11">
        <v>46147</v>
      </c>
      <c r="H2868" s="12">
        <f t="shared" si="44"/>
        <v>7560</v>
      </c>
      <c r="I2868" s="10" t="s">
        <v>10</v>
      </c>
      <c r="J2868" s="13">
        <v>46101</v>
      </c>
      <c r="K2868" t="s">
        <v>615</v>
      </c>
    </row>
    <row r="2869" hidden="1" spans="1:11">
      <c r="A2869" t="s">
        <v>319</v>
      </c>
      <c r="B2869" s="8">
        <v>252604071</v>
      </c>
      <c r="C2869" s="9">
        <v>46057</v>
      </c>
      <c r="D2869" s="8" t="s">
        <v>213</v>
      </c>
      <c r="E2869" s="10">
        <v>180000</v>
      </c>
      <c r="F2869" s="8">
        <v>0.042</v>
      </c>
      <c r="G2869" s="11">
        <v>46178</v>
      </c>
      <c r="H2869" s="12">
        <f t="shared" si="44"/>
        <v>7560</v>
      </c>
      <c r="I2869" s="10" t="s">
        <v>10</v>
      </c>
      <c r="J2869" s="13">
        <v>46101</v>
      </c>
      <c r="K2869" t="s">
        <v>615</v>
      </c>
    </row>
    <row r="2870" hidden="1" spans="1:11">
      <c r="A2870" t="s">
        <v>319</v>
      </c>
      <c r="B2870" s="14">
        <v>252604071</v>
      </c>
      <c r="C2870" s="13">
        <v>46057</v>
      </c>
      <c r="D2870" s="14" t="s">
        <v>181</v>
      </c>
      <c r="E2870" s="15">
        <v>70000</v>
      </c>
      <c r="F2870" s="14">
        <v>0.0243</v>
      </c>
      <c r="G2870" s="16">
        <v>46147</v>
      </c>
      <c r="H2870" s="17">
        <f t="shared" si="44"/>
        <v>1701</v>
      </c>
      <c r="I2870" s="15" t="s">
        <v>317</v>
      </c>
      <c r="J2870" s="15" t="s">
        <v>360</v>
      </c>
      <c r="K2870" t="s">
        <v>615</v>
      </c>
    </row>
    <row r="2871" hidden="1" spans="1:11">
      <c r="A2871" t="s">
        <v>319</v>
      </c>
      <c r="B2871" s="14">
        <v>252604071</v>
      </c>
      <c r="C2871" s="13">
        <v>46057</v>
      </c>
      <c r="D2871" s="14" t="s">
        <v>181</v>
      </c>
      <c r="E2871" s="15">
        <v>70000</v>
      </c>
      <c r="F2871" s="14">
        <v>0.0243</v>
      </c>
      <c r="G2871" s="16">
        <v>46178</v>
      </c>
      <c r="H2871" s="17">
        <f t="shared" si="44"/>
        <v>1701</v>
      </c>
      <c r="I2871" s="15" t="s">
        <v>317</v>
      </c>
      <c r="J2871" s="15" t="s">
        <v>360</v>
      </c>
      <c r="K2871" t="s">
        <v>615</v>
      </c>
    </row>
    <row r="2872" hidden="1" spans="1:11">
      <c r="A2872" t="s">
        <v>319</v>
      </c>
      <c r="B2872" s="14">
        <v>252604071</v>
      </c>
      <c r="C2872" s="13">
        <v>46057</v>
      </c>
      <c r="D2872" s="14" t="s">
        <v>31</v>
      </c>
      <c r="E2872" s="15">
        <v>200000</v>
      </c>
      <c r="F2872" s="14">
        <v>0.024</v>
      </c>
      <c r="G2872" s="16">
        <v>46147</v>
      </c>
      <c r="H2872" s="17">
        <f t="shared" si="44"/>
        <v>4800</v>
      </c>
      <c r="I2872" s="15" t="s">
        <v>317</v>
      </c>
      <c r="J2872" s="15" t="s">
        <v>360</v>
      </c>
      <c r="K2872" t="s">
        <v>615</v>
      </c>
    </row>
    <row r="2873" hidden="1" spans="1:11">
      <c r="A2873" t="s">
        <v>319</v>
      </c>
      <c r="B2873" s="14">
        <v>252604071</v>
      </c>
      <c r="C2873" s="13">
        <v>46057</v>
      </c>
      <c r="D2873" s="14" t="s">
        <v>31</v>
      </c>
      <c r="E2873" s="15">
        <v>150000</v>
      </c>
      <c r="F2873" s="14">
        <v>0.024</v>
      </c>
      <c r="G2873" s="16">
        <v>46147</v>
      </c>
      <c r="H2873" s="17">
        <f t="shared" si="44"/>
        <v>3600</v>
      </c>
      <c r="I2873" s="15" t="s">
        <v>317</v>
      </c>
      <c r="J2873" s="15" t="s">
        <v>360</v>
      </c>
      <c r="K2873" t="s">
        <v>615</v>
      </c>
    </row>
    <row r="2874" hidden="1" spans="1:11">
      <c r="A2874" t="s">
        <v>319</v>
      </c>
      <c r="B2874" s="14">
        <v>252604071</v>
      </c>
      <c r="C2874" s="13">
        <v>46057</v>
      </c>
      <c r="D2874" s="14" t="s">
        <v>31</v>
      </c>
      <c r="E2874" s="15">
        <v>200000</v>
      </c>
      <c r="F2874" s="14">
        <v>0.024</v>
      </c>
      <c r="G2874" s="16">
        <v>46178</v>
      </c>
      <c r="H2874" s="17">
        <f t="shared" si="44"/>
        <v>4800</v>
      </c>
      <c r="I2874" s="15" t="s">
        <v>317</v>
      </c>
      <c r="J2874" s="15" t="s">
        <v>360</v>
      </c>
      <c r="K2874" t="s">
        <v>615</v>
      </c>
    </row>
    <row r="2875" hidden="1" spans="1:11">
      <c r="A2875" t="s">
        <v>319</v>
      </c>
      <c r="B2875" s="14">
        <v>252604071</v>
      </c>
      <c r="C2875" s="13">
        <v>46057</v>
      </c>
      <c r="D2875" s="14" t="s">
        <v>31</v>
      </c>
      <c r="E2875" s="15">
        <v>150000</v>
      </c>
      <c r="F2875" s="14">
        <v>0.024</v>
      </c>
      <c r="G2875" s="16">
        <v>46178</v>
      </c>
      <c r="H2875" s="17">
        <f t="shared" si="44"/>
        <v>3600</v>
      </c>
      <c r="I2875" s="15" t="s">
        <v>317</v>
      </c>
      <c r="J2875" s="15" t="s">
        <v>360</v>
      </c>
      <c r="K2875" t="s">
        <v>615</v>
      </c>
    </row>
    <row r="2876" hidden="1" spans="1:11">
      <c r="A2876" t="s">
        <v>319</v>
      </c>
      <c r="B2876" s="8">
        <v>252604071</v>
      </c>
      <c r="C2876" s="9">
        <v>46057</v>
      </c>
      <c r="D2876" s="8" t="s">
        <v>106</v>
      </c>
      <c r="E2876" s="10">
        <v>200000</v>
      </c>
      <c r="F2876" s="8">
        <v>0.033</v>
      </c>
      <c r="G2876" s="11">
        <v>46178</v>
      </c>
      <c r="H2876" s="12">
        <f t="shared" si="44"/>
        <v>6600</v>
      </c>
      <c r="I2876" s="10" t="s">
        <v>10</v>
      </c>
      <c r="J2876" s="13">
        <v>46101</v>
      </c>
      <c r="K2876" t="s">
        <v>615</v>
      </c>
    </row>
    <row r="2877" hidden="1" spans="1:11">
      <c r="A2877" t="s">
        <v>319</v>
      </c>
      <c r="B2877" s="14">
        <v>252604071</v>
      </c>
      <c r="C2877" s="13">
        <v>46057</v>
      </c>
      <c r="D2877" s="14" t="s">
        <v>581</v>
      </c>
      <c r="E2877" s="15">
        <v>200000</v>
      </c>
      <c r="F2877" s="14">
        <v>0.023</v>
      </c>
      <c r="G2877" s="16">
        <v>46147</v>
      </c>
      <c r="H2877" s="17">
        <f t="shared" si="44"/>
        <v>4600</v>
      </c>
      <c r="I2877" s="15" t="s">
        <v>317</v>
      </c>
      <c r="J2877" s="15" t="s">
        <v>360</v>
      </c>
      <c r="K2877" t="s">
        <v>615</v>
      </c>
    </row>
    <row r="2878" hidden="1" spans="1:11">
      <c r="A2878" t="s">
        <v>319</v>
      </c>
      <c r="B2878" s="14">
        <v>252604071</v>
      </c>
      <c r="C2878" s="13">
        <v>46057</v>
      </c>
      <c r="D2878" s="14" t="s">
        <v>581</v>
      </c>
      <c r="E2878" s="15">
        <v>200000</v>
      </c>
      <c r="F2878" s="14">
        <v>0.023</v>
      </c>
      <c r="G2878" s="16">
        <v>46178</v>
      </c>
      <c r="H2878" s="17">
        <f t="shared" si="44"/>
        <v>4600</v>
      </c>
      <c r="I2878" s="15" t="s">
        <v>317</v>
      </c>
      <c r="J2878" s="15" t="s">
        <v>360</v>
      </c>
      <c r="K2878" t="s">
        <v>615</v>
      </c>
    </row>
    <row r="2879" hidden="1" spans="1:11">
      <c r="A2879" t="s">
        <v>319</v>
      </c>
      <c r="B2879" s="8">
        <v>252604071</v>
      </c>
      <c r="C2879" s="9">
        <v>46057</v>
      </c>
      <c r="D2879" s="8" t="s">
        <v>609</v>
      </c>
      <c r="E2879" s="10">
        <v>140000</v>
      </c>
      <c r="F2879" s="8">
        <v>0.03</v>
      </c>
      <c r="G2879" s="11">
        <v>46147</v>
      </c>
      <c r="H2879" s="12">
        <f t="shared" si="44"/>
        <v>4200</v>
      </c>
      <c r="I2879" s="10" t="s">
        <v>10</v>
      </c>
      <c r="J2879" s="13">
        <v>46098</v>
      </c>
      <c r="K2879" t="s">
        <v>615</v>
      </c>
    </row>
    <row r="2880" hidden="1" spans="1:11">
      <c r="A2880" t="s">
        <v>319</v>
      </c>
      <c r="B2880" s="8">
        <v>252604071</v>
      </c>
      <c r="C2880" s="9">
        <v>46057</v>
      </c>
      <c r="D2880" s="8" t="s">
        <v>609</v>
      </c>
      <c r="E2880" s="10">
        <v>140000</v>
      </c>
      <c r="F2880" s="8">
        <v>0.03</v>
      </c>
      <c r="G2880" s="11">
        <v>46178</v>
      </c>
      <c r="H2880" s="12">
        <f t="shared" si="44"/>
        <v>4200</v>
      </c>
      <c r="I2880" s="10" t="s">
        <v>10</v>
      </c>
      <c r="J2880" s="13">
        <v>46098</v>
      </c>
      <c r="K2880" t="s">
        <v>615</v>
      </c>
    </row>
    <row r="2881" hidden="1" spans="1:11">
      <c r="A2881" t="s">
        <v>319</v>
      </c>
      <c r="B2881" s="8">
        <v>252604076</v>
      </c>
      <c r="C2881" s="9">
        <v>46057</v>
      </c>
      <c r="D2881" s="8" t="s">
        <v>388</v>
      </c>
      <c r="E2881" s="10">
        <v>110000</v>
      </c>
      <c r="F2881" s="8">
        <v>0.035</v>
      </c>
      <c r="G2881" s="11">
        <v>46147</v>
      </c>
      <c r="H2881" s="12">
        <f t="shared" si="44"/>
        <v>3850</v>
      </c>
      <c r="I2881" s="10" t="s">
        <v>10</v>
      </c>
      <c r="J2881" s="13">
        <v>46059</v>
      </c>
      <c r="K2881" t="s">
        <v>615</v>
      </c>
    </row>
    <row r="2882" hidden="1" spans="1:11">
      <c r="A2882" t="s">
        <v>319</v>
      </c>
      <c r="B2882" s="8">
        <v>252604076</v>
      </c>
      <c r="C2882" s="9">
        <v>46057</v>
      </c>
      <c r="D2882" s="8" t="s">
        <v>388</v>
      </c>
      <c r="E2882" s="10">
        <v>110000</v>
      </c>
      <c r="F2882" s="8">
        <v>0.035</v>
      </c>
      <c r="G2882" s="11">
        <v>46147</v>
      </c>
      <c r="H2882" s="12">
        <f t="shared" ref="H2882:H2945" si="45">E2882*F2882</f>
        <v>3850</v>
      </c>
      <c r="I2882" s="10" t="s">
        <v>10</v>
      </c>
      <c r="J2882" s="13">
        <v>46059</v>
      </c>
      <c r="K2882" t="s">
        <v>615</v>
      </c>
    </row>
    <row r="2883" hidden="1" spans="1:11">
      <c r="A2883" t="s">
        <v>319</v>
      </c>
      <c r="B2883" s="8">
        <v>252604076</v>
      </c>
      <c r="C2883" s="9">
        <v>46057</v>
      </c>
      <c r="D2883" s="8" t="s">
        <v>70</v>
      </c>
      <c r="E2883" s="10">
        <v>20000</v>
      </c>
      <c r="F2883" s="8">
        <v>0.028</v>
      </c>
      <c r="G2883" s="11">
        <v>46086</v>
      </c>
      <c r="H2883" s="12">
        <f t="shared" si="45"/>
        <v>560</v>
      </c>
      <c r="I2883" s="10" t="s">
        <v>10</v>
      </c>
      <c r="J2883" s="13">
        <v>46059</v>
      </c>
      <c r="K2883" t="s">
        <v>615</v>
      </c>
    </row>
    <row r="2884" hidden="1" spans="1:11">
      <c r="A2884" t="s">
        <v>319</v>
      </c>
      <c r="B2884" s="8">
        <v>252604076</v>
      </c>
      <c r="C2884" s="9">
        <v>46057</v>
      </c>
      <c r="D2884" s="8" t="s">
        <v>540</v>
      </c>
      <c r="E2884" s="10">
        <v>20000</v>
      </c>
      <c r="F2884" s="8">
        <v>0.0297</v>
      </c>
      <c r="G2884" s="11">
        <v>46086</v>
      </c>
      <c r="H2884" s="12">
        <f t="shared" si="45"/>
        <v>594</v>
      </c>
      <c r="I2884" s="10" t="s">
        <v>10</v>
      </c>
      <c r="J2884" s="13">
        <v>46059</v>
      </c>
      <c r="K2884" t="s">
        <v>615</v>
      </c>
    </row>
    <row r="2885" hidden="1" spans="1:11">
      <c r="A2885" t="s">
        <v>319</v>
      </c>
      <c r="B2885" s="8">
        <v>252604077</v>
      </c>
      <c r="C2885" s="9">
        <v>46058</v>
      </c>
      <c r="D2885" s="8" t="s">
        <v>388</v>
      </c>
      <c r="E2885" s="10">
        <v>110000</v>
      </c>
      <c r="F2885" s="8">
        <v>0.035</v>
      </c>
      <c r="G2885" s="11">
        <v>46178</v>
      </c>
      <c r="H2885" s="12">
        <f t="shared" si="45"/>
        <v>3850</v>
      </c>
      <c r="I2885" s="10" t="s">
        <v>10</v>
      </c>
      <c r="J2885" s="13">
        <v>46157</v>
      </c>
      <c r="K2885" t="s">
        <v>615</v>
      </c>
    </row>
    <row r="2886" hidden="1" spans="1:11">
      <c r="A2886" t="s">
        <v>319</v>
      </c>
      <c r="B2886" s="8">
        <v>252604077</v>
      </c>
      <c r="C2886" s="9">
        <v>46058</v>
      </c>
      <c r="D2886" s="8" t="s">
        <v>388</v>
      </c>
      <c r="E2886" s="10">
        <v>110000</v>
      </c>
      <c r="F2886" s="8">
        <v>0.035</v>
      </c>
      <c r="G2886" s="11">
        <v>46178</v>
      </c>
      <c r="H2886" s="12">
        <f t="shared" si="45"/>
        <v>3850</v>
      </c>
      <c r="I2886" s="10" t="s">
        <v>10</v>
      </c>
      <c r="J2886" s="13">
        <v>46157</v>
      </c>
      <c r="K2886" t="s">
        <v>615</v>
      </c>
    </row>
    <row r="2887" hidden="1" spans="1:11">
      <c r="A2887" t="s">
        <v>319</v>
      </c>
      <c r="B2887" s="8">
        <v>252604078</v>
      </c>
      <c r="C2887" s="9">
        <v>46057</v>
      </c>
      <c r="D2887" s="8" t="s">
        <v>30</v>
      </c>
      <c r="E2887" s="10">
        <v>80000</v>
      </c>
      <c r="F2887" s="8">
        <v>0.022</v>
      </c>
      <c r="G2887" s="11">
        <v>46075</v>
      </c>
      <c r="H2887" s="12">
        <f t="shared" si="45"/>
        <v>1760</v>
      </c>
      <c r="I2887" s="10" t="s">
        <v>10</v>
      </c>
      <c r="J2887" s="13">
        <v>46076</v>
      </c>
      <c r="K2887" t="s">
        <v>378</v>
      </c>
    </row>
    <row r="2888" hidden="1" spans="1:11">
      <c r="A2888" t="s">
        <v>319</v>
      </c>
      <c r="B2888" s="8">
        <v>252604081</v>
      </c>
      <c r="C2888" s="9">
        <v>46056</v>
      </c>
      <c r="D2888" s="8" t="s">
        <v>289</v>
      </c>
      <c r="E2888" s="10">
        <v>200000</v>
      </c>
      <c r="F2888" s="8">
        <v>0.033</v>
      </c>
      <c r="G2888" s="11">
        <v>46117</v>
      </c>
      <c r="H2888" s="12">
        <f t="shared" si="45"/>
        <v>6600</v>
      </c>
      <c r="I2888" s="10" t="s">
        <v>10</v>
      </c>
      <c r="J2888" s="13">
        <v>46059</v>
      </c>
      <c r="K2888" t="s">
        <v>435</v>
      </c>
    </row>
    <row r="2889" hidden="1" spans="1:11">
      <c r="A2889" t="s">
        <v>319</v>
      </c>
      <c r="B2889" s="8">
        <v>252604081</v>
      </c>
      <c r="C2889" s="9">
        <v>46056</v>
      </c>
      <c r="D2889" s="8" t="s">
        <v>289</v>
      </c>
      <c r="E2889" s="10">
        <v>200000</v>
      </c>
      <c r="F2889" s="8">
        <v>0.033</v>
      </c>
      <c r="G2889" s="11">
        <v>46117</v>
      </c>
      <c r="H2889" s="12">
        <f t="shared" si="45"/>
        <v>6600</v>
      </c>
      <c r="I2889" s="10" t="s">
        <v>10</v>
      </c>
      <c r="J2889" s="13">
        <v>46059</v>
      </c>
      <c r="K2889" t="s">
        <v>435</v>
      </c>
    </row>
    <row r="2890" hidden="1" spans="1:11">
      <c r="A2890" t="s">
        <v>319</v>
      </c>
      <c r="B2890" s="8">
        <v>252604081</v>
      </c>
      <c r="C2890" s="9">
        <v>46056</v>
      </c>
      <c r="D2890" s="8" t="s">
        <v>289</v>
      </c>
      <c r="E2890" s="10">
        <v>20000</v>
      </c>
      <c r="F2890" s="8">
        <v>0.033</v>
      </c>
      <c r="G2890" s="11">
        <v>46117</v>
      </c>
      <c r="H2890" s="12">
        <f t="shared" si="45"/>
        <v>660</v>
      </c>
      <c r="I2890" s="10" t="s">
        <v>10</v>
      </c>
      <c r="J2890" s="13">
        <v>46059</v>
      </c>
      <c r="K2890" t="s">
        <v>435</v>
      </c>
    </row>
    <row r="2891" hidden="1" spans="1:11">
      <c r="A2891" t="s">
        <v>319</v>
      </c>
      <c r="B2891" s="8">
        <v>252604081</v>
      </c>
      <c r="C2891" s="9">
        <v>46056</v>
      </c>
      <c r="D2891" s="8" t="s">
        <v>289</v>
      </c>
      <c r="E2891" s="10">
        <v>200000</v>
      </c>
      <c r="F2891" s="8">
        <v>0.033</v>
      </c>
      <c r="G2891" s="11">
        <v>46147</v>
      </c>
      <c r="H2891" s="12">
        <f t="shared" si="45"/>
        <v>6600</v>
      </c>
      <c r="I2891" s="10" t="s">
        <v>10</v>
      </c>
      <c r="J2891" s="13">
        <v>46059</v>
      </c>
      <c r="K2891" t="s">
        <v>435</v>
      </c>
    </row>
    <row r="2892" hidden="1" spans="1:11">
      <c r="A2892" t="s">
        <v>319</v>
      </c>
      <c r="B2892" s="8">
        <v>252604081</v>
      </c>
      <c r="C2892" s="9">
        <v>46056</v>
      </c>
      <c r="D2892" s="8" t="s">
        <v>289</v>
      </c>
      <c r="E2892" s="10">
        <v>200000</v>
      </c>
      <c r="F2892" s="8">
        <v>0.033</v>
      </c>
      <c r="G2892" s="11">
        <v>46147</v>
      </c>
      <c r="H2892" s="12">
        <f t="shared" si="45"/>
        <v>6600</v>
      </c>
      <c r="I2892" s="10" t="s">
        <v>10</v>
      </c>
      <c r="J2892" s="13">
        <v>46059</v>
      </c>
      <c r="K2892" t="s">
        <v>435</v>
      </c>
    </row>
    <row r="2893" hidden="1" spans="1:11">
      <c r="A2893" t="s">
        <v>319</v>
      </c>
      <c r="B2893" s="8">
        <v>252604081</v>
      </c>
      <c r="C2893" s="9">
        <v>46056</v>
      </c>
      <c r="D2893" s="8" t="s">
        <v>289</v>
      </c>
      <c r="E2893" s="10">
        <v>20000</v>
      </c>
      <c r="F2893" s="8">
        <v>0.033</v>
      </c>
      <c r="G2893" s="11">
        <v>46147</v>
      </c>
      <c r="H2893" s="12">
        <f t="shared" si="45"/>
        <v>660</v>
      </c>
      <c r="I2893" s="10" t="s">
        <v>10</v>
      </c>
      <c r="J2893" s="13">
        <v>46059</v>
      </c>
      <c r="K2893" t="s">
        <v>435</v>
      </c>
    </row>
    <row r="2894" hidden="1" spans="1:11">
      <c r="A2894" t="s">
        <v>319</v>
      </c>
      <c r="B2894" s="8">
        <v>252604081</v>
      </c>
      <c r="C2894" s="9">
        <v>46056</v>
      </c>
      <c r="D2894" s="8" t="s">
        <v>136</v>
      </c>
      <c r="E2894" s="10">
        <v>200000</v>
      </c>
      <c r="F2894" s="8">
        <v>0.028</v>
      </c>
      <c r="G2894" s="11">
        <v>46117</v>
      </c>
      <c r="H2894" s="12">
        <f t="shared" si="45"/>
        <v>5600</v>
      </c>
      <c r="I2894" s="10" t="s">
        <v>10</v>
      </c>
      <c r="J2894" s="13">
        <v>46059</v>
      </c>
      <c r="K2894" t="s">
        <v>435</v>
      </c>
    </row>
    <row r="2895" hidden="1" spans="1:11">
      <c r="A2895" t="s">
        <v>319</v>
      </c>
      <c r="B2895" s="8">
        <v>252604081</v>
      </c>
      <c r="C2895" s="9">
        <v>46056</v>
      </c>
      <c r="D2895" s="8" t="s">
        <v>136</v>
      </c>
      <c r="E2895" s="10">
        <v>100000</v>
      </c>
      <c r="F2895" s="8">
        <v>0.028</v>
      </c>
      <c r="G2895" s="11">
        <v>46117</v>
      </c>
      <c r="H2895" s="12">
        <f t="shared" si="45"/>
        <v>2800</v>
      </c>
      <c r="I2895" s="10" t="s">
        <v>10</v>
      </c>
      <c r="J2895" s="13">
        <v>46059</v>
      </c>
      <c r="K2895" t="s">
        <v>435</v>
      </c>
    </row>
    <row r="2896" hidden="1" spans="1:11">
      <c r="A2896" t="s">
        <v>319</v>
      </c>
      <c r="B2896" s="8">
        <v>252604081</v>
      </c>
      <c r="C2896" s="9">
        <v>46056</v>
      </c>
      <c r="D2896" s="8" t="s">
        <v>136</v>
      </c>
      <c r="E2896" s="10">
        <v>200000</v>
      </c>
      <c r="F2896" s="8">
        <v>0.028</v>
      </c>
      <c r="G2896" s="11">
        <v>46147</v>
      </c>
      <c r="H2896" s="12">
        <f t="shared" si="45"/>
        <v>5600</v>
      </c>
      <c r="I2896" s="10" t="s">
        <v>10</v>
      </c>
      <c r="J2896" s="13">
        <v>46059</v>
      </c>
      <c r="K2896" t="s">
        <v>435</v>
      </c>
    </row>
    <row r="2897" hidden="1" spans="1:11">
      <c r="A2897" t="s">
        <v>319</v>
      </c>
      <c r="B2897" s="8">
        <v>252604081</v>
      </c>
      <c r="C2897" s="9">
        <v>46056</v>
      </c>
      <c r="D2897" s="8" t="s">
        <v>136</v>
      </c>
      <c r="E2897" s="10">
        <v>100000</v>
      </c>
      <c r="F2897" s="8">
        <v>0.028</v>
      </c>
      <c r="G2897" s="11">
        <v>46147</v>
      </c>
      <c r="H2897" s="12">
        <f t="shared" si="45"/>
        <v>2800</v>
      </c>
      <c r="I2897" s="10" t="s">
        <v>10</v>
      </c>
      <c r="J2897" s="13">
        <v>46059</v>
      </c>
      <c r="K2897" t="s">
        <v>435</v>
      </c>
    </row>
    <row r="2898" hidden="1" spans="1:11">
      <c r="A2898" t="s">
        <v>319</v>
      </c>
      <c r="B2898" s="8">
        <v>252604081</v>
      </c>
      <c r="C2898" s="9">
        <v>46056</v>
      </c>
      <c r="D2898" s="8" t="s">
        <v>181</v>
      </c>
      <c r="E2898" s="10">
        <v>200000</v>
      </c>
      <c r="F2898" s="8">
        <v>0.0243</v>
      </c>
      <c r="G2898" s="11">
        <v>46147</v>
      </c>
      <c r="H2898" s="12">
        <f t="shared" si="45"/>
        <v>4860</v>
      </c>
      <c r="I2898" s="10" t="s">
        <v>10</v>
      </c>
      <c r="J2898" s="13">
        <v>46063</v>
      </c>
      <c r="K2898" t="s">
        <v>435</v>
      </c>
    </row>
    <row r="2899" hidden="1" spans="1:11">
      <c r="A2899" t="s">
        <v>319</v>
      </c>
      <c r="B2899" s="8">
        <v>252604081</v>
      </c>
      <c r="C2899" s="9">
        <v>46056</v>
      </c>
      <c r="D2899" s="8" t="s">
        <v>181</v>
      </c>
      <c r="E2899" s="10">
        <v>200000</v>
      </c>
      <c r="F2899" s="8">
        <v>0.0243</v>
      </c>
      <c r="G2899" s="11">
        <v>46147</v>
      </c>
      <c r="H2899" s="12">
        <f t="shared" si="45"/>
        <v>4860</v>
      </c>
      <c r="I2899" s="10" t="s">
        <v>10</v>
      </c>
      <c r="J2899" s="13">
        <v>46063</v>
      </c>
      <c r="K2899" t="s">
        <v>435</v>
      </c>
    </row>
    <row r="2900" hidden="1" spans="1:11">
      <c r="A2900" t="s">
        <v>319</v>
      </c>
      <c r="B2900" s="8">
        <v>252604081</v>
      </c>
      <c r="C2900" s="9">
        <v>46056</v>
      </c>
      <c r="D2900" s="8" t="s">
        <v>181</v>
      </c>
      <c r="E2900" s="10">
        <v>200000</v>
      </c>
      <c r="F2900" s="8">
        <v>0.0243</v>
      </c>
      <c r="G2900" s="11">
        <v>46147</v>
      </c>
      <c r="H2900" s="12">
        <f t="shared" si="45"/>
        <v>4860</v>
      </c>
      <c r="I2900" s="10" t="s">
        <v>10</v>
      </c>
      <c r="J2900" s="13">
        <v>46063</v>
      </c>
      <c r="K2900" t="s">
        <v>435</v>
      </c>
    </row>
    <row r="2901" hidden="1" spans="1:11">
      <c r="A2901" t="s">
        <v>319</v>
      </c>
      <c r="B2901" s="8">
        <v>252604082</v>
      </c>
      <c r="C2901" s="9">
        <v>46056</v>
      </c>
      <c r="D2901" s="8" t="s">
        <v>289</v>
      </c>
      <c r="E2901" s="10">
        <v>200000</v>
      </c>
      <c r="F2901" s="8">
        <v>0.033</v>
      </c>
      <c r="G2901" s="11">
        <v>46178</v>
      </c>
      <c r="H2901" s="12">
        <f t="shared" si="45"/>
        <v>6600</v>
      </c>
      <c r="I2901" s="10" t="s">
        <v>10</v>
      </c>
      <c r="J2901" s="13">
        <v>46126</v>
      </c>
      <c r="K2901" t="s">
        <v>435</v>
      </c>
    </row>
    <row r="2902" hidden="1" spans="1:11">
      <c r="A2902" t="s">
        <v>319</v>
      </c>
      <c r="B2902" s="8">
        <v>252604082</v>
      </c>
      <c r="C2902" s="9">
        <v>46056</v>
      </c>
      <c r="D2902" s="8" t="s">
        <v>289</v>
      </c>
      <c r="E2902" s="10">
        <v>200000</v>
      </c>
      <c r="F2902" s="8">
        <v>0.033</v>
      </c>
      <c r="G2902" s="11">
        <v>46178</v>
      </c>
      <c r="H2902" s="12">
        <f t="shared" si="45"/>
        <v>6600</v>
      </c>
      <c r="I2902" s="10" t="s">
        <v>10</v>
      </c>
      <c r="J2902" s="13">
        <v>46126</v>
      </c>
      <c r="K2902" t="s">
        <v>435</v>
      </c>
    </row>
    <row r="2903" hidden="1" spans="1:11">
      <c r="A2903" t="s">
        <v>319</v>
      </c>
      <c r="B2903" s="8">
        <v>252604082</v>
      </c>
      <c r="C2903" s="9">
        <v>46056</v>
      </c>
      <c r="D2903" s="8" t="s">
        <v>289</v>
      </c>
      <c r="E2903" s="10">
        <v>20000</v>
      </c>
      <c r="F2903" s="8">
        <v>0.033</v>
      </c>
      <c r="G2903" s="11">
        <v>46178</v>
      </c>
      <c r="H2903" s="12">
        <f t="shared" si="45"/>
        <v>660</v>
      </c>
      <c r="I2903" s="10" t="s">
        <v>10</v>
      </c>
      <c r="J2903" s="13">
        <v>46126</v>
      </c>
      <c r="K2903" t="s">
        <v>435</v>
      </c>
    </row>
    <row r="2904" hidden="1" spans="1:11">
      <c r="A2904" t="s">
        <v>319</v>
      </c>
      <c r="B2904" s="8">
        <v>252604082</v>
      </c>
      <c r="C2904" s="9">
        <v>46056</v>
      </c>
      <c r="D2904" s="8" t="s">
        <v>136</v>
      </c>
      <c r="E2904" s="10">
        <v>200000</v>
      </c>
      <c r="F2904" s="8">
        <v>0.028</v>
      </c>
      <c r="G2904" s="11">
        <v>46178</v>
      </c>
      <c r="H2904" s="12">
        <f t="shared" si="45"/>
        <v>5600</v>
      </c>
      <c r="I2904" s="10" t="s">
        <v>10</v>
      </c>
      <c r="J2904" s="13">
        <v>46126</v>
      </c>
      <c r="K2904" t="s">
        <v>435</v>
      </c>
    </row>
    <row r="2905" hidden="1" spans="1:11">
      <c r="A2905" t="s">
        <v>319</v>
      </c>
      <c r="B2905" s="8">
        <v>252604082</v>
      </c>
      <c r="C2905" s="9">
        <v>46056</v>
      </c>
      <c r="D2905" s="8" t="s">
        <v>136</v>
      </c>
      <c r="E2905" s="10">
        <v>100000</v>
      </c>
      <c r="F2905" s="8">
        <v>0.028</v>
      </c>
      <c r="G2905" s="11">
        <v>46178</v>
      </c>
      <c r="H2905" s="12">
        <f t="shared" si="45"/>
        <v>2800</v>
      </c>
      <c r="I2905" s="10" t="s">
        <v>10</v>
      </c>
      <c r="J2905" s="13">
        <v>46126</v>
      </c>
      <c r="K2905" t="s">
        <v>435</v>
      </c>
    </row>
    <row r="2906" hidden="1" spans="1:11">
      <c r="A2906" t="s">
        <v>319</v>
      </c>
      <c r="B2906" s="8">
        <v>252604082</v>
      </c>
      <c r="C2906" s="9">
        <v>46056</v>
      </c>
      <c r="D2906" s="8" t="s">
        <v>181</v>
      </c>
      <c r="E2906" s="10">
        <v>200000</v>
      </c>
      <c r="F2906" s="8">
        <v>0.0243</v>
      </c>
      <c r="G2906" s="11">
        <v>46178</v>
      </c>
      <c r="H2906" s="12">
        <f t="shared" si="45"/>
        <v>4860</v>
      </c>
      <c r="I2906" s="10" t="s">
        <v>10</v>
      </c>
      <c r="J2906" s="13">
        <v>46129</v>
      </c>
      <c r="K2906" t="s">
        <v>435</v>
      </c>
    </row>
    <row r="2907" hidden="1" spans="1:11">
      <c r="A2907" t="s">
        <v>319</v>
      </c>
      <c r="B2907" s="8">
        <v>252604082</v>
      </c>
      <c r="C2907" s="9">
        <v>46056</v>
      </c>
      <c r="D2907" s="8" t="s">
        <v>181</v>
      </c>
      <c r="E2907" s="10">
        <v>200000</v>
      </c>
      <c r="F2907" s="8">
        <v>0.0243</v>
      </c>
      <c r="G2907" s="11">
        <v>46178</v>
      </c>
      <c r="H2907" s="12">
        <f t="shared" si="45"/>
        <v>4860</v>
      </c>
      <c r="I2907" s="10" t="s">
        <v>10</v>
      </c>
      <c r="J2907" s="13">
        <v>46129</v>
      </c>
      <c r="K2907" t="s">
        <v>435</v>
      </c>
    </row>
    <row r="2908" hidden="1" spans="1:11">
      <c r="A2908" t="s">
        <v>319</v>
      </c>
      <c r="B2908" s="8">
        <v>252604082</v>
      </c>
      <c r="C2908" s="9">
        <v>46056</v>
      </c>
      <c r="D2908" s="8" t="s">
        <v>181</v>
      </c>
      <c r="E2908" s="10">
        <v>200000</v>
      </c>
      <c r="F2908" s="8">
        <v>0.0243</v>
      </c>
      <c r="G2908" s="11">
        <v>46178</v>
      </c>
      <c r="H2908" s="12">
        <f t="shared" si="45"/>
        <v>4860</v>
      </c>
      <c r="I2908" s="10" t="s">
        <v>10</v>
      </c>
      <c r="J2908" s="13">
        <v>46129</v>
      </c>
      <c r="K2908" t="s">
        <v>435</v>
      </c>
    </row>
    <row r="2909" hidden="1" spans="1:11">
      <c r="A2909" t="s">
        <v>319</v>
      </c>
      <c r="B2909" s="8">
        <v>252604082</v>
      </c>
      <c r="C2909" s="9">
        <v>46056</v>
      </c>
      <c r="D2909" s="8" t="s">
        <v>603</v>
      </c>
      <c r="E2909" s="10">
        <v>200000</v>
      </c>
      <c r="F2909" s="8">
        <v>0.027</v>
      </c>
      <c r="G2909" s="11">
        <v>46178</v>
      </c>
      <c r="H2909" s="12">
        <f t="shared" si="45"/>
        <v>5400</v>
      </c>
      <c r="I2909" s="10" t="s">
        <v>10</v>
      </c>
      <c r="J2909" s="13">
        <v>46129</v>
      </c>
      <c r="K2909" t="s">
        <v>435</v>
      </c>
    </row>
    <row r="2910" hidden="1" spans="1:11">
      <c r="A2910" t="s">
        <v>319</v>
      </c>
      <c r="B2910" s="8">
        <v>252604082</v>
      </c>
      <c r="C2910" s="9">
        <v>46056</v>
      </c>
      <c r="D2910" s="8" t="s">
        <v>603</v>
      </c>
      <c r="E2910" s="10">
        <v>20000</v>
      </c>
      <c r="F2910" s="8">
        <v>0.027</v>
      </c>
      <c r="G2910" s="11">
        <v>46178</v>
      </c>
      <c r="H2910" s="12">
        <f t="shared" si="45"/>
        <v>540</v>
      </c>
      <c r="I2910" s="10" t="s">
        <v>10</v>
      </c>
      <c r="J2910" s="13">
        <v>46129</v>
      </c>
      <c r="K2910" t="s">
        <v>435</v>
      </c>
    </row>
    <row r="2911" hidden="1" spans="1:11">
      <c r="A2911" t="s">
        <v>319</v>
      </c>
      <c r="B2911" s="8">
        <v>252604082</v>
      </c>
      <c r="C2911" s="9">
        <v>46056</v>
      </c>
      <c r="D2911" s="8" t="s">
        <v>602</v>
      </c>
      <c r="E2911" s="10">
        <v>130000</v>
      </c>
      <c r="F2911" s="8">
        <v>0.022</v>
      </c>
      <c r="G2911" s="11">
        <v>46178</v>
      </c>
      <c r="H2911" s="12">
        <f t="shared" si="45"/>
        <v>2860</v>
      </c>
      <c r="I2911" s="10" t="s">
        <v>10</v>
      </c>
      <c r="J2911" s="13">
        <v>46126</v>
      </c>
      <c r="K2911" t="s">
        <v>435</v>
      </c>
    </row>
    <row r="2912" hidden="1" spans="1:11">
      <c r="A2912" t="s">
        <v>319</v>
      </c>
      <c r="B2912" s="8">
        <v>252604083</v>
      </c>
      <c r="C2912" s="9">
        <v>46056</v>
      </c>
      <c r="D2912" s="8" t="s">
        <v>603</v>
      </c>
      <c r="E2912" s="10">
        <v>200000</v>
      </c>
      <c r="F2912" s="8">
        <v>0.027</v>
      </c>
      <c r="G2912" s="11">
        <v>46117</v>
      </c>
      <c r="H2912" s="12">
        <f t="shared" si="45"/>
        <v>5400</v>
      </c>
      <c r="I2912" s="10" t="s">
        <v>10</v>
      </c>
      <c r="J2912" s="13">
        <v>46063</v>
      </c>
      <c r="K2912" t="s">
        <v>435</v>
      </c>
    </row>
    <row r="2913" hidden="1" spans="1:11">
      <c r="A2913" t="s">
        <v>319</v>
      </c>
      <c r="B2913" s="8">
        <v>252604083</v>
      </c>
      <c r="C2913" s="9">
        <v>46056</v>
      </c>
      <c r="D2913" s="8" t="s">
        <v>603</v>
      </c>
      <c r="E2913" s="10">
        <v>20000</v>
      </c>
      <c r="F2913" s="8">
        <v>0.027</v>
      </c>
      <c r="G2913" s="11">
        <v>46117</v>
      </c>
      <c r="H2913" s="12">
        <f t="shared" si="45"/>
        <v>540</v>
      </c>
      <c r="I2913" s="10" t="s">
        <v>10</v>
      </c>
      <c r="J2913" s="13">
        <v>46063</v>
      </c>
      <c r="K2913" t="s">
        <v>435</v>
      </c>
    </row>
    <row r="2914" hidden="1" spans="1:11">
      <c r="A2914" t="s">
        <v>319</v>
      </c>
      <c r="B2914" s="8">
        <v>252604083</v>
      </c>
      <c r="C2914" s="9">
        <v>46056</v>
      </c>
      <c r="D2914" s="8" t="s">
        <v>603</v>
      </c>
      <c r="E2914" s="10">
        <v>200000</v>
      </c>
      <c r="F2914" s="8">
        <v>0.027</v>
      </c>
      <c r="G2914" s="11">
        <v>46147</v>
      </c>
      <c r="H2914" s="12">
        <f t="shared" si="45"/>
        <v>5400</v>
      </c>
      <c r="I2914" s="10" t="s">
        <v>10</v>
      </c>
      <c r="J2914" s="13">
        <v>46063</v>
      </c>
      <c r="K2914" t="s">
        <v>435</v>
      </c>
    </row>
    <row r="2915" hidden="1" spans="1:11">
      <c r="A2915" t="s">
        <v>319</v>
      </c>
      <c r="B2915" s="8">
        <v>252604083</v>
      </c>
      <c r="C2915" s="9">
        <v>46056</v>
      </c>
      <c r="D2915" s="8" t="s">
        <v>603</v>
      </c>
      <c r="E2915" s="10">
        <v>20000</v>
      </c>
      <c r="F2915" s="8">
        <v>0.027</v>
      </c>
      <c r="G2915" s="11">
        <v>46147</v>
      </c>
      <c r="H2915" s="12">
        <f t="shared" si="45"/>
        <v>540</v>
      </c>
      <c r="I2915" s="10" t="s">
        <v>10</v>
      </c>
      <c r="J2915" s="13">
        <v>46063</v>
      </c>
      <c r="K2915" t="s">
        <v>435</v>
      </c>
    </row>
    <row r="2916" hidden="1" spans="1:11">
      <c r="A2916" t="s">
        <v>319</v>
      </c>
      <c r="B2916" s="8">
        <v>252604083</v>
      </c>
      <c r="C2916" s="9">
        <v>46056</v>
      </c>
      <c r="D2916" s="8" t="s">
        <v>602</v>
      </c>
      <c r="E2916" s="10">
        <v>130000</v>
      </c>
      <c r="F2916" s="8">
        <v>0.022</v>
      </c>
      <c r="G2916" s="11">
        <v>46147</v>
      </c>
      <c r="H2916" s="12">
        <f t="shared" si="45"/>
        <v>2860</v>
      </c>
      <c r="I2916" s="10" t="s">
        <v>10</v>
      </c>
      <c r="J2916" s="13">
        <v>46059</v>
      </c>
      <c r="K2916" t="s">
        <v>435</v>
      </c>
    </row>
    <row r="2917" hidden="1" spans="1:11">
      <c r="A2917" t="s">
        <v>319</v>
      </c>
      <c r="B2917" s="8">
        <v>252604089</v>
      </c>
      <c r="C2917" s="9">
        <v>46058</v>
      </c>
      <c r="D2917" s="8" t="s">
        <v>625</v>
      </c>
      <c r="E2917" s="10">
        <v>200000</v>
      </c>
      <c r="F2917" s="8">
        <v>0.032</v>
      </c>
      <c r="G2917" s="11">
        <v>46147</v>
      </c>
      <c r="H2917" s="12">
        <f t="shared" si="45"/>
        <v>6400</v>
      </c>
      <c r="I2917" s="10" t="s">
        <v>10</v>
      </c>
      <c r="J2917" s="13">
        <v>46147</v>
      </c>
      <c r="K2917" t="s">
        <v>489</v>
      </c>
    </row>
    <row r="2918" hidden="1" spans="1:11">
      <c r="A2918" t="s">
        <v>319</v>
      </c>
      <c r="B2918" s="8">
        <v>252604089</v>
      </c>
      <c r="C2918" s="9">
        <v>46058</v>
      </c>
      <c r="D2918" s="8" t="s">
        <v>625</v>
      </c>
      <c r="E2918" s="10">
        <v>200000</v>
      </c>
      <c r="F2918" s="8">
        <v>0.032</v>
      </c>
      <c r="G2918" s="11">
        <v>46147</v>
      </c>
      <c r="H2918" s="12">
        <f t="shared" si="45"/>
        <v>6400</v>
      </c>
      <c r="I2918" s="10" t="s">
        <v>10</v>
      </c>
      <c r="J2918" s="13">
        <v>46147</v>
      </c>
      <c r="K2918" t="s">
        <v>489</v>
      </c>
    </row>
    <row r="2919" hidden="1" spans="1:11">
      <c r="A2919" t="s">
        <v>319</v>
      </c>
      <c r="B2919" s="8">
        <v>252604089</v>
      </c>
      <c r="C2919" s="9">
        <v>46058</v>
      </c>
      <c r="D2919" s="8" t="s">
        <v>625</v>
      </c>
      <c r="E2919" s="10">
        <v>100000</v>
      </c>
      <c r="F2919" s="8">
        <v>0.032</v>
      </c>
      <c r="G2919" s="11">
        <v>46147</v>
      </c>
      <c r="H2919" s="12">
        <f t="shared" si="45"/>
        <v>3200</v>
      </c>
      <c r="I2919" s="10" t="s">
        <v>10</v>
      </c>
      <c r="J2919" s="13">
        <v>46147</v>
      </c>
      <c r="K2919" t="s">
        <v>489</v>
      </c>
    </row>
    <row r="2920" hidden="1" spans="1:11">
      <c r="A2920" t="s">
        <v>319</v>
      </c>
      <c r="B2920" s="8">
        <v>252604089</v>
      </c>
      <c r="C2920" s="9">
        <v>46058</v>
      </c>
      <c r="D2920" s="8" t="s">
        <v>625</v>
      </c>
      <c r="E2920" s="10">
        <v>200000</v>
      </c>
      <c r="F2920" s="8">
        <v>0.032</v>
      </c>
      <c r="G2920" s="11">
        <v>46178</v>
      </c>
      <c r="H2920" s="12">
        <f t="shared" si="45"/>
        <v>6400</v>
      </c>
      <c r="I2920" s="10" t="s">
        <v>10</v>
      </c>
      <c r="J2920" s="13">
        <v>46147</v>
      </c>
      <c r="K2920" t="s">
        <v>489</v>
      </c>
    </row>
    <row r="2921" hidden="1" spans="1:11">
      <c r="A2921" t="s">
        <v>319</v>
      </c>
      <c r="B2921" s="8">
        <v>252604089</v>
      </c>
      <c r="C2921" s="9">
        <v>46058</v>
      </c>
      <c r="D2921" s="8" t="s">
        <v>625</v>
      </c>
      <c r="E2921" s="10">
        <v>200000</v>
      </c>
      <c r="F2921" s="8">
        <v>0.032</v>
      </c>
      <c r="G2921" s="11">
        <v>46178</v>
      </c>
      <c r="H2921" s="12">
        <f t="shared" si="45"/>
        <v>6400</v>
      </c>
      <c r="I2921" s="10" t="s">
        <v>10</v>
      </c>
      <c r="J2921" s="13">
        <v>46147</v>
      </c>
      <c r="K2921" t="s">
        <v>489</v>
      </c>
    </row>
    <row r="2922" hidden="1" spans="1:11">
      <c r="A2922" t="s">
        <v>319</v>
      </c>
      <c r="B2922" s="8">
        <v>252604089</v>
      </c>
      <c r="C2922" s="9">
        <v>46058</v>
      </c>
      <c r="D2922" s="8" t="s">
        <v>625</v>
      </c>
      <c r="E2922" s="10">
        <v>100000</v>
      </c>
      <c r="F2922" s="8">
        <v>0.032</v>
      </c>
      <c r="G2922" s="11">
        <v>46178</v>
      </c>
      <c r="H2922" s="12">
        <f t="shared" si="45"/>
        <v>3200</v>
      </c>
      <c r="I2922" s="10" t="s">
        <v>10</v>
      </c>
      <c r="J2922" s="13">
        <v>46147</v>
      </c>
      <c r="K2922" t="s">
        <v>489</v>
      </c>
    </row>
    <row r="2923" hidden="1" spans="1:11">
      <c r="A2923" t="s">
        <v>319</v>
      </c>
      <c r="B2923" s="8">
        <v>252604089</v>
      </c>
      <c r="C2923" s="9">
        <v>46058</v>
      </c>
      <c r="D2923" s="8" t="s">
        <v>425</v>
      </c>
      <c r="E2923" s="10">
        <v>80000</v>
      </c>
      <c r="F2923" s="8">
        <v>0.07</v>
      </c>
      <c r="G2923" s="11">
        <v>46147</v>
      </c>
      <c r="H2923" s="12">
        <f t="shared" si="45"/>
        <v>5600</v>
      </c>
      <c r="I2923" s="10" t="s">
        <v>10</v>
      </c>
      <c r="J2923" s="13">
        <v>46147</v>
      </c>
      <c r="K2923" t="s">
        <v>489</v>
      </c>
    </row>
    <row r="2924" hidden="1" spans="1:11">
      <c r="A2924" t="s">
        <v>319</v>
      </c>
      <c r="B2924" s="8">
        <v>252604089</v>
      </c>
      <c r="C2924" s="9">
        <v>46058</v>
      </c>
      <c r="D2924" s="8" t="s">
        <v>425</v>
      </c>
      <c r="E2924" s="10">
        <v>80000</v>
      </c>
      <c r="F2924" s="8">
        <v>0.07</v>
      </c>
      <c r="G2924" s="11">
        <v>46178</v>
      </c>
      <c r="H2924" s="12">
        <f t="shared" si="45"/>
        <v>5600</v>
      </c>
      <c r="I2924" s="10" t="s">
        <v>10</v>
      </c>
      <c r="J2924" s="13">
        <v>46147</v>
      </c>
      <c r="K2924" t="s">
        <v>489</v>
      </c>
    </row>
    <row r="2925" hidden="1" spans="1:11">
      <c r="A2925" t="s">
        <v>319</v>
      </c>
      <c r="B2925" s="8">
        <v>252604093</v>
      </c>
      <c r="C2925" s="9">
        <v>46058</v>
      </c>
      <c r="D2925" s="8" t="s">
        <v>625</v>
      </c>
      <c r="E2925" s="10">
        <v>200000</v>
      </c>
      <c r="F2925" s="8">
        <v>0.032</v>
      </c>
      <c r="G2925" s="11">
        <v>46208</v>
      </c>
      <c r="H2925" s="12">
        <f t="shared" si="45"/>
        <v>6400</v>
      </c>
      <c r="I2925" s="10" t="s">
        <v>10</v>
      </c>
      <c r="J2925" s="13">
        <v>46168</v>
      </c>
      <c r="K2925" t="s">
        <v>489</v>
      </c>
    </row>
    <row r="2926" hidden="1" spans="1:11">
      <c r="A2926" t="s">
        <v>319</v>
      </c>
      <c r="B2926" s="8">
        <v>252604093</v>
      </c>
      <c r="C2926" s="9">
        <v>46058</v>
      </c>
      <c r="D2926" s="8" t="s">
        <v>625</v>
      </c>
      <c r="E2926" s="10">
        <v>200000</v>
      </c>
      <c r="F2926" s="8">
        <v>0.032</v>
      </c>
      <c r="G2926" s="11">
        <v>46208</v>
      </c>
      <c r="H2926" s="12">
        <f t="shared" si="45"/>
        <v>6400</v>
      </c>
      <c r="I2926" s="10" t="s">
        <v>10</v>
      </c>
      <c r="J2926" s="13">
        <v>46168</v>
      </c>
      <c r="K2926" t="s">
        <v>489</v>
      </c>
    </row>
    <row r="2927" hidden="1" spans="1:11">
      <c r="A2927" t="s">
        <v>319</v>
      </c>
      <c r="B2927" s="8">
        <v>252604093</v>
      </c>
      <c r="C2927" s="9">
        <v>46058</v>
      </c>
      <c r="D2927" s="8" t="s">
        <v>625</v>
      </c>
      <c r="E2927" s="10">
        <v>100000</v>
      </c>
      <c r="F2927" s="8">
        <v>0.032</v>
      </c>
      <c r="G2927" s="11">
        <v>46208</v>
      </c>
      <c r="H2927" s="12">
        <f t="shared" si="45"/>
        <v>3200</v>
      </c>
      <c r="I2927" s="10" t="s">
        <v>10</v>
      </c>
      <c r="J2927" s="13">
        <v>46168</v>
      </c>
      <c r="K2927" t="s">
        <v>489</v>
      </c>
    </row>
    <row r="2928" hidden="1" spans="1:11">
      <c r="A2928" t="s">
        <v>319</v>
      </c>
      <c r="B2928" s="8">
        <v>252604093</v>
      </c>
      <c r="C2928" s="9">
        <v>46058</v>
      </c>
      <c r="D2928" s="8" t="s">
        <v>425</v>
      </c>
      <c r="E2928" s="10">
        <v>80000</v>
      </c>
      <c r="F2928" s="8">
        <v>0.07</v>
      </c>
      <c r="G2928" s="11">
        <v>46208</v>
      </c>
      <c r="H2928" s="12">
        <f t="shared" si="45"/>
        <v>5600</v>
      </c>
      <c r="I2928" s="10" t="s">
        <v>10</v>
      </c>
      <c r="J2928" s="13">
        <v>46168</v>
      </c>
      <c r="K2928" t="s">
        <v>489</v>
      </c>
    </row>
    <row r="2929" hidden="1" spans="1:11">
      <c r="A2929" t="s">
        <v>319</v>
      </c>
      <c r="B2929" s="8">
        <v>252604103</v>
      </c>
      <c r="C2929" s="9">
        <v>46058</v>
      </c>
      <c r="D2929" s="8" t="s">
        <v>39</v>
      </c>
      <c r="E2929" s="10">
        <v>200000</v>
      </c>
      <c r="F2929" s="8">
        <v>0.022</v>
      </c>
      <c r="G2929" s="11">
        <v>46117</v>
      </c>
      <c r="H2929" s="12">
        <f t="shared" si="45"/>
        <v>4400</v>
      </c>
      <c r="I2929" s="10" t="s">
        <v>10</v>
      </c>
      <c r="J2929" s="13">
        <v>46083</v>
      </c>
      <c r="K2929" t="s">
        <v>431</v>
      </c>
    </row>
    <row r="2930" hidden="1" spans="1:11">
      <c r="A2930" t="s">
        <v>319</v>
      </c>
      <c r="B2930" s="8">
        <v>252604103</v>
      </c>
      <c r="C2930" s="9">
        <v>46058</v>
      </c>
      <c r="D2930" s="8" t="s">
        <v>39</v>
      </c>
      <c r="E2930" s="10">
        <v>200000</v>
      </c>
      <c r="F2930" s="8">
        <v>0.022</v>
      </c>
      <c r="G2930" s="11">
        <v>46117</v>
      </c>
      <c r="H2930" s="12">
        <f t="shared" si="45"/>
        <v>4400</v>
      </c>
      <c r="I2930" s="10" t="s">
        <v>10</v>
      </c>
      <c r="J2930" s="13">
        <v>46083</v>
      </c>
      <c r="K2930" t="s">
        <v>431</v>
      </c>
    </row>
    <row r="2931" hidden="1" spans="1:11">
      <c r="A2931" t="s">
        <v>319</v>
      </c>
      <c r="B2931" s="8">
        <v>252604103</v>
      </c>
      <c r="C2931" s="9">
        <v>46058</v>
      </c>
      <c r="D2931" s="8" t="s">
        <v>39</v>
      </c>
      <c r="E2931" s="10">
        <v>200000</v>
      </c>
      <c r="F2931" s="8">
        <v>0.022</v>
      </c>
      <c r="G2931" s="11">
        <v>46117</v>
      </c>
      <c r="H2931" s="12">
        <f t="shared" si="45"/>
        <v>4400</v>
      </c>
      <c r="I2931" s="10" t="s">
        <v>10</v>
      </c>
      <c r="J2931" s="13">
        <v>46083</v>
      </c>
      <c r="K2931" t="s">
        <v>431</v>
      </c>
    </row>
    <row r="2932" hidden="1" spans="1:11">
      <c r="A2932" t="s">
        <v>319</v>
      </c>
      <c r="B2932" s="8">
        <v>252604103</v>
      </c>
      <c r="C2932" s="9">
        <v>46058</v>
      </c>
      <c r="D2932" s="8" t="s">
        <v>39</v>
      </c>
      <c r="E2932" s="10">
        <v>200000</v>
      </c>
      <c r="F2932" s="8">
        <v>0.022</v>
      </c>
      <c r="G2932" s="11">
        <v>46117</v>
      </c>
      <c r="H2932" s="12">
        <f t="shared" si="45"/>
        <v>4400</v>
      </c>
      <c r="I2932" s="10" t="s">
        <v>10</v>
      </c>
      <c r="J2932" s="13">
        <v>46083</v>
      </c>
      <c r="K2932" t="s">
        <v>431</v>
      </c>
    </row>
    <row r="2933" hidden="1" spans="1:11">
      <c r="A2933" t="s">
        <v>319</v>
      </c>
      <c r="B2933" s="8">
        <v>252604103</v>
      </c>
      <c r="C2933" s="9">
        <v>46058</v>
      </c>
      <c r="D2933" s="8" t="s">
        <v>39</v>
      </c>
      <c r="E2933" s="10">
        <v>200000</v>
      </c>
      <c r="F2933" s="8">
        <v>0.022</v>
      </c>
      <c r="G2933" s="11">
        <v>46117</v>
      </c>
      <c r="H2933" s="12">
        <f t="shared" si="45"/>
        <v>4400</v>
      </c>
      <c r="I2933" s="10" t="s">
        <v>10</v>
      </c>
      <c r="J2933" s="13">
        <v>46083</v>
      </c>
      <c r="K2933" t="s">
        <v>431</v>
      </c>
    </row>
    <row r="2934" hidden="1" spans="1:11">
      <c r="A2934" t="s">
        <v>319</v>
      </c>
      <c r="B2934" s="8">
        <v>252604103</v>
      </c>
      <c r="C2934" s="9">
        <v>46058</v>
      </c>
      <c r="D2934" s="8" t="s">
        <v>39</v>
      </c>
      <c r="E2934" s="10">
        <v>200000</v>
      </c>
      <c r="F2934" s="8">
        <v>0.022</v>
      </c>
      <c r="G2934" s="11">
        <v>46117</v>
      </c>
      <c r="H2934" s="12">
        <f t="shared" si="45"/>
        <v>4400</v>
      </c>
      <c r="I2934" s="10" t="s">
        <v>10</v>
      </c>
      <c r="J2934" s="13">
        <v>46083</v>
      </c>
      <c r="K2934" t="s">
        <v>431</v>
      </c>
    </row>
    <row r="2935" hidden="1" spans="1:11">
      <c r="A2935" t="s">
        <v>319</v>
      </c>
      <c r="B2935" s="8">
        <v>252604103</v>
      </c>
      <c r="C2935" s="9">
        <v>46058</v>
      </c>
      <c r="D2935" s="8" t="s">
        <v>39</v>
      </c>
      <c r="E2935" s="10">
        <v>200000</v>
      </c>
      <c r="F2935" s="8">
        <v>0.022</v>
      </c>
      <c r="G2935" s="11">
        <v>46147</v>
      </c>
      <c r="H2935" s="12">
        <f t="shared" si="45"/>
        <v>4400</v>
      </c>
      <c r="I2935" s="10" t="s">
        <v>10</v>
      </c>
      <c r="J2935" s="13">
        <v>46083</v>
      </c>
      <c r="K2935" t="s">
        <v>431</v>
      </c>
    </row>
    <row r="2936" hidden="1" spans="1:11">
      <c r="A2936" t="s">
        <v>319</v>
      </c>
      <c r="B2936" s="8">
        <v>252604103</v>
      </c>
      <c r="C2936" s="9">
        <v>46058</v>
      </c>
      <c r="D2936" s="8" t="s">
        <v>39</v>
      </c>
      <c r="E2936" s="10">
        <v>200000</v>
      </c>
      <c r="F2936" s="8">
        <v>0.022</v>
      </c>
      <c r="G2936" s="11">
        <v>46147</v>
      </c>
      <c r="H2936" s="12">
        <f t="shared" si="45"/>
        <v>4400</v>
      </c>
      <c r="I2936" s="10" t="s">
        <v>10</v>
      </c>
      <c r="J2936" s="13">
        <v>46083</v>
      </c>
      <c r="K2936" t="s">
        <v>431</v>
      </c>
    </row>
    <row r="2937" hidden="1" spans="1:11">
      <c r="A2937" t="s">
        <v>319</v>
      </c>
      <c r="B2937" s="8">
        <v>252604103</v>
      </c>
      <c r="C2937" s="9">
        <v>46058</v>
      </c>
      <c r="D2937" s="8" t="s">
        <v>39</v>
      </c>
      <c r="E2937" s="10">
        <v>200000</v>
      </c>
      <c r="F2937" s="8">
        <v>0.022</v>
      </c>
      <c r="G2937" s="11">
        <v>46147</v>
      </c>
      <c r="H2937" s="12">
        <f t="shared" si="45"/>
        <v>4400</v>
      </c>
      <c r="I2937" s="10" t="s">
        <v>10</v>
      </c>
      <c r="J2937" s="13">
        <v>46083</v>
      </c>
      <c r="K2937" t="s">
        <v>431</v>
      </c>
    </row>
    <row r="2938" hidden="1" spans="1:11">
      <c r="A2938" t="s">
        <v>319</v>
      </c>
      <c r="B2938" s="8">
        <v>252604103</v>
      </c>
      <c r="C2938" s="9">
        <v>46058</v>
      </c>
      <c r="D2938" s="8" t="s">
        <v>39</v>
      </c>
      <c r="E2938" s="10">
        <v>200000</v>
      </c>
      <c r="F2938" s="8">
        <v>0.022</v>
      </c>
      <c r="G2938" s="11">
        <v>46147</v>
      </c>
      <c r="H2938" s="12">
        <f t="shared" si="45"/>
        <v>4400</v>
      </c>
      <c r="I2938" s="10" t="s">
        <v>10</v>
      </c>
      <c r="J2938" s="13">
        <v>46083</v>
      </c>
      <c r="K2938" t="s">
        <v>431</v>
      </c>
    </row>
    <row r="2939" hidden="1" spans="1:11">
      <c r="A2939" t="s">
        <v>319</v>
      </c>
      <c r="B2939" s="8">
        <v>252604103</v>
      </c>
      <c r="C2939" s="9">
        <v>46058</v>
      </c>
      <c r="D2939" s="8" t="s">
        <v>39</v>
      </c>
      <c r="E2939" s="10">
        <v>200000</v>
      </c>
      <c r="F2939" s="8">
        <v>0.022</v>
      </c>
      <c r="G2939" s="11">
        <v>46147</v>
      </c>
      <c r="H2939" s="12">
        <f t="shared" si="45"/>
        <v>4400</v>
      </c>
      <c r="I2939" s="10" t="s">
        <v>10</v>
      </c>
      <c r="J2939" s="13">
        <v>46083</v>
      </c>
      <c r="K2939" t="s">
        <v>431</v>
      </c>
    </row>
    <row r="2940" hidden="1" spans="1:11">
      <c r="A2940" t="s">
        <v>319</v>
      </c>
      <c r="B2940" s="8">
        <v>252604103</v>
      </c>
      <c r="C2940" s="9">
        <v>46058</v>
      </c>
      <c r="D2940" s="8" t="s">
        <v>39</v>
      </c>
      <c r="E2940" s="10">
        <v>200000</v>
      </c>
      <c r="F2940" s="8">
        <v>0.022</v>
      </c>
      <c r="G2940" s="11">
        <v>46147</v>
      </c>
      <c r="H2940" s="12">
        <f t="shared" si="45"/>
        <v>4400</v>
      </c>
      <c r="I2940" s="10" t="s">
        <v>10</v>
      </c>
      <c r="J2940" s="13">
        <v>46083</v>
      </c>
      <c r="K2940" t="s">
        <v>431</v>
      </c>
    </row>
    <row r="2941" hidden="1" spans="1:11">
      <c r="A2941" t="s">
        <v>319</v>
      </c>
      <c r="B2941" s="8">
        <v>252604103</v>
      </c>
      <c r="C2941" s="9">
        <v>46058</v>
      </c>
      <c r="D2941" s="8" t="s">
        <v>425</v>
      </c>
      <c r="E2941" s="10">
        <v>30000</v>
      </c>
      <c r="F2941" s="8">
        <v>0.07</v>
      </c>
      <c r="G2941" s="11">
        <v>46117</v>
      </c>
      <c r="H2941" s="12">
        <f t="shared" si="45"/>
        <v>2100</v>
      </c>
      <c r="I2941" s="10" t="s">
        <v>10</v>
      </c>
      <c r="J2941" s="13">
        <v>46083</v>
      </c>
      <c r="K2941" t="s">
        <v>431</v>
      </c>
    </row>
    <row r="2942" hidden="1" spans="1:11">
      <c r="A2942" t="s">
        <v>319</v>
      </c>
      <c r="B2942" s="8">
        <v>252604125</v>
      </c>
      <c r="C2942" s="9">
        <v>46059</v>
      </c>
      <c r="D2942" s="8" t="s">
        <v>32</v>
      </c>
      <c r="E2942" s="10">
        <v>100000</v>
      </c>
      <c r="F2942" s="8">
        <v>0.014</v>
      </c>
      <c r="G2942" s="11">
        <v>46117</v>
      </c>
      <c r="H2942" s="12">
        <f t="shared" si="45"/>
        <v>1400</v>
      </c>
      <c r="I2942" s="10" t="s">
        <v>10</v>
      </c>
      <c r="J2942" s="13">
        <v>46076</v>
      </c>
      <c r="K2942" t="s">
        <v>467</v>
      </c>
    </row>
    <row r="2943" hidden="1" spans="1:11">
      <c r="A2943" t="s">
        <v>319</v>
      </c>
      <c r="B2943" s="8">
        <v>252604125</v>
      </c>
      <c r="C2943" s="9">
        <v>46059</v>
      </c>
      <c r="D2943" s="8" t="s">
        <v>32</v>
      </c>
      <c r="E2943" s="10">
        <v>100000</v>
      </c>
      <c r="F2943" s="8">
        <v>0.014</v>
      </c>
      <c r="G2943" s="11">
        <v>46147</v>
      </c>
      <c r="H2943" s="12">
        <f t="shared" si="45"/>
        <v>1400</v>
      </c>
      <c r="I2943" s="10" t="s">
        <v>10</v>
      </c>
      <c r="J2943" s="13">
        <v>46076</v>
      </c>
      <c r="K2943" t="s">
        <v>467</v>
      </c>
    </row>
    <row r="2944" hidden="1" spans="1:11">
      <c r="A2944" t="s">
        <v>319</v>
      </c>
      <c r="B2944" s="8">
        <v>252604126</v>
      </c>
      <c r="C2944" s="9">
        <v>46059</v>
      </c>
      <c r="D2944" s="8" t="s">
        <v>32</v>
      </c>
      <c r="E2944" s="10">
        <v>100000</v>
      </c>
      <c r="F2944" s="8">
        <v>0.014</v>
      </c>
      <c r="G2944" s="11">
        <v>46178</v>
      </c>
      <c r="H2944" s="12">
        <f t="shared" si="45"/>
        <v>1400</v>
      </c>
      <c r="I2944" s="10" t="s">
        <v>10</v>
      </c>
      <c r="J2944" s="13">
        <v>46076</v>
      </c>
      <c r="K2944" t="s">
        <v>467</v>
      </c>
    </row>
    <row r="2945" hidden="1" spans="1:11">
      <c r="A2945" t="s">
        <v>319</v>
      </c>
      <c r="B2945" s="8">
        <v>252604179</v>
      </c>
      <c r="C2945" s="9">
        <v>46063</v>
      </c>
      <c r="D2945" s="8" t="s">
        <v>30</v>
      </c>
      <c r="E2945" s="10">
        <v>70000</v>
      </c>
      <c r="F2945" s="8">
        <v>0.022</v>
      </c>
      <c r="G2945" s="11">
        <v>46075</v>
      </c>
      <c r="H2945" s="12">
        <f t="shared" si="45"/>
        <v>1540</v>
      </c>
      <c r="I2945" s="10" t="s">
        <v>10</v>
      </c>
      <c r="J2945" s="13">
        <v>46076</v>
      </c>
      <c r="K2945" t="s">
        <v>365</v>
      </c>
    </row>
    <row r="2946" hidden="1" spans="1:11">
      <c r="A2946" t="s">
        <v>319</v>
      </c>
      <c r="B2946" s="8">
        <v>252604179</v>
      </c>
      <c r="C2946" s="9">
        <v>46063</v>
      </c>
      <c r="D2946" s="8" t="s">
        <v>30</v>
      </c>
      <c r="E2946" s="10">
        <v>70000</v>
      </c>
      <c r="F2946" s="8">
        <v>0.022</v>
      </c>
      <c r="G2946" s="11">
        <v>46086</v>
      </c>
      <c r="H2946" s="12">
        <f t="shared" ref="H2946:H3009" si="46">E2946*F2946</f>
        <v>1540</v>
      </c>
      <c r="I2946" s="10" t="s">
        <v>10</v>
      </c>
      <c r="J2946" s="13">
        <v>46076</v>
      </c>
      <c r="K2946" t="s">
        <v>365</v>
      </c>
    </row>
    <row r="2947" hidden="1" spans="1:11">
      <c r="A2947" t="s">
        <v>319</v>
      </c>
      <c r="B2947" s="8">
        <v>252604181</v>
      </c>
      <c r="C2947" s="9">
        <v>46063</v>
      </c>
      <c r="D2947" s="8" t="s">
        <v>30</v>
      </c>
      <c r="E2947" s="10">
        <v>200000</v>
      </c>
      <c r="F2947" s="8">
        <v>0.022</v>
      </c>
      <c r="G2947" s="11">
        <v>46075</v>
      </c>
      <c r="H2947" s="12">
        <f t="shared" si="46"/>
        <v>4400</v>
      </c>
      <c r="I2947" s="10" t="s">
        <v>10</v>
      </c>
      <c r="J2947" s="13">
        <v>46076</v>
      </c>
      <c r="K2947" t="s">
        <v>369</v>
      </c>
    </row>
    <row r="2948" hidden="1" spans="1:11">
      <c r="A2948" t="s">
        <v>319</v>
      </c>
      <c r="B2948" s="8">
        <v>252604182</v>
      </c>
      <c r="C2948" s="9">
        <v>46064</v>
      </c>
      <c r="D2948" s="8" t="s">
        <v>557</v>
      </c>
      <c r="E2948" s="10">
        <v>100000</v>
      </c>
      <c r="F2948" s="8">
        <v>0.026</v>
      </c>
      <c r="G2948" s="11">
        <v>46117</v>
      </c>
      <c r="H2948" s="12">
        <f t="shared" si="46"/>
        <v>2600</v>
      </c>
      <c r="I2948" s="10" t="s">
        <v>10</v>
      </c>
      <c r="J2948" s="13">
        <v>46083</v>
      </c>
      <c r="K2948" t="s">
        <v>377</v>
      </c>
    </row>
    <row r="2949" hidden="1" spans="1:11">
      <c r="A2949" t="s">
        <v>319</v>
      </c>
      <c r="B2949" s="8">
        <v>252604182</v>
      </c>
      <c r="C2949" s="9">
        <v>46064</v>
      </c>
      <c r="D2949" s="8" t="s">
        <v>502</v>
      </c>
      <c r="E2949" s="10">
        <v>100000</v>
      </c>
      <c r="F2949" s="8">
        <v>0.1</v>
      </c>
      <c r="G2949" s="11">
        <v>46147</v>
      </c>
      <c r="H2949" s="12">
        <f t="shared" si="46"/>
        <v>10000</v>
      </c>
      <c r="I2949" s="10" t="s">
        <v>10</v>
      </c>
      <c r="J2949" s="13">
        <v>46083</v>
      </c>
      <c r="K2949" t="s">
        <v>377</v>
      </c>
    </row>
    <row r="2950" hidden="1" spans="1:11">
      <c r="A2950" t="s">
        <v>319</v>
      </c>
      <c r="B2950" s="8">
        <v>252604182</v>
      </c>
      <c r="C2950" s="9">
        <v>46064</v>
      </c>
      <c r="D2950" s="8" t="s">
        <v>509</v>
      </c>
      <c r="E2950" s="10">
        <v>20000</v>
      </c>
      <c r="F2950" s="8">
        <v>0.16</v>
      </c>
      <c r="G2950" s="11">
        <v>46117</v>
      </c>
      <c r="H2950" s="12">
        <f t="shared" si="46"/>
        <v>3200</v>
      </c>
      <c r="I2950" s="10" t="s">
        <v>10</v>
      </c>
      <c r="J2950" s="13">
        <v>46087</v>
      </c>
      <c r="K2950" t="s">
        <v>377</v>
      </c>
    </row>
    <row r="2951" hidden="1" spans="1:11">
      <c r="A2951" t="s">
        <v>319</v>
      </c>
      <c r="B2951" s="8">
        <v>252604182</v>
      </c>
      <c r="C2951" s="9">
        <v>46064</v>
      </c>
      <c r="D2951" s="8" t="s">
        <v>50</v>
      </c>
      <c r="E2951" s="10">
        <v>150000</v>
      </c>
      <c r="F2951" s="8">
        <v>0.08</v>
      </c>
      <c r="G2951" s="11">
        <v>46117</v>
      </c>
      <c r="H2951" s="12">
        <f t="shared" si="46"/>
        <v>12000</v>
      </c>
      <c r="I2951" s="10" t="s">
        <v>10</v>
      </c>
      <c r="J2951" s="13">
        <v>46083</v>
      </c>
      <c r="K2951" t="s">
        <v>377</v>
      </c>
    </row>
    <row r="2952" hidden="1" spans="1:11">
      <c r="A2952" t="s">
        <v>319</v>
      </c>
      <c r="B2952" s="8">
        <v>252604182</v>
      </c>
      <c r="C2952" s="9">
        <v>46064</v>
      </c>
      <c r="D2952" s="8" t="s">
        <v>50</v>
      </c>
      <c r="E2952" s="10">
        <v>150000</v>
      </c>
      <c r="F2952" s="8">
        <v>0.08</v>
      </c>
      <c r="G2952" s="11">
        <v>46147</v>
      </c>
      <c r="H2952" s="12">
        <f t="shared" si="46"/>
        <v>12000</v>
      </c>
      <c r="I2952" s="10" t="s">
        <v>10</v>
      </c>
      <c r="J2952" s="13">
        <v>46083</v>
      </c>
      <c r="K2952" t="s">
        <v>377</v>
      </c>
    </row>
    <row r="2953" hidden="1" spans="1:11">
      <c r="A2953" t="s">
        <v>319</v>
      </c>
      <c r="B2953" s="8">
        <v>252604182</v>
      </c>
      <c r="C2953" s="9">
        <v>46064</v>
      </c>
      <c r="D2953" s="8" t="s">
        <v>46</v>
      </c>
      <c r="E2953" s="10">
        <v>100000</v>
      </c>
      <c r="F2953" s="8">
        <v>0.02</v>
      </c>
      <c r="G2953" s="11">
        <v>46117</v>
      </c>
      <c r="H2953" s="12">
        <f t="shared" si="46"/>
        <v>2000</v>
      </c>
      <c r="I2953" s="10" t="s">
        <v>10</v>
      </c>
      <c r="J2953" s="13">
        <v>46083</v>
      </c>
      <c r="K2953" t="s">
        <v>377</v>
      </c>
    </row>
    <row r="2954" hidden="1" spans="1:11">
      <c r="A2954" t="s">
        <v>319</v>
      </c>
      <c r="B2954" s="8">
        <v>252604182</v>
      </c>
      <c r="C2954" s="9">
        <v>46064</v>
      </c>
      <c r="D2954" s="8" t="s">
        <v>40</v>
      </c>
      <c r="E2954" s="10">
        <v>80000</v>
      </c>
      <c r="F2954" s="8">
        <v>0.035</v>
      </c>
      <c r="G2954" s="11">
        <v>46117</v>
      </c>
      <c r="H2954" s="12">
        <f t="shared" si="46"/>
        <v>2800</v>
      </c>
      <c r="I2954" s="10" t="s">
        <v>10</v>
      </c>
      <c r="J2954" s="13">
        <v>46087</v>
      </c>
      <c r="K2954" t="s">
        <v>377</v>
      </c>
    </row>
    <row r="2955" hidden="1" spans="1:11">
      <c r="A2955" t="s">
        <v>319</v>
      </c>
      <c r="B2955" s="8">
        <v>252604182</v>
      </c>
      <c r="C2955" s="9">
        <v>46064</v>
      </c>
      <c r="D2955" s="8" t="s">
        <v>511</v>
      </c>
      <c r="E2955" s="10">
        <v>40000</v>
      </c>
      <c r="F2955" s="8">
        <v>0.041</v>
      </c>
      <c r="G2955" s="11">
        <v>46147</v>
      </c>
      <c r="H2955" s="12">
        <f t="shared" si="46"/>
        <v>1640</v>
      </c>
      <c r="I2955" s="10" t="s">
        <v>10</v>
      </c>
      <c r="J2955" s="13">
        <v>46083</v>
      </c>
      <c r="K2955" t="s">
        <v>377</v>
      </c>
    </row>
    <row r="2956" hidden="1" spans="1:11">
      <c r="A2956" t="s">
        <v>319</v>
      </c>
      <c r="B2956" s="8">
        <v>252604184</v>
      </c>
      <c r="C2956" s="9">
        <v>46063</v>
      </c>
      <c r="D2956" s="8" t="s">
        <v>30</v>
      </c>
      <c r="E2956" s="10">
        <v>60000</v>
      </c>
      <c r="F2956" s="8">
        <v>0.022</v>
      </c>
      <c r="G2956" s="11">
        <v>46075</v>
      </c>
      <c r="H2956" s="12">
        <f t="shared" si="46"/>
        <v>1320</v>
      </c>
      <c r="I2956" s="10" t="s">
        <v>10</v>
      </c>
      <c r="J2956" s="13">
        <v>46076</v>
      </c>
      <c r="K2956" t="s">
        <v>382</v>
      </c>
    </row>
    <row r="2957" hidden="1" spans="1:11">
      <c r="A2957" t="s">
        <v>319</v>
      </c>
      <c r="B2957" s="8">
        <v>252604184</v>
      </c>
      <c r="C2957" s="9">
        <v>46063</v>
      </c>
      <c r="D2957" s="8" t="s">
        <v>30</v>
      </c>
      <c r="E2957" s="10">
        <v>60000</v>
      </c>
      <c r="F2957" s="8">
        <v>0.022</v>
      </c>
      <c r="G2957" s="11">
        <v>46086</v>
      </c>
      <c r="H2957" s="12">
        <f t="shared" si="46"/>
        <v>1320</v>
      </c>
      <c r="I2957" s="10" t="s">
        <v>10</v>
      </c>
      <c r="J2957" s="13">
        <v>46076</v>
      </c>
      <c r="K2957" t="s">
        <v>382</v>
      </c>
    </row>
    <row r="2958" hidden="1" spans="1:11">
      <c r="A2958" t="s">
        <v>319</v>
      </c>
      <c r="B2958" s="8">
        <v>252604200</v>
      </c>
      <c r="C2958" s="9">
        <v>46064</v>
      </c>
      <c r="D2958" s="8" t="s">
        <v>179</v>
      </c>
      <c r="E2958" s="10">
        <v>300000</v>
      </c>
      <c r="F2958" s="8">
        <v>0.065</v>
      </c>
      <c r="G2958" s="11">
        <v>46086</v>
      </c>
      <c r="H2958" s="12">
        <f t="shared" si="46"/>
        <v>19500</v>
      </c>
      <c r="I2958" s="10" t="s">
        <v>10</v>
      </c>
      <c r="J2958" s="13">
        <v>46077</v>
      </c>
      <c r="K2958" t="s">
        <v>486</v>
      </c>
    </row>
    <row r="2959" hidden="1" spans="1:11">
      <c r="A2959" t="s">
        <v>319</v>
      </c>
      <c r="B2959" s="8">
        <v>252604200</v>
      </c>
      <c r="C2959" s="9">
        <v>46064</v>
      </c>
      <c r="D2959" s="8" t="s">
        <v>179</v>
      </c>
      <c r="E2959" s="10">
        <v>300000</v>
      </c>
      <c r="F2959" s="8">
        <v>0.065</v>
      </c>
      <c r="G2959" s="11">
        <v>46117</v>
      </c>
      <c r="H2959" s="12">
        <f t="shared" si="46"/>
        <v>19500</v>
      </c>
      <c r="I2959" s="10" t="s">
        <v>10</v>
      </c>
      <c r="J2959" s="13">
        <v>46077</v>
      </c>
      <c r="K2959" t="s">
        <v>486</v>
      </c>
    </row>
    <row r="2960" hidden="1" spans="1:11">
      <c r="A2960" t="s">
        <v>319</v>
      </c>
      <c r="B2960" s="14">
        <v>252604205</v>
      </c>
      <c r="C2960" s="13">
        <v>46065</v>
      </c>
      <c r="D2960" s="14" t="s">
        <v>637</v>
      </c>
      <c r="E2960" s="15">
        <v>4000</v>
      </c>
      <c r="F2960" s="14">
        <v>0.032</v>
      </c>
      <c r="G2960" s="16">
        <v>46075</v>
      </c>
      <c r="H2960" s="17">
        <f t="shared" si="46"/>
        <v>128</v>
      </c>
      <c r="I2960" s="15" t="s">
        <v>51</v>
      </c>
      <c r="J2960" s="15"/>
      <c r="K2960" t="s">
        <v>638</v>
      </c>
    </row>
    <row r="2961" hidden="1" spans="1:11">
      <c r="A2961" t="s">
        <v>319</v>
      </c>
      <c r="B2961" s="8">
        <v>252604207</v>
      </c>
      <c r="C2961" s="9">
        <v>46065</v>
      </c>
      <c r="D2961" s="8" t="s">
        <v>181</v>
      </c>
      <c r="E2961" s="10">
        <v>100000</v>
      </c>
      <c r="F2961" s="8">
        <v>0.0243</v>
      </c>
      <c r="G2961" s="11">
        <v>46178</v>
      </c>
      <c r="H2961" s="12">
        <f t="shared" si="46"/>
        <v>2430</v>
      </c>
      <c r="I2961" s="10" t="s">
        <v>10</v>
      </c>
      <c r="J2961" s="13">
        <v>46184</v>
      </c>
      <c r="K2961" t="s">
        <v>439</v>
      </c>
    </row>
    <row r="2962" hidden="1" spans="1:11">
      <c r="A2962" t="s">
        <v>319</v>
      </c>
      <c r="B2962" s="8">
        <v>252604207</v>
      </c>
      <c r="C2962" s="9">
        <v>46065</v>
      </c>
      <c r="D2962" s="8" t="s">
        <v>181</v>
      </c>
      <c r="E2962" s="10">
        <v>100000</v>
      </c>
      <c r="F2962" s="8">
        <v>0.0243</v>
      </c>
      <c r="G2962" s="11">
        <v>46208</v>
      </c>
      <c r="H2962" s="12">
        <f t="shared" si="46"/>
        <v>2430</v>
      </c>
      <c r="I2962" s="10" t="s">
        <v>10</v>
      </c>
      <c r="J2962" s="13">
        <v>46184</v>
      </c>
      <c r="K2962" t="s">
        <v>439</v>
      </c>
    </row>
    <row r="2963" hidden="1" spans="1:11">
      <c r="A2963" t="s">
        <v>319</v>
      </c>
      <c r="B2963" s="8">
        <v>252604207</v>
      </c>
      <c r="C2963" s="9">
        <v>46065</v>
      </c>
      <c r="D2963" s="8" t="s">
        <v>181</v>
      </c>
      <c r="E2963" s="10">
        <v>100000</v>
      </c>
      <c r="F2963" s="8">
        <v>0.0243</v>
      </c>
      <c r="G2963" s="11">
        <v>46239</v>
      </c>
      <c r="H2963" s="12">
        <f t="shared" si="46"/>
        <v>2430</v>
      </c>
      <c r="I2963" s="10" t="s">
        <v>10</v>
      </c>
      <c r="J2963" s="13">
        <v>46184</v>
      </c>
      <c r="K2963" t="s">
        <v>439</v>
      </c>
    </row>
    <row r="2964" hidden="1" spans="1:11">
      <c r="A2964" t="s">
        <v>319</v>
      </c>
      <c r="B2964" s="8">
        <v>252604207</v>
      </c>
      <c r="C2964" s="9">
        <v>46065</v>
      </c>
      <c r="D2964" s="8" t="s">
        <v>181</v>
      </c>
      <c r="E2964" s="10">
        <v>100000</v>
      </c>
      <c r="F2964" s="8">
        <v>0.0243</v>
      </c>
      <c r="G2964" s="11">
        <v>46270</v>
      </c>
      <c r="H2964" s="12">
        <f t="shared" si="46"/>
        <v>2430</v>
      </c>
      <c r="I2964" s="10" t="s">
        <v>10</v>
      </c>
      <c r="J2964" s="13">
        <v>46184</v>
      </c>
      <c r="K2964" t="s">
        <v>439</v>
      </c>
    </row>
    <row r="2965" hidden="1" spans="1:11">
      <c r="A2965" t="s">
        <v>319</v>
      </c>
      <c r="B2965" s="8">
        <v>252604235</v>
      </c>
      <c r="C2965" s="9">
        <v>46069</v>
      </c>
      <c r="D2965" s="8" t="s">
        <v>516</v>
      </c>
      <c r="E2965" s="10">
        <v>130000</v>
      </c>
      <c r="F2965" s="8">
        <v>0.032</v>
      </c>
      <c r="G2965" s="11">
        <v>46317</v>
      </c>
      <c r="H2965" s="12">
        <f t="shared" si="46"/>
        <v>4160</v>
      </c>
      <c r="I2965" s="10" t="s">
        <v>10</v>
      </c>
      <c r="J2965" s="13">
        <v>46100</v>
      </c>
      <c r="K2965" t="s">
        <v>615</v>
      </c>
    </row>
    <row r="2966" hidden="1" spans="1:11">
      <c r="A2966" t="s">
        <v>319</v>
      </c>
      <c r="B2966" s="8">
        <v>252604235</v>
      </c>
      <c r="C2966" s="9">
        <v>46069</v>
      </c>
      <c r="D2966" s="8" t="s">
        <v>516</v>
      </c>
      <c r="E2966" s="10">
        <v>130000</v>
      </c>
      <c r="F2966" s="8">
        <v>0.032</v>
      </c>
      <c r="G2966" s="11">
        <v>46348</v>
      </c>
      <c r="H2966" s="12">
        <f t="shared" si="46"/>
        <v>4160</v>
      </c>
      <c r="I2966" s="10" t="s">
        <v>10</v>
      </c>
      <c r="J2966" s="13">
        <v>46100</v>
      </c>
      <c r="K2966" t="s">
        <v>615</v>
      </c>
    </row>
    <row r="2967" hidden="1" spans="1:11">
      <c r="A2967" t="s">
        <v>319</v>
      </c>
      <c r="B2967" s="8">
        <v>252604235</v>
      </c>
      <c r="C2967" s="9">
        <v>46069</v>
      </c>
      <c r="D2967" s="8" t="s">
        <v>516</v>
      </c>
      <c r="E2967" s="10">
        <v>130000</v>
      </c>
      <c r="F2967" s="8">
        <v>0.032</v>
      </c>
      <c r="G2967" s="11">
        <v>46147</v>
      </c>
      <c r="H2967" s="12">
        <f t="shared" si="46"/>
        <v>4160</v>
      </c>
      <c r="I2967" s="10" t="s">
        <v>10</v>
      </c>
      <c r="J2967" s="13">
        <v>46077</v>
      </c>
      <c r="K2967" t="s">
        <v>615</v>
      </c>
    </row>
    <row r="2968" hidden="1" spans="1:11">
      <c r="A2968" t="s">
        <v>319</v>
      </c>
      <c r="B2968" s="8">
        <v>252604235</v>
      </c>
      <c r="C2968" s="9">
        <v>46069</v>
      </c>
      <c r="D2968" s="8" t="s">
        <v>516</v>
      </c>
      <c r="E2968" s="10">
        <v>130000</v>
      </c>
      <c r="F2968" s="8">
        <v>0.032</v>
      </c>
      <c r="G2968" s="11">
        <v>46178</v>
      </c>
      <c r="H2968" s="12">
        <f t="shared" si="46"/>
        <v>4160</v>
      </c>
      <c r="I2968" s="10" t="s">
        <v>10</v>
      </c>
      <c r="J2968" s="13">
        <v>46077</v>
      </c>
      <c r="K2968" t="s">
        <v>615</v>
      </c>
    </row>
    <row r="2969" hidden="1" spans="1:11">
      <c r="A2969" t="s">
        <v>319</v>
      </c>
      <c r="B2969" s="8">
        <v>252604236</v>
      </c>
      <c r="C2969" s="9">
        <v>46069</v>
      </c>
      <c r="D2969" s="8" t="s">
        <v>479</v>
      </c>
      <c r="E2969" s="10">
        <v>20000</v>
      </c>
      <c r="F2969" s="8">
        <v>0.0315</v>
      </c>
      <c r="G2969" s="11">
        <v>46086</v>
      </c>
      <c r="H2969" s="12">
        <f t="shared" si="46"/>
        <v>630</v>
      </c>
      <c r="I2969" s="10" t="s">
        <v>10</v>
      </c>
      <c r="J2969" s="13">
        <v>46076</v>
      </c>
      <c r="K2969" t="s">
        <v>519</v>
      </c>
    </row>
    <row r="2970" hidden="1" spans="1:11">
      <c r="A2970" t="s">
        <v>319</v>
      </c>
      <c r="B2970" s="8">
        <v>252604236</v>
      </c>
      <c r="C2970" s="9">
        <v>46069</v>
      </c>
      <c r="D2970" s="8" t="s">
        <v>479</v>
      </c>
      <c r="E2970" s="10">
        <v>20000</v>
      </c>
      <c r="F2970" s="8">
        <v>0.0315</v>
      </c>
      <c r="G2970" s="11">
        <v>46117</v>
      </c>
      <c r="H2970" s="12">
        <f t="shared" si="46"/>
        <v>630</v>
      </c>
      <c r="I2970" s="10" t="s">
        <v>10</v>
      </c>
      <c r="J2970" s="13">
        <v>46076</v>
      </c>
      <c r="K2970" t="s">
        <v>519</v>
      </c>
    </row>
    <row r="2971" hidden="1" spans="1:11">
      <c r="A2971" t="s">
        <v>319</v>
      </c>
      <c r="B2971" s="8">
        <v>252604236</v>
      </c>
      <c r="C2971" s="9">
        <v>46069</v>
      </c>
      <c r="D2971" s="8" t="s">
        <v>498</v>
      </c>
      <c r="E2971" s="10">
        <v>20000</v>
      </c>
      <c r="F2971" s="8">
        <v>0.06</v>
      </c>
      <c r="G2971" s="11">
        <v>46086</v>
      </c>
      <c r="H2971" s="12">
        <f t="shared" si="46"/>
        <v>1200</v>
      </c>
      <c r="I2971" s="10" t="s">
        <v>10</v>
      </c>
      <c r="J2971" s="13">
        <v>46076</v>
      </c>
      <c r="K2971" t="s">
        <v>519</v>
      </c>
    </row>
    <row r="2972" hidden="1" spans="1:11">
      <c r="A2972" t="s">
        <v>319</v>
      </c>
      <c r="B2972" s="8">
        <v>252604236</v>
      </c>
      <c r="C2972" s="9">
        <v>46069</v>
      </c>
      <c r="D2972" s="8" t="s">
        <v>498</v>
      </c>
      <c r="E2972" s="10">
        <v>20000</v>
      </c>
      <c r="F2972" s="8">
        <v>0.06</v>
      </c>
      <c r="G2972" s="11">
        <v>46117</v>
      </c>
      <c r="H2972" s="12">
        <f t="shared" si="46"/>
        <v>1200</v>
      </c>
      <c r="I2972" s="10" t="s">
        <v>10</v>
      </c>
      <c r="J2972" s="13">
        <v>46076</v>
      </c>
      <c r="K2972" t="s">
        <v>519</v>
      </c>
    </row>
    <row r="2973" hidden="1" spans="1:11">
      <c r="A2973" t="s">
        <v>319</v>
      </c>
      <c r="B2973" s="8">
        <v>252604238</v>
      </c>
      <c r="C2973" s="9">
        <v>46069</v>
      </c>
      <c r="D2973" s="8" t="s">
        <v>479</v>
      </c>
      <c r="E2973" s="10">
        <v>20000</v>
      </c>
      <c r="F2973" s="8">
        <v>0.0315</v>
      </c>
      <c r="G2973" s="11">
        <v>46178</v>
      </c>
      <c r="H2973" s="12">
        <f t="shared" si="46"/>
        <v>630</v>
      </c>
      <c r="I2973" s="10" t="s">
        <v>10</v>
      </c>
      <c r="J2973" s="13">
        <v>46157</v>
      </c>
      <c r="K2973" t="s">
        <v>519</v>
      </c>
    </row>
    <row r="2974" hidden="1" spans="1:11">
      <c r="A2974" t="s">
        <v>319</v>
      </c>
      <c r="B2974" s="8">
        <v>252604250</v>
      </c>
      <c r="C2974" s="9">
        <v>46069</v>
      </c>
      <c r="D2974" s="8" t="s">
        <v>285</v>
      </c>
      <c r="E2974" s="10">
        <v>24000</v>
      </c>
      <c r="F2974" s="8">
        <v>0.02</v>
      </c>
      <c r="G2974" s="11">
        <v>46178</v>
      </c>
      <c r="H2974" s="12">
        <f t="shared" si="46"/>
        <v>480</v>
      </c>
      <c r="I2974" s="10" t="s">
        <v>10</v>
      </c>
      <c r="J2974" s="13">
        <v>46076</v>
      </c>
      <c r="K2974" t="s">
        <v>469</v>
      </c>
    </row>
    <row r="2975" hidden="1" spans="1:11">
      <c r="A2975" t="s">
        <v>319</v>
      </c>
      <c r="B2975" s="8">
        <v>252604250</v>
      </c>
      <c r="C2975" s="9">
        <v>46069</v>
      </c>
      <c r="D2975" s="8" t="s">
        <v>286</v>
      </c>
      <c r="E2975" s="10">
        <v>24000</v>
      </c>
      <c r="F2975" s="8">
        <v>0.0235</v>
      </c>
      <c r="G2975" s="11">
        <v>46178</v>
      </c>
      <c r="H2975" s="12">
        <f t="shared" si="46"/>
        <v>564</v>
      </c>
      <c r="I2975" s="10" t="s">
        <v>10</v>
      </c>
      <c r="J2975" s="13">
        <v>46076</v>
      </c>
      <c r="K2975" t="s">
        <v>469</v>
      </c>
    </row>
    <row r="2976" hidden="1" spans="1:11">
      <c r="A2976" t="s">
        <v>319</v>
      </c>
      <c r="B2976" s="8">
        <v>252604250</v>
      </c>
      <c r="C2976" s="9">
        <v>46069</v>
      </c>
      <c r="D2976" s="8" t="s">
        <v>465</v>
      </c>
      <c r="E2976" s="10">
        <v>24000</v>
      </c>
      <c r="F2976" s="8">
        <v>0.018</v>
      </c>
      <c r="G2976" s="11">
        <v>46178</v>
      </c>
      <c r="H2976" s="12">
        <f t="shared" si="46"/>
        <v>432</v>
      </c>
      <c r="I2976" s="10" t="s">
        <v>10</v>
      </c>
      <c r="J2976" s="13">
        <v>46076</v>
      </c>
      <c r="K2976" t="s">
        <v>469</v>
      </c>
    </row>
    <row r="2977" hidden="1" spans="1:11">
      <c r="A2977" t="s">
        <v>319</v>
      </c>
      <c r="B2977" s="8">
        <v>252604250</v>
      </c>
      <c r="C2977" s="9">
        <v>46069</v>
      </c>
      <c r="D2977" s="8" t="s">
        <v>288</v>
      </c>
      <c r="E2977" s="10">
        <v>24000</v>
      </c>
      <c r="F2977" s="8">
        <v>0.022</v>
      </c>
      <c r="G2977" s="11">
        <v>46178</v>
      </c>
      <c r="H2977" s="12">
        <f t="shared" si="46"/>
        <v>528</v>
      </c>
      <c r="I2977" s="10" t="s">
        <v>10</v>
      </c>
      <c r="J2977" s="13">
        <v>46076</v>
      </c>
      <c r="K2977" t="s">
        <v>469</v>
      </c>
    </row>
    <row r="2978" hidden="1" spans="1:11">
      <c r="A2978" t="s">
        <v>319</v>
      </c>
      <c r="B2978" s="8">
        <v>252604279</v>
      </c>
      <c r="C2978" s="9">
        <v>46070</v>
      </c>
      <c r="D2978" s="8" t="s">
        <v>40</v>
      </c>
      <c r="E2978" s="10">
        <v>400000</v>
      </c>
      <c r="F2978" s="8">
        <v>0.035</v>
      </c>
      <c r="G2978" s="11">
        <v>46086</v>
      </c>
      <c r="H2978" s="12">
        <f t="shared" si="46"/>
        <v>14000</v>
      </c>
      <c r="I2978" s="10" t="s">
        <v>10</v>
      </c>
      <c r="J2978" s="13">
        <v>46077</v>
      </c>
      <c r="K2978" t="s">
        <v>365</v>
      </c>
    </row>
    <row r="2979" hidden="1" spans="1:11">
      <c r="A2979" t="s">
        <v>319</v>
      </c>
      <c r="B2979" s="8">
        <v>252604282</v>
      </c>
      <c r="C2979" s="9">
        <v>46070</v>
      </c>
      <c r="D2979" s="8" t="s">
        <v>30</v>
      </c>
      <c r="E2979" s="10">
        <v>100000</v>
      </c>
      <c r="F2979" s="8">
        <v>0.022</v>
      </c>
      <c r="G2979" s="11">
        <v>46075</v>
      </c>
      <c r="H2979" s="12">
        <f t="shared" si="46"/>
        <v>2200</v>
      </c>
      <c r="I2979" s="10" t="s">
        <v>10</v>
      </c>
      <c r="J2979" s="13">
        <v>46077</v>
      </c>
      <c r="K2979" t="s">
        <v>378</v>
      </c>
    </row>
    <row r="2980" hidden="1" spans="1:11">
      <c r="A2980" t="s">
        <v>319</v>
      </c>
      <c r="B2980" s="8">
        <v>252604313</v>
      </c>
      <c r="C2980" s="9">
        <v>46071</v>
      </c>
      <c r="D2980" s="8" t="s">
        <v>35</v>
      </c>
      <c r="E2980" s="10">
        <v>112000</v>
      </c>
      <c r="F2980" s="8">
        <v>0.05</v>
      </c>
      <c r="G2980" s="11">
        <v>46147</v>
      </c>
      <c r="H2980" s="12">
        <f t="shared" si="46"/>
        <v>5600</v>
      </c>
      <c r="I2980" s="10" t="s">
        <v>10</v>
      </c>
      <c r="J2980" s="13">
        <v>46147</v>
      </c>
      <c r="K2980" t="s">
        <v>486</v>
      </c>
    </row>
    <row r="2981" hidden="1" spans="1:11">
      <c r="A2981" t="s">
        <v>319</v>
      </c>
      <c r="B2981" s="8">
        <v>252604341</v>
      </c>
      <c r="C2981" s="9">
        <v>46073</v>
      </c>
      <c r="D2981" s="8" t="s">
        <v>30</v>
      </c>
      <c r="E2981" s="10">
        <v>300000</v>
      </c>
      <c r="F2981" s="8">
        <v>0.022</v>
      </c>
      <c r="G2981" s="11">
        <v>46075</v>
      </c>
      <c r="H2981" s="12">
        <f t="shared" si="46"/>
        <v>6600</v>
      </c>
      <c r="I2981" s="10" t="s">
        <v>10</v>
      </c>
      <c r="J2981" s="13">
        <v>46077</v>
      </c>
      <c r="K2981" t="s">
        <v>365</v>
      </c>
    </row>
    <row r="2982" hidden="1" spans="1:11">
      <c r="A2982" t="s">
        <v>319</v>
      </c>
      <c r="B2982" s="8">
        <v>252604341</v>
      </c>
      <c r="C2982" s="9">
        <v>46073</v>
      </c>
      <c r="D2982" s="8" t="s">
        <v>30</v>
      </c>
      <c r="E2982" s="10">
        <v>300000</v>
      </c>
      <c r="F2982" s="8">
        <v>0.022</v>
      </c>
      <c r="G2982" s="11">
        <v>46086</v>
      </c>
      <c r="H2982" s="12">
        <f t="shared" si="46"/>
        <v>6600</v>
      </c>
      <c r="I2982" s="10" t="s">
        <v>10</v>
      </c>
      <c r="J2982" s="13">
        <v>46077</v>
      </c>
      <c r="K2982" t="s">
        <v>365</v>
      </c>
    </row>
    <row r="2983" hidden="1" spans="1:11">
      <c r="A2983" t="s">
        <v>319</v>
      </c>
      <c r="B2983" s="14">
        <v>252604367</v>
      </c>
      <c r="C2983" s="13">
        <v>46076</v>
      </c>
      <c r="D2983" s="14" t="s">
        <v>639</v>
      </c>
      <c r="E2983" s="15">
        <v>2000</v>
      </c>
      <c r="F2983" s="14">
        <v>0.03</v>
      </c>
      <c r="G2983" s="16">
        <v>46086</v>
      </c>
      <c r="H2983" s="17">
        <f t="shared" si="46"/>
        <v>60</v>
      </c>
      <c r="I2983" s="15" t="s">
        <v>51</v>
      </c>
      <c r="J2983" s="15"/>
      <c r="K2983" t="s">
        <v>486</v>
      </c>
    </row>
    <row r="2984" hidden="1" spans="1:11">
      <c r="A2984" t="s">
        <v>319</v>
      </c>
      <c r="B2984" s="14">
        <v>252604380</v>
      </c>
      <c r="C2984" s="13">
        <v>46076</v>
      </c>
      <c r="D2984" s="14" t="s">
        <v>640</v>
      </c>
      <c r="E2984" s="15">
        <v>2000</v>
      </c>
      <c r="F2984" s="14">
        <v>0.04</v>
      </c>
      <c r="G2984" s="16">
        <v>46086</v>
      </c>
      <c r="H2984" s="17">
        <f t="shared" si="46"/>
        <v>80</v>
      </c>
      <c r="I2984" s="15" t="s">
        <v>51</v>
      </c>
      <c r="J2984" s="15"/>
      <c r="K2984" t="s">
        <v>377</v>
      </c>
    </row>
    <row r="2985" hidden="1" spans="1:11">
      <c r="A2985" t="s">
        <v>319</v>
      </c>
      <c r="B2985" s="8">
        <v>252604404</v>
      </c>
      <c r="C2985" s="9">
        <v>46077</v>
      </c>
      <c r="D2985" s="8" t="s">
        <v>226</v>
      </c>
      <c r="E2985" s="10">
        <v>250000</v>
      </c>
      <c r="F2985" s="8">
        <v>0.065</v>
      </c>
      <c r="G2985" s="11">
        <v>46086</v>
      </c>
      <c r="H2985" s="12">
        <f t="shared" si="46"/>
        <v>16250</v>
      </c>
      <c r="I2985" s="10" t="s">
        <v>10</v>
      </c>
      <c r="J2985" s="13">
        <v>46087</v>
      </c>
      <c r="K2985" t="s">
        <v>337</v>
      </c>
    </row>
    <row r="2986" hidden="1" spans="1:11">
      <c r="A2986" t="s">
        <v>319</v>
      </c>
      <c r="B2986" s="8">
        <v>252604404</v>
      </c>
      <c r="C2986" s="9">
        <v>46077</v>
      </c>
      <c r="D2986" s="8" t="s">
        <v>226</v>
      </c>
      <c r="E2986" s="10">
        <v>250000</v>
      </c>
      <c r="F2986" s="8">
        <v>0.065</v>
      </c>
      <c r="G2986" s="11">
        <v>46117</v>
      </c>
      <c r="H2986" s="12">
        <f t="shared" si="46"/>
        <v>16250</v>
      </c>
      <c r="I2986" s="10" t="s">
        <v>10</v>
      </c>
      <c r="J2986" s="13">
        <v>46087</v>
      </c>
      <c r="K2986" t="s">
        <v>337</v>
      </c>
    </row>
    <row r="2987" hidden="1" spans="1:11">
      <c r="A2987" t="s">
        <v>319</v>
      </c>
      <c r="B2987" s="8">
        <v>252604404</v>
      </c>
      <c r="C2987" s="9">
        <v>46077</v>
      </c>
      <c r="D2987" s="8" t="s">
        <v>40</v>
      </c>
      <c r="E2987" s="10">
        <v>200000</v>
      </c>
      <c r="F2987" s="8">
        <v>0.035</v>
      </c>
      <c r="G2987" s="11">
        <v>46086</v>
      </c>
      <c r="H2987" s="12">
        <f t="shared" si="46"/>
        <v>7000</v>
      </c>
      <c r="I2987" s="10" t="s">
        <v>10</v>
      </c>
      <c r="J2987" s="13">
        <v>46087</v>
      </c>
      <c r="K2987" t="s">
        <v>337</v>
      </c>
    </row>
    <row r="2988" hidden="1" spans="1:11">
      <c r="A2988" t="s">
        <v>319</v>
      </c>
      <c r="B2988" s="8">
        <v>252604404</v>
      </c>
      <c r="C2988" s="9">
        <v>46077</v>
      </c>
      <c r="D2988" s="8" t="s">
        <v>40</v>
      </c>
      <c r="E2988" s="10">
        <v>200000</v>
      </c>
      <c r="F2988" s="8">
        <v>0.035</v>
      </c>
      <c r="G2988" s="11">
        <v>46117</v>
      </c>
      <c r="H2988" s="12">
        <f t="shared" si="46"/>
        <v>7000</v>
      </c>
      <c r="I2988" s="10" t="s">
        <v>10</v>
      </c>
      <c r="J2988" s="13">
        <v>46087</v>
      </c>
      <c r="K2988" t="s">
        <v>337</v>
      </c>
    </row>
    <row r="2989" hidden="1" spans="1:11">
      <c r="A2989" t="s">
        <v>319</v>
      </c>
      <c r="B2989" s="8">
        <v>252604411</v>
      </c>
      <c r="C2989" s="9">
        <v>46076</v>
      </c>
      <c r="D2989" s="8" t="s">
        <v>577</v>
      </c>
      <c r="E2989" s="10">
        <v>20000</v>
      </c>
      <c r="F2989" s="8">
        <v>0.055</v>
      </c>
      <c r="G2989" s="11">
        <v>46178</v>
      </c>
      <c r="H2989" s="12">
        <f t="shared" si="46"/>
        <v>1100</v>
      </c>
      <c r="I2989" s="10" t="s">
        <v>10</v>
      </c>
      <c r="J2989" s="13">
        <v>46147</v>
      </c>
      <c r="K2989" t="s">
        <v>615</v>
      </c>
    </row>
    <row r="2990" hidden="1" spans="1:11">
      <c r="A2990" t="s">
        <v>319</v>
      </c>
      <c r="B2990" s="8">
        <v>252604411</v>
      </c>
      <c r="C2990" s="9">
        <v>46076</v>
      </c>
      <c r="D2990" s="8" t="s">
        <v>577</v>
      </c>
      <c r="E2990" s="10">
        <v>30000</v>
      </c>
      <c r="F2990" s="8">
        <v>0.055</v>
      </c>
      <c r="G2990" s="11">
        <v>46208</v>
      </c>
      <c r="H2990" s="12">
        <f t="shared" si="46"/>
        <v>1650</v>
      </c>
      <c r="I2990" s="10" t="s">
        <v>10</v>
      </c>
      <c r="J2990" s="13">
        <v>46147</v>
      </c>
      <c r="K2990" t="s">
        <v>615</v>
      </c>
    </row>
    <row r="2991" hidden="1" spans="1:11">
      <c r="A2991" t="s">
        <v>319</v>
      </c>
      <c r="B2991" s="8">
        <v>252604412</v>
      </c>
      <c r="C2991" s="9">
        <v>46076</v>
      </c>
      <c r="D2991" s="8" t="s">
        <v>540</v>
      </c>
      <c r="E2991" s="10">
        <v>40000</v>
      </c>
      <c r="F2991" s="8">
        <v>0.0297</v>
      </c>
      <c r="G2991" s="11">
        <v>46147</v>
      </c>
      <c r="H2991" s="12">
        <f t="shared" si="46"/>
        <v>1188</v>
      </c>
      <c r="I2991" s="10" t="s">
        <v>10</v>
      </c>
      <c r="J2991" s="13">
        <v>46147</v>
      </c>
      <c r="K2991" t="s">
        <v>615</v>
      </c>
    </row>
    <row r="2992" hidden="1" spans="1:11">
      <c r="A2992" t="s">
        <v>319</v>
      </c>
      <c r="B2992" s="8">
        <v>252604440</v>
      </c>
      <c r="C2992" s="9">
        <v>46078</v>
      </c>
      <c r="D2992" s="8" t="s">
        <v>40</v>
      </c>
      <c r="E2992" s="10">
        <v>26000</v>
      </c>
      <c r="F2992" s="8">
        <v>0.035</v>
      </c>
      <c r="G2992" s="11">
        <v>46086</v>
      </c>
      <c r="H2992" s="12">
        <f t="shared" si="46"/>
        <v>910</v>
      </c>
      <c r="I2992" s="10" t="s">
        <v>10</v>
      </c>
      <c r="J2992" s="13">
        <v>46094</v>
      </c>
      <c r="K2992" t="s">
        <v>460</v>
      </c>
    </row>
    <row r="2993" hidden="1" spans="1:11">
      <c r="A2993" t="s">
        <v>319</v>
      </c>
      <c r="B2993" s="8">
        <v>252604440</v>
      </c>
      <c r="C2993" s="9">
        <v>46078</v>
      </c>
      <c r="D2993" s="8" t="s">
        <v>40</v>
      </c>
      <c r="E2993" s="10">
        <v>24000</v>
      </c>
      <c r="F2993" s="8">
        <v>0.035</v>
      </c>
      <c r="G2993" s="11">
        <v>46117</v>
      </c>
      <c r="H2993" s="12">
        <f t="shared" si="46"/>
        <v>840</v>
      </c>
      <c r="I2993" s="10" t="s">
        <v>10</v>
      </c>
      <c r="J2993" s="13">
        <v>46094</v>
      </c>
      <c r="K2993" t="s">
        <v>460</v>
      </c>
    </row>
    <row r="2994" hidden="1" spans="1:11">
      <c r="A2994" t="s">
        <v>319</v>
      </c>
      <c r="B2994" s="8">
        <v>252604440</v>
      </c>
      <c r="C2994" s="9">
        <v>46078</v>
      </c>
      <c r="D2994" s="8" t="s">
        <v>45</v>
      </c>
      <c r="E2994" s="10">
        <v>52000</v>
      </c>
      <c r="F2994" s="8">
        <v>0.024</v>
      </c>
      <c r="G2994" s="11">
        <v>46086</v>
      </c>
      <c r="H2994" s="12">
        <f t="shared" si="46"/>
        <v>1248</v>
      </c>
      <c r="I2994" s="10" t="s">
        <v>10</v>
      </c>
      <c r="J2994" s="13">
        <v>46086</v>
      </c>
      <c r="K2994" t="s">
        <v>460</v>
      </c>
    </row>
    <row r="2995" hidden="1" spans="1:11">
      <c r="A2995" t="s">
        <v>319</v>
      </c>
      <c r="B2995" s="8">
        <v>252604440</v>
      </c>
      <c r="C2995" s="9">
        <v>46078</v>
      </c>
      <c r="D2995" s="8" t="s">
        <v>45</v>
      </c>
      <c r="E2995" s="10">
        <v>52000</v>
      </c>
      <c r="F2995" s="8">
        <v>0.024</v>
      </c>
      <c r="G2995" s="11">
        <v>46117</v>
      </c>
      <c r="H2995" s="12">
        <f t="shared" si="46"/>
        <v>1248</v>
      </c>
      <c r="I2995" s="10" t="s">
        <v>10</v>
      </c>
      <c r="J2995" s="13">
        <v>46086</v>
      </c>
      <c r="K2995" t="s">
        <v>460</v>
      </c>
    </row>
    <row r="2996" hidden="1" spans="1:11">
      <c r="A2996" t="s">
        <v>319</v>
      </c>
      <c r="B2996" s="8">
        <v>252604444</v>
      </c>
      <c r="C2996" s="9">
        <v>46079</v>
      </c>
      <c r="D2996" s="8" t="s">
        <v>30</v>
      </c>
      <c r="E2996" s="10">
        <v>200000</v>
      </c>
      <c r="F2996" s="8">
        <v>0.022</v>
      </c>
      <c r="G2996" s="11">
        <v>46147</v>
      </c>
      <c r="H2996" s="12">
        <f t="shared" si="46"/>
        <v>4400</v>
      </c>
      <c r="I2996" s="10" t="s">
        <v>10</v>
      </c>
      <c r="J2996" s="13">
        <v>46094</v>
      </c>
      <c r="K2996" t="s">
        <v>445</v>
      </c>
    </row>
    <row r="2997" hidden="1" spans="1:11">
      <c r="A2997" t="s">
        <v>319</v>
      </c>
      <c r="B2997" s="8">
        <v>252604444</v>
      </c>
      <c r="C2997" s="9">
        <v>46079</v>
      </c>
      <c r="D2997" s="8" t="s">
        <v>30</v>
      </c>
      <c r="E2997" s="10">
        <v>200000</v>
      </c>
      <c r="F2997" s="8">
        <v>0.022</v>
      </c>
      <c r="G2997" s="11">
        <v>46147</v>
      </c>
      <c r="H2997" s="12">
        <f t="shared" si="46"/>
        <v>4400</v>
      </c>
      <c r="I2997" s="10" t="s">
        <v>10</v>
      </c>
      <c r="J2997" s="13">
        <v>46094</v>
      </c>
      <c r="K2997" t="s">
        <v>445</v>
      </c>
    </row>
    <row r="2998" hidden="1" spans="1:11">
      <c r="A2998" t="s">
        <v>319</v>
      </c>
      <c r="B2998" s="8">
        <v>252604444</v>
      </c>
      <c r="C2998" s="9">
        <v>46079</v>
      </c>
      <c r="D2998" s="8" t="s">
        <v>30</v>
      </c>
      <c r="E2998" s="10">
        <v>200000</v>
      </c>
      <c r="F2998" s="8">
        <v>0.022</v>
      </c>
      <c r="G2998" s="11">
        <v>46147</v>
      </c>
      <c r="H2998" s="12">
        <f t="shared" si="46"/>
        <v>4400</v>
      </c>
      <c r="I2998" s="10" t="s">
        <v>10</v>
      </c>
      <c r="J2998" s="13">
        <v>46094</v>
      </c>
      <c r="K2998" t="s">
        <v>445</v>
      </c>
    </row>
    <row r="2999" hidden="1" spans="1:11">
      <c r="A2999" t="s">
        <v>319</v>
      </c>
      <c r="B2999" s="8">
        <v>252604444</v>
      </c>
      <c r="C2999" s="9">
        <v>46079</v>
      </c>
      <c r="D2999" s="8" t="s">
        <v>30</v>
      </c>
      <c r="E2999" s="10">
        <v>200000</v>
      </c>
      <c r="F2999" s="8">
        <v>0.022</v>
      </c>
      <c r="G2999" s="11">
        <v>46147</v>
      </c>
      <c r="H2999" s="12">
        <f t="shared" si="46"/>
        <v>4400</v>
      </c>
      <c r="I2999" s="10" t="s">
        <v>10</v>
      </c>
      <c r="J2999" s="13">
        <v>46094</v>
      </c>
      <c r="K2999" t="s">
        <v>445</v>
      </c>
    </row>
    <row r="3000" hidden="1" spans="1:11">
      <c r="A3000" t="s">
        <v>319</v>
      </c>
      <c r="B3000" s="8">
        <v>252604444</v>
      </c>
      <c r="C3000" s="9">
        <v>46079</v>
      </c>
      <c r="D3000" s="8" t="s">
        <v>30</v>
      </c>
      <c r="E3000" s="10">
        <v>200000</v>
      </c>
      <c r="F3000" s="8">
        <v>0.022</v>
      </c>
      <c r="G3000" s="11">
        <v>46147</v>
      </c>
      <c r="H3000" s="12">
        <f t="shared" si="46"/>
        <v>4400</v>
      </c>
      <c r="I3000" s="10" t="s">
        <v>10</v>
      </c>
      <c r="J3000" s="13">
        <v>46094</v>
      </c>
      <c r="K3000" t="s">
        <v>445</v>
      </c>
    </row>
    <row r="3001" hidden="1" spans="1:11">
      <c r="A3001" t="s">
        <v>319</v>
      </c>
      <c r="B3001" s="8">
        <v>252604444</v>
      </c>
      <c r="C3001" s="9">
        <v>46079</v>
      </c>
      <c r="D3001" s="8" t="s">
        <v>30</v>
      </c>
      <c r="E3001" s="10">
        <v>200000</v>
      </c>
      <c r="F3001" s="8">
        <v>0.022</v>
      </c>
      <c r="G3001" s="11">
        <v>46147</v>
      </c>
      <c r="H3001" s="12">
        <f t="shared" si="46"/>
        <v>4400</v>
      </c>
      <c r="I3001" s="10" t="s">
        <v>10</v>
      </c>
      <c r="J3001" s="13">
        <v>46094</v>
      </c>
      <c r="K3001" t="s">
        <v>445</v>
      </c>
    </row>
    <row r="3002" hidden="1" spans="1:11">
      <c r="A3002" t="s">
        <v>319</v>
      </c>
      <c r="B3002" s="8">
        <v>252604444</v>
      </c>
      <c r="C3002" s="9">
        <v>46079</v>
      </c>
      <c r="D3002" s="8" t="s">
        <v>604</v>
      </c>
      <c r="E3002" s="10">
        <v>200000</v>
      </c>
      <c r="F3002" s="8">
        <v>0.015</v>
      </c>
      <c r="G3002" s="11">
        <v>46147</v>
      </c>
      <c r="H3002" s="12">
        <f t="shared" si="46"/>
        <v>3000</v>
      </c>
      <c r="I3002" s="10" t="s">
        <v>10</v>
      </c>
      <c r="J3002" s="13">
        <v>46086</v>
      </c>
      <c r="K3002" t="s">
        <v>445</v>
      </c>
    </row>
    <row r="3003" hidden="1" spans="1:11">
      <c r="A3003" t="s">
        <v>319</v>
      </c>
      <c r="B3003" s="8">
        <v>252604444</v>
      </c>
      <c r="C3003" s="9">
        <v>46079</v>
      </c>
      <c r="D3003" s="8" t="s">
        <v>604</v>
      </c>
      <c r="E3003" s="10">
        <v>60000</v>
      </c>
      <c r="F3003" s="8">
        <v>0.015</v>
      </c>
      <c r="G3003" s="11">
        <v>46147</v>
      </c>
      <c r="H3003" s="12">
        <f t="shared" si="46"/>
        <v>900</v>
      </c>
      <c r="I3003" s="10" t="s">
        <v>10</v>
      </c>
      <c r="J3003" s="13">
        <v>46086</v>
      </c>
      <c r="K3003" t="s">
        <v>445</v>
      </c>
    </row>
    <row r="3004" hidden="1" spans="1:11">
      <c r="A3004" t="s">
        <v>319</v>
      </c>
      <c r="B3004" s="8">
        <v>252604445</v>
      </c>
      <c r="C3004" s="9">
        <v>46079</v>
      </c>
      <c r="D3004" s="8" t="s">
        <v>30</v>
      </c>
      <c r="E3004" s="10">
        <v>200000</v>
      </c>
      <c r="F3004" s="8">
        <v>0.022</v>
      </c>
      <c r="G3004" s="11">
        <v>46178</v>
      </c>
      <c r="H3004" s="12">
        <f t="shared" si="46"/>
        <v>4400</v>
      </c>
      <c r="I3004" s="10" t="s">
        <v>10</v>
      </c>
      <c r="J3004" s="13">
        <v>46132</v>
      </c>
      <c r="K3004" t="s">
        <v>445</v>
      </c>
    </row>
    <row r="3005" hidden="1" spans="1:11">
      <c r="A3005" t="s">
        <v>319</v>
      </c>
      <c r="B3005" s="8">
        <v>252604445</v>
      </c>
      <c r="C3005" s="9">
        <v>46079</v>
      </c>
      <c r="D3005" s="8" t="s">
        <v>30</v>
      </c>
      <c r="E3005" s="10">
        <v>200000</v>
      </c>
      <c r="F3005" s="8">
        <v>0.022</v>
      </c>
      <c r="G3005" s="11">
        <v>46178</v>
      </c>
      <c r="H3005" s="12">
        <f t="shared" si="46"/>
        <v>4400</v>
      </c>
      <c r="I3005" s="10" t="s">
        <v>10</v>
      </c>
      <c r="J3005" s="13">
        <v>46132</v>
      </c>
      <c r="K3005" t="s">
        <v>445</v>
      </c>
    </row>
    <row r="3006" hidden="1" spans="1:11">
      <c r="A3006" t="s">
        <v>319</v>
      </c>
      <c r="B3006" s="8">
        <v>252604445</v>
      </c>
      <c r="C3006" s="9">
        <v>46079</v>
      </c>
      <c r="D3006" s="8" t="s">
        <v>30</v>
      </c>
      <c r="E3006" s="10">
        <v>200000</v>
      </c>
      <c r="F3006" s="8">
        <v>0.022</v>
      </c>
      <c r="G3006" s="11">
        <v>46178</v>
      </c>
      <c r="H3006" s="12">
        <f t="shared" si="46"/>
        <v>4400</v>
      </c>
      <c r="I3006" s="10" t="s">
        <v>10</v>
      </c>
      <c r="J3006" s="13">
        <v>46132</v>
      </c>
      <c r="K3006" t="s">
        <v>445</v>
      </c>
    </row>
    <row r="3007" hidden="1" spans="1:11">
      <c r="A3007" t="s">
        <v>319</v>
      </c>
      <c r="B3007" s="8">
        <v>252604445</v>
      </c>
      <c r="C3007" s="9">
        <v>46079</v>
      </c>
      <c r="D3007" s="8" t="s">
        <v>30</v>
      </c>
      <c r="E3007" s="10">
        <v>200000</v>
      </c>
      <c r="F3007" s="8">
        <v>0.022</v>
      </c>
      <c r="G3007" s="11">
        <v>46178</v>
      </c>
      <c r="H3007" s="12">
        <f t="shared" si="46"/>
        <v>4400</v>
      </c>
      <c r="I3007" s="10" t="s">
        <v>10</v>
      </c>
      <c r="J3007" s="13">
        <v>46132</v>
      </c>
      <c r="K3007" t="s">
        <v>445</v>
      </c>
    </row>
    <row r="3008" hidden="1" spans="1:11">
      <c r="A3008" t="s">
        <v>319</v>
      </c>
      <c r="B3008" s="8">
        <v>252604445</v>
      </c>
      <c r="C3008" s="9">
        <v>46079</v>
      </c>
      <c r="D3008" s="8" t="s">
        <v>30</v>
      </c>
      <c r="E3008" s="10">
        <v>200000</v>
      </c>
      <c r="F3008" s="8">
        <v>0.022</v>
      </c>
      <c r="G3008" s="11">
        <v>46178</v>
      </c>
      <c r="H3008" s="12">
        <f t="shared" si="46"/>
        <v>4400</v>
      </c>
      <c r="I3008" s="10" t="s">
        <v>10</v>
      </c>
      <c r="J3008" s="13">
        <v>46132</v>
      </c>
      <c r="K3008" t="s">
        <v>445</v>
      </c>
    </row>
    <row r="3009" hidden="1" spans="1:11">
      <c r="A3009" t="s">
        <v>319</v>
      </c>
      <c r="B3009" s="8">
        <v>252604445</v>
      </c>
      <c r="C3009" s="9">
        <v>46079</v>
      </c>
      <c r="D3009" s="8" t="s">
        <v>30</v>
      </c>
      <c r="E3009" s="10">
        <v>200000</v>
      </c>
      <c r="F3009" s="8">
        <v>0.022</v>
      </c>
      <c r="G3009" s="11">
        <v>46178</v>
      </c>
      <c r="H3009" s="12">
        <f t="shared" si="46"/>
        <v>4400</v>
      </c>
      <c r="I3009" s="10" t="s">
        <v>10</v>
      </c>
      <c r="J3009" s="13">
        <v>46132</v>
      </c>
      <c r="K3009" t="s">
        <v>445</v>
      </c>
    </row>
    <row r="3010" hidden="1" spans="1:11">
      <c r="A3010" t="s">
        <v>319</v>
      </c>
      <c r="B3010" s="8">
        <v>252604445</v>
      </c>
      <c r="C3010" s="9">
        <v>46079</v>
      </c>
      <c r="D3010" s="8" t="s">
        <v>604</v>
      </c>
      <c r="E3010" s="10">
        <v>200000</v>
      </c>
      <c r="F3010" s="8">
        <v>0.015</v>
      </c>
      <c r="G3010" s="11">
        <v>46178</v>
      </c>
      <c r="H3010" s="12">
        <f t="shared" ref="H3010:H3073" si="47">E3010*F3010</f>
        <v>3000</v>
      </c>
      <c r="I3010" s="10" t="s">
        <v>10</v>
      </c>
      <c r="J3010" s="13">
        <v>46126</v>
      </c>
      <c r="K3010" t="s">
        <v>445</v>
      </c>
    </row>
    <row r="3011" hidden="1" spans="1:11">
      <c r="A3011" t="s">
        <v>319</v>
      </c>
      <c r="B3011" s="8">
        <v>252604445</v>
      </c>
      <c r="C3011" s="9">
        <v>46079</v>
      </c>
      <c r="D3011" s="8" t="s">
        <v>604</v>
      </c>
      <c r="E3011" s="10">
        <v>60000</v>
      </c>
      <c r="F3011" s="8">
        <v>0.015</v>
      </c>
      <c r="G3011" s="11">
        <v>46178</v>
      </c>
      <c r="H3011" s="12">
        <f t="shared" si="47"/>
        <v>900</v>
      </c>
      <c r="I3011" s="10" t="s">
        <v>10</v>
      </c>
      <c r="J3011" s="13">
        <v>46126</v>
      </c>
      <c r="K3011" t="s">
        <v>445</v>
      </c>
    </row>
    <row r="3012" hidden="1" spans="1:11">
      <c r="A3012" t="s">
        <v>319</v>
      </c>
      <c r="B3012" s="8">
        <v>252604446</v>
      </c>
      <c r="C3012" s="9">
        <v>46079</v>
      </c>
      <c r="D3012" s="8" t="s">
        <v>30</v>
      </c>
      <c r="E3012" s="10">
        <v>200000</v>
      </c>
      <c r="F3012" s="8">
        <v>0.022</v>
      </c>
      <c r="G3012" s="11">
        <v>46208</v>
      </c>
      <c r="H3012" s="12">
        <f t="shared" si="47"/>
        <v>4400</v>
      </c>
      <c r="I3012" s="10" t="s">
        <v>10</v>
      </c>
      <c r="J3012" s="13">
        <v>46184</v>
      </c>
      <c r="K3012" t="s">
        <v>445</v>
      </c>
    </row>
    <row r="3013" hidden="1" spans="1:11">
      <c r="A3013" t="s">
        <v>319</v>
      </c>
      <c r="B3013" s="8">
        <v>252604446</v>
      </c>
      <c r="C3013" s="9">
        <v>46079</v>
      </c>
      <c r="D3013" s="8" t="s">
        <v>30</v>
      </c>
      <c r="E3013" s="10">
        <v>200000</v>
      </c>
      <c r="F3013" s="8">
        <v>0.022</v>
      </c>
      <c r="G3013" s="11">
        <v>46208</v>
      </c>
      <c r="H3013" s="12">
        <f t="shared" si="47"/>
        <v>4400</v>
      </c>
      <c r="I3013" s="10" t="s">
        <v>10</v>
      </c>
      <c r="J3013" s="13">
        <v>46184</v>
      </c>
      <c r="K3013" t="s">
        <v>445</v>
      </c>
    </row>
    <row r="3014" hidden="1" spans="1:11">
      <c r="A3014" t="s">
        <v>319</v>
      </c>
      <c r="B3014" s="8">
        <v>252604446</v>
      </c>
      <c r="C3014" s="9">
        <v>46079</v>
      </c>
      <c r="D3014" s="8" t="s">
        <v>30</v>
      </c>
      <c r="E3014" s="10">
        <v>200000</v>
      </c>
      <c r="F3014" s="8">
        <v>0.022</v>
      </c>
      <c r="G3014" s="11">
        <v>46208</v>
      </c>
      <c r="H3014" s="12">
        <f t="shared" si="47"/>
        <v>4400</v>
      </c>
      <c r="I3014" s="10" t="s">
        <v>10</v>
      </c>
      <c r="J3014" s="13">
        <v>46184</v>
      </c>
      <c r="K3014" t="s">
        <v>445</v>
      </c>
    </row>
    <row r="3015" hidden="1" spans="1:11">
      <c r="A3015" t="s">
        <v>319</v>
      </c>
      <c r="B3015" s="8">
        <v>252604446</v>
      </c>
      <c r="C3015" s="9">
        <v>46079</v>
      </c>
      <c r="D3015" s="8" t="s">
        <v>30</v>
      </c>
      <c r="E3015" s="10">
        <v>200000</v>
      </c>
      <c r="F3015" s="8">
        <v>0.022</v>
      </c>
      <c r="G3015" s="11">
        <v>46208</v>
      </c>
      <c r="H3015" s="12">
        <f t="shared" si="47"/>
        <v>4400</v>
      </c>
      <c r="I3015" s="10" t="s">
        <v>10</v>
      </c>
      <c r="J3015" s="13">
        <v>46184</v>
      </c>
      <c r="K3015" t="s">
        <v>445</v>
      </c>
    </row>
    <row r="3016" hidden="1" spans="1:11">
      <c r="A3016" t="s">
        <v>319</v>
      </c>
      <c r="B3016" s="8">
        <v>252604446</v>
      </c>
      <c r="C3016" s="9">
        <v>46079</v>
      </c>
      <c r="D3016" s="8" t="s">
        <v>30</v>
      </c>
      <c r="E3016" s="10">
        <v>200000</v>
      </c>
      <c r="F3016" s="8">
        <v>0.022</v>
      </c>
      <c r="G3016" s="11">
        <v>46208</v>
      </c>
      <c r="H3016" s="12">
        <f t="shared" si="47"/>
        <v>4400</v>
      </c>
      <c r="I3016" s="10" t="s">
        <v>10</v>
      </c>
      <c r="J3016" s="13">
        <v>46184</v>
      </c>
      <c r="K3016" t="s">
        <v>445</v>
      </c>
    </row>
    <row r="3017" hidden="1" spans="1:11">
      <c r="A3017" t="s">
        <v>319</v>
      </c>
      <c r="B3017" s="8">
        <v>252604446</v>
      </c>
      <c r="C3017" s="9">
        <v>46079</v>
      </c>
      <c r="D3017" s="8" t="s">
        <v>30</v>
      </c>
      <c r="E3017" s="10">
        <v>200000</v>
      </c>
      <c r="F3017" s="8">
        <v>0.022</v>
      </c>
      <c r="G3017" s="11">
        <v>46208</v>
      </c>
      <c r="H3017" s="12">
        <f t="shared" si="47"/>
        <v>4400</v>
      </c>
      <c r="I3017" s="10" t="s">
        <v>10</v>
      </c>
      <c r="J3017" s="13">
        <v>46184</v>
      </c>
      <c r="K3017" t="s">
        <v>445</v>
      </c>
    </row>
    <row r="3018" hidden="1" spans="1:11">
      <c r="A3018" t="s">
        <v>319</v>
      </c>
      <c r="B3018" s="8">
        <v>252604446</v>
      </c>
      <c r="C3018" s="9">
        <v>46079</v>
      </c>
      <c r="D3018" s="8" t="s">
        <v>604</v>
      </c>
      <c r="E3018" s="10">
        <v>200000</v>
      </c>
      <c r="F3018" s="8">
        <v>0.015</v>
      </c>
      <c r="G3018" s="11">
        <v>46208</v>
      </c>
      <c r="H3018" s="12">
        <f t="shared" si="47"/>
        <v>3000</v>
      </c>
      <c r="I3018" s="10" t="s">
        <v>10</v>
      </c>
      <c r="J3018" s="13">
        <v>46169</v>
      </c>
      <c r="K3018" t="s">
        <v>445</v>
      </c>
    </row>
    <row r="3019" hidden="1" spans="1:11">
      <c r="A3019" t="s">
        <v>319</v>
      </c>
      <c r="B3019" s="8">
        <v>252604446</v>
      </c>
      <c r="C3019" s="9">
        <v>46079</v>
      </c>
      <c r="D3019" s="8" t="s">
        <v>604</v>
      </c>
      <c r="E3019" s="10">
        <v>60000</v>
      </c>
      <c r="F3019" s="8">
        <v>0.015</v>
      </c>
      <c r="G3019" s="11">
        <v>46208</v>
      </c>
      <c r="H3019" s="12">
        <f t="shared" si="47"/>
        <v>900</v>
      </c>
      <c r="I3019" s="10" t="s">
        <v>10</v>
      </c>
      <c r="J3019" s="13">
        <v>46169</v>
      </c>
      <c r="K3019" t="s">
        <v>445</v>
      </c>
    </row>
    <row r="3020" hidden="1" spans="1:11">
      <c r="A3020" t="s">
        <v>319</v>
      </c>
      <c r="B3020" s="8">
        <v>252604496</v>
      </c>
      <c r="C3020" s="9">
        <v>46081</v>
      </c>
      <c r="D3020" s="8" t="s">
        <v>242</v>
      </c>
      <c r="E3020" s="10">
        <v>20000</v>
      </c>
      <c r="F3020" s="8">
        <v>0.043</v>
      </c>
      <c r="G3020" s="11">
        <v>46117</v>
      </c>
      <c r="H3020" s="12">
        <f t="shared" si="47"/>
        <v>860</v>
      </c>
      <c r="I3020" s="10" t="s">
        <v>10</v>
      </c>
      <c r="J3020" s="13">
        <v>46083</v>
      </c>
      <c r="K3020" t="s">
        <v>491</v>
      </c>
    </row>
    <row r="3021" hidden="1" spans="1:11">
      <c r="A3021" t="s">
        <v>319</v>
      </c>
      <c r="B3021" s="8">
        <v>252604496</v>
      </c>
      <c r="C3021" s="9">
        <v>46081</v>
      </c>
      <c r="D3021" s="8" t="s">
        <v>512</v>
      </c>
      <c r="E3021" s="10">
        <v>60000</v>
      </c>
      <c r="F3021" s="8">
        <v>0.031</v>
      </c>
      <c r="G3021" s="11">
        <v>46117</v>
      </c>
      <c r="H3021" s="12">
        <f t="shared" si="47"/>
        <v>1860</v>
      </c>
      <c r="I3021" s="10" t="s">
        <v>10</v>
      </c>
      <c r="J3021" s="13">
        <v>46083</v>
      </c>
      <c r="K3021" t="s">
        <v>491</v>
      </c>
    </row>
    <row r="3022" hidden="1" spans="1:11">
      <c r="A3022" t="s">
        <v>319</v>
      </c>
      <c r="B3022" s="8">
        <v>252604504</v>
      </c>
      <c r="C3022" s="9">
        <v>46081</v>
      </c>
      <c r="D3022" s="8" t="s">
        <v>30</v>
      </c>
      <c r="E3022" s="10">
        <v>200000</v>
      </c>
      <c r="F3022" s="8">
        <v>0.022</v>
      </c>
      <c r="G3022" s="11">
        <v>46086</v>
      </c>
      <c r="H3022" s="12">
        <f t="shared" si="47"/>
        <v>4400</v>
      </c>
      <c r="I3022" s="10" t="s">
        <v>10</v>
      </c>
      <c r="J3022" s="13">
        <v>46087</v>
      </c>
      <c r="K3022" t="s">
        <v>369</v>
      </c>
    </row>
    <row r="3023" hidden="1" spans="1:11">
      <c r="A3023" t="s">
        <v>319</v>
      </c>
      <c r="B3023" s="8">
        <v>252604504</v>
      </c>
      <c r="C3023" s="9">
        <v>46081</v>
      </c>
      <c r="D3023" s="8" t="s">
        <v>30</v>
      </c>
      <c r="E3023" s="10">
        <v>200000</v>
      </c>
      <c r="F3023" s="8">
        <v>0.022</v>
      </c>
      <c r="G3023" s="11">
        <v>46117</v>
      </c>
      <c r="H3023" s="12">
        <f t="shared" si="47"/>
        <v>4400</v>
      </c>
      <c r="I3023" s="10" t="s">
        <v>10</v>
      </c>
      <c r="J3023" s="13">
        <v>46087</v>
      </c>
      <c r="K3023" t="s">
        <v>369</v>
      </c>
    </row>
    <row r="3024" hidden="1" spans="1:11">
      <c r="A3024" t="s">
        <v>319</v>
      </c>
      <c r="B3024" s="8">
        <v>252604519</v>
      </c>
      <c r="C3024" s="9">
        <v>46083</v>
      </c>
      <c r="D3024" s="8" t="s">
        <v>31</v>
      </c>
      <c r="E3024" s="10">
        <v>60000</v>
      </c>
      <c r="F3024" s="8">
        <v>0.024</v>
      </c>
      <c r="G3024" s="11">
        <v>46117</v>
      </c>
      <c r="H3024" s="12">
        <f t="shared" si="47"/>
        <v>1440</v>
      </c>
      <c r="I3024" s="10" t="s">
        <v>10</v>
      </c>
      <c r="J3024" s="13">
        <v>46094</v>
      </c>
      <c r="K3024" t="s">
        <v>535</v>
      </c>
    </row>
    <row r="3025" hidden="1" spans="1:11">
      <c r="A3025" t="s">
        <v>319</v>
      </c>
      <c r="B3025" s="8">
        <v>252604519</v>
      </c>
      <c r="C3025" s="9">
        <v>46083</v>
      </c>
      <c r="D3025" s="8" t="s">
        <v>163</v>
      </c>
      <c r="E3025" s="10">
        <v>192000</v>
      </c>
      <c r="F3025" s="8">
        <v>0.0025</v>
      </c>
      <c r="G3025" s="11">
        <v>46086</v>
      </c>
      <c r="H3025" s="12">
        <f t="shared" si="47"/>
        <v>480</v>
      </c>
      <c r="I3025" s="10" t="s">
        <v>10</v>
      </c>
      <c r="J3025" s="13">
        <v>46086</v>
      </c>
      <c r="K3025" t="s">
        <v>535</v>
      </c>
    </row>
    <row r="3026" hidden="1" spans="1:11">
      <c r="A3026" t="s">
        <v>319</v>
      </c>
      <c r="B3026" s="8">
        <v>252604519</v>
      </c>
      <c r="C3026" s="9">
        <v>46083</v>
      </c>
      <c r="D3026" s="8" t="s">
        <v>163</v>
      </c>
      <c r="E3026" s="10">
        <v>192000</v>
      </c>
      <c r="F3026" s="8">
        <v>0.0025</v>
      </c>
      <c r="G3026" s="11">
        <v>46086</v>
      </c>
      <c r="H3026" s="12">
        <f t="shared" si="47"/>
        <v>480</v>
      </c>
      <c r="I3026" s="10" t="s">
        <v>10</v>
      </c>
      <c r="J3026" s="13">
        <v>46086</v>
      </c>
      <c r="K3026" t="s">
        <v>535</v>
      </c>
    </row>
    <row r="3027" hidden="1" spans="1:11">
      <c r="A3027" t="s">
        <v>319</v>
      </c>
      <c r="B3027" s="8">
        <v>252604519</v>
      </c>
      <c r="C3027" s="9">
        <v>46083</v>
      </c>
      <c r="D3027" s="8" t="s">
        <v>163</v>
      </c>
      <c r="E3027" s="10">
        <v>192000</v>
      </c>
      <c r="F3027" s="8">
        <v>0.0025</v>
      </c>
      <c r="G3027" s="11">
        <v>46086</v>
      </c>
      <c r="H3027" s="12">
        <f t="shared" si="47"/>
        <v>480</v>
      </c>
      <c r="I3027" s="10" t="s">
        <v>10</v>
      </c>
      <c r="J3027" s="13">
        <v>46086</v>
      </c>
      <c r="K3027" t="s">
        <v>535</v>
      </c>
    </row>
    <row r="3028" hidden="1" spans="1:11">
      <c r="A3028" t="s">
        <v>319</v>
      </c>
      <c r="B3028" s="8">
        <v>252604519</v>
      </c>
      <c r="C3028" s="9">
        <v>46083</v>
      </c>
      <c r="D3028" s="8" t="s">
        <v>163</v>
      </c>
      <c r="E3028" s="10">
        <v>192000</v>
      </c>
      <c r="F3028" s="8">
        <v>0.0025</v>
      </c>
      <c r="G3028" s="11">
        <v>46086</v>
      </c>
      <c r="H3028" s="12">
        <f t="shared" si="47"/>
        <v>480</v>
      </c>
      <c r="I3028" s="10" t="s">
        <v>10</v>
      </c>
      <c r="J3028" s="13">
        <v>46086</v>
      </c>
      <c r="K3028" t="s">
        <v>535</v>
      </c>
    </row>
    <row r="3029" hidden="1" spans="1:11">
      <c r="A3029" t="s">
        <v>319</v>
      </c>
      <c r="B3029" s="8">
        <v>252604519</v>
      </c>
      <c r="C3029" s="9">
        <v>46083</v>
      </c>
      <c r="D3029" s="8" t="s">
        <v>163</v>
      </c>
      <c r="E3029" s="10">
        <v>192000</v>
      </c>
      <c r="F3029" s="8">
        <v>0.0025</v>
      </c>
      <c r="G3029" s="11">
        <v>46086</v>
      </c>
      <c r="H3029" s="12">
        <f t="shared" si="47"/>
        <v>480</v>
      </c>
      <c r="I3029" s="10" t="s">
        <v>10</v>
      </c>
      <c r="J3029" s="13">
        <v>46086</v>
      </c>
      <c r="K3029" t="s">
        <v>535</v>
      </c>
    </row>
    <row r="3030" hidden="1" spans="1:11">
      <c r="A3030" t="s">
        <v>319</v>
      </c>
      <c r="B3030" s="8">
        <v>252604519</v>
      </c>
      <c r="C3030" s="9">
        <v>46083</v>
      </c>
      <c r="D3030" s="8" t="s">
        <v>163</v>
      </c>
      <c r="E3030" s="10">
        <v>192000</v>
      </c>
      <c r="F3030" s="8">
        <v>0.0025</v>
      </c>
      <c r="G3030" s="11">
        <v>46086</v>
      </c>
      <c r="H3030" s="12">
        <f t="shared" si="47"/>
        <v>480</v>
      </c>
      <c r="I3030" s="10" t="s">
        <v>10</v>
      </c>
      <c r="J3030" s="13">
        <v>46086</v>
      </c>
      <c r="K3030" t="s">
        <v>535</v>
      </c>
    </row>
    <row r="3031" hidden="1" spans="1:11">
      <c r="A3031" t="s">
        <v>319</v>
      </c>
      <c r="B3031" s="8">
        <v>252604519</v>
      </c>
      <c r="C3031" s="9">
        <v>46083</v>
      </c>
      <c r="D3031" s="8" t="s">
        <v>163</v>
      </c>
      <c r="E3031" s="10">
        <v>192000</v>
      </c>
      <c r="F3031" s="8">
        <v>0.0025</v>
      </c>
      <c r="G3031" s="11">
        <v>46086</v>
      </c>
      <c r="H3031" s="12">
        <f t="shared" si="47"/>
        <v>480</v>
      </c>
      <c r="I3031" s="10" t="s">
        <v>10</v>
      </c>
      <c r="J3031" s="13">
        <v>46086</v>
      </c>
      <c r="K3031" t="s">
        <v>535</v>
      </c>
    </row>
    <row r="3032" hidden="1" spans="1:11">
      <c r="A3032" t="s">
        <v>319</v>
      </c>
      <c r="B3032" s="8">
        <v>252604519</v>
      </c>
      <c r="C3032" s="9">
        <v>46083</v>
      </c>
      <c r="D3032" s="8" t="s">
        <v>163</v>
      </c>
      <c r="E3032" s="10">
        <v>160000</v>
      </c>
      <c r="F3032" s="8">
        <v>0.0025</v>
      </c>
      <c r="G3032" s="11">
        <v>46086</v>
      </c>
      <c r="H3032" s="12">
        <f t="shared" si="47"/>
        <v>400</v>
      </c>
      <c r="I3032" s="10" t="s">
        <v>10</v>
      </c>
      <c r="J3032" s="13">
        <v>46086</v>
      </c>
      <c r="K3032" t="s">
        <v>535</v>
      </c>
    </row>
    <row r="3033" hidden="1" spans="1:11">
      <c r="A3033" t="s">
        <v>319</v>
      </c>
      <c r="B3033" s="8">
        <v>252604519</v>
      </c>
      <c r="C3033" s="9">
        <v>46083</v>
      </c>
      <c r="D3033" s="8" t="s">
        <v>163</v>
      </c>
      <c r="E3033" s="10">
        <v>192000</v>
      </c>
      <c r="F3033" s="8">
        <v>0.0025</v>
      </c>
      <c r="G3033" s="11">
        <v>46117</v>
      </c>
      <c r="H3033" s="12">
        <f t="shared" si="47"/>
        <v>480</v>
      </c>
      <c r="I3033" s="10" t="s">
        <v>10</v>
      </c>
      <c r="J3033" s="13">
        <v>46086</v>
      </c>
      <c r="K3033" t="s">
        <v>535</v>
      </c>
    </row>
    <row r="3034" hidden="1" spans="1:11">
      <c r="A3034" t="s">
        <v>319</v>
      </c>
      <c r="B3034" s="8">
        <v>252604519</v>
      </c>
      <c r="C3034" s="9">
        <v>46083</v>
      </c>
      <c r="D3034" s="8" t="s">
        <v>163</v>
      </c>
      <c r="E3034" s="10">
        <v>112000</v>
      </c>
      <c r="F3034" s="8">
        <v>0.0025</v>
      </c>
      <c r="G3034" s="11">
        <v>46117</v>
      </c>
      <c r="H3034" s="12">
        <f t="shared" si="47"/>
        <v>280</v>
      </c>
      <c r="I3034" s="10" t="s">
        <v>10</v>
      </c>
      <c r="J3034" s="13">
        <v>46086</v>
      </c>
      <c r="K3034" t="s">
        <v>535</v>
      </c>
    </row>
    <row r="3035" hidden="1" spans="1:11">
      <c r="A3035" t="s">
        <v>319</v>
      </c>
      <c r="B3035" s="8">
        <v>252604520</v>
      </c>
      <c r="C3035" s="9">
        <v>46083</v>
      </c>
      <c r="D3035" s="8" t="s">
        <v>31</v>
      </c>
      <c r="E3035" s="10">
        <v>60000</v>
      </c>
      <c r="F3035" s="8">
        <v>0.024</v>
      </c>
      <c r="G3035" s="11">
        <v>46147</v>
      </c>
      <c r="H3035" s="12">
        <f t="shared" si="47"/>
        <v>1440</v>
      </c>
      <c r="I3035" s="10" t="s">
        <v>10</v>
      </c>
      <c r="J3035" s="13">
        <v>46119</v>
      </c>
      <c r="K3035" t="s">
        <v>535</v>
      </c>
    </row>
    <row r="3036" hidden="1" spans="1:11">
      <c r="A3036" t="s">
        <v>319</v>
      </c>
      <c r="B3036" s="8">
        <v>252604520</v>
      </c>
      <c r="C3036" s="9">
        <v>46083</v>
      </c>
      <c r="D3036" s="8" t="s">
        <v>163</v>
      </c>
      <c r="E3036" s="10">
        <v>192000</v>
      </c>
      <c r="F3036" s="8">
        <v>0.0025</v>
      </c>
      <c r="G3036" s="11">
        <v>46147</v>
      </c>
      <c r="H3036" s="12">
        <f t="shared" si="47"/>
        <v>480</v>
      </c>
      <c r="I3036" s="10" t="s">
        <v>10</v>
      </c>
      <c r="J3036" s="13">
        <v>46108</v>
      </c>
      <c r="K3036" t="s">
        <v>535</v>
      </c>
    </row>
    <row r="3037" hidden="1" spans="1:11">
      <c r="A3037" t="s">
        <v>319</v>
      </c>
      <c r="B3037" s="8">
        <v>252604520</v>
      </c>
      <c r="C3037" s="9">
        <v>46083</v>
      </c>
      <c r="D3037" s="8" t="s">
        <v>163</v>
      </c>
      <c r="E3037" s="10">
        <v>112000</v>
      </c>
      <c r="F3037" s="8">
        <v>0.0025</v>
      </c>
      <c r="G3037" s="11">
        <v>46147</v>
      </c>
      <c r="H3037" s="12">
        <f t="shared" si="47"/>
        <v>280</v>
      </c>
      <c r="I3037" s="10" t="s">
        <v>10</v>
      </c>
      <c r="J3037" s="13">
        <v>46108</v>
      </c>
      <c r="K3037" t="s">
        <v>535</v>
      </c>
    </row>
    <row r="3038" hidden="1" spans="1:11">
      <c r="A3038" t="s">
        <v>319</v>
      </c>
      <c r="B3038" s="8">
        <v>252604521</v>
      </c>
      <c r="C3038" s="9">
        <v>46083</v>
      </c>
      <c r="D3038" s="8" t="s">
        <v>40</v>
      </c>
      <c r="E3038" s="10">
        <v>26000</v>
      </c>
      <c r="F3038" s="8">
        <v>0.035</v>
      </c>
      <c r="G3038" s="11">
        <v>46147</v>
      </c>
      <c r="H3038" s="12">
        <f t="shared" si="47"/>
        <v>910</v>
      </c>
      <c r="I3038" s="10" t="s">
        <v>10</v>
      </c>
      <c r="J3038" s="13">
        <v>46132</v>
      </c>
      <c r="K3038" t="s">
        <v>460</v>
      </c>
    </row>
    <row r="3039" hidden="1" spans="1:11">
      <c r="A3039" t="s">
        <v>319</v>
      </c>
      <c r="B3039" s="8">
        <v>252604521</v>
      </c>
      <c r="C3039" s="9">
        <v>46083</v>
      </c>
      <c r="D3039" s="8" t="s">
        <v>40</v>
      </c>
      <c r="E3039" s="10">
        <v>24000</v>
      </c>
      <c r="F3039" s="8">
        <v>0.035</v>
      </c>
      <c r="G3039" s="11">
        <v>46178</v>
      </c>
      <c r="H3039" s="12">
        <f t="shared" si="47"/>
        <v>840</v>
      </c>
      <c r="I3039" s="10" t="s">
        <v>10</v>
      </c>
      <c r="J3039" s="13">
        <v>46132</v>
      </c>
      <c r="K3039" t="s">
        <v>460</v>
      </c>
    </row>
    <row r="3040" hidden="1" spans="1:11">
      <c r="A3040" t="s">
        <v>319</v>
      </c>
      <c r="B3040" s="8">
        <v>252604521</v>
      </c>
      <c r="C3040" s="9">
        <v>46083</v>
      </c>
      <c r="D3040" s="8" t="s">
        <v>45</v>
      </c>
      <c r="E3040" s="10">
        <v>48000</v>
      </c>
      <c r="F3040" s="8">
        <v>0.024</v>
      </c>
      <c r="G3040" s="11">
        <v>46147</v>
      </c>
      <c r="H3040" s="12">
        <f t="shared" si="47"/>
        <v>1152</v>
      </c>
      <c r="I3040" s="10" t="s">
        <v>10</v>
      </c>
      <c r="J3040" s="13">
        <v>46126</v>
      </c>
      <c r="K3040" t="s">
        <v>460</v>
      </c>
    </row>
    <row r="3041" hidden="1" spans="1:11">
      <c r="B3041" s="14">
        <v>252604522</v>
      </c>
      <c r="C3041" s="13">
        <v>46083</v>
      </c>
      <c r="D3041" s="14" t="s">
        <v>46</v>
      </c>
      <c r="E3041" s="15">
        <v>52000</v>
      </c>
      <c r="F3041" s="14">
        <v>0.02</v>
      </c>
      <c r="G3041" s="16">
        <v>46239</v>
      </c>
      <c r="H3041" s="17">
        <f t="shared" si="47"/>
        <v>1040</v>
      </c>
      <c r="I3041" s="15" t="s">
        <v>317</v>
      </c>
      <c r="J3041" s="15"/>
      <c r="K3041" t="s">
        <v>460</v>
      </c>
    </row>
    <row r="3042" hidden="1" spans="1:11">
      <c r="A3042" t="s">
        <v>319</v>
      </c>
      <c r="B3042" s="8">
        <v>252604523</v>
      </c>
      <c r="C3042" s="9">
        <v>46083</v>
      </c>
      <c r="D3042" s="8" t="s">
        <v>9</v>
      </c>
      <c r="E3042" s="10">
        <v>20000</v>
      </c>
      <c r="F3042" s="8">
        <v>0.0254</v>
      </c>
      <c r="G3042" s="11">
        <v>46086</v>
      </c>
      <c r="H3042" s="12">
        <f t="shared" si="47"/>
        <v>508</v>
      </c>
      <c r="I3042" s="10" t="s">
        <v>10</v>
      </c>
      <c r="J3042" s="13">
        <v>46086</v>
      </c>
      <c r="K3042" t="s">
        <v>486</v>
      </c>
    </row>
    <row r="3043" hidden="1" spans="1:11">
      <c r="A3043" t="s">
        <v>319</v>
      </c>
      <c r="B3043" s="8">
        <v>252604523</v>
      </c>
      <c r="C3043" s="9">
        <v>46083</v>
      </c>
      <c r="D3043" s="8" t="s">
        <v>9</v>
      </c>
      <c r="E3043" s="10">
        <v>40000</v>
      </c>
      <c r="F3043" s="8">
        <v>0.0254</v>
      </c>
      <c r="G3043" s="11">
        <v>46117</v>
      </c>
      <c r="H3043" s="12">
        <f t="shared" si="47"/>
        <v>1016</v>
      </c>
      <c r="I3043" s="10" t="s">
        <v>10</v>
      </c>
      <c r="J3043" s="13">
        <v>46086</v>
      </c>
      <c r="K3043" t="s">
        <v>486</v>
      </c>
    </row>
    <row r="3044" hidden="1" spans="1:11">
      <c r="A3044" t="s">
        <v>319</v>
      </c>
      <c r="B3044" s="8">
        <v>252604524</v>
      </c>
      <c r="C3044" s="9">
        <v>46083</v>
      </c>
      <c r="D3044" s="8" t="s">
        <v>9</v>
      </c>
      <c r="E3044" s="10">
        <v>40000</v>
      </c>
      <c r="F3044" s="8">
        <v>0.0254</v>
      </c>
      <c r="G3044" s="11">
        <v>46157</v>
      </c>
      <c r="H3044" s="12">
        <f t="shared" si="47"/>
        <v>1016</v>
      </c>
      <c r="I3044" s="10" t="s">
        <v>10</v>
      </c>
      <c r="J3044" s="13">
        <v>46142</v>
      </c>
      <c r="K3044" t="s">
        <v>486</v>
      </c>
    </row>
    <row r="3045" hidden="1" spans="1:11">
      <c r="A3045" t="s">
        <v>319</v>
      </c>
      <c r="B3045" s="8">
        <v>252604553</v>
      </c>
      <c r="C3045" s="9">
        <v>46085</v>
      </c>
      <c r="D3045" s="8" t="s">
        <v>30</v>
      </c>
      <c r="E3045" s="10">
        <v>100000</v>
      </c>
      <c r="F3045" s="8">
        <v>0.022</v>
      </c>
      <c r="G3045" s="11">
        <v>46086</v>
      </c>
      <c r="H3045" s="12">
        <f t="shared" si="47"/>
        <v>2200</v>
      </c>
      <c r="I3045" s="10" t="s">
        <v>10</v>
      </c>
      <c r="J3045" s="13">
        <v>46094</v>
      </c>
      <c r="K3045" t="s">
        <v>382</v>
      </c>
    </row>
    <row r="3046" hidden="1" spans="1:11">
      <c r="B3046" s="14">
        <v>252604621</v>
      </c>
      <c r="C3046" s="13">
        <v>46087</v>
      </c>
      <c r="D3046" s="14" t="s">
        <v>641</v>
      </c>
      <c r="E3046" s="15">
        <v>8000</v>
      </c>
      <c r="F3046" s="14">
        <v>0.036</v>
      </c>
      <c r="G3046" s="16">
        <v>46103</v>
      </c>
      <c r="H3046" s="17">
        <f t="shared" si="47"/>
        <v>288</v>
      </c>
      <c r="I3046" s="15" t="s">
        <v>317</v>
      </c>
      <c r="J3046" s="15" t="s">
        <v>501</v>
      </c>
      <c r="K3046" t="s">
        <v>378</v>
      </c>
    </row>
    <row r="3047" hidden="1" spans="1:11">
      <c r="A3047" t="s">
        <v>319</v>
      </c>
      <c r="B3047" s="8">
        <v>252604631</v>
      </c>
      <c r="C3047" s="9">
        <v>46087</v>
      </c>
      <c r="D3047" s="8" t="s">
        <v>35</v>
      </c>
      <c r="E3047" s="10">
        <v>100000</v>
      </c>
      <c r="F3047" s="8">
        <v>0.05</v>
      </c>
      <c r="G3047" s="11">
        <v>46178</v>
      </c>
      <c r="H3047" s="12">
        <f t="shared" si="47"/>
        <v>5000</v>
      </c>
      <c r="I3047" s="10" t="s">
        <v>10</v>
      </c>
      <c r="J3047" s="13">
        <v>46147</v>
      </c>
      <c r="K3047" t="s">
        <v>486</v>
      </c>
    </row>
    <row r="3048" hidden="1" spans="1:11">
      <c r="A3048" t="s">
        <v>319</v>
      </c>
      <c r="B3048" s="8">
        <v>252604631</v>
      </c>
      <c r="C3048" s="9">
        <v>46087</v>
      </c>
      <c r="D3048" s="8" t="s">
        <v>35</v>
      </c>
      <c r="E3048" s="10">
        <v>100000</v>
      </c>
      <c r="F3048" s="8">
        <v>0.05</v>
      </c>
      <c r="G3048" s="11">
        <v>46208</v>
      </c>
      <c r="H3048" s="12">
        <f t="shared" si="47"/>
        <v>5000</v>
      </c>
      <c r="I3048" s="10" t="s">
        <v>10</v>
      </c>
      <c r="J3048" s="13">
        <v>46147</v>
      </c>
      <c r="K3048" t="s">
        <v>486</v>
      </c>
    </row>
    <row r="3049" hidden="1" spans="1:11">
      <c r="A3049" t="s">
        <v>319</v>
      </c>
      <c r="B3049" s="8">
        <v>252604644</v>
      </c>
      <c r="C3049" s="9">
        <v>46087</v>
      </c>
      <c r="D3049" s="8" t="s">
        <v>625</v>
      </c>
      <c r="E3049" s="10">
        <v>200000</v>
      </c>
      <c r="F3049" s="8">
        <v>0.032</v>
      </c>
      <c r="G3049" s="11">
        <v>46147</v>
      </c>
      <c r="H3049" s="12">
        <f t="shared" si="47"/>
        <v>6400</v>
      </c>
      <c r="I3049" s="10" t="s">
        <v>10</v>
      </c>
      <c r="J3049" s="13">
        <v>46142</v>
      </c>
      <c r="K3049" t="s">
        <v>642</v>
      </c>
    </row>
    <row r="3050" hidden="1" spans="1:11">
      <c r="A3050" t="s">
        <v>319</v>
      </c>
      <c r="B3050" s="8">
        <v>252604644</v>
      </c>
      <c r="C3050" s="9">
        <v>46087</v>
      </c>
      <c r="D3050" s="8" t="s">
        <v>625</v>
      </c>
      <c r="E3050" s="10">
        <v>200000</v>
      </c>
      <c r="F3050" s="8">
        <v>0.032</v>
      </c>
      <c r="G3050" s="11">
        <v>46147</v>
      </c>
      <c r="H3050" s="12">
        <f t="shared" si="47"/>
        <v>6400</v>
      </c>
      <c r="I3050" s="10" t="s">
        <v>10</v>
      </c>
      <c r="J3050" s="13">
        <v>46142</v>
      </c>
      <c r="K3050" t="s">
        <v>642</v>
      </c>
    </row>
    <row r="3051" hidden="1" spans="1:11">
      <c r="A3051" t="s">
        <v>319</v>
      </c>
      <c r="B3051" s="8">
        <v>252604644</v>
      </c>
      <c r="C3051" s="9">
        <v>46087</v>
      </c>
      <c r="D3051" s="8" t="s">
        <v>625</v>
      </c>
      <c r="E3051" s="10">
        <v>200000</v>
      </c>
      <c r="F3051" s="8">
        <v>0.032</v>
      </c>
      <c r="G3051" s="11">
        <v>46147</v>
      </c>
      <c r="H3051" s="12">
        <f t="shared" si="47"/>
        <v>6400</v>
      </c>
      <c r="I3051" s="10" t="s">
        <v>10</v>
      </c>
      <c r="J3051" s="13">
        <v>46142</v>
      </c>
      <c r="K3051" t="s">
        <v>642</v>
      </c>
    </row>
    <row r="3052" hidden="1" spans="1:11">
      <c r="A3052" t="s">
        <v>319</v>
      </c>
      <c r="B3052" s="8">
        <v>252604644</v>
      </c>
      <c r="C3052" s="9">
        <v>46087</v>
      </c>
      <c r="D3052" s="8" t="s">
        <v>625</v>
      </c>
      <c r="E3052" s="10">
        <v>150000</v>
      </c>
      <c r="F3052" s="8">
        <v>0.032</v>
      </c>
      <c r="G3052" s="11">
        <v>46147</v>
      </c>
      <c r="H3052" s="12">
        <f t="shared" si="47"/>
        <v>4800</v>
      </c>
      <c r="I3052" s="10" t="s">
        <v>10</v>
      </c>
      <c r="J3052" s="13">
        <v>46142</v>
      </c>
      <c r="K3052" t="s">
        <v>642</v>
      </c>
    </row>
    <row r="3053" hidden="1" spans="1:11">
      <c r="A3053" t="s">
        <v>319</v>
      </c>
      <c r="B3053" s="8">
        <v>252604644</v>
      </c>
      <c r="C3053" s="9">
        <v>46087</v>
      </c>
      <c r="D3053" s="8" t="s">
        <v>625</v>
      </c>
      <c r="E3053" s="10">
        <v>200000</v>
      </c>
      <c r="F3053" s="8">
        <v>0.032</v>
      </c>
      <c r="G3053" s="11">
        <v>46178</v>
      </c>
      <c r="H3053" s="12">
        <f t="shared" si="47"/>
        <v>6400</v>
      </c>
      <c r="I3053" s="10" t="s">
        <v>10</v>
      </c>
      <c r="J3053" s="13">
        <v>46142</v>
      </c>
      <c r="K3053" t="s">
        <v>642</v>
      </c>
    </row>
    <row r="3054" hidden="1" spans="1:11">
      <c r="A3054" t="s">
        <v>319</v>
      </c>
      <c r="B3054" s="8">
        <v>252604644</v>
      </c>
      <c r="C3054" s="9">
        <v>46087</v>
      </c>
      <c r="D3054" s="8" t="s">
        <v>625</v>
      </c>
      <c r="E3054" s="10">
        <v>200000</v>
      </c>
      <c r="F3054" s="8">
        <v>0.032</v>
      </c>
      <c r="G3054" s="11">
        <v>46178</v>
      </c>
      <c r="H3054" s="12">
        <f t="shared" si="47"/>
        <v>6400</v>
      </c>
      <c r="I3054" s="10" t="s">
        <v>10</v>
      </c>
      <c r="J3054" s="13">
        <v>46142</v>
      </c>
      <c r="K3054" t="s">
        <v>642</v>
      </c>
    </row>
    <row r="3055" hidden="1" spans="1:11">
      <c r="A3055" t="s">
        <v>319</v>
      </c>
      <c r="B3055" s="8">
        <v>252604644</v>
      </c>
      <c r="C3055" s="9">
        <v>46087</v>
      </c>
      <c r="D3055" s="8" t="s">
        <v>625</v>
      </c>
      <c r="E3055" s="10">
        <v>200000</v>
      </c>
      <c r="F3055" s="8">
        <v>0.032</v>
      </c>
      <c r="G3055" s="11">
        <v>46178</v>
      </c>
      <c r="H3055" s="12">
        <f t="shared" si="47"/>
        <v>6400</v>
      </c>
      <c r="I3055" s="10" t="s">
        <v>10</v>
      </c>
      <c r="J3055" s="13">
        <v>46142</v>
      </c>
      <c r="K3055" t="s">
        <v>642</v>
      </c>
    </row>
    <row r="3056" hidden="1" spans="1:11">
      <c r="A3056" t="s">
        <v>319</v>
      </c>
      <c r="B3056" s="8">
        <v>252604644</v>
      </c>
      <c r="C3056" s="9">
        <v>46087</v>
      </c>
      <c r="D3056" s="8" t="s">
        <v>625</v>
      </c>
      <c r="E3056" s="10">
        <v>150000</v>
      </c>
      <c r="F3056" s="8">
        <v>0.032</v>
      </c>
      <c r="G3056" s="11">
        <v>46178</v>
      </c>
      <c r="H3056" s="12">
        <f t="shared" si="47"/>
        <v>4800</v>
      </c>
      <c r="I3056" s="10" t="s">
        <v>10</v>
      </c>
      <c r="J3056" s="13">
        <v>46142</v>
      </c>
      <c r="K3056" t="s">
        <v>642</v>
      </c>
    </row>
    <row r="3057" hidden="1" spans="1:11">
      <c r="A3057" t="s">
        <v>319</v>
      </c>
      <c r="B3057" s="8">
        <v>252604669</v>
      </c>
      <c r="C3057" s="9">
        <v>46090</v>
      </c>
      <c r="D3057" s="8" t="s">
        <v>30</v>
      </c>
      <c r="E3057" s="10">
        <v>20000</v>
      </c>
      <c r="F3057" s="8">
        <v>0.022</v>
      </c>
      <c r="G3057" s="11">
        <v>46103</v>
      </c>
      <c r="H3057" s="12">
        <f t="shared" si="47"/>
        <v>440</v>
      </c>
      <c r="I3057" s="10" t="s">
        <v>10</v>
      </c>
      <c r="J3057" s="15" t="s">
        <v>643</v>
      </c>
      <c r="K3057" t="s">
        <v>628</v>
      </c>
    </row>
    <row r="3058" hidden="1" spans="1:11">
      <c r="A3058" t="s">
        <v>319</v>
      </c>
      <c r="B3058" s="8">
        <v>252604669</v>
      </c>
      <c r="C3058" s="9">
        <v>46090</v>
      </c>
      <c r="D3058" s="8" t="s">
        <v>30</v>
      </c>
      <c r="E3058" s="10">
        <v>20000</v>
      </c>
      <c r="F3058" s="8">
        <v>0.022</v>
      </c>
      <c r="G3058" s="11">
        <v>46103</v>
      </c>
      <c r="H3058" s="12">
        <f t="shared" si="47"/>
        <v>440</v>
      </c>
      <c r="I3058" s="10" t="s">
        <v>10</v>
      </c>
      <c r="J3058" s="15" t="s">
        <v>643</v>
      </c>
      <c r="K3058" t="s">
        <v>628</v>
      </c>
    </row>
    <row r="3059" hidden="1" spans="1:11">
      <c r="A3059" t="s">
        <v>319</v>
      </c>
      <c r="B3059" s="8">
        <v>252604676</v>
      </c>
      <c r="C3059" s="9">
        <v>46091</v>
      </c>
      <c r="D3059" s="8" t="s">
        <v>30</v>
      </c>
      <c r="E3059" s="10">
        <v>90000</v>
      </c>
      <c r="F3059" s="8">
        <v>0.022</v>
      </c>
      <c r="G3059" s="11">
        <v>46103</v>
      </c>
      <c r="H3059" s="12">
        <f t="shared" si="47"/>
        <v>1980</v>
      </c>
      <c r="I3059" s="10" t="s">
        <v>10</v>
      </c>
      <c r="J3059" s="13">
        <v>46119</v>
      </c>
      <c r="K3059" t="s">
        <v>378</v>
      </c>
    </row>
    <row r="3060" hidden="1" spans="1:11">
      <c r="A3060" t="s">
        <v>319</v>
      </c>
      <c r="B3060" s="8">
        <v>252604678</v>
      </c>
      <c r="C3060" s="9">
        <v>46090</v>
      </c>
      <c r="D3060" s="8" t="s">
        <v>511</v>
      </c>
      <c r="E3060" s="10">
        <v>40000</v>
      </c>
      <c r="F3060" s="8">
        <v>0.041</v>
      </c>
      <c r="G3060" s="11">
        <v>46178</v>
      </c>
      <c r="H3060" s="12">
        <f t="shared" si="47"/>
        <v>1640</v>
      </c>
      <c r="I3060" s="10" t="s">
        <v>10</v>
      </c>
      <c r="J3060" s="13">
        <v>46147</v>
      </c>
      <c r="K3060" t="s">
        <v>377</v>
      </c>
    </row>
    <row r="3061" hidden="1" spans="1:11">
      <c r="A3061" t="s">
        <v>319</v>
      </c>
      <c r="B3061" s="8">
        <v>252604678</v>
      </c>
      <c r="C3061" s="9">
        <v>46090</v>
      </c>
      <c r="D3061" s="8" t="s">
        <v>38</v>
      </c>
      <c r="E3061" s="10">
        <v>60000</v>
      </c>
      <c r="F3061" s="8">
        <v>0.01</v>
      </c>
      <c r="G3061" s="11">
        <v>46178</v>
      </c>
      <c r="H3061" s="12">
        <f t="shared" si="47"/>
        <v>600</v>
      </c>
      <c r="I3061" s="10" t="s">
        <v>10</v>
      </c>
      <c r="J3061" s="13">
        <v>46147</v>
      </c>
      <c r="K3061" t="s">
        <v>377</v>
      </c>
    </row>
    <row r="3062" hidden="1" spans="1:11">
      <c r="A3062" t="s">
        <v>319</v>
      </c>
      <c r="B3062" s="8">
        <v>252604678</v>
      </c>
      <c r="C3062" s="9">
        <v>46090</v>
      </c>
      <c r="D3062" s="8" t="s">
        <v>38</v>
      </c>
      <c r="E3062" s="10">
        <v>40000</v>
      </c>
      <c r="F3062" s="8">
        <v>0.01</v>
      </c>
      <c r="G3062" s="11">
        <v>46208</v>
      </c>
      <c r="H3062" s="12">
        <f t="shared" si="47"/>
        <v>400</v>
      </c>
      <c r="I3062" s="10" t="s">
        <v>10</v>
      </c>
      <c r="J3062" s="13">
        <v>46147</v>
      </c>
      <c r="K3062" t="s">
        <v>377</v>
      </c>
    </row>
    <row r="3063" hidden="1" spans="1:11">
      <c r="A3063" t="s">
        <v>319</v>
      </c>
      <c r="B3063" s="8">
        <v>252604678</v>
      </c>
      <c r="C3063" s="9">
        <v>46090</v>
      </c>
      <c r="D3063" s="8" t="s">
        <v>46</v>
      </c>
      <c r="E3063" s="10">
        <v>60000</v>
      </c>
      <c r="F3063" s="8">
        <v>0.02</v>
      </c>
      <c r="G3063" s="11">
        <v>46178</v>
      </c>
      <c r="H3063" s="12">
        <f t="shared" si="47"/>
        <v>1200</v>
      </c>
      <c r="I3063" s="10" t="s">
        <v>10</v>
      </c>
      <c r="J3063" s="13">
        <v>46147</v>
      </c>
      <c r="K3063" t="s">
        <v>377</v>
      </c>
    </row>
    <row r="3064" hidden="1" spans="1:11">
      <c r="A3064" t="s">
        <v>319</v>
      </c>
      <c r="B3064" s="8">
        <v>252604678</v>
      </c>
      <c r="C3064" s="9">
        <v>46090</v>
      </c>
      <c r="D3064" s="8" t="s">
        <v>509</v>
      </c>
      <c r="E3064" s="10">
        <v>40000</v>
      </c>
      <c r="F3064" s="8">
        <v>0.16</v>
      </c>
      <c r="G3064" s="11">
        <v>46178</v>
      </c>
      <c r="H3064" s="12">
        <f t="shared" si="47"/>
        <v>6400</v>
      </c>
      <c r="I3064" s="10" t="s">
        <v>10</v>
      </c>
      <c r="J3064" s="13">
        <v>46162</v>
      </c>
      <c r="K3064" t="s">
        <v>377</v>
      </c>
    </row>
    <row r="3065" hidden="1" spans="1:11">
      <c r="A3065" t="s">
        <v>319</v>
      </c>
      <c r="B3065" s="8">
        <v>252604678</v>
      </c>
      <c r="C3065" s="9">
        <v>46090</v>
      </c>
      <c r="D3065" s="8" t="s">
        <v>502</v>
      </c>
      <c r="E3065" s="10">
        <v>120000</v>
      </c>
      <c r="F3065" s="8">
        <v>0.1</v>
      </c>
      <c r="G3065" s="11">
        <v>46178</v>
      </c>
      <c r="H3065" s="12">
        <f t="shared" si="47"/>
        <v>12000</v>
      </c>
      <c r="I3065" s="10" t="s">
        <v>10</v>
      </c>
      <c r="J3065" s="13">
        <v>46147</v>
      </c>
      <c r="K3065" t="s">
        <v>377</v>
      </c>
    </row>
    <row r="3066" hidden="1" spans="1:11">
      <c r="A3066" t="s">
        <v>319</v>
      </c>
      <c r="B3066" s="8">
        <v>252604680</v>
      </c>
      <c r="C3066" s="9">
        <v>46090</v>
      </c>
      <c r="D3066" s="8" t="s">
        <v>285</v>
      </c>
      <c r="E3066" s="10">
        <v>24000</v>
      </c>
      <c r="F3066" s="8">
        <v>0.02</v>
      </c>
      <c r="G3066" s="11">
        <v>46147</v>
      </c>
      <c r="H3066" s="12">
        <f t="shared" si="47"/>
        <v>480</v>
      </c>
      <c r="I3066" s="10" t="s">
        <v>10</v>
      </c>
      <c r="J3066" s="13">
        <v>46108</v>
      </c>
      <c r="K3066" t="s">
        <v>469</v>
      </c>
    </row>
    <row r="3067" hidden="1" spans="1:11">
      <c r="A3067" t="s">
        <v>319</v>
      </c>
      <c r="B3067" s="8">
        <v>252604680</v>
      </c>
      <c r="C3067" s="9">
        <v>46090</v>
      </c>
      <c r="D3067" s="8" t="s">
        <v>465</v>
      </c>
      <c r="E3067" s="10">
        <v>42000</v>
      </c>
      <c r="F3067" s="8">
        <v>0.018</v>
      </c>
      <c r="G3067" s="11">
        <v>46147</v>
      </c>
      <c r="H3067" s="12">
        <f t="shared" si="47"/>
        <v>756</v>
      </c>
      <c r="I3067" s="10" t="s">
        <v>10</v>
      </c>
      <c r="J3067" s="13">
        <v>46108</v>
      </c>
      <c r="K3067" t="s">
        <v>469</v>
      </c>
    </row>
    <row r="3068" hidden="1" spans="1:11">
      <c r="A3068" t="s">
        <v>319</v>
      </c>
      <c r="B3068" s="8">
        <v>252604687</v>
      </c>
      <c r="C3068" s="9">
        <v>46091</v>
      </c>
      <c r="D3068" s="8" t="s">
        <v>11</v>
      </c>
      <c r="E3068" s="10">
        <v>344000</v>
      </c>
      <c r="F3068" s="8">
        <v>0.032</v>
      </c>
      <c r="G3068" s="11">
        <v>46103</v>
      </c>
      <c r="H3068" s="12">
        <f t="shared" si="47"/>
        <v>11008</v>
      </c>
      <c r="I3068" s="10" t="s">
        <v>10</v>
      </c>
      <c r="J3068" s="13">
        <v>46098</v>
      </c>
      <c r="K3068" t="s">
        <v>378</v>
      </c>
    </row>
    <row r="3069" hidden="1" spans="1:11">
      <c r="A3069" t="s">
        <v>319</v>
      </c>
      <c r="B3069" s="8">
        <v>252604687</v>
      </c>
      <c r="C3069" s="9">
        <v>46091</v>
      </c>
      <c r="D3069" s="8" t="s">
        <v>11</v>
      </c>
      <c r="E3069" s="10">
        <v>76000</v>
      </c>
      <c r="F3069" s="8">
        <v>0.032</v>
      </c>
      <c r="G3069" s="11">
        <v>46103</v>
      </c>
      <c r="H3069" s="12">
        <f t="shared" si="47"/>
        <v>2432</v>
      </c>
      <c r="I3069" s="10" t="s">
        <v>10</v>
      </c>
      <c r="J3069" s="13">
        <v>46098</v>
      </c>
      <c r="K3069" t="s">
        <v>378</v>
      </c>
    </row>
    <row r="3070" hidden="1" spans="1:11">
      <c r="A3070" t="s">
        <v>319</v>
      </c>
      <c r="B3070" s="8">
        <v>252604687</v>
      </c>
      <c r="C3070" s="9">
        <v>46091</v>
      </c>
      <c r="D3070" s="8" t="s">
        <v>11</v>
      </c>
      <c r="E3070" s="10">
        <v>56000</v>
      </c>
      <c r="F3070" s="8">
        <v>0.032</v>
      </c>
      <c r="G3070" s="11">
        <v>46103</v>
      </c>
      <c r="H3070" s="12">
        <f t="shared" si="47"/>
        <v>1792</v>
      </c>
      <c r="I3070" s="10" t="s">
        <v>10</v>
      </c>
      <c r="J3070" s="13">
        <v>46098</v>
      </c>
      <c r="K3070" t="s">
        <v>378</v>
      </c>
    </row>
    <row r="3071" hidden="1" spans="1:11">
      <c r="A3071" t="s">
        <v>319</v>
      </c>
      <c r="B3071" s="8">
        <v>252604687</v>
      </c>
      <c r="C3071" s="9">
        <v>46091</v>
      </c>
      <c r="D3071" s="8" t="s">
        <v>11</v>
      </c>
      <c r="E3071" s="10">
        <v>60000</v>
      </c>
      <c r="F3071" s="8">
        <v>0.032</v>
      </c>
      <c r="G3071" s="11">
        <v>46117</v>
      </c>
      <c r="H3071" s="12">
        <f t="shared" si="47"/>
        <v>1920</v>
      </c>
      <c r="I3071" s="10" t="s">
        <v>10</v>
      </c>
      <c r="J3071" s="13">
        <v>46098</v>
      </c>
      <c r="K3071" t="s">
        <v>378</v>
      </c>
    </row>
    <row r="3072" hidden="1" spans="1:11">
      <c r="A3072" t="s">
        <v>319</v>
      </c>
      <c r="B3072" s="8">
        <v>252604687</v>
      </c>
      <c r="C3072" s="9">
        <v>46091</v>
      </c>
      <c r="D3072" s="8" t="s">
        <v>11</v>
      </c>
      <c r="E3072" s="10">
        <v>58000</v>
      </c>
      <c r="F3072" s="8">
        <v>0.032</v>
      </c>
      <c r="G3072" s="11">
        <v>46117</v>
      </c>
      <c r="H3072" s="12">
        <f t="shared" si="47"/>
        <v>1856</v>
      </c>
      <c r="I3072" s="10" t="s">
        <v>10</v>
      </c>
      <c r="J3072" s="13">
        <v>46098</v>
      </c>
      <c r="K3072" t="s">
        <v>378</v>
      </c>
    </row>
    <row r="3073" hidden="1" spans="1:11">
      <c r="A3073" t="s">
        <v>319</v>
      </c>
      <c r="B3073" s="8">
        <v>252604687</v>
      </c>
      <c r="C3073" s="9">
        <v>46091</v>
      </c>
      <c r="D3073" s="8" t="s">
        <v>11</v>
      </c>
      <c r="E3073" s="10">
        <v>70000</v>
      </c>
      <c r="F3073" s="8">
        <v>0.032</v>
      </c>
      <c r="G3073" s="11">
        <v>46147</v>
      </c>
      <c r="H3073" s="12">
        <f t="shared" si="47"/>
        <v>2240</v>
      </c>
      <c r="I3073" s="10" t="s">
        <v>10</v>
      </c>
      <c r="J3073" s="13">
        <v>46098</v>
      </c>
      <c r="K3073" t="s">
        <v>378</v>
      </c>
    </row>
    <row r="3074" hidden="1" spans="1:11">
      <c r="A3074" t="s">
        <v>319</v>
      </c>
      <c r="B3074" s="8">
        <v>252604687</v>
      </c>
      <c r="C3074" s="9">
        <v>46091</v>
      </c>
      <c r="D3074" s="8" t="s">
        <v>30</v>
      </c>
      <c r="E3074" s="10">
        <v>50000</v>
      </c>
      <c r="F3074" s="8">
        <v>0.022</v>
      </c>
      <c r="G3074" s="11">
        <v>46103</v>
      </c>
      <c r="H3074" s="12">
        <f t="shared" ref="H3074:H3137" si="48">E3074*F3074</f>
        <v>1100</v>
      </c>
      <c r="I3074" s="10" t="s">
        <v>10</v>
      </c>
      <c r="J3074" s="13">
        <v>46098</v>
      </c>
      <c r="K3074" t="s">
        <v>378</v>
      </c>
    </row>
    <row r="3075" hidden="1" spans="1:11">
      <c r="A3075" t="s">
        <v>319</v>
      </c>
      <c r="B3075" s="8">
        <v>252604719</v>
      </c>
      <c r="C3075" s="9">
        <v>46092</v>
      </c>
      <c r="D3075" s="8" t="s">
        <v>30</v>
      </c>
      <c r="E3075" s="10">
        <v>100000</v>
      </c>
      <c r="F3075" s="8">
        <v>0.022</v>
      </c>
      <c r="G3075" s="11">
        <v>46117</v>
      </c>
      <c r="H3075" s="12">
        <f t="shared" si="48"/>
        <v>2200</v>
      </c>
      <c r="I3075" s="10" t="s">
        <v>10</v>
      </c>
      <c r="J3075" s="13">
        <v>46119</v>
      </c>
      <c r="K3075" t="s">
        <v>378</v>
      </c>
    </row>
    <row r="3076" hidden="1" spans="1:11">
      <c r="A3076" t="s">
        <v>319</v>
      </c>
      <c r="B3076" s="8">
        <v>252604781</v>
      </c>
      <c r="C3076" s="9">
        <v>46094</v>
      </c>
      <c r="D3076" s="8" t="s">
        <v>522</v>
      </c>
      <c r="E3076" s="10">
        <v>32000</v>
      </c>
      <c r="F3076" s="8">
        <v>0.03</v>
      </c>
      <c r="G3076" s="11">
        <v>46103</v>
      </c>
      <c r="H3076" s="12">
        <f t="shared" si="48"/>
        <v>960</v>
      </c>
      <c r="I3076" s="10" t="s">
        <v>10</v>
      </c>
      <c r="J3076" s="13">
        <v>46098</v>
      </c>
      <c r="K3076" t="s">
        <v>378</v>
      </c>
    </row>
    <row r="3077" hidden="1" spans="1:11">
      <c r="A3077" t="s">
        <v>319</v>
      </c>
      <c r="B3077" s="8">
        <v>252604793</v>
      </c>
      <c r="C3077" s="9">
        <v>46094</v>
      </c>
      <c r="D3077" s="8" t="s">
        <v>162</v>
      </c>
      <c r="E3077" s="10">
        <v>200000</v>
      </c>
      <c r="F3077" s="8">
        <v>0.05</v>
      </c>
      <c r="G3077" s="11">
        <v>46208</v>
      </c>
      <c r="H3077" s="12">
        <f t="shared" si="48"/>
        <v>10000</v>
      </c>
      <c r="I3077" s="10" t="s">
        <v>10</v>
      </c>
      <c r="J3077" s="13">
        <v>46139</v>
      </c>
      <c r="K3077" t="s">
        <v>377</v>
      </c>
    </row>
    <row r="3078" hidden="1" spans="1:11">
      <c r="A3078" t="s">
        <v>319</v>
      </c>
      <c r="B3078" s="8">
        <v>252604793</v>
      </c>
      <c r="C3078" s="9">
        <v>46094</v>
      </c>
      <c r="D3078" s="8" t="s">
        <v>111</v>
      </c>
      <c r="E3078" s="10">
        <v>70000</v>
      </c>
      <c r="F3078" s="8">
        <v>0.045</v>
      </c>
      <c r="G3078" s="11">
        <v>46208</v>
      </c>
      <c r="H3078" s="12">
        <f t="shared" si="48"/>
        <v>3150</v>
      </c>
      <c r="I3078" s="10" t="s">
        <v>10</v>
      </c>
      <c r="J3078" s="13">
        <v>46139</v>
      </c>
      <c r="K3078" t="s">
        <v>377</v>
      </c>
    </row>
    <row r="3079" hidden="1" spans="1:11">
      <c r="A3079" t="s">
        <v>319</v>
      </c>
      <c r="B3079" s="8">
        <v>252604793</v>
      </c>
      <c r="C3079" s="9">
        <v>46094</v>
      </c>
      <c r="D3079" s="8" t="s">
        <v>50</v>
      </c>
      <c r="E3079" s="10">
        <v>160000</v>
      </c>
      <c r="F3079" s="8">
        <v>0.08</v>
      </c>
      <c r="G3079" s="11">
        <v>46208</v>
      </c>
      <c r="H3079" s="12">
        <f t="shared" si="48"/>
        <v>12800</v>
      </c>
      <c r="I3079" s="10" t="s">
        <v>10</v>
      </c>
      <c r="J3079" s="13">
        <v>46139</v>
      </c>
      <c r="K3079" t="s">
        <v>377</v>
      </c>
    </row>
    <row r="3080" hidden="1" spans="1:11">
      <c r="A3080" t="s">
        <v>319</v>
      </c>
      <c r="B3080" s="8">
        <v>252604793</v>
      </c>
      <c r="C3080" s="9">
        <v>46094</v>
      </c>
      <c r="D3080" s="8" t="s">
        <v>183</v>
      </c>
      <c r="E3080" s="10">
        <v>15000</v>
      </c>
      <c r="F3080" s="8">
        <v>0.5</v>
      </c>
      <c r="G3080" s="11">
        <v>46208</v>
      </c>
      <c r="H3080" s="12">
        <f t="shared" si="48"/>
        <v>7500</v>
      </c>
      <c r="I3080" s="10" t="s">
        <v>10</v>
      </c>
      <c r="J3080" s="13">
        <v>46139</v>
      </c>
      <c r="K3080" t="s">
        <v>377</v>
      </c>
    </row>
    <row r="3081" hidden="1" spans="1:11">
      <c r="A3081" t="s">
        <v>319</v>
      </c>
      <c r="B3081" s="8">
        <v>252604793</v>
      </c>
      <c r="C3081" s="9">
        <v>46094</v>
      </c>
      <c r="D3081" s="8" t="s">
        <v>626</v>
      </c>
      <c r="E3081" s="10">
        <v>20000</v>
      </c>
      <c r="F3081" s="8">
        <v>0.0224</v>
      </c>
      <c r="G3081" s="11">
        <v>46208</v>
      </c>
      <c r="H3081" s="12">
        <f t="shared" si="48"/>
        <v>448</v>
      </c>
      <c r="I3081" s="10" t="s">
        <v>10</v>
      </c>
      <c r="J3081" s="13">
        <v>46157</v>
      </c>
      <c r="K3081" t="s">
        <v>377</v>
      </c>
    </row>
    <row r="3082" hidden="1" spans="1:11">
      <c r="A3082" t="s">
        <v>319</v>
      </c>
      <c r="B3082" s="8">
        <v>252604794</v>
      </c>
      <c r="C3082" s="9">
        <v>46093</v>
      </c>
      <c r="D3082" s="8" t="s">
        <v>97</v>
      </c>
      <c r="E3082" s="10">
        <v>20000</v>
      </c>
      <c r="F3082" s="8">
        <v>0.065</v>
      </c>
      <c r="G3082" s="11">
        <v>46106</v>
      </c>
      <c r="H3082" s="12">
        <f t="shared" si="48"/>
        <v>1300</v>
      </c>
      <c r="I3082" s="10" t="s">
        <v>10</v>
      </c>
      <c r="J3082" s="13">
        <v>46119</v>
      </c>
      <c r="K3082" t="s">
        <v>378</v>
      </c>
    </row>
    <row r="3083" hidden="1" spans="1:11">
      <c r="A3083" t="s">
        <v>319</v>
      </c>
      <c r="B3083" s="8">
        <v>252604795</v>
      </c>
      <c r="C3083" s="9">
        <v>46094</v>
      </c>
      <c r="D3083" s="8" t="s">
        <v>162</v>
      </c>
      <c r="E3083" s="10">
        <v>200000</v>
      </c>
      <c r="F3083" s="8">
        <v>0.05</v>
      </c>
      <c r="G3083" s="11">
        <v>46178</v>
      </c>
      <c r="H3083" s="12">
        <f t="shared" si="48"/>
        <v>10000</v>
      </c>
      <c r="I3083" s="10" t="s">
        <v>10</v>
      </c>
      <c r="J3083" s="13">
        <v>46099</v>
      </c>
      <c r="K3083" t="s">
        <v>377</v>
      </c>
    </row>
    <row r="3084" hidden="1" spans="1:11">
      <c r="A3084" t="s">
        <v>319</v>
      </c>
      <c r="B3084" s="8">
        <v>252604795</v>
      </c>
      <c r="C3084" s="9">
        <v>46094</v>
      </c>
      <c r="D3084" s="8" t="s">
        <v>111</v>
      </c>
      <c r="E3084" s="10">
        <v>70000</v>
      </c>
      <c r="F3084" s="8">
        <v>0.045</v>
      </c>
      <c r="G3084" s="11">
        <v>46147</v>
      </c>
      <c r="H3084" s="12">
        <f t="shared" si="48"/>
        <v>3150</v>
      </c>
      <c r="I3084" s="10" t="s">
        <v>10</v>
      </c>
      <c r="J3084" s="13">
        <v>46099</v>
      </c>
      <c r="K3084" t="s">
        <v>377</v>
      </c>
    </row>
    <row r="3085" hidden="1" spans="1:11">
      <c r="A3085" t="s">
        <v>319</v>
      </c>
      <c r="B3085" s="8">
        <v>252604795</v>
      </c>
      <c r="C3085" s="9">
        <v>46094</v>
      </c>
      <c r="D3085" s="8" t="s">
        <v>111</v>
      </c>
      <c r="E3085" s="10">
        <v>70000</v>
      </c>
      <c r="F3085" s="8">
        <v>0.045</v>
      </c>
      <c r="G3085" s="11">
        <v>46178</v>
      </c>
      <c r="H3085" s="12">
        <f t="shared" si="48"/>
        <v>3150</v>
      </c>
      <c r="I3085" s="10" t="s">
        <v>10</v>
      </c>
      <c r="J3085" s="13">
        <v>46099</v>
      </c>
      <c r="K3085" t="s">
        <v>377</v>
      </c>
    </row>
    <row r="3086" hidden="1" spans="1:11">
      <c r="A3086" t="s">
        <v>319</v>
      </c>
      <c r="B3086" s="8">
        <v>252604795</v>
      </c>
      <c r="C3086" s="9">
        <v>46094</v>
      </c>
      <c r="D3086" s="8" t="s">
        <v>558</v>
      </c>
      <c r="E3086" s="10">
        <v>100000</v>
      </c>
      <c r="F3086" s="8">
        <v>0.07</v>
      </c>
      <c r="G3086" s="11">
        <v>46178</v>
      </c>
      <c r="H3086" s="12">
        <f t="shared" si="48"/>
        <v>7000</v>
      </c>
      <c r="I3086" s="10" t="s">
        <v>10</v>
      </c>
      <c r="J3086" s="13">
        <v>46099</v>
      </c>
      <c r="K3086" t="s">
        <v>377</v>
      </c>
    </row>
    <row r="3087" hidden="1" spans="1:11">
      <c r="A3087" t="s">
        <v>319</v>
      </c>
      <c r="B3087" s="8">
        <v>252604795</v>
      </c>
      <c r="C3087" s="9">
        <v>46094</v>
      </c>
      <c r="D3087" s="8" t="s">
        <v>50</v>
      </c>
      <c r="E3087" s="10">
        <v>160000</v>
      </c>
      <c r="F3087" s="8">
        <v>0.08</v>
      </c>
      <c r="G3087" s="11">
        <v>46178</v>
      </c>
      <c r="H3087" s="12">
        <f t="shared" si="48"/>
        <v>12800</v>
      </c>
      <c r="I3087" s="10" t="s">
        <v>10</v>
      </c>
      <c r="J3087" s="13">
        <v>46099</v>
      </c>
      <c r="K3087" t="s">
        <v>377</v>
      </c>
    </row>
    <row r="3088" hidden="1" spans="1:11">
      <c r="A3088" t="s">
        <v>319</v>
      </c>
      <c r="B3088" s="14">
        <v>252604795</v>
      </c>
      <c r="C3088" s="13">
        <v>46094</v>
      </c>
      <c r="D3088" s="14" t="s">
        <v>626</v>
      </c>
      <c r="E3088" s="15">
        <v>20000</v>
      </c>
      <c r="F3088" s="14">
        <v>0.0224</v>
      </c>
      <c r="G3088" s="16">
        <v>46178</v>
      </c>
      <c r="H3088" s="17">
        <f t="shared" si="48"/>
        <v>448</v>
      </c>
      <c r="I3088" s="15" t="s">
        <v>317</v>
      </c>
      <c r="J3088" s="15" t="s">
        <v>360</v>
      </c>
      <c r="K3088" t="s">
        <v>377</v>
      </c>
    </row>
    <row r="3089" hidden="1" spans="1:11">
      <c r="B3089" s="14">
        <v>252604796</v>
      </c>
      <c r="C3089" s="13">
        <v>46094</v>
      </c>
      <c r="D3089" s="14" t="s">
        <v>183</v>
      </c>
      <c r="E3089" s="15">
        <v>20000</v>
      </c>
      <c r="F3089" s="14">
        <v>0.5</v>
      </c>
      <c r="G3089" s="16">
        <v>46270</v>
      </c>
      <c r="H3089" s="17">
        <f t="shared" si="48"/>
        <v>10000</v>
      </c>
      <c r="I3089" s="15" t="s">
        <v>317</v>
      </c>
      <c r="J3089" s="15" t="s">
        <v>360</v>
      </c>
      <c r="K3089" t="s">
        <v>377</v>
      </c>
    </row>
    <row r="3090" hidden="1" spans="1:11">
      <c r="B3090" s="14">
        <v>252604798</v>
      </c>
      <c r="C3090" s="13">
        <v>46094</v>
      </c>
      <c r="D3090" s="14" t="s">
        <v>162</v>
      </c>
      <c r="E3090" s="15">
        <v>200000</v>
      </c>
      <c r="F3090" s="14">
        <v>0.05</v>
      </c>
      <c r="G3090" s="16">
        <v>46239</v>
      </c>
      <c r="H3090" s="17">
        <f t="shared" si="48"/>
        <v>10000</v>
      </c>
      <c r="I3090" s="15" t="s">
        <v>317</v>
      </c>
      <c r="J3090" s="15"/>
      <c r="K3090" t="s">
        <v>377</v>
      </c>
    </row>
    <row r="3091" hidden="1" spans="1:11">
      <c r="B3091" s="14">
        <v>252604798</v>
      </c>
      <c r="C3091" s="13">
        <v>46094</v>
      </c>
      <c r="D3091" s="14" t="s">
        <v>111</v>
      </c>
      <c r="E3091" s="15">
        <v>70000</v>
      </c>
      <c r="F3091" s="14">
        <v>0.045</v>
      </c>
      <c r="G3091" s="16">
        <v>46239</v>
      </c>
      <c r="H3091" s="17">
        <f t="shared" si="48"/>
        <v>3150</v>
      </c>
      <c r="I3091" s="15" t="s">
        <v>317</v>
      </c>
      <c r="J3091" s="15"/>
      <c r="K3091" t="s">
        <v>377</v>
      </c>
    </row>
    <row r="3092" hidden="1" spans="1:11">
      <c r="B3092" s="14">
        <v>252604798</v>
      </c>
      <c r="C3092" s="13">
        <v>46094</v>
      </c>
      <c r="D3092" s="14" t="s">
        <v>50</v>
      </c>
      <c r="E3092" s="15">
        <v>160000</v>
      </c>
      <c r="F3092" s="14">
        <v>0.08</v>
      </c>
      <c r="G3092" s="16">
        <v>46239</v>
      </c>
      <c r="H3092" s="17">
        <f t="shared" si="48"/>
        <v>12800</v>
      </c>
      <c r="I3092" s="15" t="s">
        <v>317</v>
      </c>
      <c r="J3092" s="15"/>
      <c r="K3092" t="s">
        <v>377</v>
      </c>
    </row>
    <row r="3093" hidden="1" spans="1:11">
      <c r="B3093" s="14">
        <v>252604798</v>
      </c>
      <c r="C3093" s="13">
        <v>46094</v>
      </c>
      <c r="D3093" s="14" t="s">
        <v>626</v>
      </c>
      <c r="E3093" s="15">
        <v>20000</v>
      </c>
      <c r="F3093" s="14">
        <v>0.0224</v>
      </c>
      <c r="G3093" s="16">
        <v>46239</v>
      </c>
      <c r="H3093" s="17">
        <f t="shared" si="48"/>
        <v>448</v>
      </c>
      <c r="I3093" s="15" t="s">
        <v>317</v>
      </c>
      <c r="J3093" s="15"/>
      <c r="K3093" t="s">
        <v>377</v>
      </c>
    </row>
    <row r="3094" hidden="1" spans="1:11">
      <c r="B3094" s="14">
        <v>252604809</v>
      </c>
      <c r="C3094" s="13">
        <v>46094</v>
      </c>
      <c r="D3094" s="14" t="s">
        <v>639</v>
      </c>
      <c r="E3094" s="15">
        <v>20000</v>
      </c>
      <c r="F3094" s="14">
        <v>0.03</v>
      </c>
      <c r="G3094" s="16">
        <v>46285</v>
      </c>
      <c r="H3094" s="17">
        <f t="shared" si="48"/>
        <v>600</v>
      </c>
      <c r="I3094" s="15" t="s">
        <v>317</v>
      </c>
      <c r="J3094" s="15"/>
      <c r="K3094" t="s">
        <v>486</v>
      </c>
    </row>
    <row r="3095" hidden="1" spans="1:11">
      <c r="A3095" t="s">
        <v>319</v>
      </c>
      <c r="B3095" s="8">
        <v>252604814</v>
      </c>
      <c r="C3095" s="9">
        <v>46094</v>
      </c>
      <c r="D3095" s="8" t="s">
        <v>165</v>
      </c>
      <c r="E3095" s="10">
        <v>42000</v>
      </c>
      <c r="F3095" s="8">
        <v>0.018</v>
      </c>
      <c r="G3095" s="11">
        <v>46117</v>
      </c>
      <c r="H3095" s="12">
        <f t="shared" si="48"/>
        <v>756</v>
      </c>
      <c r="I3095" s="10" t="s">
        <v>10</v>
      </c>
      <c r="J3095" s="13">
        <v>46121</v>
      </c>
      <c r="K3095" t="s">
        <v>469</v>
      </c>
    </row>
    <row r="3096" hidden="1" spans="1:11">
      <c r="A3096" t="s">
        <v>319</v>
      </c>
      <c r="B3096" s="8">
        <v>252604814</v>
      </c>
      <c r="C3096" s="9">
        <v>46094</v>
      </c>
      <c r="D3096" s="8" t="s">
        <v>165</v>
      </c>
      <c r="E3096" s="10">
        <v>42000</v>
      </c>
      <c r="F3096" s="8">
        <v>0.018</v>
      </c>
      <c r="G3096" s="11">
        <v>46208</v>
      </c>
      <c r="H3096" s="12">
        <f t="shared" si="48"/>
        <v>756</v>
      </c>
      <c r="I3096" s="10" t="s">
        <v>10</v>
      </c>
      <c r="J3096" s="13">
        <v>46121</v>
      </c>
      <c r="K3096" t="s">
        <v>469</v>
      </c>
    </row>
    <row r="3097" hidden="1" spans="1:11">
      <c r="A3097" t="s">
        <v>319</v>
      </c>
      <c r="B3097" s="8">
        <v>252604814</v>
      </c>
      <c r="C3097" s="9">
        <v>46094</v>
      </c>
      <c r="D3097" s="8" t="s">
        <v>164</v>
      </c>
      <c r="E3097" s="10">
        <v>42000</v>
      </c>
      <c r="F3097" s="8">
        <v>0.0106</v>
      </c>
      <c r="G3097" s="11">
        <v>46117</v>
      </c>
      <c r="H3097" s="12">
        <f t="shared" si="48"/>
        <v>445.2</v>
      </c>
      <c r="I3097" s="10" t="s">
        <v>10</v>
      </c>
      <c r="J3097" s="13">
        <v>46121</v>
      </c>
      <c r="K3097" t="s">
        <v>469</v>
      </c>
    </row>
    <row r="3098" hidden="1" spans="1:11">
      <c r="A3098" t="s">
        <v>319</v>
      </c>
      <c r="B3098" s="8">
        <v>252604814</v>
      </c>
      <c r="C3098" s="9">
        <v>46094</v>
      </c>
      <c r="D3098" s="8" t="s">
        <v>164</v>
      </c>
      <c r="E3098" s="10">
        <v>42000</v>
      </c>
      <c r="F3098" s="8">
        <v>0.0106</v>
      </c>
      <c r="G3098" s="11">
        <v>46208</v>
      </c>
      <c r="H3098" s="12">
        <f t="shared" si="48"/>
        <v>445.2</v>
      </c>
      <c r="I3098" s="10" t="s">
        <v>10</v>
      </c>
      <c r="J3098" s="13">
        <v>46121</v>
      </c>
      <c r="K3098" t="s">
        <v>469</v>
      </c>
    </row>
    <row r="3099" hidden="1" spans="1:11">
      <c r="A3099" t="s">
        <v>319</v>
      </c>
      <c r="B3099" s="8">
        <v>252604814</v>
      </c>
      <c r="C3099" s="9">
        <v>46094</v>
      </c>
      <c r="D3099" s="8" t="s">
        <v>622</v>
      </c>
      <c r="E3099" s="10">
        <v>42000</v>
      </c>
      <c r="F3099" s="8">
        <v>0.018</v>
      </c>
      <c r="G3099" s="11">
        <v>46117</v>
      </c>
      <c r="H3099" s="12">
        <f t="shared" si="48"/>
        <v>756</v>
      </c>
      <c r="I3099" s="10" t="s">
        <v>10</v>
      </c>
      <c r="J3099" s="13">
        <v>46121</v>
      </c>
      <c r="K3099" t="s">
        <v>469</v>
      </c>
    </row>
    <row r="3100" hidden="1" spans="1:11">
      <c r="A3100" t="s">
        <v>319</v>
      </c>
      <c r="B3100" s="8">
        <v>252604814</v>
      </c>
      <c r="C3100" s="9">
        <v>46094</v>
      </c>
      <c r="D3100" s="8" t="s">
        <v>622</v>
      </c>
      <c r="E3100" s="10">
        <v>42000</v>
      </c>
      <c r="F3100" s="8">
        <v>0.018</v>
      </c>
      <c r="G3100" s="11">
        <v>46208</v>
      </c>
      <c r="H3100" s="12">
        <f t="shared" si="48"/>
        <v>756</v>
      </c>
      <c r="I3100" s="10" t="s">
        <v>10</v>
      </c>
      <c r="J3100" s="13">
        <v>46121</v>
      </c>
      <c r="K3100" t="s">
        <v>469</v>
      </c>
    </row>
    <row r="3101" hidden="1" spans="1:11">
      <c r="A3101" t="s">
        <v>319</v>
      </c>
      <c r="B3101" s="8">
        <v>252604818</v>
      </c>
      <c r="C3101" s="9">
        <v>46097</v>
      </c>
      <c r="D3101" s="8" t="s">
        <v>39</v>
      </c>
      <c r="E3101" s="10">
        <v>200000</v>
      </c>
      <c r="F3101" s="8">
        <v>0.022</v>
      </c>
      <c r="G3101" s="11">
        <v>46106</v>
      </c>
      <c r="H3101" s="12">
        <f t="shared" si="48"/>
        <v>4400</v>
      </c>
      <c r="I3101" s="10" t="s">
        <v>10</v>
      </c>
      <c r="J3101" s="13">
        <v>46098</v>
      </c>
      <c r="K3101" t="s">
        <v>431</v>
      </c>
    </row>
    <row r="3102" hidden="1" spans="1:11">
      <c r="A3102" t="s">
        <v>319</v>
      </c>
      <c r="B3102" s="8">
        <v>252604818</v>
      </c>
      <c r="C3102" s="9">
        <v>46097</v>
      </c>
      <c r="D3102" s="8" t="s">
        <v>39</v>
      </c>
      <c r="E3102" s="10">
        <v>200000</v>
      </c>
      <c r="F3102" s="8">
        <v>0.022</v>
      </c>
      <c r="G3102" s="11">
        <v>46106</v>
      </c>
      <c r="H3102" s="12">
        <f t="shared" si="48"/>
        <v>4400</v>
      </c>
      <c r="I3102" s="10" t="s">
        <v>10</v>
      </c>
      <c r="J3102" s="13">
        <v>46098</v>
      </c>
      <c r="K3102" t="s">
        <v>431</v>
      </c>
    </row>
    <row r="3103" hidden="1" spans="1:11">
      <c r="A3103" t="s">
        <v>319</v>
      </c>
      <c r="B3103" s="8">
        <v>252604818</v>
      </c>
      <c r="C3103" s="9">
        <v>46097</v>
      </c>
      <c r="D3103" s="8" t="s">
        <v>39</v>
      </c>
      <c r="E3103" s="10">
        <v>200000</v>
      </c>
      <c r="F3103" s="8">
        <v>0.022</v>
      </c>
      <c r="G3103" s="11">
        <v>46106</v>
      </c>
      <c r="H3103" s="12">
        <f t="shared" si="48"/>
        <v>4400</v>
      </c>
      <c r="I3103" s="10" t="s">
        <v>10</v>
      </c>
      <c r="J3103" s="13">
        <v>46098</v>
      </c>
      <c r="K3103" t="s">
        <v>431</v>
      </c>
    </row>
    <row r="3104" hidden="1" spans="1:11">
      <c r="A3104" t="s">
        <v>319</v>
      </c>
      <c r="B3104" s="8">
        <v>252604818</v>
      </c>
      <c r="C3104" s="9">
        <v>46097</v>
      </c>
      <c r="D3104" s="8" t="s">
        <v>39</v>
      </c>
      <c r="E3104" s="10">
        <v>200000</v>
      </c>
      <c r="F3104" s="8">
        <v>0.022</v>
      </c>
      <c r="G3104" s="11">
        <v>46106</v>
      </c>
      <c r="H3104" s="12">
        <f t="shared" si="48"/>
        <v>4400</v>
      </c>
      <c r="I3104" s="10" t="s">
        <v>10</v>
      </c>
      <c r="J3104" s="13">
        <v>46098</v>
      </c>
      <c r="K3104" t="s">
        <v>431</v>
      </c>
    </row>
    <row r="3105" hidden="1" spans="1:11">
      <c r="A3105" t="s">
        <v>319</v>
      </c>
      <c r="B3105" s="8">
        <v>252604818</v>
      </c>
      <c r="C3105" s="9">
        <v>46097</v>
      </c>
      <c r="D3105" s="8" t="s">
        <v>39</v>
      </c>
      <c r="E3105" s="10">
        <v>200000</v>
      </c>
      <c r="F3105" s="8">
        <v>0.022</v>
      </c>
      <c r="G3105" s="11">
        <v>46106</v>
      </c>
      <c r="H3105" s="12">
        <f t="shared" si="48"/>
        <v>4400</v>
      </c>
      <c r="I3105" s="10" t="s">
        <v>10</v>
      </c>
      <c r="J3105" s="13">
        <v>46098</v>
      </c>
      <c r="K3105" t="s">
        <v>431</v>
      </c>
    </row>
    <row r="3106" hidden="1" spans="1:11">
      <c r="A3106" t="s">
        <v>319</v>
      </c>
      <c r="B3106" s="8">
        <v>252604818</v>
      </c>
      <c r="C3106" s="9">
        <v>46097</v>
      </c>
      <c r="D3106" s="8" t="s">
        <v>39</v>
      </c>
      <c r="E3106" s="10">
        <v>200000</v>
      </c>
      <c r="F3106" s="8">
        <v>0.022</v>
      </c>
      <c r="G3106" s="11">
        <v>46106</v>
      </c>
      <c r="H3106" s="12">
        <f t="shared" si="48"/>
        <v>4400</v>
      </c>
      <c r="I3106" s="10" t="s">
        <v>10</v>
      </c>
      <c r="J3106" s="13">
        <v>46098</v>
      </c>
      <c r="K3106" t="s">
        <v>431</v>
      </c>
    </row>
    <row r="3107" hidden="1" spans="1:11">
      <c r="A3107" t="s">
        <v>319</v>
      </c>
      <c r="B3107" s="8">
        <v>252604818</v>
      </c>
      <c r="C3107" s="9">
        <v>46097</v>
      </c>
      <c r="D3107" s="8" t="s">
        <v>39</v>
      </c>
      <c r="E3107" s="10">
        <v>200000</v>
      </c>
      <c r="F3107" s="8">
        <v>0.022</v>
      </c>
      <c r="G3107" s="11">
        <v>46106</v>
      </c>
      <c r="H3107" s="12">
        <f t="shared" si="48"/>
        <v>4400</v>
      </c>
      <c r="I3107" s="10" t="s">
        <v>10</v>
      </c>
      <c r="J3107" s="13">
        <v>46098</v>
      </c>
      <c r="K3107" t="s">
        <v>431</v>
      </c>
    </row>
    <row r="3108" hidden="1" spans="1:11">
      <c r="A3108" t="s">
        <v>319</v>
      </c>
      <c r="B3108" s="8">
        <v>252604818</v>
      </c>
      <c r="C3108" s="9">
        <v>46097</v>
      </c>
      <c r="D3108" s="8" t="s">
        <v>39</v>
      </c>
      <c r="E3108" s="10">
        <v>200000</v>
      </c>
      <c r="F3108" s="8">
        <v>0.022</v>
      </c>
      <c r="G3108" s="11">
        <v>46106</v>
      </c>
      <c r="H3108" s="12">
        <f t="shared" si="48"/>
        <v>4400</v>
      </c>
      <c r="I3108" s="10" t="s">
        <v>10</v>
      </c>
      <c r="J3108" s="13">
        <v>46098</v>
      </c>
      <c r="K3108" t="s">
        <v>431</v>
      </c>
    </row>
    <row r="3109" hidden="1" spans="1:11">
      <c r="A3109" t="s">
        <v>319</v>
      </c>
      <c r="B3109" s="8">
        <v>252604818</v>
      </c>
      <c r="C3109" s="9">
        <v>46097</v>
      </c>
      <c r="D3109" s="8" t="s">
        <v>39</v>
      </c>
      <c r="E3109" s="10">
        <v>200000</v>
      </c>
      <c r="F3109" s="8">
        <v>0.022</v>
      </c>
      <c r="G3109" s="11">
        <v>46106</v>
      </c>
      <c r="H3109" s="12">
        <f t="shared" si="48"/>
        <v>4400</v>
      </c>
      <c r="I3109" s="10" t="s">
        <v>10</v>
      </c>
      <c r="J3109" s="13">
        <v>46098</v>
      </c>
      <c r="K3109" t="s">
        <v>431</v>
      </c>
    </row>
    <row r="3110" hidden="1" spans="1:11">
      <c r="A3110" t="s">
        <v>319</v>
      </c>
      <c r="B3110" s="8">
        <v>252604818</v>
      </c>
      <c r="C3110" s="9">
        <v>46097</v>
      </c>
      <c r="D3110" s="8" t="s">
        <v>39</v>
      </c>
      <c r="E3110" s="10">
        <v>200000</v>
      </c>
      <c r="F3110" s="8">
        <v>0.022</v>
      </c>
      <c r="G3110" s="11">
        <v>46106</v>
      </c>
      <c r="H3110" s="12">
        <f t="shared" si="48"/>
        <v>4400</v>
      </c>
      <c r="I3110" s="10" t="s">
        <v>10</v>
      </c>
      <c r="J3110" s="13">
        <v>46098</v>
      </c>
      <c r="K3110" t="s">
        <v>431</v>
      </c>
    </row>
    <row r="3111" hidden="1" spans="1:11">
      <c r="A3111" t="s">
        <v>319</v>
      </c>
      <c r="B3111" s="8">
        <v>252604818</v>
      </c>
      <c r="C3111" s="9">
        <v>46097</v>
      </c>
      <c r="D3111" s="8" t="s">
        <v>39</v>
      </c>
      <c r="E3111" s="10">
        <v>200000</v>
      </c>
      <c r="F3111" s="8">
        <v>0.022</v>
      </c>
      <c r="G3111" s="11">
        <v>46106</v>
      </c>
      <c r="H3111" s="12">
        <f t="shared" si="48"/>
        <v>4400</v>
      </c>
      <c r="I3111" s="10" t="s">
        <v>10</v>
      </c>
      <c r="J3111" s="13">
        <v>46098</v>
      </c>
      <c r="K3111" t="s">
        <v>431</v>
      </c>
    </row>
    <row r="3112" hidden="1" spans="1:11">
      <c r="A3112" t="s">
        <v>319</v>
      </c>
      <c r="B3112" s="8">
        <v>252604818</v>
      </c>
      <c r="C3112" s="9">
        <v>46097</v>
      </c>
      <c r="D3112" s="8" t="s">
        <v>39</v>
      </c>
      <c r="E3112" s="10">
        <v>200000</v>
      </c>
      <c r="F3112" s="8">
        <v>0.022</v>
      </c>
      <c r="G3112" s="11">
        <v>46106</v>
      </c>
      <c r="H3112" s="12">
        <f t="shared" si="48"/>
        <v>4400</v>
      </c>
      <c r="I3112" s="10" t="s">
        <v>10</v>
      </c>
      <c r="J3112" s="13">
        <v>46098</v>
      </c>
      <c r="K3112" t="s">
        <v>431</v>
      </c>
    </row>
    <row r="3113" hidden="1" spans="1:11">
      <c r="A3113" t="s">
        <v>319</v>
      </c>
      <c r="B3113" s="8">
        <v>252604818</v>
      </c>
      <c r="C3113" s="9">
        <v>46097</v>
      </c>
      <c r="D3113" s="8" t="s">
        <v>39</v>
      </c>
      <c r="E3113" s="10">
        <v>124000</v>
      </c>
      <c r="F3113" s="8">
        <v>0.022</v>
      </c>
      <c r="G3113" s="11">
        <v>46106</v>
      </c>
      <c r="H3113" s="12">
        <f t="shared" si="48"/>
        <v>2728</v>
      </c>
      <c r="I3113" s="10" t="s">
        <v>10</v>
      </c>
      <c r="J3113" s="13">
        <v>46098</v>
      </c>
      <c r="K3113" t="s">
        <v>431</v>
      </c>
    </row>
    <row r="3114" hidden="1" spans="1:11">
      <c r="A3114" t="s">
        <v>319</v>
      </c>
      <c r="B3114" s="8">
        <v>252604819</v>
      </c>
      <c r="C3114" s="9">
        <v>46097</v>
      </c>
      <c r="D3114" s="8" t="s">
        <v>39</v>
      </c>
      <c r="E3114" s="10">
        <v>200000</v>
      </c>
      <c r="F3114" s="8">
        <v>0.022</v>
      </c>
      <c r="G3114" s="11">
        <v>46106</v>
      </c>
      <c r="H3114" s="12">
        <f t="shared" si="48"/>
        <v>4400</v>
      </c>
      <c r="I3114" s="10" t="s">
        <v>10</v>
      </c>
      <c r="J3114" s="13">
        <v>46098</v>
      </c>
      <c r="K3114" t="s">
        <v>337</v>
      </c>
    </row>
    <row r="3115" hidden="1" spans="1:11">
      <c r="A3115" t="s">
        <v>319</v>
      </c>
      <c r="B3115" s="8">
        <v>252604819</v>
      </c>
      <c r="C3115" s="9">
        <v>46097</v>
      </c>
      <c r="D3115" s="8" t="s">
        <v>39</v>
      </c>
      <c r="E3115" s="10">
        <v>50000</v>
      </c>
      <c r="F3115" s="8">
        <v>0.022</v>
      </c>
      <c r="G3115" s="11">
        <v>46106</v>
      </c>
      <c r="H3115" s="12">
        <f t="shared" si="48"/>
        <v>1100</v>
      </c>
      <c r="I3115" s="10" t="s">
        <v>10</v>
      </c>
      <c r="J3115" s="13">
        <v>46098</v>
      </c>
      <c r="K3115" t="s">
        <v>337</v>
      </c>
    </row>
    <row r="3116" hidden="1" spans="1:11">
      <c r="A3116" t="s">
        <v>319</v>
      </c>
      <c r="B3116" s="8">
        <v>252604845</v>
      </c>
      <c r="C3116" s="9">
        <v>46098</v>
      </c>
      <c r="D3116" s="8" t="s">
        <v>179</v>
      </c>
      <c r="E3116" s="10">
        <v>300000</v>
      </c>
      <c r="F3116" s="8">
        <v>0.065</v>
      </c>
      <c r="G3116" s="11">
        <v>46147</v>
      </c>
      <c r="H3116" s="12">
        <f t="shared" si="48"/>
        <v>19500</v>
      </c>
      <c r="I3116" s="10" t="s">
        <v>10</v>
      </c>
      <c r="J3116" s="13">
        <v>46119</v>
      </c>
      <c r="K3116" t="s">
        <v>486</v>
      </c>
    </row>
    <row r="3117" hidden="1" spans="1:11">
      <c r="B3117" s="14">
        <v>252604860</v>
      </c>
      <c r="C3117" s="13">
        <v>46100</v>
      </c>
      <c r="D3117" s="14" t="s">
        <v>370</v>
      </c>
      <c r="E3117" s="15">
        <v>32000</v>
      </c>
      <c r="F3117" s="14">
        <v>0.03</v>
      </c>
      <c r="G3117" s="16">
        <v>46103</v>
      </c>
      <c r="H3117" s="17">
        <f t="shared" si="48"/>
        <v>960</v>
      </c>
      <c r="I3117" s="15" t="s">
        <v>317</v>
      </c>
      <c r="J3117" s="15" t="s">
        <v>501</v>
      </c>
    </row>
    <row r="3118" hidden="1" spans="1:11">
      <c r="A3118" t="s">
        <v>319</v>
      </c>
      <c r="B3118" s="8">
        <v>252604865</v>
      </c>
      <c r="C3118" s="9">
        <v>46099</v>
      </c>
      <c r="D3118" s="8" t="s">
        <v>611</v>
      </c>
      <c r="E3118" s="10">
        <v>30000</v>
      </c>
      <c r="F3118" s="8">
        <v>0.062</v>
      </c>
      <c r="G3118" s="11">
        <v>46103</v>
      </c>
      <c r="H3118" s="12">
        <f t="shared" si="48"/>
        <v>1860</v>
      </c>
      <c r="I3118" s="10" t="s">
        <v>10</v>
      </c>
      <c r="J3118" s="13">
        <v>46104</v>
      </c>
      <c r="K3118" t="s">
        <v>488</v>
      </c>
    </row>
    <row r="3119" hidden="1" spans="1:11">
      <c r="A3119" t="s">
        <v>319</v>
      </c>
      <c r="B3119" s="8">
        <v>252604865</v>
      </c>
      <c r="C3119" s="9">
        <v>46099</v>
      </c>
      <c r="D3119" s="8" t="s">
        <v>611</v>
      </c>
      <c r="E3119" s="10">
        <v>30000</v>
      </c>
      <c r="F3119" s="8">
        <v>0.062</v>
      </c>
      <c r="G3119" s="11">
        <v>46134</v>
      </c>
      <c r="H3119" s="12">
        <f t="shared" si="48"/>
        <v>1860</v>
      </c>
      <c r="I3119" s="10" t="s">
        <v>10</v>
      </c>
      <c r="J3119" s="13">
        <v>46104</v>
      </c>
      <c r="K3119" t="s">
        <v>488</v>
      </c>
    </row>
    <row r="3120" hidden="1" spans="1:11">
      <c r="A3120" t="s">
        <v>319</v>
      </c>
      <c r="B3120" s="8">
        <v>252604866</v>
      </c>
      <c r="C3120" s="9">
        <v>46099</v>
      </c>
      <c r="D3120" s="8" t="s">
        <v>644</v>
      </c>
      <c r="E3120" s="10">
        <v>20000</v>
      </c>
      <c r="F3120" s="8">
        <v>0.031</v>
      </c>
      <c r="G3120" s="11">
        <v>46103</v>
      </c>
      <c r="H3120" s="12">
        <f t="shared" si="48"/>
        <v>620</v>
      </c>
      <c r="I3120" s="10" t="s">
        <v>10</v>
      </c>
      <c r="J3120" s="13">
        <v>46141</v>
      </c>
      <c r="K3120" t="s">
        <v>645</v>
      </c>
    </row>
    <row r="3121" hidden="1" spans="1:11">
      <c r="A3121" t="s">
        <v>319</v>
      </c>
      <c r="B3121" s="8">
        <v>252604877</v>
      </c>
      <c r="C3121" s="9">
        <v>46101</v>
      </c>
      <c r="D3121" s="8" t="s">
        <v>33</v>
      </c>
      <c r="E3121" s="10">
        <v>200000</v>
      </c>
      <c r="F3121" s="8">
        <v>0.018</v>
      </c>
      <c r="G3121" s="11">
        <v>46147</v>
      </c>
      <c r="H3121" s="12">
        <f t="shared" si="48"/>
        <v>3600</v>
      </c>
      <c r="I3121" s="10" t="s">
        <v>10</v>
      </c>
      <c r="J3121" s="13">
        <v>46119</v>
      </c>
      <c r="K3121" t="s">
        <v>467</v>
      </c>
    </row>
    <row r="3122" hidden="1" spans="1:11">
      <c r="A3122" t="s">
        <v>319</v>
      </c>
      <c r="B3122" s="8">
        <v>252604877</v>
      </c>
      <c r="C3122" s="9">
        <v>46101</v>
      </c>
      <c r="D3122" s="8" t="s">
        <v>33</v>
      </c>
      <c r="E3122" s="10">
        <v>200000</v>
      </c>
      <c r="F3122" s="8">
        <v>0.018</v>
      </c>
      <c r="G3122" s="11">
        <v>46147</v>
      </c>
      <c r="H3122" s="12">
        <f t="shared" si="48"/>
        <v>3600</v>
      </c>
      <c r="I3122" s="10" t="s">
        <v>10</v>
      </c>
      <c r="J3122" s="13">
        <v>46119</v>
      </c>
      <c r="K3122" t="s">
        <v>467</v>
      </c>
    </row>
    <row r="3123" hidden="1" spans="1:11">
      <c r="A3123" t="s">
        <v>319</v>
      </c>
      <c r="B3123" s="8">
        <v>252604877</v>
      </c>
      <c r="C3123" s="9">
        <v>46101</v>
      </c>
      <c r="D3123" s="8" t="s">
        <v>33</v>
      </c>
      <c r="E3123" s="10">
        <v>200000</v>
      </c>
      <c r="F3123" s="8">
        <v>0.018</v>
      </c>
      <c r="G3123" s="11">
        <v>46147</v>
      </c>
      <c r="H3123" s="12">
        <f t="shared" si="48"/>
        <v>3600</v>
      </c>
      <c r="I3123" s="10" t="s">
        <v>10</v>
      </c>
      <c r="J3123" s="13">
        <v>46119</v>
      </c>
      <c r="K3123" t="s">
        <v>467</v>
      </c>
    </row>
    <row r="3124" hidden="1" spans="1:11">
      <c r="A3124" t="s">
        <v>319</v>
      </c>
      <c r="B3124" s="8">
        <v>252604877</v>
      </c>
      <c r="C3124" s="9">
        <v>46101</v>
      </c>
      <c r="D3124" s="8" t="s">
        <v>78</v>
      </c>
      <c r="E3124" s="10">
        <v>200000</v>
      </c>
      <c r="F3124" s="8">
        <v>0.016</v>
      </c>
      <c r="G3124" s="11">
        <v>46147</v>
      </c>
      <c r="H3124" s="12">
        <f t="shared" si="48"/>
        <v>3200</v>
      </c>
      <c r="I3124" s="10" t="s">
        <v>10</v>
      </c>
      <c r="J3124" s="13">
        <v>46119</v>
      </c>
      <c r="K3124" t="s">
        <v>467</v>
      </c>
    </row>
    <row r="3125" hidden="1" spans="1:11">
      <c r="A3125" t="s">
        <v>319</v>
      </c>
      <c r="B3125" s="8">
        <v>252604877</v>
      </c>
      <c r="C3125" s="9">
        <v>46101</v>
      </c>
      <c r="D3125" s="8" t="s">
        <v>626</v>
      </c>
      <c r="E3125" s="10">
        <v>50000</v>
      </c>
      <c r="F3125" s="8">
        <v>0.0224</v>
      </c>
      <c r="G3125" s="11">
        <v>46147</v>
      </c>
      <c r="H3125" s="12">
        <f t="shared" si="48"/>
        <v>1120</v>
      </c>
      <c r="I3125" s="10" t="s">
        <v>10</v>
      </c>
      <c r="J3125" s="13">
        <v>46119</v>
      </c>
      <c r="K3125" t="s">
        <v>467</v>
      </c>
    </row>
    <row r="3126" hidden="1" spans="1:11">
      <c r="A3126" t="s">
        <v>319</v>
      </c>
      <c r="B3126" s="8">
        <v>252604878</v>
      </c>
      <c r="C3126" s="9">
        <v>46101</v>
      </c>
      <c r="D3126" s="8" t="s">
        <v>626</v>
      </c>
      <c r="E3126" s="10">
        <v>50000</v>
      </c>
      <c r="F3126" s="8">
        <v>0.0224</v>
      </c>
      <c r="G3126" s="11">
        <v>46178</v>
      </c>
      <c r="H3126" s="12">
        <f t="shared" si="48"/>
        <v>1120</v>
      </c>
      <c r="I3126" s="10" t="s">
        <v>10</v>
      </c>
      <c r="J3126" s="13">
        <v>46132</v>
      </c>
      <c r="K3126" t="s">
        <v>467</v>
      </c>
    </row>
    <row r="3127" hidden="1" spans="1:11">
      <c r="A3127" t="s">
        <v>319</v>
      </c>
      <c r="B3127" s="8">
        <v>252604878</v>
      </c>
      <c r="C3127" s="9">
        <v>46101</v>
      </c>
      <c r="D3127" s="8" t="s">
        <v>626</v>
      </c>
      <c r="E3127" s="10">
        <v>50000</v>
      </c>
      <c r="F3127" s="8">
        <v>0.0224</v>
      </c>
      <c r="G3127" s="11">
        <v>46208</v>
      </c>
      <c r="H3127" s="12">
        <f t="shared" si="48"/>
        <v>1120</v>
      </c>
      <c r="I3127" s="10" t="s">
        <v>10</v>
      </c>
      <c r="J3127" s="13">
        <v>46132</v>
      </c>
      <c r="K3127" t="s">
        <v>467</v>
      </c>
    </row>
    <row r="3128" hidden="1" spans="1:11">
      <c r="A3128" t="s">
        <v>319</v>
      </c>
      <c r="B3128" s="8">
        <v>252604887</v>
      </c>
      <c r="C3128" s="9">
        <v>46104</v>
      </c>
      <c r="D3128" s="8" t="s">
        <v>404</v>
      </c>
      <c r="E3128" s="10">
        <v>102000</v>
      </c>
      <c r="F3128" s="8">
        <v>0.06</v>
      </c>
      <c r="G3128" s="11">
        <v>46147</v>
      </c>
      <c r="H3128" s="12">
        <f t="shared" si="48"/>
        <v>6120</v>
      </c>
      <c r="I3128" s="10" t="s">
        <v>10</v>
      </c>
      <c r="J3128" s="13">
        <v>46108</v>
      </c>
      <c r="K3128" t="s">
        <v>405</v>
      </c>
    </row>
    <row r="3129" hidden="1" spans="1:11">
      <c r="A3129" t="s">
        <v>319</v>
      </c>
      <c r="B3129" s="8">
        <v>252604887</v>
      </c>
      <c r="C3129" s="9">
        <v>46104</v>
      </c>
      <c r="D3129" s="8" t="s">
        <v>404</v>
      </c>
      <c r="E3129" s="10">
        <v>52000</v>
      </c>
      <c r="F3129" s="8">
        <v>0.06</v>
      </c>
      <c r="G3129" s="11">
        <v>46178</v>
      </c>
      <c r="H3129" s="12">
        <f t="shared" si="48"/>
        <v>3120</v>
      </c>
      <c r="I3129" s="10" t="s">
        <v>10</v>
      </c>
      <c r="J3129" s="13">
        <v>46108</v>
      </c>
      <c r="K3129" t="s">
        <v>405</v>
      </c>
    </row>
    <row r="3130" hidden="1" spans="1:11">
      <c r="A3130" t="s">
        <v>319</v>
      </c>
      <c r="B3130" s="8">
        <v>252604892</v>
      </c>
      <c r="C3130" s="9">
        <v>46104</v>
      </c>
      <c r="D3130" s="8" t="s">
        <v>404</v>
      </c>
      <c r="E3130" s="10">
        <v>52000</v>
      </c>
      <c r="F3130" s="8">
        <v>0.06</v>
      </c>
      <c r="G3130" s="11">
        <v>46208</v>
      </c>
      <c r="H3130" s="12">
        <f t="shared" si="48"/>
        <v>3120</v>
      </c>
      <c r="I3130" s="10" t="s">
        <v>10</v>
      </c>
      <c r="J3130" s="13">
        <v>46119</v>
      </c>
      <c r="K3130" t="s">
        <v>405</v>
      </c>
    </row>
    <row r="3131" hidden="1" spans="1:11">
      <c r="A3131" t="s">
        <v>319</v>
      </c>
      <c r="B3131" s="8">
        <v>252604894</v>
      </c>
      <c r="C3131" s="9">
        <v>46101</v>
      </c>
      <c r="D3131" s="8" t="s">
        <v>40</v>
      </c>
      <c r="E3131" s="10">
        <v>200000</v>
      </c>
      <c r="F3131" s="8">
        <v>0.035</v>
      </c>
      <c r="G3131" s="11">
        <v>46147</v>
      </c>
      <c r="H3131" s="12">
        <f t="shared" si="48"/>
        <v>7000</v>
      </c>
      <c r="I3131" s="10" t="s">
        <v>10</v>
      </c>
      <c r="J3131" s="13">
        <v>46132</v>
      </c>
      <c r="K3131" t="s">
        <v>365</v>
      </c>
    </row>
    <row r="3132" hidden="1" spans="1:11">
      <c r="A3132" t="s">
        <v>319</v>
      </c>
      <c r="B3132" s="8">
        <v>252604894</v>
      </c>
      <c r="C3132" s="9">
        <v>46101</v>
      </c>
      <c r="D3132" s="8" t="s">
        <v>40</v>
      </c>
      <c r="E3132" s="10">
        <v>200000</v>
      </c>
      <c r="F3132" s="8">
        <v>0.035</v>
      </c>
      <c r="G3132" s="11">
        <v>46178</v>
      </c>
      <c r="H3132" s="12">
        <f t="shared" si="48"/>
        <v>7000</v>
      </c>
      <c r="I3132" s="10" t="s">
        <v>10</v>
      </c>
      <c r="J3132" s="13">
        <v>46132</v>
      </c>
      <c r="K3132" t="s">
        <v>365</v>
      </c>
    </row>
    <row r="3133" hidden="1" spans="1:11">
      <c r="A3133" t="s">
        <v>319</v>
      </c>
      <c r="B3133" s="8">
        <v>252604921</v>
      </c>
      <c r="C3133" s="9">
        <v>46104</v>
      </c>
      <c r="D3133" s="8" t="s">
        <v>47</v>
      </c>
      <c r="E3133" s="10">
        <v>300000</v>
      </c>
      <c r="F3133" s="8">
        <v>0.022</v>
      </c>
      <c r="G3133" s="11">
        <v>46117</v>
      </c>
      <c r="H3133" s="12">
        <f t="shared" si="48"/>
        <v>6600</v>
      </c>
      <c r="I3133" s="10" t="s">
        <v>10</v>
      </c>
      <c r="J3133" s="13">
        <v>46114</v>
      </c>
      <c r="K3133" t="s">
        <v>499</v>
      </c>
    </row>
    <row r="3134" hidden="1" spans="1:11">
      <c r="A3134" t="s">
        <v>319</v>
      </c>
      <c r="B3134" s="8">
        <v>252604921</v>
      </c>
      <c r="C3134" s="9">
        <v>46104</v>
      </c>
      <c r="D3134" s="8" t="s">
        <v>47</v>
      </c>
      <c r="E3134" s="10">
        <v>300000</v>
      </c>
      <c r="F3134" s="8">
        <v>0.022</v>
      </c>
      <c r="G3134" s="11">
        <v>46117</v>
      </c>
      <c r="H3134" s="12">
        <f t="shared" si="48"/>
        <v>6600</v>
      </c>
      <c r="I3134" s="10" t="s">
        <v>10</v>
      </c>
      <c r="J3134" s="13">
        <v>46114</v>
      </c>
      <c r="K3134" t="s">
        <v>499</v>
      </c>
    </row>
    <row r="3135" hidden="1" spans="1:11">
      <c r="A3135" t="s">
        <v>319</v>
      </c>
      <c r="B3135" s="8">
        <v>252604921</v>
      </c>
      <c r="C3135" s="9">
        <v>46104</v>
      </c>
      <c r="D3135" s="8" t="s">
        <v>47</v>
      </c>
      <c r="E3135" s="10">
        <v>300000</v>
      </c>
      <c r="F3135" s="8">
        <v>0.022</v>
      </c>
      <c r="G3135" s="11">
        <v>46117</v>
      </c>
      <c r="H3135" s="12">
        <f t="shared" si="48"/>
        <v>6600</v>
      </c>
      <c r="I3135" s="10" t="s">
        <v>10</v>
      </c>
      <c r="J3135" s="13">
        <v>46114</v>
      </c>
      <c r="K3135" t="s">
        <v>499</v>
      </c>
    </row>
    <row r="3136" hidden="1" spans="1:11">
      <c r="A3136" t="s">
        <v>319</v>
      </c>
      <c r="B3136" s="8">
        <v>252604921</v>
      </c>
      <c r="C3136" s="9">
        <v>46104</v>
      </c>
      <c r="D3136" s="8" t="s">
        <v>45</v>
      </c>
      <c r="E3136" s="10">
        <v>200000</v>
      </c>
      <c r="F3136" s="8">
        <v>0.024</v>
      </c>
      <c r="G3136" s="11">
        <v>46147</v>
      </c>
      <c r="H3136" s="12">
        <f t="shared" si="48"/>
        <v>4800</v>
      </c>
      <c r="I3136" s="10" t="s">
        <v>10</v>
      </c>
      <c r="J3136" s="13">
        <v>46107</v>
      </c>
      <c r="K3136" t="s">
        <v>499</v>
      </c>
    </row>
    <row r="3137" hidden="1" spans="1:11">
      <c r="A3137" t="s">
        <v>319</v>
      </c>
      <c r="B3137" s="8">
        <v>252604921</v>
      </c>
      <c r="C3137" s="9">
        <v>46104</v>
      </c>
      <c r="D3137" s="8" t="s">
        <v>38</v>
      </c>
      <c r="E3137" s="10">
        <v>400000</v>
      </c>
      <c r="F3137" s="8">
        <v>0.01</v>
      </c>
      <c r="G3137" s="11">
        <v>46117</v>
      </c>
      <c r="H3137" s="12">
        <f t="shared" si="48"/>
        <v>4000</v>
      </c>
      <c r="I3137" s="10" t="s">
        <v>10</v>
      </c>
      <c r="J3137" s="13">
        <v>46107</v>
      </c>
      <c r="K3137" t="s">
        <v>499</v>
      </c>
    </row>
    <row r="3138" hidden="1" spans="1:11">
      <c r="A3138" t="s">
        <v>319</v>
      </c>
      <c r="B3138" s="8">
        <v>252604921</v>
      </c>
      <c r="C3138" s="9">
        <v>46104</v>
      </c>
      <c r="D3138" s="8" t="s">
        <v>299</v>
      </c>
      <c r="E3138" s="10">
        <v>64000</v>
      </c>
      <c r="F3138" s="8">
        <v>0.003</v>
      </c>
      <c r="G3138" s="11">
        <v>46117</v>
      </c>
      <c r="H3138" s="12">
        <f t="shared" ref="H3138:H3201" si="49">E3138*F3138</f>
        <v>192</v>
      </c>
      <c r="I3138" s="10" t="s">
        <v>10</v>
      </c>
      <c r="J3138" s="13">
        <v>46107</v>
      </c>
      <c r="K3138" t="s">
        <v>499</v>
      </c>
    </row>
    <row r="3139" hidden="1" spans="1:11">
      <c r="A3139" t="s">
        <v>319</v>
      </c>
      <c r="B3139" s="8">
        <v>252604922</v>
      </c>
      <c r="C3139" s="9">
        <v>46105</v>
      </c>
      <c r="D3139" s="8" t="s">
        <v>38</v>
      </c>
      <c r="E3139" s="10">
        <v>400000</v>
      </c>
      <c r="F3139" s="8">
        <v>0.01</v>
      </c>
      <c r="G3139" s="11">
        <v>46147</v>
      </c>
      <c r="H3139" s="12">
        <f t="shared" si="49"/>
        <v>4000</v>
      </c>
      <c r="I3139" s="10" t="s">
        <v>10</v>
      </c>
      <c r="J3139" s="13">
        <v>46107</v>
      </c>
      <c r="K3139" t="s">
        <v>536</v>
      </c>
    </row>
    <row r="3140" hidden="1" spans="1:11">
      <c r="A3140" t="s">
        <v>319</v>
      </c>
      <c r="B3140" s="8">
        <v>252604923</v>
      </c>
      <c r="C3140" s="9">
        <v>46105</v>
      </c>
      <c r="D3140" s="8" t="s">
        <v>45</v>
      </c>
      <c r="E3140" s="10">
        <v>400000</v>
      </c>
      <c r="F3140" s="8">
        <v>0.024</v>
      </c>
      <c r="G3140" s="11">
        <v>46208</v>
      </c>
      <c r="H3140" s="12">
        <f t="shared" si="49"/>
        <v>9600</v>
      </c>
      <c r="I3140" s="10" t="s">
        <v>10</v>
      </c>
      <c r="J3140" s="13">
        <v>46157</v>
      </c>
      <c r="K3140" t="s">
        <v>534</v>
      </c>
    </row>
    <row r="3141" hidden="1" spans="1:11">
      <c r="A3141" t="s">
        <v>319</v>
      </c>
      <c r="B3141" s="8">
        <v>252604923</v>
      </c>
      <c r="C3141" s="9">
        <v>46105</v>
      </c>
      <c r="D3141" s="8" t="s">
        <v>38</v>
      </c>
      <c r="E3141" s="10">
        <v>400000</v>
      </c>
      <c r="F3141" s="8">
        <v>0.01</v>
      </c>
      <c r="G3141" s="11">
        <v>46178</v>
      </c>
      <c r="H3141" s="12">
        <f t="shared" si="49"/>
        <v>4000</v>
      </c>
      <c r="I3141" s="10" t="s">
        <v>10</v>
      </c>
      <c r="J3141" s="13">
        <v>46157</v>
      </c>
      <c r="K3141" t="s">
        <v>534</v>
      </c>
    </row>
    <row r="3142" hidden="1" spans="1:11">
      <c r="A3142" t="s">
        <v>319</v>
      </c>
      <c r="B3142" s="8">
        <v>252604924</v>
      </c>
      <c r="C3142" s="9">
        <v>46104</v>
      </c>
      <c r="D3142" s="8" t="s">
        <v>611</v>
      </c>
      <c r="E3142" s="10">
        <v>60000</v>
      </c>
      <c r="F3142" s="8">
        <v>0.062</v>
      </c>
      <c r="G3142" s="11">
        <v>46117</v>
      </c>
      <c r="H3142" s="12">
        <f t="shared" si="49"/>
        <v>3720</v>
      </c>
      <c r="I3142" s="10" t="s">
        <v>10</v>
      </c>
      <c r="J3142" s="13">
        <v>46107</v>
      </c>
      <c r="K3142" t="s">
        <v>488</v>
      </c>
    </row>
    <row r="3143" hidden="1" spans="1:11">
      <c r="A3143" t="s">
        <v>319</v>
      </c>
      <c r="B3143" s="8">
        <v>252604925</v>
      </c>
      <c r="C3143" s="9">
        <v>46105</v>
      </c>
      <c r="D3143" s="8" t="s">
        <v>48</v>
      </c>
      <c r="E3143" s="10">
        <v>100000</v>
      </c>
      <c r="F3143" s="8">
        <v>0.017</v>
      </c>
      <c r="G3143" s="11">
        <v>46117</v>
      </c>
      <c r="H3143" s="12">
        <f t="shared" si="49"/>
        <v>1700</v>
      </c>
      <c r="I3143" s="10" t="s">
        <v>10</v>
      </c>
      <c r="J3143" s="13">
        <v>46114</v>
      </c>
      <c r="K3143" t="s">
        <v>534</v>
      </c>
    </row>
    <row r="3144" hidden="1" spans="1:11">
      <c r="A3144" t="s">
        <v>319</v>
      </c>
      <c r="B3144" s="8">
        <v>252604925</v>
      </c>
      <c r="C3144" s="9">
        <v>46105</v>
      </c>
      <c r="D3144" s="8" t="s">
        <v>48</v>
      </c>
      <c r="E3144" s="10">
        <v>100000</v>
      </c>
      <c r="F3144" s="8">
        <v>0.017</v>
      </c>
      <c r="G3144" s="11">
        <v>46147</v>
      </c>
      <c r="H3144" s="12">
        <f t="shared" si="49"/>
        <v>1700</v>
      </c>
      <c r="I3144" s="10" t="s">
        <v>10</v>
      </c>
      <c r="J3144" s="13">
        <v>46114</v>
      </c>
      <c r="K3144" t="s">
        <v>534</v>
      </c>
    </row>
    <row r="3145" hidden="1" spans="1:11">
      <c r="B3145" s="14">
        <v>252604992</v>
      </c>
      <c r="C3145" s="13">
        <v>46108</v>
      </c>
      <c r="D3145" s="14" t="s">
        <v>646</v>
      </c>
      <c r="E3145" s="15">
        <v>6000</v>
      </c>
      <c r="F3145" s="14">
        <v>0.032</v>
      </c>
      <c r="G3145" s="16">
        <v>46117</v>
      </c>
      <c r="H3145" s="17">
        <f t="shared" si="49"/>
        <v>192</v>
      </c>
      <c r="I3145" s="15" t="s">
        <v>51</v>
      </c>
      <c r="J3145" s="15"/>
    </row>
    <row r="3146" hidden="1" spans="1:11">
      <c r="A3146" t="s">
        <v>319</v>
      </c>
      <c r="B3146" s="8">
        <v>252605003</v>
      </c>
      <c r="C3146" s="9">
        <v>46107</v>
      </c>
      <c r="D3146" s="8" t="s">
        <v>33</v>
      </c>
      <c r="E3146" s="10">
        <v>100000</v>
      </c>
      <c r="F3146" s="8">
        <v>0.018</v>
      </c>
      <c r="G3146" s="11">
        <v>46147</v>
      </c>
      <c r="H3146" s="12">
        <f t="shared" si="49"/>
        <v>1800</v>
      </c>
      <c r="I3146" s="10" t="s">
        <v>10</v>
      </c>
      <c r="J3146" s="13">
        <v>46126</v>
      </c>
      <c r="K3146" t="s">
        <v>467</v>
      </c>
    </row>
    <row r="3147" hidden="1" spans="1:11">
      <c r="A3147" t="s">
        <v>319</v>
      </c>
      <c r="B3147" s="8">
        <v>252605003</v>
      </c>
      <c r="C3147" s="9">
        <v>46107</v>
      </c>
      <c r="D3147" s="8" t="s">
        <v>58</v>
      </c>
      <c r="E3147" s="10">
        <v>200000</v>
      </c>
      <c r="F3147" s="8">
        <v>0.014</v>
      </c>
      <c r="G3147" s="11">
        <v>46147</v>
      </c>
      <c r="H3147" s="12">
        <f t="shared" si="49"/>
        <v>2800</v>
      </c>
      <c r="I3147" s="10" t="s">
        <v>10</v>
      </c>
      <c r="J3147" s="13">
        <v>46126</v>
      </c>
      <c r="K3147" t="s">
        <v>467</v>
      </c>
    </row>
    <row r="3148" hidden="1" spans="1:11">
      <c r="A3148" t="s">
        <v>319</v>
      </c>
      <c r="B3148" s="8">
        <v>252605003</v>
      </c>
      <c r="C3148" s="9">
        <v>46107</v>
      </c>
      <c r="D3148" s="8" t="s">
        <v>315</v>
      </c>
      <c r="E3148" s="10">
        <v>20000</v>
      </c>
      <c r="F3148" s="8">
        <v>0.0522</v>
      </c>
      <c r="G3148" s="11">
        <v>46147</v>
      </c>
      <c r="H3148" s="12">
        <f t="shared" si="49"/>
        <v>1044</v>
      </c>
      <c r="I3148" s="10" t="s">
        <v>10</v>
      </c>
      <c r="J3148" s="13">
        <v>46126</v>
      </c>
      <c r="K3148" t="s">
        <v>467</v>
      </c>
    </row>
    <row r="3149" hidden="1" spans="1:11">
      <c r="A3149" t="s">
        <v>319</v>
      </c>
      <c r="B3149" s="8">
        <v>252605003</v>
      </c>
      <c r="C3149" s="9">
        <v>46107</v>
      </c>
      <c r="D3149" s="8" t="s">
        <v>31</v>
      </c>
      <c r="E3149" s="10">
        <v>200000</v>
      </c>
      <c r="F3149" s="8">
        <v>0.024</v>
      </c>
      <c r="G3149" s="11">
        <v>46147</v>
      </c>
      <c r="H3149" s="12">
        <f t="shared" si="49"/>
        <v>4800</v>
      </c>
      <c r="I3149" s="10" t="s">
        <v>10</v>
      </c>
      <c r="J3149" s="13">
        <v>46126</v>
      </c>
      <c r="K3149" t="s">
        <v>467</v>
      </c>
    </row>
    <row r="3150" hidden="1" spans="1:11">
      <c r="A3150" t="s">
        <v>319</v>
      </c>
      <c r="B3150" s="8">
        <v>252605003</v>
      </c>
      <c r="C3150" s="9">
        <v>46107</v>
      </c>
      <c r="D3150" s="8" t="s">
        <v>31</v>
      </c>
      <c r="E3150" s="10">
        <v>200000</v>
      </c>
      <c r="F3150" s="8">
        <v>0.024</v>
      </c>
      <c r="G3150" s="11">
        <v>46147</v>
      </c>
      <c r="H3150" s="12">
        <f t="shared" si="49"/>
        <v>4800</v>
      </c>
      <c r="I3150" s="10" t="s">
        <v>10</v>
      </c>
      <c r="J3150" s="13">
        <v>46126</v>
      </c>
      <c r="K3150" t="s">
        <v>467</v>
      </c>
    </row>
    <row r="3151" hidden="1" spans="1:11">
      <c r="A3151" t="s">
        <v>319</v>
      </c>
      <c r="B3151" s="8">
        <v>252605003</v>
      </c>
      <c r="C3151" s="9">
        <v>46107</v>
      </c>
      <c r="D3151" s="8" t="s">
        <v>31</v>
      </c>
      <c r="E3151" s="10">
        <v>200000</v>
      </c>
      <c r="F3151" s="8">
        <v>0.024</v>
      </c>
      <c r="G3151" s="11">
        <v>46147</v>
      </c>
      <c r="H3151" s="12">
        <f t="shared" si="49"/>
        <v>4800</v>
      </c>
      <c r="I3151" s="10" t="s">
        <v>10</v>
      </c>
      <c r="J3151" s="13">
        <v>46126</v>
      </c>
      <c r="K3151" t="s">
        <v>467</v>
      </c>
    </row>
    <row r="3152" hidden="1" spans="1:11">
      <c r="A3152" t="s">
        <v>319</v>
      </c>
      <c r="B3152" s="8">
        <v>252605003</v>
      </c>
      <c r="C3152" s="9">
        <v>46107</v>
      </c>
      <c r="D3152" s="8" t="s">
        <v>32</v>
      </c>
      <c r="E3152" s="10">
        <v>50000</v>
      </c>
      <c r="F3152" s="8">
        <v>0.014</v>
      </c>
      <c r="G3152" s="11">
        <v>46147</v>
      </c>
      <c r="H3152" s="12">
        <f t="shared" si="49"/>
        <v>700</v>
      </c>
      <c r="I3152" s="10" t="s">
        <v>10</v>
      </c>
      <c r="J3152" s="13">
        <v>46126</v>
      </c>
      <c r="K3152" t="s">
        <v>467</v>
      </c>
    </row>
    <row r="3153" hidden="1" spans="1:11">
      <c r="A3153" t="s">
        <v>319</v>
      </c>
      <c r="B3153" s="8">
        <v>252605003</v>
      </c>
      <c r="C3153" s="9">
        <v>46107</v>
      </c>
      <c r="D3153" s="8" t="s">
        <v>626</v>
      </c>
      <c r="E3153" s="10">
        <v>120000</v>
      </c>
      <c r="F3153" s="8">
        <v>0.0224</v>
      </c>
      <c r="G3153" s="11">
        <v>46147</v>
      </c>
      <c r="H3153" s="12">
        <f t="shared" si="49"/>
        <v>2688</v>
      </c>
      <c r="I3153" s="10" t="s">
        <v>10</v>
      </c>
      <c r="J3153" s="13">
        <v>46126</v>
      </c>
      <c r="K3153" t="s">
        <v>467</v>
      </c>
    </row>
    <row r="3154" hidden="1" spans="1:11">
      <c r="A3154" t="s">
        <v>319</v>
      </c>
      <c r="B3154" s="8">
        <v>252605003</v>
      </c>
      <c r="C3154" s="9">
        <v>46107</v>
      </c>
      <c r="D3154" s="8" t="s">
        <v>78</v>
      </c>
      <c r="E3154" s="10">
        <v>200000</v>
      </c>
      <c r="F3154" s="8">
        <v>0.016</v>
      </c>
      <c r="G3154" s="11">
        <v>46117</v>
      </c>
      <c r="H3154" s="12">
        <f t="shared" si="49"/>
        <v>3200</v>
      </c>
      <c r="I3154" s="10" t="s">
        <v>10</v>
      </c>
      <c r="J3154" s="13">
        <v>46126</v>
      </c>
      <c r="K3154" t="s">
        <v>467</v>
      </c>
    </row>
    <row r="3155" hidden="1" spans="1:11">
      <c r="A3155" t="s">
        <v>319</v>
      </c>
      <c r="B3155" s="8">
        <v>252605003</v>
      </c>
      <c r="C3155" s="9">
        <v>46107</v>
      </c>
      <c r="D3155" s="8" t="s">
        <v>78</v>
      </c>
      <c r="E3155" s="10">
        <v>200000</v>
      </c>
      <c r="F3155" s="8">
        <v>0.016</v>
      </c>
      <c r="G3155" s="11">
        <v>46147</v>
      </c>
      <c r="H3155" s="12">
        <f t="shared" si="49"/>
        <v>3200</v>
      </c>
      <c r="I3155" s="10" t="s">
        <v>10</v>
      </c>
      <c r="J3155" s="13">
        <v>46126</v>
      </c>
      <c r="K3155" t="s">
        <v>467</v>
      </c>
    </row>
    <row r="3156" hidden="1" spans="1:11">
      <c r="A3156" t="s">
        <v>319</v>
      </c>
      <c r="B3156" s="8">
        <v>252605003</v>
      </c>
      <c r="C3156" s="9">
        <v>46107</v>
      </c>
      <c r="D3156" s="8" t="s">
        <v>468</v>
      </c>
      <c r="E3156" s="10">
        <v>50000</v>
      </c>
      <c r="F3156" s="8">
        <v>0.028</v>
      </c>
      <c r="G3156" s="11">
        <v>46147</v>
      </c>
      <c r="H3156" s="12">
        <f t="shared" si="49"/>
        <v>1400</v>
      </c>
      <c r="I3156" s="10" t="s">
        <v>10</v>
      </c>
      <c r="J3156" s="13">
        <v>46126</v>
      </c>
      <c r="K3156" t="s">
        <v>467</v>
      </c>
    </row>
    <row r="3157" hidden="1" spans="1:11">
      <c r="A3157" t="s">
        <v>319</v>
      </c>
      <c r="B3157" s="8">
        <v>252605003</v>
      </c>
      <c r="C3157" s="9">
        <v>46107</v>
      </c>
      <c r="D3157" s="8" t="s">
        <v>181</v>
      </c>
      <c r="E3157" s="10">
        <v>110000</v>
      </c>
      <c r="F3157" s="8">
        <v>0.0243</v>
      </c>
      <c r="G3157" s="11">
        <v>46147</v>
      </c>
      <c r="H3157" s="12">
        <f t="shared" si="49"/>
        <v>2673</v>
      </c>
      <c r="I3157" s="10" t="s">
        <v>10</v>
      </c>
      <c r="J3157" s="13">
        <v>46126</v>
      </c>
      <c r="K3157" t="s">
        <v>467</v>
      </c>
    </row>
    <row r="3158" hidden="1" spans="1:11">
      <c r="A3158" t="s">
        <v>319</v>
      </c>
      <c r="B3158" s="8">
        <v>252605003</v>
      </c>
      <c r="C3158" s="9">
        <v>46107</v>
      </c>
      <c r="D3158" s="8" t="s">
        <v>181</v>
      </c>
      <c r="E3158" s="10">
        <v>110000</v>
      </c>
      <c r="F3158" s="8">
        <v>0.0243</v>
      </c>
      <c r="G3158" s="11">
        <v>46147</v>
      </c>
      <c r="H3158" s="12">
        <f t="shared" si="49"/>
        <v>2673</v>
      </c>
      <c r="I3158" s="10" t="s">
        <v>10</v>
      </c>
      <c r="J3158" s="13">
        <v>46126</v>
      </c>
      <c r="K3158" t="s">
        <v>467</v>
      </c>
    </row>
    <row r="3159" hidden="1" spans="1:11">
      <c r="A3159" t="s">
        <v>319</v>
      </c>
      <c r="B3159" s="8">
        <v>252605004</v>
      </c>
      <c r="C3159" s="9">
        <v>46107</v>
      </c>
      <c r="D3159" s="8" t="s">
        <v>33</v>
      </c>
      <c r="E3159" s="10">
        <v>100000</v>
      </c>
      <c r="F3159" s="8">
        <v>0.018</v>
      </c>
      <c r="G3159" s="11">
        <v>46178</v>
      </c>
      <c r="H3159" s="12">
        <f t="shared" si="49"/>
        <v>1800</v>
      </c>
      <c r="I3159" s="10" t="s">
        <v>10</v>
      </c>
      <c r="J3159" s="13">
        <v>46162</v>
      </c>
      <c r="K3159" t="s">
        <v>467</v>
      </c>
    </row>
    <row r="3160" hidden="1" spans="1:11">
      <c r="A3160" t="s">
        <v>319</v>
      </c>
      <c r="B3160" s="8">
        <v>252605004</v>
      </c>
      <c r="C3160" s="9">
        <v>46107</v>
      </c>
      <c r="D3160" s="8" t="s">
        <v>33</v>
      </c>
      <c r="E3160" s="10">
        <v>100000</v>
      </c>
      <c r="F3160" s="8">
        <v>0.018</v>
      </c>
      <c r="G3160" s="11">
        <v>46208</v>
      </c>
      <c r="H3160" s="12">
        <f t="shared" si="49"/>
        <v>1800</v>
      </c>
      <c r="I3160" s="10" t="s">
        <v>10</v>
      </c>
      <c r="J3160" s="13">
        <v>46162</v>
      </c>
      <c r="K3160" t="s">
        <v>467</v>
      </c>
    </row>
    <row r="3161" hidden="1" spans="1:11">
      <c r="A3161" t="s">
        <v>319</v>
      </c>
      <c r="B3161" s="8">
        <v>252605004</v>
      </c>
      <c r="C3161" s="9">
        <v>46107</v>
      </c>
      <c r="D3161" s="8" t="s">
        <v>58</v>
      </c>
      <c r="E3161" s="10">
        <v>100000</v>
      </c>
      <c r="F3161" s="8">
        <v>0.014</v>
      </c>
      <c r="G3161" s="11">
        <v>46178</v>
      </c>
      <c r="H3161" s="12">
        <f t="shared" si="49"/>
        <v>1400</v>
      </c>
      <c r="I3161" s="10" t="s">
        <v>10</v>
      </c>
      <c r="J3161" s="13">
        <v>46162</v>
      </c>
      <c r="K3161" t="s">
        <v>467</v>
      </c>
    </row>
    <row r="3162" hidden="1" spans="1:11">
      <c r="A3162" t="s">
        <v>319</v>
      </c>
      <c r="B3162" s="8">
        <v>252605004</v>
      </c>
      <c r="C3162" s="9">
        <v>46107</v>
      </c>
      <c r="D3162" s="8" t="s">
        <v>58</v>
      </c>
      <c r="E3162" s="10">
        <v>100000</v>
      </c>
      <c r="F3162" s="8">
        <v>0.014</v>
      </c>
      <c r="G3162" s="11">
        <v>46208</v>
      </c>
      <c r="H3162" s="12">
        <f t="shared" si="49"/>
        <v>1400</v>
      </c>
      <c r="I3162" s="10" t="s">
        <v>10</v>
      </c>
      <c r="J3162" s="13">
        <v>46162</v>
      </c>
      <c r="K3162" t="s">
        <v>467</v>
      </c>
    </row>
    <row r="3163" hidden="1" spans="1:11">
      <c r="A3163" t="s">
        <v>319</v>
      </c>
      <c r="B3163" s="8">
        <v>252605004</v>
      </c>
      <c r="C3163" s="9">
        <v>46107</v>
      </c>
      <c r="D3163" s="8" t="s">
        <v>315</v>
      </c>
      <c r="E3163" s="10">
        <v>20000</v>
      </c>
      <c r="F3163" s="8">
        <v>0.0522</v>
      </c>
      <c r="G3163" s="11">
        <v>46178</v>
      </c>
      <c r="H3163" s="12">
        <f t="shared" si="49"/>
        <v>1044</v>
      </c>
      <c r="I3163" s="10" t="s">
        <v>10</v>
      </c>
      <c r="J3163" s="13">
        <v>46162</v>
      </c>
      <c r="K3163" t="s">
        <v>467</v>
      </c>
    </row>
    <row r="3164" hidden="1" spans="1:11">
      <c r="A3164" t="s">
        <v>319</v>
      </c>
      <c r="B3164" s="8">
        <v>252605004</v>
      </c>
      <c r="C3164" s="9">
        <v>46107</v>
      </c>
      <c r="D3164" s="8" t="s">
        <v>31</v>
      </c>
      <c r="E3164" s="10">
        <v>200000</v>
      </c>
      <c r="F3164" s="8">
        <v>0.024</v>
      </c>
      <c r="G3164" s="11">
        <v>46178</v>
      </c>
      <c r="H3164" s="12">
        <f t="shared" si="49"/>
        <v>4800</v>
      </c>
      <c r="I3164" s="10" t="s">
        <v>10</v>
      </c>
      <c r="J3164" s="13">
        <v>46162</v>
      </c>
      <c r="K3164" t="s">
        <v>467</v>
      </c>
    </row>
    <row r="3165" hidden="1" spans="1:11">
      <c r="A3165" t="s">
        <v>319</v>
      </c>
      <c r="B3165" s="8">
        <v>252605004</v>
      </c>
      <c r="C3165" s="9">
        <v>46107</v>
      </c>
      <c r="D3165" s="8" t="s">
        <v>31</v>
      </c>
      <c r="E3165" s="10">
        <v>200000</v>
      </c>
      <c r="F3165" s="8">
        <v>0.024</v>
      </c>
      <c r="G3165" s="11">
        <v>46178</v>
      </c>
      <c r="H3165" s="12">
        <f t="shared" si="49"/>
        <v>4800</v>
      </c>
      <c r="I3165" s="10" t="s">
        <v>10</v>
      </c>
      <c r="J3165" s="13">
        <v>46162</v>
      </c>
      <c r="K3165" t="s">
        <v>467</v>
      </c>
    </row>
    <row r="3166" hidden="1" spans="1:11">
      <c r="A3166" t="s">
        <v>319</v>
      </c>
      <c r="B3166" s="8">
        <v>252605004</v>
      </c>
      <c r="C3166" s="9">
        <v>46107</v>
      </c>
      <c r="D3166" s="8" t="s">
        <v>31</v>
      </c>
      <c r="E3166" s="10">
        <v>200000</v>
      </c>
      <c r="F3166" s="8">
        <v>0.024</v>
      </c>
      <c r="G3166" s="11">
        <v>46178</v>
      </c>
      <c r="H3166" s="12">
        <f t="shared" si="49"/>
        <v>4800</v>
      </c>
      <c r="I3166" s="10" t="s">
        <v>10</v>
      </c>
      <c r="J3166" s="13">
        <v>46162</v>
      </c>
      <c r="K3166" t="s">
        <v>467</v>
      </c>
    </row>
    <row r="3167" hidden="1" spans="1:11">
      <c r="A3167" t="s">
        <v>319</v>
      </c>
      <c r="B3167" s="8">
        <v>252605004</v>
      </c>
      <c r="C3167" s="9">
        <v>46107</v>
      </c>
      <c r="D3167" s="8" t="s">
        <v>31</v>
      </c>
      <c r="E3167" s="10">
        <v>200000</v>
      </c>
      <c r="F3167" s="8">
        <v>0.024</v>
      </c>
      <c r="G3167" s="11">
        <v>46208</v>
      </c>
      <c r="H3167" s="12">
        <f t="shared" si="49"/>
        <v>4800</v>
      </c>
      <c r="I3167" s="10" t="s">
        <v>10</v>
      </c>
      <c r="J3167" s="13">
        <v>46162</v>
      </c>
      <c r="K3167" t="s">
        <v>467</v>
      </c>
    </row>
    <row r="3168" hidden="1" spans="1:11">
      <c r="A3168" t="s">
        <v>319</v>
      </c>
      <c r="B3168" s="8">
        <v>252605004</v>
      </c>
      <c r="C3168" s="9">
        <v>46107</v>
      </c>
      <c r="D3168" s="8" t="s">
        <v>31</v>
      </c>
      <c r="E3168" s="10">
        <v>200000</v>
      </c>
      <c r="F3168" s="8">
        <v>0.024</v>
      </c>
      <c r="G3168" s="11">
        <v>46208</v>
      </c>
      <c r="H3168" s="12">
        <f t="shared" si="49"/>
        <v>4800</v>
      </c>
      <c r="I3168" s="10" t="s">
        <v>10</v>
      </c>
      <c r="J3168" s="13">
        <v>46162</v>
      </c>
      <c r="K3168" t="s">
        <v>467</v>
      </c>
    </row>
    <row r="3169" hidden="1" spans="1:11">
      <c r="A3169" t="s">
        <v>319</v>
      </c>
      <c r="B3169" s="8">
        <v>252605004</v>
      </c>
      <c r="C3169" s="9">
        <v>46107</v>
      </c>
      <c r="D3169" s="8" t="s">
        <v>31</v>
      </c>
      <c r="E3169" s="10">
        <v>200000</v>
      </c>
      <c r="F3169" s="8">
        <v>0.024</v>
      </c>
      <c r="G3169" s="11">
        <v>46208</v>
      </c>
      <c r="H3169" s="12">
        <f t="shared" si="49"/>
        <v>4800</v>
      </c>
      <c r="I3169" s="10" t="s">
        <v>10</v>
      </c>
      <c r="J3169" s="13">
        <v>46162</v>
      </c>
      <c r="K3169" t="s">
        <v>467</v>
      </c>
    </row>
    <row r="3170" hidden="1" spans="1:11">
      <c r="A3170" t="s">
        <v>319</v>
      </c>
      <c r="B3170" s="8">
        <v>252605004</v>
      </c>
      <c r="C3170" s="9">
        <v>46107</v>
      </c>
      <c r="D3170" s="8" t="s">
        <v>32</v>
      </c>
      <c r="E3170" s="10">
        <v>50000</v>
      </c>
      <c r="F3170" s="8">
        <v>0.014</v>
      </c>
      <c r="G3170" s="11">
        <v>46178</v>
      </c>
      <c r="H3170" s="12">
        <f t="shared" si="49"/>
        <v>700</v>
      </c>
      <c r="I3170" s="10" t="s">
        <v>10</v>
      </c>
      <c r="J3170" s="13">
        <v>46162</v>
      </c>
      <c r="K3170" t="s">
        <v>467</v>
      </c>
    </row>
    <row r="3171" hidden="1" spans="1:11">
      <c r="A3171" t="s">
        <v>319</v>
      </c>
      <c r="B3171" s="8">
        <v>252605004</v>
      </c>
      <c r="C3171" s="9">
        <v>46107</v>
      </c>
      <c r="D3171" s="8" t="s">
        <v>32</v>
      </c>
      <c r="E3171" s="10">
        <v>50000</v>
      </c>
      <c r="F3171" s="8">
        <v>0.014</v>
      </c>
      <c r="G3171" s="11">
        <v>46208</v>
      </c>
      <c r="H3171" s="12">
        <f t="shared" si="49"/>
        <v>700</v>
      </c>
      <c r="I3171" s="10" t="s">
        <v>10</v>
      </c>
      <c r="J3171" s="13">
        <v>46162</v>
      </c>
      <c r="K3171" t="s">
        <v>467</v>
      </c>
    </row>
    <row r="3172" hidden="1" spans="1:11">
      <c r="A3172" t="s">
        <v>319</v>
      </c>
      <c r="B3172" s="8">
        <v>252605004</v>
      </c>
      <c r="C3172" s="9">
        <v>46107</v>
      </c>
      <c r="D3172" s="8" t="s">
        <v>626</v>
      </c>
      <c r="E3172" s="10">
        <v>120000</v>
      </c>
      <c r="F3172" s="8">
        <v>0.0224</v>
      </c>
      <c r="G3172" s="11">
        <v>46178</v>
      </c>
      <c r="H3172" s="12">
        <f t="shared" si="49"/>
        <v>2688</v>
      </c>
      <c r="I3172" s="10" t="s">
        <v>10</v>
      </c>
      <c r="J3172" s="13">
        <v>46162</v>
      </c>
      <c r="K3172" t="s">
        <v>467</v>
      </c>
    </row>
    <row r="3173" hidden="1" spans="1:11">
      <c r="A3173" t="s">
        <v>319</v>
      </c>
      <c r="B3173" s="8">
        <v>252605004</v>
      </c>
      <c r="C3173" s="9">
        <v>46107</v>
      </c>
      <c r="D3173" s="8" t="s">
        <v>626</v>
      </c>
      <c r="E3173" s="10">
        <v>120000</v>
      </c>
      <c r="F3173" s="8">
        <v>0.0224</v>
      </c>
      <c r="G3173" s="11">
        <v>46208</v>
      </c>
      <c r="H3173" s="12">
        <f t="shared" si="49"/>
        <v>2688</v>
      </c>
      <c r="I3173" s="10" t="s">
        <v>10</v>
      </c>
      <c r="J3173" s="13">
        <v>46162</v>
      </c>
      <c r="K3173" t="s">
        <v>467</v>
      </c>
    </row>
    <row r="3174" hidden="1" spans="1:11">
      <c r="A3174" t="s">
        <v>319</v>
      </c>
      <c r="B3174" s="8">
        <v>252605004</v>
      </c>
      <c r="C3174" s="9">
        <v>46107</v>
      </c>
      <c r="D3174" s="8" t="s">
        <v>78</v>
      </c>
      <c r="E3174" s="10">
        <v>200000</v>
      </c>
      <c r="F3174" s="8">
        <v>0.016</v>
      </c>
      <c r="G3174" s="11">
        <v>46178</v>
      </c>
      <c r="H3174" s="12">
        <f t="shared" si="49"/>
        <v>3200</v>
      </c>
      <c r="I3174" s="10" t="s">
        <v>10</v>
      </c>
      <c r="J3174" s="13">
        <v>46162</v>
      </c>
      <c r="K3174" t="s">
        <v>467</v>
      </c>
    </row>
    <row r="3175" hidden="1" spans="1:11">
      <c r="A3175" t="s">
        <v>319</v>
      </c>
      <c r="B3175" s="8">
        <v>252605004</v>
      </c>
      <c r="C3175" s="9">
        <v>46107</v>
      </c>
      <c r="D3175" s="8" t="s">
        <v>78</v>
      </c>
      <c r="E3175" s="10">
        <v>200000</v>
      </c>
      <c r="F3175" s="8">
        <v>0.016</v>
      </c>
      <c r="G3175" s="11">
        <v>46208</v>
      </c>
      <c r="H3175" s="12">
        <f t="shared" si="49"/>
        <v>3200</v>
      </c>
      <c r="I3175" s="10" t="s">
        <v>10</v>
      </c>
      <c r="J3175" s="13">
        <v>46162</v>
      </c>
      <c r="K3175" t="s">
        <v>467</v>
      </c>
    </row>
    <row r="3176" hidden="1" spans="1:11">
      <c r="A3176" t="s">
        <v>319</v>
      </c>
      <c r="B3176" s="8">
        <v>252605004</v>
      </c>
      <c r="C3176" s="9">
        <v>46107</v>
      </c>
      <c r="D3176" s="8" t="s">
        <v>468</v>
      </c>
      <c r="E3176" s="10">
        <v>50000</v>
      </c>
      <c r="F3176" s="8">
        <v>0.028</v>
      </c>
      <c r="G3176" s="11">
        <v>46178</v>
      </c>
      <c r="H3176" s="12">
        <f t="shared" si="49"/>
        <v>1400</v>
      </c>
      <c r="I3176" s="10" t="s">
        <v>10</v>
      </c>
      <c r="J3176" s="13">
        <v>46162</v>
      </c>
      <c r="K3176" t="s">
        <v>467</v>
      </c>
    </row>
    <row r="3177" hidden="1" spans="1:11">
      <c r="A3177" t="s">
        <v>319</v>
      </c>
      <c r="B3177" s="8">
        <v>252605004</v>
      </c>
      <c r="C3177" s="9">
        <v>46107</v>
      </c>
      <c r="D3177" s="8" t="s">
        <v>468</v>
      </c>
      <c r="E3177" s="10">
        <v>50000</v>
      </c>
      <c r="F3177" s="8">
        <v>0.028</v>
      </c>
      <c r="G3177" s="11">
        <v>46208</v>
      </c>
      <c r="H3177" s="12">
        <f t="shared" si="49"/>
        <v>1400</v>
      </c>
      <c r="I3177" s="10" t="s">
        <v>10</v>
      </c>
      <c r="J3177" s="13">
        <v>46162</v>
      </c>
      <c r="K3177" t="s">
        <v>467</v>
      </c>
    </row>
    <row r="3178" hidden="1" spans="1:11">
      <c r="A3178" t="s">
        <v>319</v>
      </c>
      <c r="B3178" s="8">
        <v>252605005</v>
      </c>
      <c r="C3178" s="9">
        <v>46108</v>
      </c>
      <c r="D3178" s="8" t="s">
        <v>181</v>
      </c>
      <c r="E3178" s="10">
        <v>110000</v>
      </c>
      <c r="F3178" s="8">
        <v>0.0243</v>
      </c>
      <c r="G3178" s="11">
        <v>46178</v>
      </c>
      <c r="H3178" s="12">
        <f t="shared" si="49"/>
        <v>2673</v>
      </c>
      <c r="I3178" s="10" t="s">
        <v>10</v>
      </c>
      <c r="J3178" s="13">
        <v>46162</v>
      </c>
      <c r="K3178" t="s">
        <v>467</v>
      </c>
    </row>
    <row r="3179" hidden="1" spans="1:11">
      <c r="A3179" t="s">
        <v>319</v>
      </c>
      <c r="B3179" s="8">
        <v>252605005</v>
      </c>
      <c r="C3179" s="9">
        <v>46108</v>
      </c>
      <c r="D3179" s="8" t="s">
        <v>181</v>
      </c>
      <c r="E3179" s="10">
        <v>110000</v>
      </c>
      <c r="F3179" s="8">
        <v>0.0243</v>
      </c>
      <c r="G3179" s="11">
        <v>46178</v>
      </c>
      <c r="H3179" s="12">
        <f t="shared" si="49"/>
        <v>2673</v>
      </c>
      <c r="I3179" s="10" t="s">
        <v>10</v>
      </c>
      <c r="J3179" s="13">
        <v>46162</v>
      </c>
      <c r="K3179" t="s">
        <v>467</v>
      </c>
    </row>
    <row r="3180" hidden="1" spans="1:11">
      <c r="A3180" t="s">
        <v>319</v>
      </c>
      <c r="B3180" s="8">
        <v>252605005</v>
      </c>
      <c r="C3180" s="9">
        <v>46108</v>
      </c>
      <c r="D3180" s="8" t="s">
        <v>181</v>
      </c>
      <c r="E3180" s="10">
        <v>110000</v>
      </c>
      <c r="F3180" s="8">
        <v>0.0243</v>
      </c>
      <c r="G3180" s="11">
        <v>46208</v>
      </c>
      <c r="H3180" s="12">
        <f t="shared" si="49"/>
        <v>2673</v>
      </c>
      <c r="I3180" s="10" t="s">
        <v>10</v>
      </c>
      <c r="J3180" s="13">
        <v>46162</v>
      </c>
      <c r="K3180" t="s">
        <v>467</v>
      </c>
    </row>
    <row r="3181" hidden="1" spans="1:11">
      <c r="A3181" t="s">
        <v>319</v>
      </c>
      <c r="B3181" s="8">
        <v>252605005</v>
      </c>
      <c r="C3181" s="9">
        <v>46108</v>
      </c>
      <c r="D3181" s="8" t="s">
        <v>181</v>
      </c>
      <c r="E3181" s="10">
        <v>110000</v>
      </c>
      <c r="F3181" s="8">
        <v>0.0243</v>
      </c>
      <c r="G3181" s="11">
        <v>46208</v>
      </c>
      <c r="H3181" s="12">
        <f t="shared" si="49"/>
        <v>2673</v>
      </c>
      <c r="I3181" s="10" t="s">
        <v>10</v>
      </c>
      <c r="J3181" s="13">
        <v>46162</v>
      </c>
      <c r="K3181" t="s">
        <v>467</v>
      </c>
    </row>
    <row r="3182" hidden="1" spans="1:11">
      <c r="A3182" t="s">
        <v>319</v>
      </c>
      <c r="B3182" s="8">
        <v>252605005</v>
      </c>
      <c r="C3182" s="9">
        <v>46108</v>
      </c>
      <c r="D3182" s="8" t="s">
        <v>29</v>
      </c>
      <c r="E3182" s="10">
        <v>50000</v>
      </c>
      <c r="F3182" s="8">
        <v>0.0216</v>
      </c>
      <c r="G3182" s="11">
        <v>46178</v>
      </c>
      <c r="H3182" s="12">
        <f t="shared" si="49"/>
        <v>1080</v>
      </c>
      <c r="I3182" s="10" t="s">
        <v>10</v>
      </c>
      <c r="J3182" s="13">
        <v>46162</v>
      </c>
      <c r="K3182" t="s">
        <v>467</v>
      </c>
    </row>
    <row r="3183" hidden="1" spans="1:11">
      <c r="B3183" s="14">
        <v>252605008</v>
      </c>
      <c r="C3183" s="13">
        <v>46108</v>
      </c>
      <c r="D3183" s="14" t="s">
        <v>33</v>
      </c>
      <c r="E3183" s="15">
        <v>100000</v>
      </c>
      <c r="F3183" s="14">
        <v>0.018</v>
      </c>
      <c r="G3183" s="16">
        <v>46239</v>
      </c>
      <c r="H3183" s="17">
        <f t="shared" si="49"/>
        <v>1800</v>
      </c>
      <c r="I3183" s="15" t="s">
        <v>317</v>
      </c>
      <c r="J3183" s="15"/>
      <c r="K3183" t="s">
        <v>467</v>
      </c>
    </row>
    <row r="3184" hidden="1" spans="1:11">
      <c r="B3184" s="14">
        <v>252605008</v>
      </c>
      <c r="C3184" s="13">
        <v>46108</v>
      </c>
      <c r="D3184" s="14" t="s">
        <v>33</v>
      </c>
      <c r="E3184" s="15">
        <v>100000</v>
      </c>
      <c r="F3184" s="14">
        <v>0.018</v>
      </c>
      <c r="G3184" s="16">
        <v>46270</v>
      </c>
      <c r="H3184" s="17">
        <f t="shared" si="49"/>
        <v>1800</v>
      </c>
      <c r="I3184" s="15" t="s">
        <v>317</v>
      </c>
      <c r="J3184" s="15"/>
      <c r="K3184" t="s">
        <v>467</v>
      </c>
    </row>
    <row r="3185" hidden="1" spans="2:11">
      <c r="B3185" s="14">
        <v>252605008</v>
      </c>
      <c r="C3185" s="13">
        <v>46108</v>
      </c>
      <c r="D3185" s="14" t="s">
        <v>58</v>
      </c>
      <c r="E3185" s="15">
        <v>100000</v>
      </c>
      <c r="F3185" s="14">
        <v>0.014</v>
      </c>
      <c r="G3185" s="16">
        <v>46239</v>
      </c>
      <c r="H3185" s="17">
        <f t="shared" si="49"/>
        <v>1400</v>
      </c>
      <c r="I3185" s="15" t="s">
        <v>317</v>
      </c>
      <c r="J3185" s="15"/>
      <c r="K3185" t="s">
        <v>467</v>
      </c>
    </row>
    <row r="3186" hidden="1" spans="2:11">
      <c r="B3186" s="14">
        <v>252605008</v>
      </c>
      <c r="C3186" s="13">
        <v>46108</v>
      </c>
      <c r="D3186" s="14" t="s">
        <v>58</v>
      </c>
      <c r="E3186" s="15">
        <v>100000</v>
      </c>
      <c r="F3186" s="14">
        <v>0.014</v>
      </c>
      <c r="G3186" s="16">
        <v>46270</v>
      </c>
      <c r="H3186" s="17">
        <f t="shared" si="49"/>
        <v>1400</v>
      </c>
      <c r="I3186" s="15" t="s">
        <v>317</v>
      </c>
      <c r="J3186" s="15"/>
      <c r="K3186" t="s">
        <v>467</v>
      </c>
    </row>
    <row r="3187" hidden="1" spans="2:11">
      <c r="B3187" s="14">
        <v>252605008</v>
      </c>
      <c r="C3187" s="13">
        <v>46108</v>
      </c>
      <c r="D3187" s="14" t="s">
        <v>315</v>
      </c>
      <c r="E3187" s="15">
        <v>20000</v>
      </c>
      <c r="F3187" s="14">
        <v>0.0522</v>
      </c>
      <c r="G3187" s="16">
        <v>46270</v>
      </c>
      <c r="H3187" s="17">
        <f t="shared" si="49"/>
        <v>1044</v>
      </c>
      <c r="I3187" s="15" t="s">
        <v>317</v>
      </c>
      <c r="J3187" s="15"/>
      <c r="K3187" t="s">
        <v>467</v>
      </c>
    </row>
    <row r="3188" hidden="1" spans="2:11">
      <c r="B3188" s="14">
        <v>252605008</v>
      </c>
      <c r="C3188" s="13">
        <v>46108</v>
      </c>
      <c r="D3188" s="14" t="s">
        <v>31</v>
      </c>
      <c r="E3188" s="15">
        <v>200000</v>
      </c>
      <c r="F3188" s="14">
        <v>0.024</v>
      </c>
      <c r="G3188" s="16">
        <v>46239</v>
      </c>
      <c r="H3188" s="17">
        <f t="shared" si="49"/>
        <v>4800</v>
      </c>
      <c r="I3188" s="15" t="s">
        <v>317</v>
      </c>
      <c r="J3188" s="15"/>
      <c r="K3188" t="s">
        <v>467</v>
      </c>
    </row>
    <row r="3189" hidden="1" spans="2:11">
      <c r="B3189" s="14">
        <v>252605008</v>
      </c>
      <c r="C3189" s="13">
        <v>46108</v>
      </c>
      <c r="D3189" s="14" t="s">
        <v>31</v>
      </c>
      <c r="E3189" s="15">
        <v>200000</v>
      </c>
      <c r="F3189" s="14">
        <v>0.024</v>
      </c>
      <c r="G3189" s="16">
        <v>46239</v>
      </c>
      <c r="H3189" s="17">
        <f t="shared" si="49"/>
        <v>4800</v>
      </c>
      <c r="I3189" s="15" t="s">
        <v>317</v>
      </c>
      <c r="J3189" s="15"/>
      <c r="K3189" t="s">
        <v>467</v>
      </c>
    </row>
    <row r="3190" hidden="1" spans="2:11">
      <c r="B3190" s="14">
        <v>252605008</v>
      </c>
      <c r="C3190" s="13">
        <v>46108</v>
      </c>
      <c r="D3190" s="14" t="s">
        <v>31</v>
      </c>
      <c r="E3190" s="15">
        <v>200000</v>
      </c>
      <c r="F3190" s="14">
        <v>0.024</v>
      </c>
      <c r="G3190" s="16">
        <v>46239</v>
      </c>
      <c r="H3190" s="17">
        <f t="shared" si="49"/>
        <v>4800</v>
      </c>
      <c r="I3190" s="15" t="s">
        <v>317</v>
      </c>
      <c r="J3190" s="15"/>
      <c r="K3190" t="s">
        <v>467</v>
      </c>
    </row>
    <row r="3191" hidden="1" spans="2:11">
      <c r="B3191" s="14">
        <v>252605008</v>
      </c>
      <c r="C3191" s="13">
        <v>46108</v>
      </c>
      <c r="D3191" s="14" t="s">
        <v>31</v>
      </c>
      <c r="E3191" s="15">
        <v>200000</v>
      </c>
      <c r="F3191" s="14">
        <v>0.024</v>
      </c>
      <c r="G3191" s="16">
        <v>46270</v>
      </c>
      <c r="H3191" s="17">
        <f t="shared" si="49"/>
        <v>4800</v>
      </c>
      <c r="I3191" s="15" t="s">
        <v>317</v>
      </c>
      <c r="J3191" s="15"/>
      <c r="K3191" t="s">
        <v>467</v>
      </c>
    </row>
    <row r="3192" hidden="1" spans="2:11">
      <c r="B3192" s="14">
        <v>252605008</v>
      </c>
      <c r="C3192" s="13">
        <v>46108</v>
      </c>
      <c r="D3192" s="14" t="s">
        <v>31</v>
      </c>
      <c r="E3192" s="15">
        <v>200000</v>
      </c>
      <c r="F3192" s="14">
        <v>0.024</v>
      </c>
      <c r="G3192" s="16">
        <v>46270</v>
      </c>
      <c r="H3192" s="17">
        <f t="shared" si="49"/>
        <v>4800</v>
      </c>
      <c r="I3192" s="15" t="s">
        <v>317</v>
      </c>
      <c r="J3192" s="15"/>
      <c r="K3192" t="s">
        <v>467</v>
      </c>
    </row>
    <row r="3193" hidden="1" spans="2:11">
      <c r="B3193" s="14">
        <v>252605008</v>
      </c>
      <c r="C3193" s="13">
        <v>46108</v>
      </c>
      <c r="D3193" s="14" t="s">
        <v>32</v>
      </c>
      <c r="E3193" s="15">
        <v>50000</v>
      </c>
      <c r="F3193" s="14">
        <v>0.014</v>
      </c>
      <c r="G3193" s="16">
        <v>46239</v>
      </c>
      <c r="H3193" s="17">
        <f t="shared" si="49"/>
        <v>700</v>
      </c>
      <c r="I3193" s="15" t="s">
        <v>317</v>
      </c>
      <c r="J3193" s="15"/>
      <c r="K3193" t="s">
        <v>467</v>
      </c>
    </row>
    <row r="3194" hidden="1" spans="2:11">
      <c r="B3194" s="14">
        <v>252605008</v>
      </c>
      <c r="C3194" s="13">
        <v>46108</v>
      </c>
      <c r="D3194" s="14" t="s">
        <v>32</v>
      </c>
      <c r="E3194" s="15">
        <v>50000</v>
      </c>
      <c r="F3194" s="14">
        <v>0.014</v>
      </c>
      <c r="G3194" s="16">
        <v>46270</v>
      </c>
      <c r="H3194" s="17">
        <f t="shared" si="49"/>
        <v>700</v>
      </c>
      <c r="I3194" s="15" t="s">
        <v>317</v>
      </c>
      <c r="J3194" s="15"/>
      <c r="K3194" t="s">
        <v>467</v>
      </c>
    </row>
    <row r="3195" hidden="1" spans="2:11">
      <c r="B3195" s="14">
        <v>252605008</v>
      </c>
      <c r="C3195" s="13">
        <v>46108</v>
      </c>
      <c r="D3195" s="14" t="s">
        <v>626</v>
      </c>
      <c r="E3195" s="15">
        <v>120000</v>
      </c>
      <c r="F3195" s="14">
        <v>0.0224</v>
      </c>
      <c r="G3195" s="16">
        <v>46239</v>
      </c>
      <c r="H3195" s="17">
        <f t="shared" si="49"/>
        <v>2688</v>
      </c>
      <c r="I3195" s="15" t="s">
        <v>317</v>
      </c>
      <c r="J3195" s="15"/>
      <c r="K3195" t="s">
        <v>467</v>
      </c>
    </row>
    <row r="3196" hidden="1" spans="2:11">
      <c r="B3196" s="14">
        <v>252605008</v>
      </c>
      <c r="C3196" s="13">
        <v>46108</v>
      </c>
      <c r="D3196" s="14" t="s">
        <v>626</v>
      </c>
      <c r="E3196" s="15">
        <v>120000</v>
      </c>
      <c r="F3196" s="14">
        <v>0.0224</v>
      </c>
      <c r="G3196" s="16">
        <v>46270</v>
      </c>
      <c r="H3196" s="17">
        <f t="shared" si="49"/>
        <v>2688</v>
      </c>
      <c r="I3196" s="15" t="s">
        <v>317</v>
      </c>
      <c r="J3196" s="15"/>
      <c r="K3196" t="s">
        <v>467</v>
      </c>
    </row>
    <row r="3197" hidden="1" spans="2:11">
      <c r="B3197" s="14">
        <v>252605008</v>
      </c>
      <c r="C3197" s="13">
        <v>46108</v>
      </c>
      <c r="D3197" s="14" t="s">
        <v>78</v>
      </c>
      <c r="E3197" s="15">
        <v>200000</v>
      </c>
      <c r="F3197" s="14">
        <v>0.016</v>
      </c>
      <c r="G3197" s="16">
        <v>46239</v>
      </c>
      <c r="H3197" s="17">
        <f t="shared" si="49"/>
        <v>3200</v>
      </c>
      <c r="I3197" s="15" t="s">
        <v>317</v>
      </c>
      <c r="J3197" s="15"/>
      <c r="K3197" t="s">
        <v>467</v>
      </c>
    </row>
    <row r="3198" hidden="1" spans="2:11">
      <c r="B3198" s="14">
        <v>252605008</v>
      </c>
      <c r="C3198" s="13">
        <v>46108</v>
      </c>
      <c r="D3198" s="14" t="s">
        <v>78</v>
      </c>
      <c r="E3198" s="15">
        <v>100000</v>
      </c>
      <c r="F3198" s="14">
        <v>0.016</v>
      </c>
      <c r="G3198" s="16">
        <v>46270</v>
      </c>
      <c r="H3198" s="17">
        <f t="shared" si="49"/>
        <v>1600</v>
      </c>
      <c r="I3198" s="15" t="s">
        <v>317</v>
      </c>
      <c r="J3198" s="15"/>
      <c r="K3198" t="s">
        <v>467</v>
      </c>
    </row>
    <row r="3199" hidden="1" spans="2:11">
      <c r="B3199" s="14">
        <v>252605008</v>
      </c>
      <c r="C3199" s="13">
        <v>46108</v>
      </c>
      <c r="D3199" s="14" t="s">
        <v>468</v>
      </c>
      <c r="E3199" s="15">
        <v>50000</v>
      </c>
      <c r="F3199" s="14">
        <v>0.028</v>
      </c>
      <c r="G3199" s="16">
        <v>46239</v>
      </c>
      <c r="H3199" s="17">
        <f t="shared" si="49"/>
        <v>1400</v>
      </c>
      <c r="I3199" s="15" t="s">
        <v>317</v>
      </c>
      <c r="J3199" s="15"/>
      <c r="K3199" t="s">
        <v>467</v>
      </c>
    </row>
    <row r="3200" hidden="1" spans="2:11">
      <c r="B3200" s="14">
        <v>252605008</v>
      </c>
      <c r="C3200" s="13">
        <v>46108</v>
      </c>
      <c r="D3200" s="14" t="s">
        <v>468</v>
      </c>
      <c r="E3200" s="15">
        <v>50000</v>
      </c>
      <c r="F3200" s="14">
        <v>0.028</v>
      </c>
      <c r="G3200" s="16">
        <v>46270</v>
      </c>
      <c r="H3200" s="17">
        <f t="shared" si="49"/>
        <v>1400</v>
      </c>
      <c r="I3200" s="15" t="s">
        <v>317</v>
      </c>
      <c r="J3200" s="15"/>
      <c r="K3200" t="s">
        <v>467</v>
      </c>
    </row>
    <row r="3201" hidden="1" spans="1:11">
      <c r="B3201" s="14">
        <v>252605009</v>
      </c>
      <c r="C3201" s="13">
        <v>46108</v>
      </c>
      <c r="D3201" s="14" t="s">
        <v>181</v>
      </c>
      <c r="E3201" s="15">
        <v>110000</v>
      </c>
      <c r="F3201" s="14">
        <v>0.0243</v>
      </c>
      <c r="G3201" s="16">
        <v>46239</v>
      </c>
      <c r="H3201" s="17">
        <f t="shared" si="49"/>
        <v>2673</v>
      </c>
      <c r="I3201" s="15" t="s">
        <v>317</v>
      </c>
      <c r="J3201" s="15"/>
      <c r="K3201" t="s">
        <v>467</v>
      </c>
    </row>
    <row r="3202" hidden="1" spans="1:11">
      <c r="B3202" s="14">
        <v>252605009</v>
      </c>
      <c r="C3202" s="13">
        <v>46108</v>
      </c>
      <c r="D3202" s="14" t="s">
        <v>181</v>
      </c>
      <c r="E3202" s="15">
        <v>110000</v>
      </c>
      <c r="F3202" s="14">
        <v>0.0243</v>
      </c>
      <c r="G3202" s="16">
        <v>46239</v>
      </c>
      <c r="H3202" s="17">
        <f t="shared" ref="H3202:H3265" si="50">E3202*F3202</f>
        <v>2673</v>
      </c>
      <c r="I3202" s="15" t="s">
        <v>317</v>
      </c>
      <c r="J3202" s="15"/>
      <c r="K3202" t="s">
        <v>467</v>
      </c>
    </row>
    <row r="3203" hidden="1" spans="1:11">
      <c r="B3203" s="14">
        <v>252605009</v>
      </c>
      <c r="C3203" s="13">
        <v>46108</v>
      </c>
      <c r="D3203" s="14" t="s">
        <v>181</v>
      </c>
      <c r="E3203" s="15">
        <v>110000</v>
      </c>
      <c r="F3203" s="14">
        <v>0.0243</v>
      </c>
      <c r="G3203" s="16">
        <v>46270</v>
      </c>
      <c r="H3203" s="17">
        <f t="shared" si="50"/>
        <v>2673</v>
      </c>
      <c r="I3203" s="15" t="s">
        <v>317</v>
      </c>
      <c r="J3203" s="15"/>
      <c r="K3203" t="s">
        <v>467</v>
      </c>
    </row>
    <row r="3204" hidden="1" spans="1:11">
      <c r="B3204" s="14">
        <v>252605009</v>
      </c>
      <c r="C3204" s="13">
        <v>46108</v>
      </c>
      <c r="D3204" s="14" t="s">
        <v>181</v>
      </c>
      <c r="E3204" s="15">
        <v>110000</v>
      </c>
      <c r="F3204" s="14">
        <v>0.0243</v>
      </c>
      <c r="G3204" s="16">
        <v>46270</v>
      </c>
      <c r="H3204" s="17">
        <f t="shared" si="50"/>
        <v>2673</v>
      </c>
      <c r="I3204" s="15" t="s">
        <v>317</v>
      </c>
      <c r="J3204" s="15"/>
      <c r="K3204" t="s">
        <v>467</v>
      </c>
    </row>
    <row r="3205" hidden="1" spans="1:11">
      <c r="A3205" t="s">
        <v>319</v>
      </c>
      <c r="B3205" s="8">
        <v>252605020</v>
      </c>
      <c r="C3205" s="9">
        <v>46108</v>
      </c>
      <c r="D3205" s="8" t="s">
        <v>282</v>
      </c>
      <c r="E3205" s="10">
        <v>200000</v>
      </c>
      <c r="F3205" s="8">
        <v>0.0304</v>
      </c>
      <c r="G3205" s="11">
        <v>46117</v>
      </c>
      <c r="H3205" s="12">
        <f t="shared" si="50"/>
        <v>6080</v>
      </c>
      <c r="I3205" s="10" t="s">
        <v>10</v>
      </c>
      <c r="J3205" s="13">
        <v>46126</v>
      </c>
      <c r="K3205" t="s">
        <v>628</v>
      </c>
    </row>
    <row r="3206" hidden="1" spans="1:11">
      <c r="A3206" t="s">
        <v>319</v>
      </c>
      <c r="B3206" s="8">
        <v>252605020</v>
      </c>
      <c r="C3206" s="9">
        <v>46108</v>
      </c>
      <c r="D3206" s="8" t="s">
        <v>282</v>
      </c>
      <c r="E3206" s="10">
        <v>200000</v>
      </c>
      <c r="F3206" s="8">
        <v>0.0304</v>
      </c>
      <c r="G3206" s="11">
        <v>46147</v>
      </c>
      <c r="H3206" s="12">
        <f t="shared" si="50"/>
        <v>6080</v>
      </c>
      <c r="I3206" s="10" t="s">
        <v>10</v>
      </c>
      <c r="J3206" s="13">
        <v>46126</v>
      </c>
      <c r="K3206" t="s">
        <v>628</v>
      </c>
    </row>
    <row r="3207" hidden="1" spans="1:11">
      <c r="A3207" t="s">
        <v>319</v>
      </c>
      <c r="B3207" s="8">
        <v>252605020</v>
      </c>
      <c r="C3207" s="9">
        <v>46108</v>
      </c>
      <c r="D3207" s="8" t="s">
        <v>11</v>
      </c>
      <c r="E3207" s="10">
        <v>150000</v>
      </c>
      <c r="F3207" s="8">
        <v>0.032</v>
      </c>
      <c r="G3207" s="11">
        <v>46147</v>
      </c>
      <c r="H3207" s="12">
        <f t="shared" si="50"/>
        <v>4800</v>
      </c>
      <c r="I3207" s="10" t="s">
        <v>10</v>
      </c>
      <c r="J3207" s="13">
        <v>46126</v>
      </c>
      <c r="K3207" t="s">
        <v>628</v>
      </c>
    </row>
    <row r="3208" hidden="1" spans="1:11">
      <c r="A3208" t="s">
        <v>319</v>
      </c>
      <c r="B3208" s="8">
        <v>252605020</v>
      </c>
      <c r="C3208" s="9">
        <v>46108</v>
      </c>
      <c r="D3208" s="8" t="s">
        <v>33</v>
      </c>
      <c r="E3208" s="10">
        <v>120000</v>
      </c>
      <c r="F3208" s="8">
        <v>0.018</v>
      </c>
      <c r="G3208" s="11">
        <v>46147</v>
      </c>
      <c r="H3208" s="12">
        <f t="shared" si="50"/>
        <v>2160</v>
      </c>
      <c r="I3208" s="10" t="s">
        <v>10</v>
      </c>
      <c r="J3208" s="13">
        <v>46126</v>
      </c>
      <c r="K3208" t="s">
        <v>628</v>
      </c>
    </row>
    <row r="3209" hidden="1" spans="1:11">
      <c r="A3209" t="s">
        <v>319</v>
      </c>
      <c r="B3209" s="8">
        <v>252605021</v>
      </c>
      <c r="C3209" s="9">
        <v>46108</v>
      </c>
      <c r="D3209" s="8" t="s">
        <v>282</v>
      </c>
      <c r="E3209" s="10">
        <v>200000</v>
      </c>
      <c r="F3209" s="8">
        <v>0.0304</v>
      </c>
      <c r="G3209" s="11">
        <v>46178</v>
      </c>
      <c r="H3209" s="12">
        <f t="shared" si="50"/>
        <v>6080</v>
      </c>
      <c r="I3209" s="10" t="s">
        <v>10</v>
      </c>
      <c r="J3209" s="13">
        <v>46132</v>
      </c>
      <c r="K3209" t="s">
        <v>628</v>
      </c>
    </row>
    <row r="3210" hidden="1" spans="1:11">
      <c r="A3210" t="s">
        <v>319</v>
      </c>
      <c r="B3210" s="8">
        <v>252605021</v>
      </c>
      <c r="C3210" s="9">
        <v>46108</v>
      </c>
      <c r="D3210" s="8" t="s">
        <v>31</v>
      </c>
      <c r="E3210" s="10">
        <v>120000</v>
      </c>
      <c r="F3210" s="8">
        <v>0.024</v>
      </c>
      <c r="G3210" s="11">
        <v>46208</v>
      </c>
      <c r="H3210" s="12">
        <f t="shared" si="50"/>
        <v>2880</v>
      </c>
      <c r="I3210" s="10" t="s">
        <v>10</v>
      </c>
      <c r="J3210" s="13">
        <v>46132</v>
      </c>
      <c r="K3210" t="s">
        <v>628</v>
      </c>
    </row>
    <row r="3211" hidden="1" spans="1:11">
      <c r="A3211" t="s">
        <v>319</v>
      </c>
      <c r="B3211" s="8">
        <v>252605021</v>
      </c>
      <c r="C3211" s="9">
        <v>46108</v>
      </c>
      <c r="D3211" s="8" t="s">
        <v>78</v>
      </c>
      <c r="E3211" s="10">
        <v>120000</v>
      </c>
      <c r="F3211" s="8">
        <v>0.016</v>
      </c>
      <c r="G3211" s="11">
        <v>46178</v>
      </c>
      <c r="H3211" s="12">
        <f t="shared" si="50"/>
        <v>1920</v>
      </c>
      <c r="I3211" s="10" t="s">
        <v>10</v>
      </c>
      <c r="J3211" s="13">
        <v>46132</v>
      </c>
      <c r="K3211" t="s">
        <v>628</v>
      </c>
    </row>
    <row r="3212" hidden="1" spans="1:11">
      <c r="A3212" t="s">
        <v>319</v>
      </c>
      <c r="B3212" s="8">
        <v>252605021</v>
      </c>
      <c r="C3212" s="9">
        <v>46108</v>
      </c>
      <c r="D3212" s="8" t="s">
        <v>78</v>
      </c>
      <c r="E3212" s="10">
        <v>120000</v>
      </c>
      <c r="F3212" s="8">
        <v>0.016</v>
      </c>
      <c r="G3212" s="11">
        <v>46208</v>
      </c>
      <c r="H3212" s="12">
        <f t="shared" si="50"/>
        <v>1920</v>
      </c>
      <c r="I3212" s="10" t="s">
        <v>10</v>
      </c>
      <c r="J3212" s="13">
        <v>46132</v>
      </c>
      <c r="K3212" t="s">
        <v>628</v>
      </c>
    </row>
    <row r="3213" hidden="1" spans="1:11">
      <c r="A3213" t="s">
        <v>319</v>
      </c>
      <c r="B3213" s="8">
        <v>252605021</v>
      </c>
      <c r="C3213" s="9">
        <v>46108</v>
      </c>
      <c r="D3213" s="8" t="s">
        <v>11</v>
      </c>
      <c r="E3213" s="10">
        <v>150000</v>
      </c>
      <c r="F3213" s="8">
        <v>0.032</v>
      </c>
      <c r="G3213" s="11">
        <v>46178</v>
      </c>
      <c r="H3213" s="12">
        <f t="shared" si="50"/>
        <v>4800</v>
      </c>
      <c r="I3213" s="10" t="s">
        <v>10</v>
      </c>
      <c r="J3213" s="13">
        <v>46132</v>
      </c>
      <c r="K3213" t="s">
        <v>628</v>
      </c>
    </row>
    <row r="3214" hidden="1" spans="1:11">
      <c r="A3214" t="s">
        <v>319</v>
      </c>
      <c r="B3214" s="8">
        <v>252605021</v>
      </c>
      <c r="C3214" s="9">
        <v>46108</v>
      </c>
      <c r="D3214" s="8" t="s">
        <v>11</v>
      </c>
      <c r="E3214" s="10">
        <v>150000</v>
      </c>
      <c r="F3214" s="8">
        <v>0.032</v>
      </c>
      <c r="G3214" s="11">
        <v>46208</v>
      </c>
      <c r="H3214" s="12">
        <f t="shared" si="50"/>
        <v>4800</v>
      </c>
      <c r="I3214" s="10" t="s">
        <v>10</v>
      </c>
      <c r="J3214" s="13">
        <v>46132</v>
      </c>
      <c r="K3214" t="s">
        <v>628</v>
      </c>
    </row>
    <row r="3215" hidden="1" spans="1:11">
      <c r="A3215" t="s">
        <v>319</v>
      </c>
      <c r="B3215" s="8">
        <v>252605021</v>
      </c>
      <c r="C3215" s="9">
        <v>46108</v>
      </c>
      <c r="D3215" s="8" t="s">
        <v>33</v>
      </c>
      <c r="E3215" s="10">
        <v>120000</v>
      </c>
      <c r="F3215" s="8">
        <v>0.018</v>
      </c>
      <c r="G3215" s="11">
        <v>46178</v>
      </c>
      <c r="H3215" s="12">
        <f t="shared" si="50"/>
        <v>2160</v>
      </c>
      <c r="I3215" s="10" t="s">
        <v>10</v>
      </c>
      <c r="J3215" s="13">
        <v>46132</v>
      </c>
      <c r="K3215" t="s">
        <v>628</v>
      </c>
    </row>
    <row r="3216" hidden="1" spans="1:11">
      <c r="A3216" t="s">
        <v>319</v>
      </c>
      <c r="B3216" s="8">
        <v>252605021</v>
      </c>
      <c r="C3216" s="9">
        <v>46108</v>
      </c>
      <c r="D3216" s="8" t="s">
        <v>33</v>
      </c>
      <c r="E3216" s="10">
        <v>120000</v>
      </c>
      <c r="F3216" s="8">
        <v>0.018</v>
      </c>
      <c r="G3216" s="11">
        <v>46208</v>
      </c>
      <c r="H3216" s="12">
        <f t="shared" si="50"/>
        <v>2160</v>
      </c>
      <c r="I3216" s="10" t="s">
        <v>10</v>
      </c>
      <c r="J3216" s="13">
        <v>46132</v>
      </c>
      <c r="K3216" t="s">
        <v>628</v>
      </c>
    </row>
    <row r="3217" hidden="1" spans="1:11">
      <c r="B3217" s="14">
        <v>252605022</v>
      </c>
      <c r="C3217" s="13">
        <v>46108</v>
      </c>
      <c r="D3217" s="14" t="s">
        <v>31</v>
      </c>
      <c r="E3217" s="15">
        <v>120000</v>
      </c>
      <c r="F3217" s="14">
        <v>0.024</v>
      </c>
      <c r="G3217" s="16">
        <v>46239</v>
      </c>
      <c r="H3217" s="17">
        <f t="shared" si="50"/>
        <v>2880</v>
      </c>
      <c r="I3217" s="15" t="s">
        <v>317</v>
      </c>
      <c r="J3217" s="15"/>
      <c r="K3217" t="s">
        <v>628</v>
      </c>
    </row>
    <row r="3218" hidden="1" spans="1:11">
      <c r="B3218" s="14">
        <v>252605022</v>
      </c>
      <c r="C3218" s="13">
        <v>46108</v>
      </c>
      <c r="D3218" s="14" t="s">
        <v>78</v>
      </c>
      <c r="E3218" s="15">
        <v>120000</v>
      </c>
      <c r="F3218" s="14">
        <v>0.016</v>
      </c>
      <c r="G3218" s="16">
        <v>46239</v>
      </c>
      <c r="H3218" s="17">
        <f t="shared" si="50"/>
        <v>1920</v>
      </c>
      <c r="I3218" s="15" t="s">
        <v>317</v>
      </c>
      <c r="J3218" s="15"/>
      <c r="K3218" t="s">
        <v>628</v>
      </c>
    </row>
    <row r="3219" hidden="1" spans="1:11">
      <c r="A3219" t="s">
        <v>319</v>
      </c>
      <c r="B3219" s="8">
        <v>252605023</v>
      </c>
      <c r="C3219" s="9">
        <v>46108</v>
      </c>
      <c r="D3219" s="8" t="s">
        <v>32</v>
      </c>
      <c r="E3219" s="10">
        <v>120000</v>
      </c>
      <c r="F3219" s="8">
        <v>0.014</v>
      </c>
      <c r="G3219" s="11">
        <v>46178</v>
      </c>
      <c r="H3219" s="12">
        <f t="shared" si="50"/>
        <v>1680</v>
      </c>
      <c r="I3219" s="10" t="s">
        <v>10</v>
      </c>
      <c r="J3219" s="13">
        <v>46157</v>
      </c>
      <c r="K3219" t="s">
        <v>615</v>
      </c>
    </row>
    <row r="3220" hidden="1" spans="1:11">
      <c r="A3220" t="s">
        <v>319</v>
      </c>
      <c r="B3220" s="8">
        <v>252605023</v>
      </c>
      <c r="C3220" s="9">
        <v>46108</v>
      </c>
      <c r="D3220" s="8" t="s">
        <v>388</v>
      </c>
      <c r="E3220" s="10">
        <v>120000</v>
      </c>
      <c r="F3220" s="8">
        <v>0.035</v>
      </c>
      <c r="G3220" s="11">
        <v>46178</v>
      </c>
      <c r="H3220" s="12">
        <f t="shared" si="50"/>
        <v>4200</v>
      </c>
      <c r="I3220" s="10" t="s">
        <v>10</v>
      </c>
      <c r="J3220" s="13">
        <v>46142</v>
      </c>
      <c r="K3220" t="s">
        <v>615</v>
      </c>
    </row>
    <row r="3221" hidden="1" spans="1:11">
      <c r="A3221" t="s">
        <v>319</v>
      </c>
      <c r="B3221" s="8">
        <v>252605023</v>
      </c>
      <c r="C3221" s="9">
        <v>46108</v>
      </c>
      <c r="D3221" s="8" t="s">
        <v>388</v>
      </c>
      <c r="E3221" s="10">
        <v>120000</v>
      </c>
      <c r="F3221" s="8">
        <v>0.035</v>
      </c>
      <c r="G3221" s="11">
        <v>46178</v>
      </c>
      <c r="H3221" s="12">
        <f t="shared" si="50"/>
        <v>4200</v>
      </c>
      <c r="I3221" s="10" t="s">
        <v>10</v>
      </c>
      <c r="J3221" s="13">
        <v>46142</v>
      </c>
      <c r="K3221" t="s">
        <v>615</v>
      </c>
    </row>
    <row r="3222" hidden="1" spans="1:11">
      <c r="A3222" t="s">
        <v>319</v>
      </c>
      <c r="B3222" s="8">
        <v>252605023</v>
      </c>
      <c r="C3222" s="9">
        <v>46108</v>
      </c>
      <c r="D3222" s="8" t="s">
        <v>25</v>
      </c>
      <c r="E3222" s="10">
        <v>20000</v>
      </c>
      <c r="F3222" s="8">
        <v>0.016</v>
      </c>
      <c r="G3222" s="11">
        <v>46147</v>
      </c>
      <c r="H3222" s="12">
        <f t="shared" si="50"/>
        <v>320</v>
      </c>
      <c r="I3222" s="10" t="s">
        <v>10</v>
      </c>
      <c r="J3222" s="13">
        <v>46142</v>
      </c>
      <c r="K3222" t="s">
        <v>615</v>
      </c>
    </row>
    <row r="3223" hidden="1" spans="1:11">
      <c r="A3223" t="s">
        <v>319</v>
      </c>
      <c r="B3223" s="8">
        <v>252605023</v>
      </c>
      <c r="C3223" s="9">
        <v>46108</v>
      </c>
      <c r="D3223" s="8" t="s">
        <v>106</v>
      </c>
      <c r="E3223" s="10">
        <v>200000</v>
      </c>
      <c r="F3223" s="8">
        <v>0.033</v>
      </c>
      <c r="G3223" s="11">
        <v>46147</v>
      </c>
      <c r="H3223" s="12">
        <f t="shared" si="50"/>
        <v>6600</v>
      </c>
      <c r="I3223" s="10" t="s">
        <v>10</v>
      </c>
      <c r="J3223" s="13">
        <v>46157</v>
      </c>
      <c r="K3223" t="s">
        <v>615</v>
      </c>
    </row>
    <row r="3224" hidden="1" spans="1:11">
      <c r="A3224" t="s">
        <v>319</v>
      </c>
      <c r="B3224" s="8">
        <v>252605023</v>
      </c>
      <c r="C3224" s="9">
        <v>46108</v>
      </c>
      <c r="D3224" s="8" t="s">
        <v>106</v>
      </c>
      <c r="E3224" s="10">
        <v>100000</v>
      </c>
      <c r="F3224" s="8">
        <v>0.033</v>
      </c>
      <c r="G3224" s="11">
        <v>46147</v>
      </c>
      <c r="H3224" s="12">
        <f t="shared" si="50"/>
        <v>3300</v>
      </c>
      <c r="I3224" s="10" t="s">
        <v>10</v>
      </c>
      <c r="J3224" s="13">
        <v>46157</v>
      </c>
      <c r="K3224" t="s">
        <v>615</v>
      </c>
    </row>
    <row r="3225" hidden="1" spans="1:11">
      <c r="A3225" t="s">
        <v>319</v>
      </c>
      <c r="B3225" s="8">
        <v>252605023</v>
      </c>
      <c r="C3225" s="9">
        <v>46108</v>
      </c>
      <c r="D3225" s="8" t="s">
        <v>106</v>
      </c>
      <c r="E3225" s="10">
        <v>200000</v>
      </c>
      <c r="F3225" s="8">
        <v>0.033</v>
      </c>
      <c r="G3225" s="11">
        <v>46178</v>
      </c>
      <c r="H3225" s="12">
        <f t="shared" si="50"/>
        <v>6600</v>
      </c>
      <c r="I3225" s="10" t="s">
        <v>10</v>
      </c>
      <c r="J3225" s="13">
        <v>46157</v>
      </c>
      <c r="K3225" t="s">
        <v>615</v>
      </c>
    </row>
    <row r="3226" hidden="1" spans="1:11">
      <c r="A3226" t="s">
        <v>319</v>
      </c>
      <c r="B3226" s="8">
        <v>252605024</v>
      </c>
      <c r="C3226" s="9">
        <v>46108</v>
      </c>
      <c r="D3226" s="8" t="s">
        <v>540</v>
      </c>
      <c r="E3226" s="10">
        <v>20000</v>
      </c>
      <c r="F3226" s="8">
        <v>0.0297</v>
      </c>
      <c r="G3226" s="11">
        <v>46208</v>
      </c>
      <c r="H3226" s="12">
        <f t="shared" si="50"/>
        <v>594</v>
      </c>
      <c r="I3226" s="10" t="s">
        <v>10</v>
      </c>
      <c r="J3226" s="13">
        <v>46171</v>
      </c>
      <c r="K3226" t="s">
        <v>615</v>
      </c>
    </row>
    <row r="3227" hidden="1" spans="1:11">
      <c r="A3227" t="s">
        <v>319</v>
      </c>
      <c r="B3227" s="8">
        <v>252605024</v>
      </c>
      <c r="C3227" s="9">
        <v>46108</v>
      </c>
      <c r="D3227" s="8" t="s">
        <v>58</v>
      </c>
      <c r="E3227" s="10">
        <v>40000</v>
      </c>
      <c r="F3227" s="8">
        <v>0.014</v>
      </c>
      <c r="G3227" s="11">
        <v>46208</v>
      </c>
      <c r="H3227" s="12">
        <f t="shared" si="50"/>
        <v>560</v>
      </c>
      <c r="I3227" s="10" t="s">
        <v>10</v>
      </c>
      <c r="J3227" s="13">
        <v>46184</v>
      </c>
      <c r="K3227" t="s">
        <v>615</v>
      </c>
    </row>
    <row r="3228" hidden="1" spans="1:11">
      <c r="A3228" t="s">
        <v>319</v>
      </c>
      <c r="B3228" s="8">
        <v>252605024</v>
      </c>
      <c r="C3228" s="9">
        <v>46108</v>
      </c>
      <c r="D3228" s="8" t="s">
        <v>386</v>
      </c>
      <c r="E3228" s="10">
        <v>80000</v>
      </c>
      <c r="F3228" s="8">
        <v>0.03</v>
      </c>
      <c r="G3228" s="11">
        <v>46208</v>
      </c>
      <c r="H3228" s="12">
        <f t="shared" si="50"/>
        <v>2400</v>
      </c>
      <c r="I3228" s="10" t="s">
        <v>10</v>
      </c>
      <c r="J3228" s="13">
        <v>46184</v>
      </c>
      <c r="K3228" t="s">
        <v>615</v>
      </c>
    </row>
    <row r="3229" hidden="1" spans="1:11">
      <c r="A3229" t="s">
        <v>319</v>
      </c>
      <c r="B3229" s="8">
        <v>252605024</v>
      </c>
      <c r="C3229" s="9">
        <v>46108</v>
      </c>
      <c r="D3229" s="8" t="s">
        <v>387</v>
      </c>
      <c r="E3229" s="10">
        <v>100000</v>
      </c>
      <c r="F3229" s="8">
        <v>0.025</v>
      </c>
      <c r="G3229" s="11">
        <v>46208</v>
      </c>
      <c r="H3229" s="12">
        <f t="shared" si="50"/>
        <v>2500</v>
      </c>
      <c r="I3229" s="10" t="s">
        <v>10</v>
      </c>
      <c r="J3229" s="13">
        <v>46184</v>
      </c>
      <c r="K3229" t="s">
        <v>615</v>
      </c>
    </row>
    <row r="3230" hidden="1" spans="1:11">
      <c r="A3230" t="s">
        <v>319</v>
      </c>
      <c r="B3230" s="8">
        <v>252605024</v>
      </c>
      <c r="C3230" s="9">
        <v>46108</v>
      </c>
      <c r="D3230" s="8" t="s">
        <v>32</v>
      </c>
      <c r="E3230" s="10">
        <v>120000</v>
      </c>
      <c r="F3230" s="8">
        <v>0.014</v>
      </c>
      <c r="G3230" s="11">
        <v>46208</v>
      </c>
      <c r="H3230" s="12">
        <f t="shared" si="50"/>
        <v>1680</v>
      </c>
      <c r="I3230" s="10" t="s">
        <v>10</v>
      </c>
      <c r="J3230" s="13">
        <v>46184</v>
      </c>
      <c r="K3230" t="s">
        <v>615</v>
      </c>
    </row>
    <row r="3231" hidden="1" spans="1:11">
      <c r="A3231" t="s">
        <v>319</v>
      </c>
      <c r="B3231" s="8">
        <v>252605024</v>
      </c>
      <c r="C3231" s="9">
        <v>46108</v>
      </c>
      <c r="D3231" s="8" t="s">
        <v>626</v>
      </c>
      <c r="E3231" s="10">
        <v>30000</v>
      </c>
      <c r="F3231" s="8">
        <v>0.0224</v>
      </c>
      <c r="G3231" s="11">
        <v>46208</v>
      </c>
      <c r="H3231" s="12">
        <f t="shared" si="50"/>
        <v>672</v>
      </c>
      <c r="I3231" s="10" t="s">
        <v>10</v>
      </c>
      <c r="J3231" s="13">
        <v>46184</v>
      </c>
      <c r="K3231" t="s">
        <v>615</v>
      </c>
    </row>
    <row r="3232" hidden="1" spans="1:11">
      <c r="A3232" t="s">
        <v>319</v>
      </c>
      <c r="B3232" s="8">
        <v>252605024</v>
      </c>
      <c r="C3232" s="9">
        <v>46108</v>
      </c>
      <c r="D3232" s="8" t="s">
        <v>515</v>
      </c>
      <c r="E3232" s="10">
        <v>200000</v>
      </c>
      <c r="F3232" s="8">
        <v>0.0238</v>
      </c>
      <c r="G3232" s="11">
        <v>46208</v>
      </c>
      <c r="H3232" s="12">
        <f t="shared" si="50"/>
        <v>4760</v>
      </c>
      <c r="I3232" s="10" t="s">
        <v>10</v>
      </c>
      <c r="J3232" s="13">
        <v>46171</v>
      </c>
      <c r="K3232" t="s">
        <v>615</v>
      </c>
    </row>
    <row r="3233" hidden="1" spans="1:11">
      <c r="A3233" t="s">
        <v>319</v>
      </c>
      <c r="B3233" s="8">
        <v>252605024</v>
      </c>
      <c r="C3233" s="9">
        <v>46108</v>
      </c>
      <c r="D3233" s="8" t="s">
        <v>388</v>
      </c>
      <c r="E3233" s="10">
        <v>120000</v>
      </c>
      <c r="F3233" s="8">
        <v>0.035</v>
      </c>
      <c r="G3233" s="11">
        <v>46208</v>
      </c>
      <c r="H3233" s="12">
        <f t="shared" si="50"/>
        <v>4200</v>
      </c>
      <c r="I3233" s="10" t="s">
        <v>10</v>
      </c>
      <c r="J3233" s="13">
        <v>46171</v>
      </c>
      <c r="K3233" t="s">
        <v>615</v>
      </c>
    </row>
    <row r="3234" hidden="1" spans="1:11">
      <c r="A3234" t="s">
        <v>319</v>
      </c>
      <c r="B3234" s="8">
        <v>252605024</v>
      </c>
      <c r="C3234" s="9">
        <v>46108</v>
      </c>
      <c r="D3234" s="8" t="s">
        <v>388</v>
      </c>
      <c r="E3234" s="10">
        <v>120000</v>
      </c>
      <c r="F3234" s="8">
        <v>0.035</v>
      </c>
      <c r="G3234" s="11">
        <v>46208</v>
      </c>
      <c r="H3234" s="12">
        <f t="shared" si="50"/>
        <v>4200</v>
      </c>
      <c r="I3234" s="10" t="s">
        <v>10</v>
      </c>
      <c r="J3234" s="13">
        <v>46171</v>
      </c>
      <c r="K3234" t="s">
        <v>615</v>
      </c>
    </row>
    <row r="3235" hidden="1" spans="1:11">
      <c r="A3235" t="s">
        <v>319</v>
      </c>
      <c r="B3235" s="8">
        <v>252605024</v>
      </c>
      <c r="C3235" s="9">
        <v>46108</v>
      </c>
      <c r="D3235" s="8" t="s">
        <v>213</v>
      </c>
      <c r="E3235" s="10">
        <v>180000</v>
      </c>
      <c r="F3235" s="8">
        <v>0.042</v>
      </c>
      <c r="G3235" s="11">
        <v>46208</v>
      </c>
      <c r="H3235" s="12">
        <f t="shared" si="50"/>
        <v>7560</v>
      </c>
      <c r="I3235" s="10" t="s">
        <v>10</v>
      </c>
      <c r="J3235" s="13">
        <v>46184</v>
      </c>
      <c r="K3235" t="s">
        <v>615</v>
      </c>
    </row>
    <row r="3236" hidden="1" spans="1:11">
      <c r="A3236" t="s">
        <v>319</v>
      </c>
      <c r="B3236" s="8">
        <v>252605024</v>
      </c>
      <c r="C3236" s="9">
        <v>46108</v>
      </c>
      <c r="D3236" s="8" t="s">
        <v>181</v>
      </c>
      <c r="E3236" s="10">
        <v>70000</v>
      </c>
      <c r="F3236" s="8">
        <v>0.0243</v>
      </c>
      <c r="G3236" s="11">
        <v>46208</v>
      </c>
      <c r="H3236" s="12">
        <f t="shared" si="50"/>
        <v>1701</v>
      </c>
      <c r="I3236" s="10" t="s">
        <v>10</v>
      </c>
      <c r="J3236" s="13">
        <v>46184</v>
      </c>
      <c r="K3236" t="s">
        <v>615</v>
      </c>
    </row>
    <row r="3237" hidden="1" spans="1:11">
      <c r="A3237" t="s">
        <v>319</v>
      </c>
      <c r="B3237" s="8">
        <v>252605024</v>
      </c>
      <c r="C3237" s="9">
        <v>46108</v>
      </c>
      <c r="D3237" s="8" t="s">
        <v>31</v>
      </c>
      <c r="E3237" s="10">
        <v>200000</v>
      </c>
      <c r="F3237" s="8">
        <v>0.024</v>
      </c>
      <c r="G3237" s="11">
        <v>46208</v>
      </c>
      <c r="H3237" s="12">
        <f t="shared" si="50"/>
        <v>4800</v>
      </c>
      <c r="I3237" s="10" t="s">
        <v>10</v>
      </c>
      <c r="J3237" s="13">
        <v>46184</v>
      </c>
      <c r="K3237" t="s">
        <v>615</v>
      </c>
    </row>
    <row r="3238" hidden="1" spans="1:11">
      <c r="A3238" t="s">
        <v>319</v>
      </c>
      <c r="B3238" s="8">
        <v>252605024</v>
      </c>
      <c r="C3238" s="9">
        <v>46108</v>
      </c>
      <c r="D3238" s="8" t="s">
        <v>31</v>
      </c>
      <c r="E3238" s="10">
        <v>100000</v>
      </c>
      <c r="F3238" s="8">
        <v>0.024</v>
      </c>
      <c r="G3238" s="11">
        <v>46208</v>
      </c>
      <c r="H3238" s="12">
        <f t="shared" si="50"/>
        <v>2400</v>
      </c>
      <c r="I3238" s="10" t="s">
        <v>10</v>
      </c>
      <c r="J3238" s="13">
        <v>46184</v>
      </c>
      <c r="K3238" t="s">
        <v>615</v>
      </c>
    </row>
    <row r="3239" hidden="1" spans="1:11">
      <c r="A3239" t="s">
        <v>319</v>
      </c>
      <c r="B3239" s="8">
        <v>252605024</v>
      </c>
      <c r="C3239" s="9">
        <v>46108</v>
      </c>
      <c r="D3239" s="8" t="s">
        <v>25</v>
      </c>
      <c r="E3239" s="10">
        <v>20000</v>
      </c>
      <c r="F3239" s="8">
        <v>0.016</v>
      </c>
      <c r="G3239" s="11">
        <v>46208</v>
      </c>
      <c r="H3239" s="12">
        <f t="shared" si="50"/>
        <v>320</v>
      </c>
      <c r="I3239" s="10" t="s">
        <v>10</v>
      </c>
      <c r="J3239" s="13">
        <v>46171</v>
      </c>
      <c r="K3239" t="s">
        <v>615</v>
      </c>
    </row>
    <row r="3240" hidden="1" spans="1:11">
      <c r="A3240" t="s">
        <v>319</v>
      </c>
      <c r="B3240" s="8">
        <v>252605024</v>
      </c>
      <c r="C3240" s="9">
        <v>46108</v>
      </c>
      <c r="D3240" s="8" t="s">
        <v>106</v>
      </c>
      <c r="E3240" s="10">
        <v>200000</v>
      </c>
      <c r="F3240" s="8">
        <v>0.033</v>
      </c>
      <c r="G3240" s="11">
        <v>46208</v>
      </c>
      <c r="H3240" s="12">
        <f t="shared" si="50"/>
        <v>6600</v>
      </c>
      <c r="I3240" s="10" t="s">
        <v>10</v>
      </c>
      <c r="J3240" s="13">
        <v>46184</v>
      </c>
      <c r="K3240" t="s">
        <v>615</v>
      </c>
    </row>
    <row r="3241" hidden="1" spans="1:11">
      <c r="A3241" t="s">
        <v>319</v>
      </c>
      <c r="B3241" s="8">
        <v>252605024</v>
      </c>
      <c r="C3241" s="9">
        <v>46108</v>
      </c>
      <c r="D3241" s="8" t="s">
        <v>58</v>
      </c>
      <c r="E3241" s="10">
        <v>40000</v>
      </c>
      <c r="F3241" s="8">
        <v>0.014</v>
      </c>
      <c r="G3241" s="11">
        <v>46239</v>
      </c>
      <c r="H3241" s="12">
        <f t="shared" si="50"/>
        <v>560</v>
      </c>
      <c r="I3241" s="10" t="s">
        <v>10</v>
      </c>
      <c r="J3241" s="13">
        <v>46184</v>
      </c>
      <c r="K3241" t="s">
        <v>615</v>
      </c>
    </row>
    <row r="3242" hidden="1" spans="1:11">
      <c r="A3242" t="s">
        <v>319</v>
      </c>
      <c r="B3242" s="8">
        <v>252605024</v>
      </c>
      <c r="C3242" s="9">
        <v>46108</v>
      </c>
      <c r="D3242" s="8" t="s">
        <v>386</v>
      </c>
      <c r="E3242" s="10">
        <v>80000</v>
      </c>
      <c r="F3242" s="8">
        <v>0.03</v>
      </c>
      <c r="G3242" s="11">
        <v>46239</v>
      </c>
      <c r="H3242" s="12">
        <f t="shared" si="50"/>
        <v>2400</v>
      </c>
      <c r="I3242" s="10" t="s">
        <v>10</v>
      </c>
      <c r="J3242" s="13">
        <v>46184</v>
      </c>
      <c r="K3242" t="s">
        <v>615</v>
      </c>
    </row>
    <row r="3243" hidden="1" spans="1:11">
      <c r="A3243" t="s">
        <v>319</v>
      </c>
      <c r="B3243" s="8">
        <v>252605024</v>
      </c>
      <c r="C3243" s="9">
        <v>46108</v>
      </c>
      <c r="D3243" s="8" t="s">
        <v>387</v>
      </c>
      <c r="E3243" s="10">
        <v>100000</v>
      </c>
      <c r="F3243" s="8">
        <v>0.025</v>
      </c>
      <c r="G3243" s="11">
        <v>46239</v>
      </c>
      <c r="H3243" s="12">
        <f t="shared" si="50"/>
        <v>2500</v>
      </c>
      <c r="I3243" s="10" t="s">
        <v>10</v>
      </c>
      <c r="J3243" s="13">
        <v>46184</v>
      </c>
      <c r="K3243" t="s">
        <v>615</v>
      </c>
    </row>
    <row r="3244" hidden="1" spans="1:11">
      <c r="A3244" t="s">
        <v>319</v>
      </c>
      <c r="B3244" s="8">
        <v>252605024</v>
      </c>
      <c r="C3244" s="9">
        <v>46108</v>
      </c>
      <c r="D3244" s="8" t="s">
        <v>32</v>
      </c>
      <c r="E3244" s="10">
        <v>120000</v>
      </c>
      <c r="F3244" s="8">
        <v>0.014</v>
      </c>
      <c r="G3244" s="11">
        <v>46239</v>
      </c>
      <c r="H3244" s="12">
        <f t="shared" si="50"/>
        <v>1680</v>
      </c>
      <c r="I3244" s="10" t="s">
        <v>10</v>
      </c>
      <c r="J3244" s="13">
        <v>46184</v>
      </c>
      <c r="K3244" t="s">
        <v>615</v>
      </c>
    </row>
    <row r="3245" hidden="1" spans="1:11">
      <c r="A3245" t="s">
        <v>319</v>
      </c>
      <c r="B3245" s="8">
        <v>252605024</v>
      </c>
      <c r="C3245" s="9">
        <v>46108</v>
      </c>
      <c r="D3245" s="8" t="s">
        <v>626</v>
      </c>
      <c r="E3245" s="10">
        <v>30000</v>
      </c>
      <c r="F3245" s="8">
        <v>0.0224</v>
      </c>
      <c r="G3245" s="11">
        <v>46239</v>
      </c>
      <c r="H3245" s="12">
        <f t="shared" si="50"/>
        <v>672</v>
      </c>
      <c r="I3245" s="10" t="s">
        <v>10</v>
      </c>
      <c r="J3245" s="13">
        <v>46184</v>
      </c>
      <c r="K3245" t="s">
        <v>615</v>
      </c>
    </row>
    <row r="3246" hidden="1" spans="1:11">
      <c r="B3246" s="14">
        <v>252605025</v>
      </c>
      <c r="C3246" s="13">
        <v>46108</v>
      </c>
      <c r="D3246" s="14" t="s">
        <v>213</v>
      </c>
      <c r="E3246" s="15">
        <v>180000</v>
      </c>
      <c r="F3246" s="14">
        <v>0.042</v>
      </c>
      <c r="G3246" s="16">
        <v>46239</v>
      </c>
      <c r="H3246" s="17">
        <f t="shared" si="50"/>
        <v>7560</v>
      </c>
      <c r="I3246" s="15" t="s">
        <v>317</v>
      </c>
      <c r="J3246" s="15"/>
      <c r="K3246" t="s">
        <v>615</v>
      </c>
    </row>
    <row r="3247" hidden="1" spans="1:11">
      <c r="B3247" s="14">
        <v>252605025</v>
      </c>
      <c r="C3247" s="13">
        <v>46108</v>
      </c>
      <c r="D3247" s="14" t="s">
        <v>181</v>
      </c>
      <c r="E3247" s="15">
        <v>70000</v>
      </c>
      <c r="F3247" s="14">
        <v>0.0243</v>
      </c>
      <c r="G3247" s="16">
        <v>46239</v>
      </c>
      <c r="H3247" s="17">
        <f t="shared" si="50"/>
        <v>1701</v>
      </c>
      <c r="I3247" s="15" t="s">
        <v>317</v>
      </c>
      <c r="J3247" s="15"/>
      <c r="K3247" t="s">
        <v>615</v>
      </c>
    </row>
    <row r="3248" hidden="1" spans="1:11">
      <c r="B3248" s="14">
        <v>252605025</v>
      </c>
      <c r="C3248" s="13">
        <v>46108</v>
      </c>
      <c r="D3248" s="14" t="s">
        <v>31</v>
      </c>
      <c r="E3248" s="15">
        <v>200000</v>
      </c>
      <c r="F3248" s="14">
        <v>0.024</v>
      </c>
      <c r="G3248" s="16">
        <v>46239</v>
      </c>
      <c r="H3248" s="17">
        <f t="shared" si="50"/>
        <v>4800</v>
      </c>
      <c r="I3248" s="15" t="s">
        <v>317</v>
      </c>
      <c r="J3248" s="15"/>
      <c r="K3248" t="s">
        <v>615</v>
      </c>
    </row>
    <row r="3249" hidden="1" spans="2:11">
      <c r="B3249" s="14">
        <v>252605025</v>
      </c>
      <c r="C3249" s="13">
        <v>46108</v>
      </c>
      <c r="D3249" s="14" t="s">
        <v>31</v>
      </c>
      <c r="E3249" s="15">
        <v>100000</v>
      </c>
      <c r="F3249" s="14">
        <v>0.024</v>
      </c>
      <c r="G3249" s="16">
        <v>46239</v>
      </c>
      <c r="H3249" s="17">
        <f t="shared" si="50"/>
        <v>2400</v>
      </c>
      <c r="I3249" s="15" t="s">
        <v>317</v>
      </c>
      <c r="J3249" s="15"/>
      <c r="K3249" t="s">
        <v>615</v>
      </c>
    </row>
    <row r="3250" hidden="1" spans="2:11">
      <c r="B3250" s="14">
        <v>252605025</v>
      </c>
      <c r="C3250" s="13">
        <v>46108</v>
      </c>
      <c r="D3250" s="14" t="s">
        <v>31</v>
      </c>
      <c r="E3250" s="15">
        <v>200000</v>
      </c>
      <c r="F3250" s="14">
        <v>0.024</v>
      </c>
      <c r="G3250" s="16">
        <v>46270</v>
      </c>
      <c r="H3250" s="17">
        <f t="shared" si="50"/>
        <v>4800</v>
      </c>
      <c r="I3250" s="15" t="s">
        <v>317</v>
      </c>
      <c r="J3250" s="15"/>
      <c r="K3250" t="s">
        <v>615</v>
      </c>
    </row>
    <row r="3251" hidden="1" spans="2:11">
      <c r="B3251" s="14">
        <v>252605025</v>
      </c>
      <c r="C3251" s="13">
        <v>46108</v>
      </c>
      <c r="D3251" s="14" t="s">
        <v>31</v>
      </c>
      <c r="E3251" s="15">
        <v>100000</v>
      </c>
      <c r="F3251" s="14">
        <v>0.024</v>
      </c>
      <c r="G3251" s="16">
        <v>46270</v>
      </c>
      <c r="H3251" s="17">
        <f t="shared" si="50"/>
        <v>2400</v>
      </c>
      <c r="I3251" s="15" t="s">
        <v>317</v>
      </c>
      <c r="J3251" s="15"/>
      <c r="K3251" t="s">
        <v>615</v>
      </c>
    </row>
    <row r="3252" hidden="1" spans="2:11">
      <c r="B3252" s="14">
        <v>252605025</v>
      </c>
      <c r="C3252" s="13">
        <v>46108</v>
      </c>
      <c r="D3252" s="14" t="s">
        <v>70</v>
      </c>
      <c r="E3252" s="15">
        <v>20000</v>
      </c>
      <c r="F3252" s="14">
        <v>0.028</v>
      </c>
      <c r="G3252" s="16">
        <v>46239</v>
      </c>
      <c r="H3252" s="17">
        <f t="shared" si="50"/>
        <v>560</v>
      </c>
      <c r="I3252" s="15" t="s">
        <v>317</v>
      </c>
      <c r="J3252" s="15"/>
      <c r="K3252" t="s">
        <v>615</v>
      </c>
    </row>
    <row r="3253" hidden="1" spans="2:11">
      <c r="B3253" s="14">
        <v>252605025</v>
      </c>
      <c r="C3253" s="13">
        <v>46108</v>
      </c>
      <c r="D3253" s="14" t="s">
        <v>106</v>
      </c>
      <c r="E3253" s="15">
        <v>200000</v>
      </c>
      <c r="F3253" s="14">
        <v>0.033</v>
      </c>
      <c r="G3253" s="16">
        <v>46239</v>
      </c>
      <c r="H3253" s="17">
        <f t="shared" si="50"/>
        <v>6600</v>
      </c>
      <c r="I3253" s="15" t="s">
        <v>317</v>
      </c>
      <c r="J3253" s="15"/>
      <c r="K3253" t="s">
        <v>615</v>
      </c>
    </row>
    <row r="3254" hidden="1" spans="2:11">
      <c r="B3254" s="14">
        <v>252605025</v>
      </c>
      <c r="C3254" s="13">
        <v>46108</v>
      </c>
      <c r="D3254" s="14" t="s">
        <v>282</v>
      </c>
      <c r="E3254" s="15">
        <v>30000</v>
      </c>
      <c r="F3254" s="14">
        <v>0.0304</v>
      </c>
      <c r="G3254" s="16">
        <v>46239</v>
      </c>
      <c r="H3254" s="17">
        <f t="shared" si="50"/>
        <v>912</v>
      </c>
      <c r="I3254" s="15" t="s">
        <v>317</v>
      </c>
      <c r="J3254" s="15"/>
      <c r="K3254" t="s">
        <v>615</v>
      </c>
    </row>
    <row r="3255" hidden="1" spans="2:11">
      <c r="B3255" s="14">
        <v>252605025</v>
      </c>
      <c r="C3255" s="13">
        <v>46108</v>
      </c>
      <c r="D3255" s="14" t="s">
        <v>515</v>
      </c>
      <c r="E3255" s="15">
        <v>200000</v>
      </c>
      <c r="F3255" s="14">
        <v>0.0238</v>
      </c>
      <c r="G3255" s="16">
        <v>46239</v>
      </c>
      <c r="H3255" s="17">
        <f t="shared" si="50"/>
        <v>4760</v>
      </c>
      <c r="I3255" s="15" t="s">
        <v>317</v>
      </c>
      <c r="J3255" s="15"/>
      <c r="K3255" t="s">
        <v>615</v>
      </c>
    </row>
    <row r="3256" hidden="1" spans="2:11">
      <c r="B3256" s="14">
        <v>252605025</v>
      </c>
      <c r="C3256" s="13">
        <v>46108</v>
      </c>
      <c r="D3256" s="14" t="s">
        <v>388</v>
      </c>
      <c r="E3256" s="15">
        <v>120000</v>
      </c>
      <c r="F3256" s="14">
        <v>0.035</v>
      </c>
      <c r="G3256" s="16">
        <v>46239</v>
      </c>
      <c r="H3256" s="17">
        <f t="shared" si="50"/>
        <v>4200</v>
      </c>
      <c r="I3256" s="15" t="s">
        <v>317</v>
      </c>
      <c r="J3256" s="15"/>
      <c r="K3256" t="s">
        <v>615</v>
      </c>
    </row>
    <row r="3257" hidden="1" spans="2:11">
      <c r="B3257" s="14">
        <v>252605025</v>
      </c>
      <c r="C3257" s="13">
        <v>46108</v>
      </c>
      <c r="D3257" s="14" t="s">
        <v>388</v>
      </c>
      <c r="E3257" s="15">
        <v>120000</v>
      </c>
      <c r="F3257" s="14">
        <v>0.035</v>
      </c>
      <c r="G3257" s="16">
        <v>46239</v>
      </c>
      <c r="H3257" s="17">
        <f t="shared" si="50"/>
        <v>4200</v>
      </c>
      <c r="I3257" s="15" t="s">
        <v>317</v>
      </c>
      <c r="J3257" s="15"/>
      <c r="K3257" t="s">
        <v>615</v>
      </c>
    </row>
    <row r="3258" hidden="1" spans="2:11">
      <c r="B3258" s="14">
        <v>252605025</v>
      </c>
      <c r="C3258" s="13">
        <v>46108</v>
      </c>
      <c r="D3258" s="14" t="s">
        <v>388</v>
      </c>
      <c r="E3258" s="15">
        <v>120000</v>
      </c>
      <c r="F3258" s="14">
        <v>0.035</v>
      </c>
      <c r="G3258" s="16">
        <v>46270</v>
      </c>
      <c r="H3258" s="17">
        <f t="shared" si="50"/>
        <v>4200</v>
      </c>
      <c r="I3258" s="15" t="s">
        <v>317</v>
      </c>
      <c r="J3258" s="15"/>
      <c r="K3258" t="s">
        <v>615</v>
      </c>
    </row>
    <row r="3259" hidden="1" spans="2:11">
      <c r="B3259" s="14">
        <v>252605025</v>
      </c>
      <c r="C3259" s="13">
        <v>46108</v>
      </c>
      <c r="D3259" s="14" t="s">
        <v>388</v>
      </c>
      <c r="E3259" s="15">
        <v>120000</v>
      </c>
      <c r="F3259" s="14">
        <v>0.035</v>
      </c>
      <c r="G3259" s="16">
        <v>46270</v>
      </c>
      <c r="H3259" s="17">
        <f t="shared" si="50"/>
        <v>4200</v>
      </c>
      <c r="I3259" s="15" t="s">
        <v>317</v>
      </c>
      <c r="J3259" s="15"/>
      <c r="K3259" t="s">
        <v>615</v>
      </c>
    </row>
    <row r="3260" hidden="1" spans="2:11">
      <c r="B3260" s="14">
        <v>252605026</v>
      </c>
      <c r="C3260" s="13">
        <v>46108</v>
      </c>
      <c r="D3260" s="14" t="s">
        <v>540</v>
      </c>
      <c r="E3260" s="15">
        <v>20000</v>
      </c>
      <c r="F3260" s="14">
        <v>0.0297</v>
      </c>
      <c r="G3260" s="16">
        <v>46270</v>
      </c>
      <c r="H3260" s="17">
        <f t="shared" si="50"/>
        <v>594</v>
      </c>
      <c r="I3260" s="15" t="s">
        <v>317</v>
      </c>
      <c r="J3260" s="15"/>
      <c r="K3260" t="s">
        <v>615</v>
      </c>
    </row>
    <row r="3261" hidden="1" spans="2:11">
      <c r="B3261" s="14">
        <v>252605026</v>
      </c>
      <c r="C3261" s="13">
        <v>46108</v>
      </c>
      <c r="D3261" s="14" t="s">
        <v>58</v>
      </c>
      <c r="E3261" s="15">
        <v>40000</v>
      </c>
      <c r="F3261" s="14">
        <v>0.014</v>
      </c>
      <c r="G3261" s="16">
        <v>46270</v>
      </c>
      <c r="H3261" s="17">
        <f t="shared" si="50"/>
        <v>560</v>
      </c>
      <c r="I3261" s="15" t="s">
        <v>317</v>
      </c>
      <c r="J3261" s="15"/>
      <c r="K3261" t="s">
        <v>615</v>
      </c>
    </row>
    <row r="3262" hidden="1" spans="2:11">
      <c r="B3262" s="14">
        <v>252605026</v>
      </c>
      <c r="C3262" s="13">
        <v>46108</v>
      </c>
      <c r="D3262" s="14" t="s">
        <v>386</v>
      </c>
      <c r="E3262" s="15">
        <v>80000</v>
      </c>
      <c r="F3262" s="14">
        <v>0.03</v>
      </c>
      <c r="G3262" s="16">
        <v>46270</v>
      </c>
      <c r="H3262" s="17">
        <f t="shared" si="50"/>
        <v>2400</v>
      </c>
      <c r="I3262" s="15" t="s">
        <v>317</v>
      </c>
      <c r="J3262" s="15"/>
      <c r="K3262" t="s">
        <v>615</v>
      </c>
    </row>
    <row r="3263" hidden="1" spans="2:11">
      <c r="B3263" s="14">
        <v>252605026</v>
      </c>
      <c r="C3263" s="13">
        <v>46108</v>
      </c>
      <c r="D3263" s="14" t="s">
        <v>387</v>
      </c>
      <c r="E3263" s="15">
        <v>100000</v>
      </c>
      <c r="F3263" s="14">
        <v>0.025</v>
      </c>
      <c r="G3263" s="16">
        <v>46270</v>
      </c>
      <c r="H3263" s="17">
        <f t="shared" si="50"/>
        <v>2500</v>
      </c>
      <c r="I3263" s="15" t="s">
        <v>317</v>
      </c>
      <c r="J3263" s="15"/>
      <c r="K3263" t="s">
        <v>615</v>
      </c>
    </row>
    <row r="3264" hidden="1" spans="2:11">
      <c r="B3264" s="14">
        <v>252605026</v>
      </c>
      <c r="C3264" s="13">
        <v>46108</v>
      </c>
      <c r="D3264" s="14" t="s">
        <v>32</v>
      </c>
      <c r="E3264" s="15">
        <v>120000</v>
      </c>
      <c r="F3264" s="14">
        <v>0.014</v>
      </c>
      <c r="G3264" s="16">
        <v>46270</v>
      </c>
      <c r="H3264" s="17">
        <f t="shared" si="50"/>
        <v>1680</v>
      </c>
      <c r="I3264" s="15" t="s">
        <v>317</v>
      </c>
      <c r="J3264" s="15"/>
      <c r="K3264" t="s">
        <v>615</v>
      </c>
    </row>
    <row r="3265" hidden="1" spans="2:11">
      <c r="B3265" s="14">
        <v>252605026</v>
      </c>
      <c r="C3265" s="13">
        <v>46108</v>
      </c>
      <c r="D3265" s="14" t="s">
        <v>626</v>
      </c>
      <c r="E3265" s="15">
        <v>30000</v>
      </c>
      <c r="F3265" s="14">
        <v>0.0224</v>
      </c>
      <c r="G3265" s="16">
        <v>46270</v>
      </c>
      <c r="H3265" s="17">
        <f t="shared" si="50"/>
        <v>672</v>
      </c>
      <c r="I3265" s="15" t="s">
        <v>317</v>
      </c>
      <c r="J3265" s="15"/>
      <c r="K3265" t="s">
        <v>615</v>
      </c>
    </row>
    <row r="3266" hidden="1" spans="2:11">
      <c r="B3266" s="14">
        <v>252605026</v>
      </c>
      <c r="C3266" s="13">
        <v>46108</v>
      </c>
      <c r="D3266" s="14" t="s">
        <v>515</v>
      </c>
      <c r="E3266" s="15">
        <v>200000</v>
      </c>
      <c r="F3266" s="14">
        <v>0.0238</v>
      </c>
      <c r="G3266" s="16">
        <v>46270</v>
      </c>
      <c r="H3266" s="17">
        <f t="shared" ref="H3266:H3329" si="51">E3266*F3266</f>
        <v>4760</v>
      </c>
      <c r="I3266" s="15" t="s">
        <v>317</v>
      </c>
      <c r="J3266" s="15"/>
      <c r="K3266" t="s">
        <v>615</v>
      </c>
    </row>
    <row r="3267" hidden="1" spans="2:11">
      <c r="B3267" s="14">
        <v>252605026</v>
      </c>
      <c r="C3267" s="13">
        <v>46108</v>
      </c>
      <c r="D3267" s="14" t="s">
        <v>213</v>
      </c>
      <c r="E3267" s="15">
        <v>180000</v>
      </c>
      <c r="F3267" s="14">
        <v>0.042</v>
      </c>
      <c r="G3267" s="16">
        <v>46270</v>
      </c>
      <c r="H3267" s="17">
        <f t="shared" si="51"/>
        <v>7560</v>
      </c>
      <c r="I3267" s="15" t="s">
        <v>317</v>
      </c>
      <c r="J3267" s="15"/>
      <c r="K3267" t="s">
        <v>615</v>
      </c>
    </row>
    <row r="3268" hidden="1" spans="2:11">
      <c r="B3268" s="14">
        <v>252605026</v>
      </c>
      <c r="C3268" s="13">
        <v>46108</v>
      </c>
      <c r="D3268" s="14" t="s">
        <v>181</v>
      </c>
      <c r="E3268" s="15">
        <v>70000</v>
      </c>
      <c r="F3268" s="14">
        <v>0.0243</v>
      </c>
      <c r="G3268" s="16">
        <v>46270</v>
      </c>
      <c r="H3268" s="17">
        <f t="shared" si="51"/>
        <v>1701</v>
      </c>
      <c r="I3268" s="15" t="s">
        <v>317</v>
      </c>
      <c r="J3268" s="15"/>
      <c r="K3268" t="s">
        <v>615</v>
      </c>
    </row>
    <row r="3269" hidden="1" spans="2:11">
      <c r="B3269" s="14">
        <v>252605026</v>
      </c>
      <c r="C3269" s="13">
        <v>46108</v>
      </c>
      <c r="D3269" s="14" t="s">
        <v>106</v>
      </c>
      <c r="E3269" s="15">
        <v>200000</v>
      </c>
      <c r="F3269" s="14">
        <v>0.033</v>
      </c>
      <c r="G3269" s="16">
        <v>46270</v>
      </c>
      <c r="H3269" s="17">
        <f t="shared" si="51"/>
        <v>6600</v>
      </c>
      <c r="I3269" s="15" t="s">
        <v>317</v>
      </c>
      <c r="J3269" s="15"/>
      <c r="K3269" t="s">
        <v>615</v>
      </c>
    </row>
    <row r="3270" hidden="1" spans="2:11">
      <c r="B3270" s="14">
        <v>252605026</v>
      </c>
      <c r="C3270" s="13">
        <v>46108</v>
      </c>
      <c r="D3270" s="14" t="s">
        <v>282</v>
      </c>
      <c r="E3270" s="15">
        <v>30000</v>
      </c>
      <c r="F3270" s="14">
        <v>0.0304</v>
      </c>
      <c r="G3270" s="16">
        <v>46270</v>
      </c>
      <c r="H3270" s="17">
        <f t="shared" si="51"/>
        <v>912</v>
      </c>
      <c r="I3270" s="15" t="s">
        <v>317</v>
      </c>
      <c r="J3270" s="15"/>
      <c r="K3270" t="s">
        <v>615</v>
      </c>
    </row>
    <row r="3271" hidden="1" spans="2:11">
      <c r="B3271" s="14">
        <v>252605026</v>
      </c>
      <c r="C3271" s="13">
        <v>46108</v>
      </c>
      <c r="D3271" s="14" t="s">
        <v>58</v>
      </c>
      <c r="E3271" s="15">
        <v>40000</v>
      </c>
      <c r="F3271" s="14">
        <v>0.014</v>
      </c>
      <c r="G3271" s="16">
        <v>46300</v>
      </c>
      <c r="H3271" s="17">
        <f t="shared" si="51"/>
        <v>560</v>
      </c>
      <c r="I3271" s="15" t="s">
        <v>317</v>
      </c>
      <c r="J3271" s="15"/>
      <c r="K3271" t="s">
        <v>615</v>
      </c>
    </row>
    <row r="3272" hidden="1" spans="2:11">
      <c r="B3272" s="14">
        <v>252605026</v>
      </c>
      <c r="C3272" s="13">
        <v>46108</v>
      </c>
      <c r="D3272" s="14" t="s">
        <v>386</v>
      </c>
      <c r="E3272" s="15">
        <v>80000</v>
      </c>
      <c r="F3272" s="14">
        <v>0.03</v>
      </c>
      <c r="G3272" s="16">
        <v>46300</v>
      </c>
      <c r="H3272" s="17">
        <f t="shared" si="51"/>
        <v>2400</v>
      </c>
      <c r="I3272" s="15" t="s">
        <v>317</v>
      </c>
      <c r="J3272" s="15"/>
      <c r="K3272" t="s">
        <v>615</v>
      </c>
    </row>
    <row r="3273" hidden="1" spans="2:11">
      <c r="B3273" s="14">
        <v>252605026</v>
      </c>
      <c r="C3273" s="13">
        <v>46108</v>
      </c>
      <c r="D3273" s="14" t="s">
        <v>387</v>
      </c>
      <c r="E3273" s="15">
        <v>100000</v>
      </c>
      <c r="F3273" s="14">
        <v>0.025</v>
      </c>
      <c r="G3273" s="16">
        <v>46300</v>
      </c>
      <c r="H3273" s="17">
        <f t="shared" si="51"/>
        <v>2500</v>
      </c>
      <c r="I3273" s="15" t="s">
        <v>317</v>
      </c>
      <c r="J3273" s="15"/>
      <c r="K3273" t="s">
        <v>615</v>
      </c>
    </row>
    <row r="3274" hidden="1" spans="2:11">
      <c r="B3274" s="14">
        <v>252605026</v>
      </c>
      <c r="C3274" s="13">
        <v>46108</v>
      </c>
      <c r="D3274" s="14" t="s">
        <v>32</v>
      </c>
      <c r="E3274" s="15">
        <v>120000</v>
      </c>
      <c r="F3274" s="14">
        <v>0.014</v>
      </c>
      <c r="G3274" s="16">
        <v>46300</v>
      </c>
      <c r="H3274" s="17">
        <f t="shared" si="51"/>
        <v>1680</v>
      </c>
      <c r="I3274" s="15" t="s">
        <v>317</v>
      </c>
      <c r="J3274" s="15"/>
      <c r="K3274" t="s">
        <v>615</v>
      </c>
    </row>
    <row r="3275" hidden="1" spans="2:11">
      <c r="B3275" s="14">
        <v>252605026</v>
      </c>
      <c r="C3275" s="13">
        <v>46108</v>
      </c>
      <c r="D3275" s="14" t="s">
        <v>515</v>
      </c>
      <c r="E3275" s="15">
        <v>200000</v>
      </c>
      <c r="F3275" s="14">
        <v>0.0238</v>
      </c>
      <c r="G3275" s="16">
        <v>46300</v>
      </c>
      <c r="H3275" s="17">
        <f t="shared" si="51"/>
        <v>4760</v>
      </c>
      <c r="I3275" s="15" t="s">
        <v>317</v>
      </c>
      <c r="J3275" s="15"/>
      <c r="K3275" t="s">
        <v>615</v>
      </c>
    </row>
    <row r="3276" hidden="1" spans="2:11">
      <c r="B3276" s="14">
        <v>252605026</v>
      </c>
      <c r="C3276" s="13">
        <v>46108</v>
      </c>
      <c r="D3276" s="14" t="s">
        <v>388</v>
      </c>
      <c r="E3276" s="15">
        <v>120000</v>
      </c>
      <c r="F3276" s="14">
        <v>0.035</v>
      </c>
      <c r="G3276" s="16">
        <v>46300</v>
      </c>
      <c r="H3276" s="17">
        <f t="shared" si="51"/>
        <v>4200</v>
      </c>
      <c r="I3276" s="15" t="s">
        <v>317</v>
      </c>
      <c r="J3276" s="15"/>
      <c r="K3276" t="s">
        <v>615</v>
      </c>
    </row>
    <row r="3277" hidden="1" spans="2:11">
      <c r="B3277" s="14">
        <v>252605026</v>
      </c>
      <c r="C3277" s="13">
        <v>46108</v>
      </c>
      <c r="D3277" s="14" t="s">
        <v>388</v>
      </c>
      <c r="E3277" s="15">
        <v>120000</v>
      </c>
      <c r="F3277" s="14">
        <v>0.035</v>
      </c>
      <c r="G3277" s="16">
        <v>46300</v>
      </c>
      <c r="H3277" s="17">
        <f t="shared" si="51"/>
        <v>4200</v>
      </c>
      <c r="I3277" s="15" t="s">
        <v>317</v>
      </c>
      <c r="J3277" s="15"/>
      <c r="K3277" t="s">
        <v>615</v>
      </c>
    </row>
    <row r="3278" hidden="1" spans="2:11">
      <c r="B3278" s="14">
        <v>252605026</v>
      </c>
      <c r="C3278" s="13">
        <v>46108</v>
      </c>
      <c r="D3278" s="14" t="s">
        <v>213</v>
      </c>
      <c r="E3278" s="15">
        <v>180000</v>
      </c>
      <c r="F3278" s="14">
        <v>0.042</v>
      </c>
      <c r="G3278" s="16">
        <v>46300</v>
      </c>
      <c r="H3278" s="17">
        <f t="shared" si="51"/>
        <v>7560</v>
      </c>
      <c r="I3278" s="15" t="s">
        <v>317</v>
      </c>
      <c r="J3278" s="15"/>
      <c r="K3278" t="s">
        <v>615</v>
      </c>
    </row>
    <row r="3279" hidden="1" spans="2:11">
      <c r="B3279" s="14">
        <v>252605027</v>
      </c>
      <c r="C3279" s="13">
        <v>46108</v>
      </c>
      <c r="D3279" s="14" t="s">
        <v>181</v>
      </c>
      <c r="E3279" s="15">
        <v>70000</v>
      </c>
      <c r="F3279" s="14">
        <v>0.0243</v>
      </c>
      <c r="G3279" s="16">
        <v>46300</v>
      </c>
      <c r="H3279" s="17">
        <f t="shared" si="51"/>
        <v>1701</v>
      </c>
      <c r="I3279" s="15" t="s">
        <v>317</v>
      </c>
      <c r="J3279" s="15"/>
      <c r="K3279" t="s">
        <v>615</v>
      </c>
    </row>
    <row r="3280" hidden="1" spans="2:11">
      <c r="B3280" s="14">
        <v>252605027</v>
      </c>
      <c r="C3280" s="13">
        <v>46108</v>
      </c>
      <c r="D3280" s="14" t="s">
        <v>31</v>
      </c>
      <c r="E3280" s="15">
        <v>200000</v>
      </c>
      <c r="F3280" s="14">
        <v>0.024</v>
      </c>
      <c r="G3280" s="16">
        <v>46300</v>
      </c>
      <c r="H3280" s="17">
        <f t="shared" si="51"/>
        <v>4800</v>
      </c>
      <c r="I3280" s="15" t="s">
        <v>317</v>
      </c>
      <c r="J3280" s="15"/>
      <c r="K3280" t="s">
        <v>615</v>
      </c>
    </row>
    <row r="3281" hidden="1" spans="1:11">
      <c r="B3281" s="14">
        <v>252605027</v>
      </c>
      <c r="C3281" s="13">
        <v>46108</v>
      </c>
      <c r="D3281" s="14" t="s">
        <v>31</v>
      </c>
      <c r="E3281" s="15">
        <v>100000</v>
      </c>
      <c r="F3281" s="14">
        <v>0.024</v>
      </c>
      <c r="G3281" s="16">
        <v>46300</v>
      </c>
      <c r="H3281" s="17">
        <f t="shared" si="51"/>
        <v>2400</v>
      </c>
      <c r="I3281" s="15" t="s">
        <v>317</v>
      </c>
      <c r="J3281" s="15"/>
      <c r="K3281" t="s">
        <v>615</v>
      </c>
    </row>
    <row r="3282" hidden="1" spans="1:11">
      <c r="B3282" s="14">
        <v>252605027</v>
      </c>
      <c r="C3282" s="13">
        <v>46108</v>
      </c>
      <c r="D3282" s="14" t="s">
        <v>25</v>
      </c>
      <c r="E3282" s="15">
        <v>20000</v>
      </c>
      <c r="F3282" s="14">
        <v>0.016</v>
      </c>
      <c r="G3282" s="16">
        <v>46300</v>
      </c>
      <c r="H3282" s="17">
        <f t="shared" si="51"/>
        <v>320</v>
      </c>
      <c r="I3282" s="15" t="s">
        <v>317</v>
      </c>
      <c r="J3282" s="15"/>
      <c r="K3282" t="s">
        <v>615</v>
      </c>
    </row>
    <row r="3283" hidden="1" spans="1:11">
      <c r="B3283" s="14">
        <v>252605027</v>
      </c>
      <c r="C3283" s="13">
        <v>46108</v>
      </c>
      <c r="D3283" s="14" t="s">
        <v>106</v>
      </c>
      <c r="E3283" s="15">
        <v>200000</v>
      </c>
      <c r="F3283" s="14">
        <v>0.033</v>
      </c>
      <c r="G3283" s="16">
        <v>46300</v>
      </c>
      <c r="H3283" s="17">
        <f t="shared" si="51"/>
        <v>6600</v>
      </c>
      <c r="I3283" s="15" t="s">
        <v>317</v>
      </c>
      <c r="J3283" s="15"/>
      <c r="K3283" t="s">
        <v>615</v>
      </c>
    </row>
    <row r="3284" hidden="1" spans="1:11">
      <c r="B3284" s="14">
        <v>252605027</v>
      </c>
      <c r="C3284" s="13">
        <v>46108</v>
      </c>
      <c r="D3284" s="14" t="s">
        <v>282</v>
      </c>
      <c r="E3284" s="15">
        <v>30000</v>
      </c>
      <c r="F3284" s="14">
        <v>0.0304</v>
      </c>
      <c r="G3284" s="16">
        <v>46300</v>
      </c>
      <c r="H3284" s="17">
        <f t="shared" si="51"/>
        <v>912</v>
      </c>
      <c r="I3284" s="15" t="s">
        <v>317</v>
      </c>
      <c r="J3284" s="15"/>
      <c r="K3284" t="s">
        <v>615</v>
      </c>
    </row>
    <row r="3285" hidden="1" spans="1:11">
      <c r="B3285" s="14">
        <v>252605027</v>
      </c>
      <c r="C3285" s="13">
        <v>46108</v>
      </c>
      <c r="D3285" s="14" t="s">
        <v>58</v>
      </c>
      <c r="E3285" s="15">
        <v>40000</v>
      </c>
      <c r="F3285" s="14">
        <v>0.014</v>
      </c>
      <c r="G3285" s="16">
        <v>46300</v>
      </c>
      <c r="H3285" s="17">
        <f t="shared" si="51"/>
        <v>560</v>
      </c>
      <c r="I3285" s="15" t="s">
        <v>317</v>
      </c>
      <c r="J3285" s="15"/>
      <c r="K3285" t="s">
        <v>615</v>
      </c>
    </row>
    <row r="3286" hidden="1" spans="1:11">
      <c r="A3286" t="s">
        <v>319</v>
      </c>
      <c r="B3286" s="8">
        <v>252605032</v>
      </c>
      <c r="C3286" s="9">
        <v>46111</v>
      </c>
      <c r="D3286" s="8" t="s">
        <v>569</v>
      </c>
      <c r="E3286" s="10">
        <v>100000</v>
      </c>
      <c r="F3286" s="8">
        <v>0.035</v>
      </c>
      <c r="G3286" s="11">
        <v>46117</v>
      </c>
      <c r="H3286" s="12">
        <f t="shared" si="51"/>
        <v>3500</v>
      </c>
      <c r="I3286" s="10" t="s">
        <v>10</v>
      </c>
      <c r="J3286" s="13">
        <v>46127</v>
      </c>
      <c r="K3286" t="s">
        <v>378</v>
      </c>
    </row>
    <row r="3287" hidden="1" spans="1:11">
      <c r="A3287" t="s">
        <v>319</v>
      </c>
      <c r="B3287" s="8">
        <v>252605033</v>
      </c>
      <c r="C3287" s="9">
        <v>46111</v>
      </c>
      <c r="D3287" s="8" t="s">
        <v>58</v>
      </c>
      <c r="E3287" s="10">
        <v>20000</v>
      </c>
      <c r="F3287" s="8">
        <v>0.014</v>
      </c>
      <c r="G3287" s="11">
        <v>46117</v>
      </c>
      <c r="H3287" s="12">
        <f t="shared" si="51"/>
        <v>280</v>
      </c>
      <c r="I3287" s="10" t="s">
        <v>10</v>
      </c>
      <c r="J3287" s="13">
        <v>46132</v>
      </c>
      <c r="K3287" t="s">
        <v>493</v>
      </c>
    </row>
    <row r="3288" hidden="1" spans="1:11">
      <c r="A3288" t="s">
        <v>319</v>
      </c>
      <c r="B3288" s="8">
        <v>252605070</v>
      </c>
      <c r="C3288" s="9">
        <v>46112</v>
      </c>
      <c r="D3288" s="8" t="s">
        <v>181</v>
      </c>
      <c r="E3288" s="10">
        <v>66000</v>
      </c>
      <c r="F3288" s="8">
        <v>0.0243</v>
      </c>
      <c r="G3288" s="11">
        <v>46117</v>
      </c>
      <c r="H3288" s="12">
        <f t="shared" si="51"/>
        <v>1603.8</v>
      </c>
      <c r="I3288" s="10" t="s">
        <v>10</v>
      </c>
      <c r="J3288" s="13">
        <v>46132</v>
      </c>
      <c r="K3288" t="s">
        <v>493</v>
      </c>
    </row>
    <row r="3289" hidden="1" spans="1:11">
      <c r="A3289" t="s">
        <v>319</v>
      </c>
      <c r="B3289" s="8">
        <v>252605070</v>
      </c>
      <c r="C3289" s="9">
        <v>46112</v>
      </c>
      <c r="D3289" s="8" t="s">
        <v>181</v>
      </c>
      <c r="E3289" s="10">
        <v>96000</v>
      </c>
      <c r="F3289" s="8">
        <v>0.0243</v>
      </c>
      <c r="G3289" s="11">
        <v>46117</v>
      </c>
      <c r="H3289" s="12">
        <f t="shared" si="51"/>
        <v>2332.8</v>
      </c>
      <c r="I3289" s="10" t="s">
        <v>10</v>
      </c>
      <c r="J3289" s="13">
        <v>46132</v>
      </c>
      <c r="K3289" t="s">
        <v>493</v>
      </c>
    </row>
    <row r="3290" hidden="1" spans="1:11">
      <c r="A3290" t="s">
        <v>319</v>
      </c>
      <c r="B3290" s="8">
        <v>252605072</v>
      </c>
      <c r="C3290" s="9">
        <v>46111</v>
      </c>
      <c r="D3290" s="8" t="s">
        <v>78</v>
      </c>
      <c r="E3290" s="10">
        <v>80000</v>
      </c>
      <c r="F3290" s="8">
        <v>0.016</v>
      </c>
      <c r="G3290" s="11">
        <v>46147</v>
      </c>
      <c r="H3290" s="12">
        <f t="shared" si="51"/>
        <v>1280</v>
      </c>
      <c r="I3290" s="10" t="s">
        <v>10</v>
      </c>
      <c r="J3290" s="13">
        <v>46132</v>
      </c>
      <c r="K3290" t="s">
        <v>467</v>
      </c>
    </row>
    <row r="3291" hidden="1" spans="1:11">
      <c r="A3291" t="s">
        <v>319</v>
      </c>
      <c r="B3291" s="8">
        <v>252605072</v>
      </c>
      <c r="C3291" s="9">
        <v>46111</v>
      </c>
      <c r="D3291" s="8" t="s">
        <v>626</v>
      </c>
      <c r="E3291" s="10">
        <v>20000</v>
      </c>
      <c r="F3291" s="8">
        <v>0.0224</v>
      </c>
      <c r="G3291" s="11">
        <v>46147</v>
      </c>
      <c r="H3291" s="12">
        <f t="shared" si="51"/>
        <v>448</v>
      </c>
      <c r="I3291" s="10" t="s">
        <v>10</v>
      </c>
      <c r="J3291" s="13">
        <v>46132</v>
      </c>
      <c r="K3291" t="s">
        <v>467</v>
      </c>
    </row>
    <row r="3292" hidden="1" spans="1:11">
      <c r="A3292" t="s">
        <v>319</v>
      </c>
      <c r="B3292" s="8">
        <v>252605072</v>
      </c>
      <c r="C3292" s="9">
        <v>46111</v>
      </c>
      <c r="D3292" s="8" t="s">
        <v>515</v>
      </c>
      <c r="E3292" s="10">
        <v>20000</v>
      </c>
      <c r="F3292" s="8">
        <v>0.0238</v>
      </c>
      <c r="G3292" s="11">
        <v>46147</v>
      </c>
      <c r="H3292" s="12">
        <f t="shared" si="51"/>
        <v>476</v>
      </c>
      <c r="I3292" s="10" t="s">
        <v>10</v>
      </c>
      <c r="J3292" s="13">
        <v>46127</v>
      </c>
      <c r="K3292" t="s">
        <v>467</v>
      </c>
    </row>
    <row r="3293" hidden="1" spans="1:11">
      <c r="A3293" t="s">
        <v>319</v>
      </c>
      <c r="B3293" s="8">
        <v>252605072</v>
      </c>
      <c r="C3293" s="9">
        <v>46111</v>
      </c>
      <c r="D3293" s="8" t="s">
        <v>32</v>
      </c>
      <c r="E3293" s="10">
        <v>200000</v>
      </c>
      <c r="F3293" s="8">
        <v>0.014</v>
      </c>
      <c r="G3293" s="11">
        <v>46178</v>
      </c>
      <c r="H3293" s="12">
        <f t="shared" si="51"/>
        <v>2800</v>
      </c>
      <c r="I3293" s="10" t="s">
        <v>10</v>
      </c>
      <c r="J3293" s="13">
        <v>46132</v>
      </c>
      <c r="K3293" t="s">
        <v>467</v>
      </c>
    </row>
    <row r="3294" hidden="1" spans="1:11">
      <c r="A3294" t="s">
        <v>319</v>
      </c>
      <c r="B3294" s="8">
        <v>252605072</v>
      </c>
      <c r="C3294" s="9">
        <v>46111</v>
      </c>
      <c r="D3294" s="8" t="s">
        <v>32</v>
      </c>
      <c r="E3294" s="10">
        <v>200000</v>
      </c>
      <c r="F3294" s="8">
        <v>0.014</v>
      </c>
      <c r="G3294" s="11">
        <v>46178</v>
      </c>
      <c r="H3294" s="12">
        <f t="shared" si="51"/>
        <v>2800</v>
      </c>
      <c r="I3294" s="10" t="s">
        <v>10</v>
      </c>
      <c r="J3294" s="13">
        <v>46132</v>
      </c>
      <c r="K3294" t="s">
        <v>467</v>
      </c>
    </row>
    <row r="3295" hidden="1" spans="1:11">
      <c r="A3295" t="s">
        <v>319</v>
      </c>
      <c r="B3295" s="8">
        <v>252605072</v>
      </c>
      <c r="C3295" s="9">
        <v>46111</v>
      </c>
      <c r="D3295" s="8" t="s">
        <v>32</v>
      </c>
      <c r="E3295" s="10">
        <v>200000</v>
      </c>
      <c r="F3295" s="8">
        <v>0.014</v>
      </c>
      <c r="G3295" s="11">
        <v>46178</v>
      </c>
      <c r="H3295" s="12">
        <f t="shared" si="51"/>
        <v>2800</v>
      </c>
      <c r="I3295" s="10" t="s">
        <v>10</v>
      </c>
      <c r="J3295" s="13">
        <v>46132</v>
      </c>
      <c r="K3295" t="s">
        <v>467</v>
      </c>
    </row>
    <row r="3296" hidden="1" spans="1:11">
      <c r="A3296" t="s">
        <v>319</v>
      </c>
      <c r="B3296" s="8">
        <v>252605072</v>
      </c>
      <c r="C3296" s="9">
        <v>46111</v>
      </c>
      <c r="D3296" s="8" t="s">
        <v>32</v>
      </c>
      <c r="E3296" s="10">
        <v>200000</v>
      </c>
      <c r="F3296" s="8">
        <v>0.014</v>
      </c>
      <c r="G3296" s="11">
        <v>46178</v>
      </c>
      <c r="H3296" s="12">
        <f t="shared" si="51"/>
        <v>2800</v>
      </c>
      <c r="I3296" s="10" t="s">
        <v>10</v>
      </c>
      <c r="J3296" s="13">
        <v>46132</v>
      </c>
      <c r="K3296" t="s">
        <v>467</v>
      </c>
    </row>
    <row r="3297" hidden="1" spans="1:11">
      <c r="A3297" t="s">
        <v>319</v>
      </c>
      <c r="B3297" s="8">
        <v>252605072</v>
      </c>
      <c r="C3297" s="9">
        <v>46111</v>
      </c>
      <c r="D3297" s="8" t="s">
        <v>58</v>
      </c>
      <c r="E3297" s="10">
        <v>200000</v>
      </c>
      <c r="F3297" s="8">
        <v>0.014</v>
      </c>
      <c r="G3297" s="11">
        <v>46178</v>
      </c>
      <c r="H3297" s="12">
        <f t="shared" si="51"/>
        <v>2800</v>
      </c>
      <c r="I3297" s="10" t="s">
        <v>10</v>
      </c>
      <c r="J3297" s="13">
        <v>46132</v>
      </c>
      <c r="K3297" t="s">
        <v>467</v>
      </c>
    </row>
    <row r="3298" hidden="1" spans="1:11">
      <c r="A3298" t="s">
        <v>319</v>
      </c>
      <c r="B3298" s="8">
        <v>252605072</v>
      </c>
      <c r="C3298" s="9">
        <v>46111</v>
      </c>
      <c r="D3298" s="8" t="s">
        <v>58</v>
      </c>
      <c r="E3298" s="10">
        <v>200000</v>
      </c>
      <c r="F3298" s="8">
        <v>0.014</v>
      </c>
      <c r="G3298" s="11">
        <v>46178</v>
      </c>
      <c r="H3298" s="12">
        <f t="shared" si="51"/>
        <v>2800</v>
      </c>
      <c r="I3298" s="10" t="s">
        <v>10</v>
      </c>
      <c r="J3298" s="13">
        <v>46132</v>
      </c>
      <c r="K3298" t="s">
        <v>467</v>
      </c>
    </row>
    <row r="3299" hidden="1" spans="1:11">
      <c r="A3299" t="s">
        <v>319</v>
      </c>
      <c r="B3299" s="8">
        <v>252605072</v>
      </c>
      <c r="C3299" s="9">
        <v>46111</v>
      </c>
      <c r="D3299" s="8" t="s">
        <v>58</v>
      </c>
      <c r="E3299" s="10">
        <v>200000</v>
      </c>
      <c r="F3299" s="8">
        <v>0.014</v>
      </c>
      <c r="G3299" s="11">
        <v>46178</v>
      </c>
      <c r="H3299" s="12">
        <f t="shared" si="51"/>
        <v>2800</v>
      </c>
      <c r="I3299" s="10" t="s">
        <v>10</v>
      </c>
      <c r="J3299" s="13">
        <v>46132</v>
      </c>
      <c r="K3299" t="s">
        <v>467</v>
      </c>
    </row>
    <row r="3300" hidden="1" spans="1:11">
      <c r="A3300" t="s">
        <v>319</v>
      </c>
      <c r="B3300" s="8">
        <v>252605072</v>
      </c>
      <c r="C3300" s="9">
        <v>46111</v>
      </c>
      <c r="D3300" s="8" t="s">
        <v>78</v>
      </c>
      <c r="E3300" s="10">
        <v>80000</v>
      </c>
      <c r="F3300" s="8">
        <v>0.016</v>
      </c>
      <c r="G3300" s="11">
        <v>46178</v>
      </c>
      <c r="H3300" s="12">
        <f t="shared" si="51"/>
        <v>1280</v>
      </c>
      <c r="I3300" s="10" t="s">
        <v>10</v>
      </c>
      <c r="J3300" s="13">
        <v>46132</v>
      </c>
      <c r="K3300" t="s">
        <v>467</v>
      </c>
    </row>
    <row r="3301" hidden="1" spans="1:11">
      <c r="A3301" t="s">
        <v>319</v>
      </c>
      <c r="B3301" s="8">
        <v>252605073</v>
      </c>
      <c r="C3301" s="9">
        <v>46111</v>
      </c>
      <c r="D3301" s="8" t="s">
        <v>29</v>
      </c>
      <c r="E3301" s="10">
        <v>200000</v>
      </c>
      <c r="F3301" s="8">
        <v>0.0216</v>
      </c>
      <c r="G3301" s="11">
        <v>46208</v>
      </c>
      <c r="H3301" s="12">
        <f t="shared" si="51"/>
        <v>4320</v>
      </c>
      <c r="I3301" s="10" t="s">
        <v>10</v>
      </c>
      <c r="J3301" s="13">
        <v>46184</v>
      </c>
      <c r="K3301" t="s">
        <v>467</v>
      </c>
    </row>
    <row r="3302" hidden="1" spans="1:11">
      <c r="A3302" t="s">
        <v>319</v>
      </c>
      <c r="B3302" s="8">
        <v>252605073</v>
      </c>
      <c r="C3302" s="9">
        <v>46111</v>
      </c>
      <c r="D3302" s="8" t="s">
        <v>29</v>
      </c>
      <c r="E3302" s="10">
        <v>200000</v>
      </c>
      <c r="F3302" s="8">
        <v>0.0216</v>
      </c>
      <c r="G3302" s="11">
        <v>46208</v>
      </c>
      <c r="H3302" s="12">
        <f t="shared" si="51"/>
        <v>4320</v>
      </c>
      <c r="I3302" s="10" t="s">
        <v>10</v>
      </c>
      <c r="J3302" s="13">
        <v>46184</v>
      </c>
      <c r="K3302" t="s">
        <v>467</v>
      </c>
    </row>
    <row r="3303" hidden="1" spans="1:11">
      <c r="A3303" t="s">
        <v>319</v>
      </c>
      <c r="B3303" s="8">
        <v>252605073</v>
      </c>
      <c r="C3303" s="9">
        <v>46111</v>
      </c>
      <c r="D3303" s="8" t="s">
        <v>29</v>
      </c>
      <c r="E3303" s="10">
        <v>200000</v>
      </c>
      <c r="F3303" s="8">
        <v>0.0216</v>
      </c>
      <c r="G3303" s="11">
        <v>46208</v>
      </c>
      <c r="H3303" s="12">
        <f t="shared" si="51"/>
        <v>4320</v>
      </c>
      <c r="I3303" s="10" t="s">
        <v>10</v>
      </c>
      <c r="J3303" s="13">
        <v>46184</v>
      </c>
      <c r="K3303" t="s">
        <v>467</v>
      </c>
    </row>
    <row r="3304" hidden="1" spans="1:11">
      <c r="A3304" t="s">
        <v>319</v>
      </c>
      <c r="B3304" s="8">
        <v>252605073</v>
      </c>
      <c r="C3304" s="9">
        <v>46111</v>
      </c>
      <c r="D3304" s="8" t="s">
        <v>29</v>
      </c>
      <c r="E3304" s="10">
        <v>200000</v>
      </c>
      <c r="F3304" s="8">
        <v>0.0216</v>
      </c>
      <c r="G3304" s="11">
        <v>46208</v>
      </c>
      <c r="H3304" s="12">
        <f t="shared" si="51"/>
        <v>4320</v>
      </c>
      <c r="I3304" s="10" t="s">
        <v>10</v>
      </c>
      <c r="J3304" s="13">
        <v>46184</v>
      </c>
      <c r="K3304" t="s">
        <v>467</v>
      </c>
    </row>
    <row r="3305" hidden="1" spans="1:11">
      <c r="A3305" t="s">
        <v>319</v>
      </c>
      <c r="B3305" s="8">
        <v>252605073</v>
      </c>
      <c r="C3305" s="9">
        <v>46111</v>
      </c>
      <c r="D3305" s="8" t="s">
        <v>29</v>
      </c>
      <c r="E3305" s="10">
        <v>200000</v>
      </c>
      <c r="F3305" s="8">
        <v>0.0216</v>
      </c>
      <c r="G3305" s="11">
        <v>46208</v>
      </c>
      <c r="H3305" s="12">
        <f t="shared" si="51"/>
        <v>4320</v>
      </c>
      <c r="I3305" s="10" t="s">
        <v>10</v>
      </c>
      <c r="J3305" s="13">
        <v>46184</v>
      </c>
      <c r="K3305" t="s">
        <v>467</v>
      </c>
    </row>
    <row r="3306" hidden="1" spans="1:11">
      <c r="A3306" t="s">
        <v>319</v>
      </c>
      <c r="B3306" s="8">
        <v>252605073</v>
      </c>
      <c r="C3306" s="9">
        <v>46111</v>
      </c>
      <c r="D3306" s="8" t="s">
        <v>29</v>
      </c>
      <c r="E3306" s="10">
        <v>200000</v>
      </c>
      <c r="F3306" s="8">
        <v>0.0216</v>
      </c>
      <c r="G3306" s="11">
        <v>46208</v>
      </c>
      <c r="H3306" s="12">
        <f t="shared" si="51"/>
        <v>4320</v>
      </c>
      <c r="I3306" s="10" t="s">
        <v>10</v>
      </c>
      <c r="J3306" s="13">
        <v>46184</v>
      </c>
      <c r="K3306" t="s">
        <v>467</v>
      </c>
    </row>
    <row r="3307" hidden="1" spans="1:11">
      <c r="A3307" t="s">
        <v>319</v>
      </c>
      <c r="B3307" s="8">
        <v>252605073</v>
      </c>
      <c r="C3307" s="9">
        <v>46111</v>
      </c>
      <c r="D3307" s="8" t="s">
        <v>29</v>
      </c>
      <c r="E3307" s="10">
        <v>200000</v>
      </c>
      <c r="F3307" s="8">
        <v>0.0216</v>
      </c>
      <c r="G3307" s="11">
        <v>46208</v>
      </c>
      <c r="H3307" s="12">
        <f t="shared" si="51"/>
        <v>4320</v>
      </c>
      <c r="I3307" s="10" t="s">
        <v>10</v>
      </c>
      <c r="J3307" s="13">
        <v>46184</v>
      </c>
      <c r="K3307" t="s">
        <v>467</v>
      </c>
    </row>
    <row r="3308" hidden="1" spans="1:11">
      <c r="A3308" t="s">
        <v>319</v>
      </c>
      <c r="B3308" s="8">
        <v>252605073</v>
      </c>
      <c r="C3308" s="9">
        <v>46111</v>
      </c>
      <c r="D3308" s="8" t="s">
        <v>29</v>
      </c>
      <c r="E3308" s="10">
        <v>200000</v>
      </c>
      <c r="F3308" s="8">
        <v>0.0216</v>
      </c>
      <c r="G3308" s="11">
        <v>46208</v>
      </c>
      <c r="H3308" s="12">
        <f t="shared" si="51"/>
        <v>4320</v>
      </c>
      <c r="I3308" s="10" t="s">
        <v>10</v>
      </c>
      <c r="J3308" s="13">
        <v>46184</v>
      </c>
      <c r="K3308" t="s">
        <v>467</v>
      </c>
    </row>
    <row r="3309" hidden="1" spans="1:11">
      <c r="A3309" t="s">
        <v>319</v>
      </c>
      <c r="B3309" s="8">
        <v>252605073</v>
      </c>
      <c r="C3309" s="9">
        <v>46111</v>
      </c>
      <c r="D3309" s="8" t="s">
        <v>29</v>
      </c>
      <c r="E3309" s="10">
        <v>200000</v>
      </c>
      <c r="F3309" s="8">
        <v>0.0216</v>
      </c>
      <c r="G3309" s="11">
        <v>46208</v>
      </c>
      <c r="H3309" s="12">
        <f t="shared" si="51"/>
        <v>4320</v>
      </c>
      <c r="I3309" s="10" t="s">
        <v>10</v>
      </c>
      <c r="J3309" s="13">
        <v>46184</v>
      </c>
      <c r="K3309" t="s">
        <v>467</v>
      </c>
    </row>
    <row r="3310" hidden="1" spans="1:11">
      <c r="A3310" t="s">
        <v>319</v>
      </c>
      <c r="B3310" s="8">
        <v>252605073</v>
      </c>
      <c r="C3310" s="9">
        <v>46111</v>
      </c>
      <c r="D3310" s="8" t="s">
        <v>29</v>
      </c>
      <c r="E3310" s="10">
        <v>200000</v>
      </c>
      <c r="F3310" s="8">
        <v>0.0216</v>
      </c>
      <c r="G3310" s="11">
        <v>46208</v>
      </c>
      <c r="H3310" s="12">
        <f t="shared" si="51"/>
        <v>4320</v>
      </c>
      <c r="I3310" s="10" t="s">
        <v>10</v>
      </c>
      <c r="J3310" s="13">
        <v>46184</v>
      </c>
      <c r="K3310" t="s">
        <v>467</v>
      </c>
    </row>
    <row r="3311" hidden="1" spans="1:11">
      <c r="A3311" t="s">
        <v>319</v>
      </c>
      <c r="B3311" s="8">
        <v>252605073</v>
      </c>
      <c r="C3311" s="9">
        <v>46111</v>
      </c>
      <c r="D3311" s="8" t="s">
        <v>29</v>
      </c>
      <c r="E3311" s="10">
        <v>200000</v>
      </c>
      <c r="F3311" s="8">
        <v>0.0216</v>
      </c>
      <c r="G3311" s="11">
        <v>46208</v>
      </c>
      <c r="H3311" s="12">
        <f t="shared" si="51"/>
        <v>4320</v>
      </c>
      <c r="I3311" s="10" t="s">
        <v>10</v>
      </c>
      <c r="J3311" s="13">
        <v>46184</v>
      </c>
      <c r="K3311" t="s">
        <v>467</v>
      </c>
    </row>
    <row r="3312" hidden="1" spans="1:11">
      <c r="A3312" t="s">
        <v>319</v>
      </c>
      <c r="B3312" s="8">
        <v>252605073</v>
      </c>
      <c r="C3312" s="9">
        <v>46111</v>
      </c>
      <c r="D3312" s="8" t="s">
        <v>29</v>
      </c>
      <c r="E3312" s="10">
        <v>200000</v>
      </c>
      <c r="F3312" s="8">
        <v>0.0216</v>
      </c>
      <c r="G3312" s="11">
        <v>46208</v>
      </c>
      <c r="H3312" s="12">
        <f t="shared" si="51"/>
        <v>4320</v>
      </c>
      <c r="I3312" s="10" t="s">
        <v>10</v>
      </c>
      <c r="J3312" s="13">
        <v>46184</v>
      </c>
      <c r="K3312" t="s">
        <v>467</v>
      </c>
    </row>
    <row r="3313" hidden="1" spans="1:11">
      <c r="A3313" t="s">
        <v>319</v>
      </c>
      <c r="B3313" s="8">
        <v>252605073</v>
      </c>
      <c r="C3313" s="9">
        <v>46111</v>
      </c>
      <c r="D3313" s="8" t="s">
        <v>29</v>
      </c>
      <c r="E3313" s="10">
        <v>100000</v>
      </c>
      <c r="F3313" s="8">
        <v>0.0216</v>
      </c>
      <c r="G3313" s="11">
        <v>46208</v>
      </c>
      <c r="H3313" s="12">
        <f t="shared" si="51"/>
        <v>2160</v>
      </c>
      <c r="I3313" s="10" t="s">
        <v>10</v>
      </c>
      <c r="J3313" s="13">
        <v>46184</v>
      </c>
      <c r="K3313" t="s">
        <v>467</v>
      </c>
    </row>
    <row r="3314" hidden="1" spans="1:11">
      <c r="A3314" t="s">
        <v>319</v>
      </c>
      <c r="B3314" s="8">
        <v>252605073</v>
      </c>
      <c r="C3314" s="9">
        <v>46111</v>
      </c>
      <c r="D3314" s="8" t="s">
        <v>32</v>
      </c>
      <c r="E3314" s="10">
        <v>200000</v>
      </c>
      <c r="F3314" s="8">
        <v>0.014</v>
      </c>
      <c r="G3314" s="11">
        <v>46208</v>
      </c>
      <c r="H3314" s="12">
        <f t="shared" si="51"/>
        <v>2800</v>
      </c>
      <c r="I3314" s="10" t="s">
        <v>10</v>
      </c>
      <c r="J3314" s="13">
        <v>46184</v>
      </c>
      <c r="K3314" t="s">
        <v>467</v>
      </c>
    </row>
    <row r="3315" hidden="1" spans="1:11">
      <c r="A3315" t="s">
        <v>319</v>
      </c>
      <c r="B3315" s="8">
        <v>252605073</v>
      </c>
      <c r="C3315" s="9">
        <v>46111</v>
      </c>
      <c r="D3315" s="8" t="s">
        <v>32</v>
      </c>
      <c r="E3315" s="10">
        <v>200000</v>
      </c>
      <c r="F3315" s="8">
        <v>0.014</v>
      </c>
      <c r="G3315" s="11">
        <v>46208</v>
      </c>
      <c r="H3315" s="12">
        <f t="shared" si="51"/>
        <v>2800</v>
      </c>
      <c r="I3315" s="10" t="s">
        <v>10</v>
      </c>
      <c r="J3315" s="13">
        <v>46184</v>
      </c>
      <c r="K3315" t="s">
        <v>467</v>
      </c>
    </row>
    <row r="3316" hidden="1" spans="1:11">
      <c r="A3316" t="s">
        <v>319</v>
      </c>
      <c r="B3316" s="8">
        <v>252605074</v>
      </c>
      <c r="C3316" s="9">
        <v>46111</v>
      </c>
      <c r="D3316" s="8" t="s">
        <v>31</v>
      </c>
      <c r="E3316" s="10">
        <v>200000</v>
      </c>
      <c r="F3316" s="8">
        <v>0.024</v>
      </c>
      <c r="G3316" s="11">
        <v>46208</v>
      </c>
      <c r="H3316" s="12">
        <f t="shared" si="51"/>
        <v>4800</v>
      </c>
      <c r="I3316" s="10" t="s">
        <v>10</v>
      </c>
      <c r="J3316" s="13">
        <v>46184</v>
      </c>
      <c r="K3316" t="s">
        <v>467</v>
      </c>
    </row>
    <row r="3317" hidden="1" spans="1:11">
      <c r="A3317" t="s">
        <v>319</v>
      </c>
      <c r="B3317" s="8">
        <v>252605074</v>
      </c>
      <c r="C3317" s="9">
        <v>46111</v>
      </c>
      <c r="D3317" s="8" t="s">
        <v>31</v>
      </c>
      <c r="E3317" s="10">
        <v>200000</v>
      </c>
      <c r="F3317" s="8">
        <v>0.024</v>
      </c>
      <c r="G3317" s="11">
        <v>46208</v>
      </c>
      <c r="H3317" s="12">
        <f t="shared" si="51"/>
        <v>4800</v>
      </c>
      <c r="I3317" s="10" t="s">
        <v>10</v>
      </c>
      <c r="J3317" s="13">
        <v>46184</v>
      </c>
      <c r="K3317" t="s">
        <v>467</v>
      </c>
    </row>
    <row r="3318" hidden="1" spans="1:11">
      <c r="A3318" t="s">
        <v>319</v>
      </c>
      <c r="B3318" s="8">
        <v>252605074</v>
      </c>
      <c r="C3318" s="9">
        <v>46111</v>
      </c>
      <c r="D3318" s="8" t="s">
        <v>31</v>
      </c>
      <c r="E3318" s="10">
        <v>200000</v>
      </c>
      <c r="F3318" s="8">
        <v>0.024</v>
      </c>
      <c r="G3318" s="11">
        <v>46208</v>
      </c>
      <c r="H3318" s="12">
        <f t="shared" si="51"/>
        <v>4800</v>
      </c>
      <c r="I3318" s="10" t="s">
        <v>10</v>
      </c>
      <c r="J3318" s="13">
        <v>46184</v>
      </c>
      <c r="K3318" t="s">
        <v>467</v>
      </c>
    </row>
    <row r="3319" hidden="1" spans="1:11">
      <c r="A3319" t="s">
        <v>319</v>
      </c>
      <c r="B3319" s="8">
        <v>252605074</v>
      </c>
      <c r="C3319" s="9">
        <v>46111</v>
      </c>
      <c r="D3319" s="8" t="s">
        <v>31</v>
      </c>
      <c r="E3319" s="10">
        <v>200000</v>
      </c>
      <c r="F3319" s="8">
        <v>0.024</v>
      </c>
      <c r="G3319" s="11">
        <v>46208</v>
      </c>
      <c r="H3319" s="12">
        <f t="shared" si="51"/>
        <v>4800</v>
      </c>
      <c r="I3319" s="10" t="s">
        <v>10</v>
      </c>
      <c r="J3319" s="13">
        <v>46184</v>
      </c>
      <c r="K3319" t="s">
        <v>467</v>
      </c>
    </row>
    <row r="3320" hidden="1" spans="1:11">
      <c r="A3320" t="s">
        <v>319</v>
      </c>
      <c r="B3320" s="8">
        <v>252605074</v>
      </c>
      <c r="C3320" s="9">
        <v>46111</v>
      </c>
      <c r="D3320" s="8" t="s">
        <v>31</v>
      </c>
      <c r="E3320" s="10">
        <v>140000</v>
      </c>
      <c r="F3320" s="8">
        <v>0.024</v>
      </c>
      <c r="G3320" s="11">
        <v>46208</v>
      </c>
      <c r="H3320" s="12">
        <f t="shared" si="51"/>
        <v>3360</v>
      </c>
      <c r="I3320" s="10" t="s">
        <v>10</v>
      </c>
      <c r="J3320" s="13">
        <v>46184</v>
      </c>
      <c r="K3320" t="s">
        <v>467</v>
      </c>
    </row>
    <row r="3321" hidden="1" spans="1:11">
      <c r="A3321" t="s">
        <v>319</v>
      </c>
      <c r="B3321" s="8">
        <v>252605074</v>
      </c>
      <c r="C3321" s="9">
        <v>46111</v>
      </c>
      <c r="D3321" s="8" t="s">
        <v>33</v>
      </c>
      <c r="E3321" s="10">
        <v>200000</v>
      </c>
      <c r="F3321" s="8">
        <v>0.018</v>
      </c>
      <c r="G3321" s="11">
        <v>46208</v>
      </c>
      <c r="H3321" s="12">
        <f t="shared" si="51"/>
        <v>3600</v>
      </c>
      <c r="I3321" s="10" t="s">
        <v>10</v>
      </c>
      <c r="J3321" s="13">
        <v>46184</v>
      </c>
      <c r="K3321" t="s">
        <v>467</v>
      </c>
    </row>
    <row r="3322" hidden="1" spans="1:11">
      <c r="A3322" t="s">
        <v>319</v>
      </c>
      <c r="B3322" s="8">
        <v>252605074</v>
      </c>
      <c r="C3322" s="9">
        <v>46111</v>
      </c>
      <c r="D3322" s="8" t="s">
        <v>33</v>
      </c>
      <c r="E3322" s="10">
        <v>200000</v>
      </c>
      <c r="F3322" s="8">
        <v>0.018</v>
      </c>
      <c r="G3322" s="11">
        <v>46208</v>
      </c>
      <c r="H3322" s="12">
        <f t="shared" si="51"/>
        <v>3600</v>
      </c>
      <c r="I3322" s="10" t="s">
        <v>10</v>
      </c>
      <c r="J3322" s="13">
        <v>46184</v>
      </c>
      <c r="K3322" t="s">
        <v>467</v>
      </c>
    </row>
    <row r="3323" hidden="1" spans="1:11">
      <c r="A3323" t="s">
        <v>319</v>
      </c>
      <c r="B3323" s="8">
        <v>252605074</v>
      </c>
      <c r="C3323" s="9">
        <v>46111</v>
      </c>
      <c r="D3323" s="8" t="s">
        <v>33</v>
      </c>
      <c r="E3323" s="10">
        <v>200000</v>
      </c>
      <c r="F3323" s="8">
        <v>0.018</v>
      </c>
      <c r="G3323" s="11">
        <v>46208</v>
      </c>
      <c r="H3323" s="12">
        <f t="shared" si="51"/>
        <v>3600</v>
      </c>
      <c r="I3323" s="10" t="s">
        <v>10</v>
      </c>
      <c r="J3323" s="13">
        <v>46184</v>
      </c>
      <c r="K3323" t="s">
        <v>467</v>
      </c>
    </row>
    <row r="3324" hidden="1" spans="1:11">
      <c r="A3324" t="s">
        <v>319</v>
      </c>
      <c r="B3324" s="8">
        <v>252605074</v>
      </c>
      <c r="C3324" s="9">
        <v>46111</v>
      </c>
      <c r="D3324" s="8" t="s">
        <v>33</v>
      </c>
      <c r="E3324" s="10">
        <v>100000</v>
      </c>
      <c r="F3324" s="8">
        <v>0.018</v>
      </c>
      <c r="G3324" s="11">
        <v>46208</v>
      </c>
      <c r="H3324" s="12">
        <f t="shared" si="51"/>
        <v>1800</v>
      </c>
      <c r="I3324" s="10" t="s">
        <v>10</v>
      </c>
      <c r="J3324" s="13">
        <v>46184</v>
      </c>
      <c r="K3324" t="s">
        <v>467</v>
      </c>
    </row>
    <row r="3325" hidden="1" spans="1:11">
      <c r="A3325" t="s">
        <v>319</v>
      </c>
      <c r="B3325" s="8">
        <v>252605074</v>
      </c>
      <c r="C3325" s="9">
        <v>46111</v>
      </c>
      <c r="D3325" s="8" t="s">
        <v>58</v>
      </c>
      <c r="E3325" s="10">
        <v>200000</v>
      </c>
      <c r="F3325" s="8">
        <v>0.014</v>
      </c>
      <c r="G3325" s="11">
        <v>46208</v>
      </c>
      <c r="H3325" s="12">
        <f t="shared" si="51"/>
        <v>2800</v>
      </c>
      <c r="I3325" s="10" t="s">
        <v>10</v>
      </c>
      <c r="J3325" s="13">
        <v>46184</v>
      </c>
      <c r="K3325" t="s">
        <v>467</v>
      </c>
    </row>
    <row r="3326" hidden="1" spans="1:11">
      <c r="A3326" t="s">
        <v>319</v>
      </c>
      <c r="B3326" s="8">
        <v>252605074</v>
      </c>
      <c r="C3326" s="9">
        <v>46111</v>
      </c>
      <c r="D3326" s="8" t="s">
        <v>58</v>
      </c>
      <c r="E3326" s="10">
        <v>200000</v>
      </c>
      <c r="F3326" s="8">
        <v>0.014</v>
      </c>
      <c r="G3326" s="11">
        <v>46208</v>
      </c>
      <c r="H3326" s="12">
        <f t="shared" si="51"/>
        <v>2800</v>
      </c>
      <c r="I3326" s="10" t="s">
        <v>10</v>
      </c>
      <c r="J3326" s="13">
        <v>46184</v>
      </c>
      <c r="K3326" t="s">
        <v>467</v>
      </c>
    </row>
    <row r="3327" hidden="1" spans="1:11">
      <c r="A3327" t="s">
        <v>319</v>
      </c>
      <c r="B3327" s="8">
        <v>252605074</v>
      </c>
      <c r="C3327" s="9">
        <v>46111</v>
      </c>
      <c r="D3327" s="8" t="s">
        <v>58</v>
      </c>
      <c r="E3327" s="10">
        <v>200000</v>
      </c>
      <c r="F3327" s="8">
        <v>0.014</v>
      </c>
      <c r="G3327" s="11">
        <v>46208</v>
      </c>
      <c r="H3327" s="12">
        <f t="shared" si="51"/>
        <v>2800</v>
      </c>
      <c r="I3327" s="10" t="s">
        <v>10</v>
      </c>
      <c r="J3327" s="13">
        <v>46184</v>
      </c>
      <c r="K3327" t="s">
        <v>467</v>
      </c>
    </row>
    <row r="3328" hidden="1" spans="1:11">
      <c r="A3328" t="s">
        <v>319</v>
      </c>
      <c r="B3328" s="8">
        <v>252605074</v>
      </c>
      <c r="C3328" s="9">
        <v>46111</v>
      </c>
      <c r="D3328" s="8" t="s">
        <v>78</v>
      </c>
      <c r="E3328" s="10">
        <v>80000</v>
      </c>
      <c r="F3328" s="8">
        <v>0.016</v>
      </c>
      <c r="G3328" s="11">
        <v>46208</v>
      </c>
      <c r="H3328" s="12">
        <f t="shared" si="51"/>
        <v>1280</v>
      </c>
      <c r="I3328" s="10" t="s">
        <v>10</v>
      </c>
      <c r="J3328" s="13">
        <v>46184</v>
      </c>
      <c r="K3328" t="s">
        <v>467</v>
      </c>
    </row>
    <row r="3329" hidden="1" spans="1:11">
      <c r="A3329" t="s">
        <v>319</v>
      </c>
      <c r="B3329" s="8">
        <v>252605074</v>
      </c>
      <c r="C3329" s="9">
        <v>46111</v>
      </c>
      <c r="D3329" s="8" t="s">
        <v>626</v>
      </c>
      <c r="E3329" s="10">
        <v>20000</v>
      </c>
      <c r="F3329" s="8">
        <v>0.0224</v>
      </c>
      <c r="G3329" s="11">
        <v>46208</v>
      </c>
      <c r="H3329" s="12">
        <f t="shared" si="51"/>
        <v>448</v>
      </c>
      <c r="I3329" s="10" t="s">
        <v>10</v>
      </c>
      <c r="J3329" s="13">
        <v>46184</v>
      </c>
      <c r="K3329" t="s">
        <v>467</v>
      </c>
    </row>
    <row r="3330" hidden="1" spans="1:11">
      <c r="A3330" t="s">
        <v>319</v>
      </c>
      <c r="B3330" s="8">
        <v>252605074</v>
      </c>
      <c r="C3330" s="9">
        <v>46111</v>
      </c>
      <c r="D3330" s="8" t="s">
        <v>32</v>
      </c>
      <c r="E3330" s="10">
        <v>200000</v>
      </c>
      <c r="F3330" s="8">
        <v>0.014</v>
      </c>
      <c r="G3330" s="11">
        <v>46208</v>
      </c>
      <c r="H3330" s="12">
        <f t="shared" ref="H3330:H3393" si="52">E3330*F3330</f>
        <v>2800</v>
      </c>
      <c r="I3330" s="10" t="s">
        <v>10</v>
      </c>
      <c r="J3330" s="13">
        <v>46184</v>
      </c>
      <c r="K3330" t="s">
        <v>467</v>
      </c>
    </row>
    <row r="3331" hidden="1" spans="1:11">
      <c r="A3331" t="s">
        <v>319</v>
      </c>
      <c r="B3331" s="8">
        <v>252605074</v>
      </c>
      <c r="C3331" s="9">
        <v>46111</v>
      </c>
      <c r="D3331" s="8" t="s">
        <v>32</v>
      </c>
      <c r="E3331" s="10">
        <v>200000</v>
      </c>
      <c r="F3331" s="8">
        <v>0.014</v>
      </c>
      <c r="G3331" s="11">
        <v>46208</v>
      </c>
      <c r="H3331" s="12">
        <f t="shared" si="52"/>
        <v>2800</v>
      </c>
      <c r="I3331" s="10" t="s">
        <v>10</v>
      </c>
      <c r="J3331" s="13">
        <v>46184</v>
      </c>
      <c r="K3331" t="s">
        <v>467</v>
      </c>
    </row>
    <row r="3332" hidden="1" spans="1:11">
      <c r="B3332" s="14">
        <v>252605075</v>
      </c>
      <c r="C3332" s="13">
        <v>46111</v>
      </c>
      <c r="D3332" s="14" t="s">
        <v>32</v>
      </c>
      <c r="E3332" s="15">
        <v>200000</v>
      </c>
      <c r="F3332" s="14">
        <v>0.014</v>
      </c>
      <c r="G3332" s="16">
        <v>46239</v>
      </c>
      <c r="H3332" s="17">
        <f t="shared" si="52"/>
        <v>2800</v>
      </c>
      <c r="I3332" s="15" t="s">
        <v>317</v>
      </c>
      <c r="J3332" s="15"/>
      <c r="K3332" t="s">
        <v>467</v>
      </c>
    </row>
    <row r="3333" hidden="1" spans="1:11">
      <c r="B3333" s="14">
        <v>252605075</v>
      </c>
      <c r="C3333" s="13">
        <v>46111</v>
      </c>
      <c r="D3333" s="14" t="s">
        <v>32</v>
      </c>
      <c r="E3333" s="15">
        <v>200000</v>
      </c>
      <c r="F3333" s="14">
        <v>0.014</v>
      </c>
      <c r="G3333" s="16">
        <v>46239</v>
      </c>
      <c r="H3333" s="17">
        <f t="shared" si="52"/>
        <v>2800</v>
      </c>
      <c r="I3333" s="15" t="s">
        <v>317</v>
      </c>
      <c r="J3333" s="15"/>
      <c r="K3333" t="s">
        <v>467</v>
      </c>
    </row>
    <row r="3334" hidden="1" spans="1:11">
      <c r="B3334" s="14">
        <v>252605075</v>
      </c>
      <c r="C3334" s="13">
        <v>46111</v>
      </c>
      <c r="D3334" s="14" t="s">
        <v>31</v>
      </c>
      <c r="E3334" s="15">
        <v>200000</v>
      </c>
      <c r="F3334" s="14">
        <v>0.024</v>
      </c>
      <c r="G3334" s="16">
        <v>46239</v>
      </c>
      <c r="H3334" s="17">
        <f t="shared" si="52"/>
        <v>4800</v>
      </c>
      <c r="I3334" s="15" t="s">
        <v>317</v>
      </c>
      <c r="J3334" s="15"/>
      <c r="K3334" t="s">
        <v>467</v>
      </c>
    </row>
    <row r="3335" hidden="1" spans="1:11">
      <c r="B3335" s="14">
        <v>252605075</v>
      </c>
      <c r="C3335" s="13">
        <v>46111</v>
      </c>
      <c r="D3335" s="14" t="s">
        <v>31</v>
      </c>
      <c r="E3335" s="15">
        <v>200000</v>
      </c>
      <c r="F3335" s="14">
        <v>0.024</v>
      </c>
      <c r="G3335" s="16">
        <v>46239</v>
      </c>
      <c r="H3335" s="17">
        <f t="shared" si="52"/>
        <v>4800</v>
      </c>
      <c r="I3335" s="15" t="s">
        <v>317</v>
      </c>
      <c r="J3335" s="15"/>
      <c r="K3335" t="s">
        <v>467</v>
      </c>
    </row>
    <row r="3336" hidden="1" spans="1:11">
      <c r="B3336" s="14">
        <v>252605075</v>
      </c>
      <c r="C3336" s="13">
        <v>46111</v>
      </c>
      <c r="D3336" s="14" t="s">
        <v>31</v>
      </c>
      <c r="E3336" s="15">
        <v>200000</v>
      </c>
      <c r="F3336" s="14">
        <v>0.024</v>
      </c>
      <c r="G3336" s="16">
        <v>46239</v>
      </c>
      <c r="H3336" s="17">
        <f t="shared" si="52"/>
        <v>4800</v>
      </c>
      <c r="I3336" s="15" t="s">
        <v>317</v>
      </c>
      <c r="J3336" s="15"/>
      <c r="K3336" t="s">
        <v>467</v>
      </c>
    </row>
    <row r="3337" hidden="1" spans="1:11">
      <c r="B3337" s="14">
        <v>252605075</v>
      </c>
      <c r="C3337" s="13">
        <v>46111</v>
      </c>
      <c r="D3337" s="14" t="s">
        <v>31</v>
      </c>
      <c r="E3337" s="15">
        <v>200000</v>
      </c>
      <c r="F3337" s="14">
        <v>0.024</v>
      </c>
      <c r="G3337" s="16">
        <v>46239</v>
      </c>
      <c r="H3337" s="17">
        <f t="shared" si="52"/>
        <v>4800</v>
      </c>
      <c r="I3337" s="15" t="s">
        <v>317</v>
      </c>
      <c r="J3337" s="15"/>
      <c r="K3337" t="s">
        <v>467</v>
      </c>
    </row>
    <row r="3338" hidden="1" spans="1:11">
      <c r="B3338" s="14">
        <v>252605075</v>
      </c>
      <c r="C3338" s="13">
        <v>46111</v>
      </c>
      <c r="D3338" s="14" t="s">
        <v>31</v>
      </c>
      <c r="E3338" s="15">
        <v>140000</v>
      </c>
      <c r="F3338" s="14">
        <v>0.024</v>
      </c>
      <c r="G3338" s="16">
        <v>46239</v>
      </c>
      <c r="H3338" s="17">
        <f t="shared" si="52"/>
        <v>3360</v>
      </c>
      <c r="I3338" s="15" t="s">
        <v>317</v>
      </c>
      <c r="J3338" s="15"/>
      <c r="K3338" t="s">
        <v>467</v>
      </c>
    </row>
    <row r="3339" hidden="1" spans="1:11">
      <c r="B3339" s="14">
        <v>252605075</v>
      </c>
      <c r="C3339" s="13">
        <v>46111</v>
      </c>
      <c r="D3339" s="14" t="s">
        <v>33</v>
      </c>
      <c r="E3339" s="15">
        <v>200000</v>
      </c>
      <c r="F3339" s="14">
        <v>0.018</v>
      </c>
      <c r="G3339" s="16">
        <v>46239</v>
      </c>
      <c r="H3339" s="17">
        <f t="shared" si="52"/>
        <v>3600</v>
      </c>
      <c r="I3339" s="15" t="s">
        <v>317</v>
      </c>
      <c r="J3339" s="15"/>
      <c r="K3339" t="s">
        <v>467</v>
      </c>
    </row>
    <row r="3340" hidden="1" spans="1:11">
      <c r="B3340" s="14">
        <v>252605075</v>
      </c>
      <c r="C3340" s="13">
        <v>46111</v>
      </c>
      <c r="D3340" s="14" t="s">
        <v>33</v>
      </c>
      <c r="E3340" s="15">
        <v>200000</v>
      </c>
      <c r="F3340" s="14">
        <v>0.018</v>
      </c>
      <c r="G3340" s="16">
        <v>46239</v>
      </c>
      <c r="H3340" s="17">
        <f t="shared" si="52"/>
        <v>3600</v>
      </c>
      <c r="I3340" s="15" t="s">
        <v>317</v>
      </c>
      <c r="J3340" s="15"/>
      <c r="K3340" t="s">
        <v>467</v>
      </c>
    </row>
    <row r="3341" hidden="1" spans="1:11">
      <c r="B3341" s="14">
        <v>252605075</v>
      </c>
      <c r="C3341" s="13">
        <v>46111</v>
      </c>
      <c r="D3341" s="14" t="s">
        <v>33</v>
      </c>
      <c r="E3341" s="15">
        <v>200000</v>
      </c>
      <c r="F3341" s="14">
        <v>0.018</v>
      </c>
      <c r="G3341" s="16">
        <v>46239</v>
      </c>
      <c r="H3341" s="17">
        <f t="shared" si="52"/>
        <v>3600</v>
      </c>
      <c r="I3341" s="15" t="s">
        <v>317</v>
      </c>
      <c r="J3341" s="15"/>
      <c r="K3341" t="s">
        <v>467</v>
      </c>
    </row>
    <row r="3342" hidden="1" spans="1:11">
      <c r="B3342" s="14">
        <v>252605075</v>
      </c>
      <c r="C3342" s="13">
        <v>46111</v>
      </c>
      <c r="D3342" s="14" t="s">
        <v>33</v>
      </c>
      <c r="E3342" s="15">
        <v>100000</v>
      </c>
      <c r="F3342" s="14">
        <v>0.018</v>
      </c>
      <c r="G3342" s="16">
        <v>46239</v>
      </c>
      <c r="H3342" s="17">
        <f t="shared" si="52"/>
        <v>1800</v>
      </c>
      <c r="I3342" s="15" t="s">
        <v>317</v>
      </c>
      <c r="J3342" s="15"/>
      <c r="K3342" t="s">
        <v>467</v>
      </c>
    </row>
    <row r="3343" hidden="1" spans="1:11">
      <c r="B3343" s="14">
        <v>252605075</v>
      </c>
      <c r="C3343" s="13">
        <v>46111</v>
      </c>
      <c r="D3343" s="14" t="s">
        <v>58</v>
      </c>
      <c r="E3343" s="15">
        <v>200000</v>
      </c>
      <c r="F3343" s="14">
        <v>0.014</v>
      </c>
      <c r="G3343" s="16">
        <v>46239</v>
      </c>
      <c r="H3343" s="17">
        <f t="shared" si="52"/>
        <v>2800</v>
      </c>
      <c r="I3343" s="15" t="s">
        <v>317</v>
      </c>
      <c r="J3343" s="15"/>
      <c r="K3343" t="s">
        <v>467</v>
      </c>
    </row>
    <row r="3344" hidden="1" spans="1:11">
      <c r="B3344" s="14">
        <v>252605075</v>
      </c>
      <c r="C3344" s="13">
        <v>46111</v>
      </c>
      <c r="D3344" s="14" t="s">
        <v>58</v>
      </c>
      <c r="E3344" s="15">
        <v>200000</v>
      </c>
      <c r="F3344" s="14">
        <v>0.014</v>
      </c>
      <c r="G3344" s="16">
        <v>46239</v>
      </c>
      <c r="H3344" s="17">
        <f t="shared" si="52"/>
        <v>2800</v>
      </c>
      <c r="I3344" s="15" t="s">
        <v>317</v>
      </c>
      <c r="J3344" s="15"/>
      <c r="K3344" t="s">
        <v>467</v>
      </c>
    </row>
    <row r="3345" hidden="1" spans="1:11">
      <c r="B3345" s="14">
        <v>252605075</v>
      </c>
      <c r="C3345" s="13">
        <v>46111</v>
      </c>
      <c r="D3345" s="14" t="s">
        <v>58</v>
      </c>
      <c r="E3345" s="15">
        <v>200000</v>
      </c>
      <c r="F3345" s="14">
        <v>0.014</v>
      </c>
      <c r="G3345" s="16">
        <v>46239</v>
      </c>
      <c r="H3345" s="17">
        <f t="shared" si="52"/>
        <v>2800</v>
      </c>
      <c r="I3345" s="15" t="s">
        <v>317</v>
      </c>
      <c r="J3345" s="15"/>
      <c r="K3345" t="s">
        <v>467</v>
      </c>
    </row>
    <row r="3346" hidden="1" spans="1:11">
      <c r="B3346" s="14">
        <v>252605075</v>
      </c>
      <c r="C3346" s="13">
        <v>46111</v>
      </c>
      <c r="D3346" s="14" t="s">
        <v>11</v>
      </c>
      <c r="E3346" s="15">
        <v>142000</v>
      </c>
      <c r="F3346" s="14">
        <v>0.032</v>
      </c>
      <c r="G3346" s="16">
        <v>46239</v>
      </c>
      <c r="H3346" s="17">
        <f t="shared" si="52"/>
        <v>4544</v>
      </c>
      <c r="I3346" s="15" t="s">
        <v>317</v>
      </c>
      <c r="J3346" s="15"/>
      <c r="K3346" t="s">
        <v>467</v>
      </c>
    </row>
    <row r="3347" hidden="1" spans="1:11">
      <c r="B3347" s="14">
        <v>252605075</v>
      </c>
      <c r="C3347" s="13">
        <v>46111</v>
      </c>
      <c r="D3347" s="14" t="s">
        <v>78</v>
      </c>
      <c r="E3347" s="15">
        <v>80000</v>
      </c>
      <c r="F3347" s="14">
        <v>0.016</v>
      </c>
      <c r="G3347" s="16">
        <v>46239</v>
      </c>
      <c r="H3347" s="17">
        <f t="shared" si="52"/>
        <v>1280</v>
      </c>
      <c r="I3347" s="15" t="s">
        <v>317</v>
      </c>
      <c r="J3347" s="15"/>
      <c r="K3347" t="s">
        <v>467</v>
      </c>
    </row>
    <row r="3348" hidden="1" spans="1:11">
      <c r="B3348" s="14">
        <v>252605075</v>
      </c>
      <c r="C3348" s="13">
        <v>46111</v>
      </c>
      <c r="D3348" s="14" t="s">
        <v>181</v>
      </c>
      <c r="E3348" s="15">
        <v>100000</v>
      </c>
      <c r="F3348" s="14">
        <v>0.0243</v>
      </c>
      <c r="G3348" s="16">
        <v>46239</v>
      </c>
      <c r="H3348" s="17">
        <f t="shared" si="52"/>
        <v>2430</v>
      </c>
      <c r="I3348" s="15" t="s">
        <v>317</v>
      </c>
      <c r="J3348" s="15"/>
      <c r="K3348" t="s">
        <v>467</v>
      </c>
    </row>
    <row r="3349" hidden="1" spans="1:11">
      <c r="A3349" t="s">
        <v>319</v>
      </c>
      <c r="B3349" s="8">
        <v>252605076</v>
      </c>
      <c r="C3349" s="9">
        <v>46112</v>
      </c>
      <c r="D3349" s="8" t="s">
        <v>9</v>
      </c>
      <c r="E3349" s="10">
        <v>20000</v>
      </c>
      <c r="F3349" s="8">
        <v>0.0254</v>
      </c>
      <c r="G3349" s="11">
        <v>46208</v>
      </c>
      <c r="H3349" s="12">
        <f t="shared" si="52"/>
        <v>508</v>
      </c>
      <c r="I3349" s="10" t="s">
        <v>10</v>
      </c>
      <c r="J3349" s="13">
        <v>46168</v>
      </c>
      <c r="K3349" t="s">
        <v>486</v>
      </c>
    </row>
    <row r="3350" hidden="1" spans="1:11">
      <c r="A3350" t="s">
        <v>319</v>
      </c>
      <c r="B3350" s="8">
        <v>252605076</v>
      </c>
      <c r="C3350" s="9">
        <v>46112</v>
      </c>
      <c r="D3350" s="8" t="s">
        <v>9</v>
      </c>
      <c r="E3350" s="10">
        <v>20000</v>
      </c>
      <c r="F3350" s="8">
        <v>0.0254</v>
      </c>
      <c r="G3350" s="11">
        <v>46239</v>
      </c>
      <c r="H3350" s="12">
        <f t="shared" si="52"/>
        <v>508</v>
      </c>
      <c r="I3350" s="10" t="s">
        <v>10</v>
      </c>
      <c r="J3350" s="13">
        <v>46168</v>
      </c>
      <c r="K3350" t="s">
        <v>486</v>
      </c>
    </row>
    <row r="3351" hidden="1" spans="1:11">
      <c r="B3351" s="14">
        <v>252605085</v>
      </c>
      <c r="C3351" s="13">
        <v>46111</v>
      </c>
      <c r="D3351" s="14" t="s">
        <v>29</v>
      </c>
      <c r="E3351" s="15">
        <v>200000</v>
      </c>
      <c r="F3351" s="14">
        <v>0.0216</v>
      </c>
      <c r="G3351" s="16">
        <v>46239</v>
      </c>
      <c r="H3351" s="17">
        <f t="shared" si="52"/>
        <v>4320</v>
      </c>
      <c r="I3351" s="15" t="s">
        <v>317</v>
      </c>
      <c r="J3351" s="15"/>
      <c r="K3351" t="s">
        <v>467</v>
      </c>
    </row>
    <row r="3352" hidden="1" spans="1:11">
      <c r="B3352" s="14">
        <v>252605085</v>
      </c>
      <c r="C3352" s="13">
        <v>46111</v>
      </c>
      <c r="D3352" s="14" t="s">
        <v>29</v>
      </c>
      <c r="E3352" s="15">
        <v>200000</v>
      </c>
      <c r="F3352" s="14">
        <v>0.0216</v>
      </c>
      <c r="G3352" s="16">
        <v>46239</v>
      </c>
      <c r="H3352" s="17">
        <f t="shared" si="52"/>
        <v>4320</v>
      </c>
      <c r="I3352" s="15" t="s">
        <v>317</v>
      </c>
      <c r="J3352" s="15"/>
      <c r="K3352" t="s">
        <v>467</v>
      </c>
    </row>
    <row r="3353" hidden="1" spans="1:11">
      <c r="B3353" s="14">
        <v>252605085</v>
      </c>
      <c r="C3353" s="13">
        <v>46111</v>
      </c>
      <c r="D3353" s="14" t="s">
        <v>29</v>
      </c>
      <c r="E3353" s="15">
        <v>200000</v>
      </c>
      <c r="F3353" s="14">
        <v>0.0216</v>
      </c>
      <c r="G3353" s="16">
        <v>46239</v>
      </c>
      <c r="H3353" s="17">
        <f t="shared" si="52"/>
        <v>4320</v>
      </c>
      <c r="I3353" s="15" t="s">
        <v>317</v>
      </c>
      <c r="J3353" s="15"/>
      <c r="K3353" t="s">
        <v>467</v>
      </c>
    </row>
    <row r="3354" hidden="1" spans="1:11">
      <c r="B3354" s="14">
        <v>252605085</v>
      </c>
      <c r="C3354" s="13">
        <v>46111</v>
      </c>
      <c r="D3354" s="14" t="s">
        <v>29</v>
      </c>
      <c r="E3354" s="15">
        <v>200000</v>
      </c>
      <c r="F3354" s="14">
        <v>0.0216</v>
      </c>
      <c r="G3354" s="16">
        <v>46239</v>
      </c>
      <c r="H3354" s="17">
        <f t="shared" si="52"/>
        <v>4320</v>
      </c>
      <c r="I3354" s="15" t="s">
        <v>317</v>
      </c>
      <c r="J3354" s="15"/>
      <c r="K3354" t="s">
        <v>467</v>
      </c>
    </row>
    <row r="3355" hidden="1" spans="1:11">
      <c r="B3355" s="14">
        <v>252605085</v>
      </c>
      <c r="C3355" s="13">
        <v>46111</v>
      </c>
      <c r="D3355" s="14" t="s">
        <v>29</v>
      </c>
      <c r="E3355" s="15">
        <v>200000</v>
      </c>
      <c r="F3355" s="14">
        <v>0.0216</v>
      </c>
      <c r="G3355" s="16">
        <v>46239</v>
      </c>
      <c r="H3355" s="17">
        <f t="shared" si="52"/>
        <v>4320</v>
      </c>
      <c r="I3355" s="15" t="s">
        <v>317</v>
      </c>
      <c r="J3355" s="15"/>
      <c r="K3355" t="s">
        <v>467</v>
      </c>
    </row>
    <row r="3356" hidden="1" spans="1:11">
      <c r="B3356" s="14">
        <v>252605085</v>
      </c>
      <c r="C3356" s="13">
        <v>46111</v>
      </c>
      <c r="D3356" s="14" t="s">
        <v>29</v>
      </c>
      <c r="E3356" s="15">
        <v>200000</v>
      </c>
      <c r="F3356" s="14">
        <v>0.0216</v>
      </c>
      <c r="G3356" s="16">
        <v>46239</v>
      </c>
      <c r="H3356" s="17">
        <f t="shared" si="52"/>
        <v>4320</v>
      </c>
      <c r="I3356" s="15" t="s">
        <v>317</v>
      </c>
      <c r="J3356" s="15"/>
      <c r="K3356" t="s">
        <v>467</v>
      </c>
    </row>
    <row r="3357" hidden="1" spans="1:11">
      <c r="B3357" s="14">
        <v>252605085</v>
      </c>
      <c r="C3357" s="13">
        <v>46111</v>
      </c>
      <c r="D3357" s="14" t="s">
        <v>29</v>
      </c>
      <c r="E3357" s="15">
        <v>200000</v>
      </c>
      <c r="F3357" s="14">
        <v>0.0216</v>
      </c>
      <c r="G3357" s="16">
        <v>46239</v>
      </c>
      <c r="H3357" s="17">
        <f t="shared" si="52"/>
        <v>4320</v>
      </c>
      <c r="I3357" s="15" t="s">
        <v>317</v>
      </c>
      <c r="J3357" s="15"/>
      <c r="K3357" t="s">
        <v>467</v>
      </c>
    </row>
    <row r="3358" hidden="1" spans="1:11">
      <c r="B3358" s="14">
        <v>252605085</v>
      </c>
      <c r="C3358" s="13">
        <v>46111</v>
      </c>
      <c r="D3358" s="14" t="s">
        <v>29</v>
      </c>
      <c r="E3358" s="15">
        <v>200000</v>
      </c>
      <c r="F3358" s="14">
        <v>0.0216</v>
      </c>
      <c r="G3358" s="16">
        <v>46239</v>
      </c>
      <c r="H3358" s="17">
        <f t="shared" si="52"/>
        <v>4320</v>
      </c>
      <c r="I3358" s="15" t="s">
        <v>317</v>
      </c>
      <c r="J3358" s="15"/>
      <c r="K3358" t="s">
        <v>467</v>
      </c>
    </row>
    <row r="3359" hidden="1" spans="1:11">
      <c r="B3359" s="14">
        <v>252605085</v>
      </c>
      <c r="C3359" s="13">
        <v>46111</v>
      </c>
      <c r="D3359" s="14" t="s">
        <v>29</v>
      </c>
      <c r="E3359" s="15">
        <v>200000</v>
      </c>
      <c r="F3359" s="14">
        <v>0.0216</v>
      </c>
      <c r="G3359" s="16">
        <v>46239</v>
      </c>
      <c r="H3359" s="17">
        <f t="shared" si="52"/>
        <v>4320</v>
      </c>
      <c r="I3359" s="15" t="s">
        <v>317</v>
      </c>
      <c r="J3359" s="15"/>
      <c r="K3359" t="s">
        <v>467</v>
      </c>
    </row>
    <row r="3360" hidden="1" spans="1:11">
      <c r="B3360" s="14">
        <v>252605085</v>
      </c>
      <c r="C3360" s="13">
        <v>46111</v>
      </c>
      <c r="D3360" s="14" t="s">
        <v>29</v>
      </c>
      <c r="E3360" s="15">
        <v>200000</v>
      </c>
      <c r="F3360" s="14">
        <v>0.0216</v>
      </c>
      <c r="G3360" s="16">
        <v>46239</v>
      </c>
      <c r="H3360" s="17">
        <f t="shared" si="52"/>
        <v>4320</v>
      </c>
      <c r="I3360" s="15" t="s">
        <v>317</v>
      </c>
      <c r="J3360" s="15"/>
      <c r="K3360" t="s">
        <v>467</v>
      </c>
    </row>
    <row r="3361" hidden="1" spans="1:11">
      <c r="B3361" s="14">
        <v>252605085</v>
      </c>
      <c r="C3361" s="13">
        <v>46111</v>
      </c>
      <c r="D3361" s="14" t="s">
        <v>29</v>
      </c>
      <c r="E3361" s="15">
        <v>200000</v>
      </c>
      <c r="F3361" s="14">
        <v>0.0216</v>
      </c>
      <c r="G3361" s="16">
        <v>46239</v>
      </c>
      <c r="H3361" s="17">
        <f t="shared" si="52"/>
        <v>4320</v>
      </c>
      <c r="I3361" s="15" t="s">
        <v>317</v>
      </c>
      <c r="J3361" s="15"/>
      <c r="K3361" t="s">
        <v>467</v>
      </c>
    </row>
    <row r="3362" hidden="1" spans="1:11">
      <c r="B3362" s="14">
        <v>252605085</v>
      </c>
      <c r="C3362" s="13">
        <v>46111</v>
      </c>
      <c r="D3362" s="14" t="s">
        <v>29</v>
      </c>
      <c r="E3362" s="15">
        <v>200000</v>
      </c>
      <c r="F3362" s="14">
        <v>0.0216</v>
      </c>
      <c r="G3362" s="16">
        <v>46239</v>
      </c>
      <c r="H3362" s="17">
        <f t="shared" si="52"/>
        <v>4320</v>
      </c>
      <c r="I3362" s="15" t="s">
        <v>317</v>
      </c>
      <c r="J3362" s="15"/>
      <c r="K3362" t="s">
        <v>467</v>
      </c>
    </row>
    <row r="3363" hidden="1" spans="1:11">
      <c r="B3363" s="14">
        <v>252605085</v>
      </c>
      <c r="C3363" s="13">
        <v>46111</v>
      </c>
      <c r="D3363" s="14" t="s">
        <v>29</v>
      </c>
      <c r="E3363" s="15">
        <v>100000</v>
      </c>
      <c r="F3363" s="14">
        <v>0.0216</v>
      </c>
      <c r="G3363" s="16">
        <v>46239</v>
      </c>
      <c r="H3363" s="17">
        <f t="shared" si="52"/>
        <v>2160</v>
      </c>
      <c r="I3363" s="15" t="s">
        <v>317</v>
      </c>
      <c r="J3363" s="15"/>
      <c r="K3363" t="s">
        <v>467</v>
      </c>
    </row>
    <row r="3364" hidden="1" spans="1:11">
      <c r="B3364" s="14">
        <v>252605085</v>
      </c>
      <c r="C3364" s="13">
        <v>46111</v>
      </c>
      <c r="D3364" s="14" t="s">
        <v>32</v>
      </c>
      <c r="E3364" s="15">
        <v>200000</v>
      </c>
      <c r="F3364" s="14">
        <v>0.014</v>
      </c>
      <c r="G3364" s="16">
        <v>46239</v>
      </c>
      <c r="H3364" s="17">
        <f t="shared" si="52"/>
        <v>2800</v>
      </c>
      <c r="I3364" s="15" t="s">
        <v>317</v>
      </c>
      <c r="J3364" s="15"/>
      <c r="K3364" t="s">
        <v>467</v>
      </c>
    </row>
    <row r="3365" hidden="1" spans="1:11">
      <c r="B3365" s="14">
        <v>252605085</v>
      </c>
      <c r="C3365" s="13">
        <v>46111</v>
      </c>
      <c r="D3365" s="14" t="s">
        <v>32</v>
      </c>
      <c r="E3365" s="15">
        <v>200000</v>
      </c>
      <c r="F3365" s="14">
        <v>0.014</v>
      </c>
      <c r="G3365" s="16">
        <v>46239</v>
      </c>
      <c r="H3365" s="17">
        <f t="shared" si="52"/>
        <v>2800</v>
      </c>
      <c r="I3365" s="15" t="s">
        <v>317</v>
      </c>
      <c r="J3365" s="15"/>
      <c r="K3365" t="s">
        <v>467</v>
      </c>
    </row>
    <row r="3366" hidden="1" spans="1:11">
      <c r="B3366" s="14">
        <v>252605097</v>
      </c>
      <c r="C3366" s="13">
        <v>46112</v>
      </c>
      <c r="D3366" s="14" t="s">
        <v>647</v>
      </c>
      <c r="E3366" s="15">
        <v>4000</v>
      </c>
      <c r="F3366" s="14">
        <v>0.03</v>
      </c>
      <c r="G3366" s="16">
        <v>46117</v>
      </c>
      <c r="H3366" s="17">
        <f t="shared" si="52"/>
        <v>120</v>
      </c>
      <c r="I3366" s="15" t="s">
        <v>51</v>
      </c>
      <c r="J3366" s="15"/>
      <c r="K3366" t="s">
        <v>627</v>
      </c>
    </row>
    <row r="3367" hidden="1" spans="1:11">
      <c r="A3367" t="s">
        <v>319</v>
      </c>
      <c r="B3367" s="8">
        <v>262700010</v>
      </c>
      <c r="C3367" s="9">
        <v>46114</v>
      </c>
      <c r="D3367" s="8" t="s">
        <v>315</v>
      </c>
      <c r="E3367" s="10">
        <v>34000</v>
      </c>
      <c r="F3367" s="8">
        <v>0.0522</v>
      </c>
      <c r="G3367" s="11">
        <v>46117</v>
      </c>
      <c r="H3367" s="12">
        <f t="shared" si="52"/>
        <v>1774.8</v>
      </c>
      <c r="I3367" s="10" t="s">
        <v>10</v>
      </c>
      <c r="J3367" s="13">
        <v>46157</v>
      </c>
      <c r="K3367" t="s">
        <v>615</v>
      </c>
    </row>
    <row r="3368" hidden="1" spans="1:11">
      <c r="A3368" t="s">
        <v>319</v>
      </c>
      <c r="B3368" s="8">
        <v>262700010</v>
      </c>
      <c r="C3368" s="9">
        <v>46114</v>
      </c>
      <c r="D3368" s="8" t="s">
        <v>315</v>
      </c>
      <c r="E3368" s="10">
        <v>34000</v>
      </c>
      <c r="F3368" s="8">
        <v>0.0522</v>
      </c>
      <c r="G3368" s="11">
        <v>46178</v>
      </c>
      <c r="H3368" s="12">
        <f t="shared" si="52"/>
        <v>1774.8</v>
      </c>
      <c r="I3368" s="10" t="s">
        <v>10</v>
      </c>
      <c r="J3368" s="13">
        <v>46157</v>
      </c>
      <c r="K3368" t="s">
        <v>615</v>
      </c>
    </row>
    <row r="3369" hidden="1" spans="1:11">
      <c r="A3369" t="s">
        <v>319</v>
      </c>
      <c r="B3369" s="8">
        <v>262700010</v>
      </c>
      <c r="C3369" s="9">
        <v>46114</v>
      </c>
      <c r="D3369" s="8" t="s">
        <v>648</v>
      </c>
      <c r="E3369" s="10">
        <v>68000</v>
      </c>
      <c r="F3369" s="8">
        <v>0.028</v>
      </c>
      <c r="G3369" s="11">
        <v>46117</v>
      </c>
      <c r="H3369" s="12">
        <f t="shared" si="52"/>
        <v>1904</v>
      </c>
      <c r="I3369" s="10" t="s">
        <v>10</v>
      </c>
      <c r="J3369" s="13">
        <v>46139</v>
      </c>
      <c r="K3369" t="s">
        <v>615</v>
      </c>
    </row>
    <row r="3370" hidden="1" spans="1:11">
      <c r="A3370" t="s">
        <v>319</v>
      </c>
      <c r="B3370" s="8">
        <v>262700010</v>
      </c>
      <c r="C3370" s="9">
        <v>46114</v>
      </c>
      <c r="D3370" s="8" t="s">
        <v>648</v>
      </c>
      <c r="E3370" s="10">
        <v>68000</v>
      </c>
      <c r="F3370" s="8">
        <v>0.028</v>
      </c>
      <c r="G3370" s="11">
        <v>46178</v>
      </c>
      <c r="H3370" s="12">
        <f t="shared" si="52"/>
        <v>1904</v>
      </c>
      <c r="I3370" s="10" t="s">
        <v>10</v>
      </c>
      <c r="J3370" s="13">
        <v>46139</v>
      </c>
      <c r="K3370" t="s">
        <v>615</v>
      </c>
    </row>
    <row r="3371" hidden="1" spans="1:11">
      <c r="A3371" t="s">
        <v>319</v>
      </c>
      <c r="B3371" s="8">
        <v>262700010</v>
      </c>
      <c r="C3371" s="9">
        <v>46114</v>
      </c>
      <c r="D3371" s="8" t="s">
        <v>468</v>
      </c>
      <c r="E3371" s="10">
        <v>68000</v>
      </c>
      <c r="F3371" s="8">
        <v>0.028</v>
      </c>
      <c r="G3371" s="11">
        <v>46117</v>
      </c>
      <c r="H3371" s="12">
        <f t="shared" si="52"/>
        <v>1904</v>
      </c>
      <c r="I3371" s="10" t="s">
        <v>10</v>
      </c>
      <c r="J3371" s="13">
        <v>46157</v>
      </c>
      <c r="K3371" t="s">
        <v>615</v>
      </c>
    </row>
    <row r="3372" hidden="1" spans="1:11">
      <c r="A3372" t="s">
        <v>319</v>
      </c>
      <c r="B3372" s="8">
        <v>262700010</v>
      </c>
      <c r="C3372" s="9">
        <v>46114</v>
      </c>
      <c r="D3372" s="8" t="s">
        <v>468</v>
      </c>
      <c r="E3372" s="10">
        <v>68000</v>
      </c>
      <c r="F3372" s="8">
        <v>0.028</v>
      </c>
      <c r="G3372" s="11">
        <v>46178</v>
      </c>
      <c r="H3372" s="12">
        <f t="shared" si="52"/>
        <v>1904</v>
      </c>
      <c r="I3372" s="10" t="s">
        <v>10</v>
      </c>
      <c r="J3372" s="13">
        <v>46157</v>
      </c>
      <c r="K3372" t="s">
        <v>615</v>
      </c>
    </row>
    <row r="3373" hidden="1" spans="1:11">
      <c r="A3373" t="s">
        <v>319</v>
      </c>
      <c r="B3373" s="8">
        <v>262700010</v>
      </c>
      <c r="C3373" s="9">
        <v>46114</v>
      </c>
      <c r="D3373" s="8" t="s">
        <v>649</v>
      </c>
      <c r="E3373" s="10">
        <v>52000</v>
      </c>
      <c r="F3373" s="8">
        <v>0.028</v>
      </c>
      <c r="G3373" s="11">
        <v>46117</v>
      </c>
      <c r="H3373" s="12">
        <f t="shared" si="52"/>
        <v>1456</v>
      </c>
      <c r="I3373" s="10" t="s">
        <v>10</v>
      </c>
      <c r="J3373" s="13">
        <v>46139</v>
      </c>
      <c r="K3373" t="s">
        <v>615</v>
      </c>
    </row>
    <row r="3374" hidden="1" spans="1:11">
      <c r="A3374" t="s">
        <v>319</v>
      </c>
      <c r="B3374" s="8">
        <v>262700010</v>
      </c>
      <c r="C3374" s="9">
        <v>46114</v>
      </c>
      <c r="D3374" s="8" t="s">
        <v>649</v>
      </c>
      <c r="E3374" s="10">
        <v>52000</v>
      </c>
      <c r="F3374" s="8">
        <v>0.028</v>
      </c>
      <c r="G3374" s="11">
        <v>46178</v>
      </c>
      <c r="H3374" s="12">
        <f t="shared" si="52"/>
        <v>1456</v>
      </c>
      <c r="I3374" s="10" t="s">
        <v>10</v>
      </c>
      <c r="J3374" s="13">
        <v>46139</v>
      </c>
      <c r="K3374" t="s">
        <v>615</v>
      </c>
    </row>
    <row r="3375" hidden="1" spans="1:11">
      <c r="A3375" t="s">
        <v>319</v>
      </c>
      <c r="B3375" s="8">
        <v>262700021</v>
      </c>
      <c r="C3375" s="9">
        <v>46113</v>
      </c>
      <c r="D3375" s="8" t="s">
        <v>629</v>
      </c>
      <c r="E3375" s="10">
        <v>40000</v>
      </c>
      <c r="F3375" s="8">
        <v>0.03</v>
      </c>
      <c r="G3375" s="11">
        <v>46147</v>
      </c>
      <c r="H3375" s="12">
        <f t="shared" si="52"/>
        <v>1200</v>
      </c>
      <c r="I3375" s="10" t="s">
        <v>10</v>
      </c>
      <c r="J3375" s="13">
        <v>46163</v>
      </c>
      <c r="K3375" t="s">
        <v>491</v>
      </c>
    </row>
    <row r="3376" hidden="1" spans="1:11">
      <c r="A3376" t="s">
        <v>319</v>
      </c>
      <c r="B3376" s="8">
        <v>262700021</v>
      </c>
      <c r="C3376" s="9">
        <v>46113</v>
      </c>
      <c r="D3376" s="8" t="s">
        <v>629</v>
      </c>
      <c r="E3376" s="10">
        <v>120000</v>
      </c>
      <c r="F3376" s="8">
        <v>0.03</v>
      </c>
      <c r="G3376" s="11">
        <v>46147</v>
      </c>
      <c r="H3376" s="12">
        <f t="shared" si="52"/>
        <v>3600</v>
      </c>
      <c r="I3376" s="10" t="s">
        <v>10</v>
      </c>
      <c r="J3376" s="13">
        <v>46163</v>
      </c>
      <c r="K3376" t="s">
        <v>491</v>
      </c>
    </row>
    <row r="3377" hidden="1" spans="1:11">
      <c r="A3377" t="s">
        <v>319</v>
      </c>
      <c r="B3377" s="8">
        <v>262700022</v>
      </c>
      <c r="C3377" s="9">
        <v>46113</v>
      </c>
      <c r="D3377" s="8" t="s">
        <v>650</v>
      </c>
      <c r="E3377" s="10">
        <v>22000</v>
      </c>
      <c r="F3377" s="8">
        <v>0.0275</v>
      </c>
      <c r="G3377" s="11">
        <v>46178</v>
      </c>
      <c r="H3377" s="12">
        <f t="shared" si="52"/>
        <v>605</v>
      </c>
      <c r="I3377" s="10" t="s">
        <v>10</v>
      </c>
      <c r="J3377" s="13">
        <v>46185</v>
      </c>
      <c r="K3377" t="s">
        <v>435</v>
      </c>
    </row>
    <row r="3378" hidden="1" spans="1:11">
      <c r="A3378" t="s">
        <v>319</v>
      </c>
      <c r="B3378" s="8">
        <v>262700022</v>
      </c>
      <c r="C3378" s="9">
        <v>46113</v>
      </c>
      <c r="D3378" s="8" t="s">
        <v>650</v>
      </c>
      <c r="E3378" s="10">
        <v>20000</v>
      </c>
      <c r="F3378" s="8">
        <v>0.0275</v>
      </c>
      <c r="G3378" s="11">
        <v>46178</v>
      </c>
      <c r="H3378" s="12">
        <f t="shared" si="52"/>
        <v>550</v>
      </c>
      <c r="I3378" s="10" t="s">
        <v>10</v>
      </c>
      <c r="J3378" s="13">
        <v>46185</v>
      </c>
      <c r="K3378" t="s">
        <v>435</v>
      </c>
    </row>
    <row r="3379" hidden="1" spans="1:11">
      <c r="B3379" s="14">
        <v>262700023</v>
      </c>
      <c r="C3379" s="13">
        <v>46113</v>
      </c>
      <c r="D3379" s="14" t="s">
        <v>57</v>
      </c>
      <c r="E3379" s="15">
        <v>20000</v>
      </c>
      <c r="F3379" s="14">
        <v>0.15</v>
      </c>
      <c r="G3379" s="16">
        <v>46300</v>
      </c>
      <c r="H3379" s="17">
        <f t="shared" si="52"/>
        <v>3000</v>
      </c>
      <c r="I3379" s="15" t="s">
        <v>317</v>
      </c>
      <c r="J3379" s="15"/>
      <c r="K3379" t="s">
        <v>615</v>
      </c>
    </row>
    <row r="3380" hidden="1" spans="1:11">
      <c r="A3380" t="s">
        <v>319</v>
      </c>
      <c r="B3380" s="8">
        <v>262700024</v>
      </c>
      <c r="C3380" s="9">
        <v>46114</v>
      </c>
      <c r="D3380" s="8" t="s">
        <v>242</v>
      </c>
      <c r="E3380" s="10">
        <v>40000</v>
      </c>
      <c r="F3380" s="8">
        <v>0.043</v>
      </c>
      <c r="G3380" s="11">
        <v>46178</v>
      </c>
      <c r="H3380" s="12">
        <f t="shared" si="52"/>
        <v>1720</v>
      </c>
      <c r="I3380" s="10" t="s">
        <v>10</v>
      </c>
      <c r="J3380" s="13">
        <v>46163</v>
      </c>
      <c r="K3380" t="s">
        <v>491</v>
      </c>
    </row>
    <row r="3381" hidden="1" spans="1:11">
      <c r="A3381" t="s">
        <v>319</v>
      </c>
      <c r="B3381" s="8">
        <v>262700024</v>
      </c>
      <c r="C3381" s="9">
        <v>46114</v>
      </c>
      <c r="D3381" s="8" t="s">
        <v>512</v>
      </c>
      <c r="E3381" s="10">
        <v>23000</v>
      </c>
      <c r="F3381" s="8">
        <v>0.031</v>
      </c>
      <c r="G3381" s="11">
        <v>46178</v>
      </c>
      <c r="H3381" s="12">
        <f t="shared" si="52"/>
        <v>713</v>
      </c>
      <c r="I3381" s="10" t="s">
        <v>10</v>
      </c>
      <c r="J3381" s="13">
        <v>46163</v>
      </c>
      <c r="K3381" t="s">
        <v>491</v>
      </c>
    </row>
    <row r="3382" hidden="1" spans="1:11">
      <c r="A3382" t="s">
        <v>319</v>
      </c>
      <c r="B3382" s="8">
        <v>262700024</v>
      </c>
      <c r="C3382" s="9">
        <v>46114</v>
      </c>
      <c r="D3382" s="8" t="s">
        <v>629</v>
      </c>
      <c r="E3382" s="10">
        <v>80000</v>
      </c>
      <c r="F3382" s="8">
        <v>0.03</v>
      </c>
      <c r="G3382" s="11">
        <v>46178</v>
      </c>
      <c r="H3382" s="12">
        <f t="shared" si="52"/>
        <v>2400</v>
      </c>
      <c r="I3382" s="10" t="s">
        <v>10</v>
      </c>
      <c r="J3382" s="13">
        <v>46163</v>
      </c>
      <c r="K3382" t="s">
        <v>491</v>
      </c>
    </row>
    <row r="3383" hidden="1" spans="1:11">
      <c r="A3383" t="s">
        <v>319</v>
      </c>
      <c r="B3383" s="8">
        <v>262700024</v>
      </c>
      <c r="C3383" s="9">
        <v>46114</v>
      </c>
      <c r="D3383" s="8" t="s">
        <v>629</v>
      </c>
      <c r="E3383" s="10">
        <v>90000</v>
      </c>
      <c r="F3383" s="8">
        <v>0.03</v>
      </c>
      <c r="G3383" s="11">
        <v>46178</v>
      </c>
      <c r="H3383" s="12">
        <f t="shared" si="52"/>
        <v>2700</v>
      </c>
      <c r="I3383" s="10" t="s">
        <v>10</v>
      </c>
      <c r="J3383" s="13">
        <v>46163</v>
      </c>
      <c r="K3383" t="s">
        <v>491</v>
      </c>
    </row>
    <row r="3384" hidden="1" spans="1:11">
      <c r="B3384" s="14">
        <v>262700025</v>
      </c>
      <c r="C3384" s="13">
        <v>46114</v>
      </c>
      <c r="D3384" s="14" t="s">
        <v>629</v>
      </c>
      <c r="E3384" s="15">
        <v>90000</v>
      </c>
      <c r="F3384" s="14">
        <v>0.03</v>
      </c>
      <c r="G3384" s="16">
        <v>46239</v>
      </c>
      <c r="H3384" s="17">
        <f t="shared" si="52"/>
        <v>2700</v>
      </c>
      <c r="I3384" s="15" t="s">
        <v>317</v>
      </c>
      <c r="J3384" s="15"/>
      <c r="K3384" t="s">
        <v>491</v>
      </c>
    </row>
    <row r="3385" hidden="1" spans="1:11">
      <c r="A3385" t="s">
        <v>319</v>
      </c>
      <c r="B3385" s="8">
        <v>262700026</v>
      </c>
      <c r="C3385" s="9">
        <v>46114</v>
      </c>
      <c r="D3385" s="8" t="s">
        <v>651</v>
      </c>
      <c r="E3385" s="10">
        <v>46000</v>
      </c>
      <c r="F3385" s="8">
        <v>0.025</v>
      </c>
      <c r="G3385" s="11">
        <v>46239</v>
      </c>
      <c r="H3385" s="12">
        <f t="shared" si="52"/>
        <v>1150</v>
      </c>
      <c r="I3385" s="10" t="s">
        <v>10</v>
      </c>
      <c r="J3385" s="13">
        <v>46139</v>
      </c>
      <c r="K3385" t="s">
        <v>435</v>
      </c>
    </row>
    <row r="3386" hidden="1" spans="1:11">
      <c r="A3386" t="s">
        <v>319</v>
      </c>
      <c r="B3386" s="8">
        <v>262700026</v>
      </c>
      <c r="C3386" s="9">
        <v>46114</v>
      </c>
      <c r="D3386" s="8" t="s">
        <v>652</v>
      </c>
      <c r="E3386" s="10">
        <v>20000</v>
      </c>
      <c r="F3386" s="8">
        <v>0.028</v>
      </c>
      <c r="G3386" s="11">
        <v>46239</v>
      </c>
      <c r="H3386" s="12">
        <f t="shared" si="52"/>
        <v>560</v>
      </c>
      <c r="I3386" s="10" t="s">
        <v>10</v>
      </c>
      <c r="J3386" s="13">
        <v>46139</v>
      </c>
      <c r="K3386" t="s">
        <v>435</v>
      </c>
    </row>
    <row r="3387" hidden="1" spans="1:11">
      <c r="B3387" s="14">
        <v>262700030</v>
      </c>
      <c r="C3387" s="13">
        <v>46115</v>
      </c>
      <c r="D3387" s="14" t="s">
        <v>45</v>
      </c>
      <c r="E3387" s="15">
        <v>300000</v>
      </c>
      <c r="F3387" s="14">
        <v>0.024</v>
      </c>
      <c r="G3387" s="16">
        <v>46239</v>
      </c>
      <c r="H3387" s="17">
        <f t="shared" si="52"/>
        <v>7200</v>
      </c>
      <c r="I3387" s="15" t="s">
        <v>317</v>
      </c>
      <c r="J3387" s="15"/>
      <c r="K3387" t="s">
        <v>380</v>
      </c>
    </row>
    <row r="3388" hidden="1" spans="1:11">
      <c r="B3388" s="14">
        <v>262700030</v>
      </c>
      <c r="C3388" s="13">
        <v>46115</v>
      </c>
      <c r="D3388" s="14" t="s">
        <v>45</v>
      </c>
      <c r="E3388" s="15">
        <v>300000</v>
      </c>
      <c r="F3388" s="14">
        <v>0.024</v>
      </c>
      <c r="G3388" s="16">
        <v>46270</v>
      </c>
      <c r="H3388" s="17">
        <f t="shared" si="52"/>
        <v>7200</v>
      </c>
      <c r="I3388" s="15" t="s">
        <v>317</v>
      </c>
      <c r="J3388" s="15"/>
      <c r="K3388" t="s">
        <v>380</v>
      </c>
    </row>
    <row r="3389" hidden="1" spans="1:11">
      <c r="B3389" s="14">
        <v>262700030</v>
      </c>
      <c r="C3389" s="13">
        <v>46115</v>
      </c>
      <c r="D3389" s="14" t="s">
        <v>40</v>
      </c>
      <c r="E3389" s="15">
        <v>300000</v>
      </c>
      <c r="F3389" s="14">
        <v>0.035</v>
      </c>
      <c r="G3389" s="16">
        <v>46239</v>
      </c>
      <c r="H3389" s="17">
        <f t="shared" si="52"/>
        <v>10500</v>
      </c>
      <c r="I3389" s="15" t="s">
        <v>317</v>
      </c>
      <c r="J3389" s="15"/>
      <c r="K3389" t="s">
        <v>380</v>
      </c>
    </row>
    <row r="3390" hidden="1" spans="1:11">
      <c r="B3390" s="14">
        <v>262700030</v>
      </c>
      <c r="C3390" s="13">
        <v>46115</v>
      </c>
      <c r="D3390" s="14" t="s">
        <v>163</v>
      </c>
      <c r="E3390" s="15">
        <v>304000</v>
      </c>
      <c r="F3390" s="14">
        <v>0.0025</v>
      </c>
      <c r="G3390" s="16">
        <v>46239</v>
      </c>
      <c r="H3390" s="17">
        <f t="shared" si="52"/>
        <v>760</v>
      </c>
      <c r="I3390" s="15" t="s">
        <v>317</v>
      </c>
      <c r="J3390" s="15"/>
      <c r="K3390" t="s">
        <v>380</v>
      </c>
    </row>
    <row r="3391" hidden="1" spans="1:11">
      <c r="A3391" t="s">
        <v>319</v>
      </c>
      <c r="B3391" s="8">
        <v>262700032</v>
      </c>
      <c r="C3391" s="9">
        <v>46115</v>
      </c>
      <c r="D3391" s="8" t="s">
        <v>45</v>
      </c>
      <c r="E3391" s="10">
        <v>300000</v>
      </c>
      <c r="F3391" s="8">
        <v>0.024</v>
      </c>
      <c r="G3391" s="11">
        <v>46147</v>
      </c>
      <c r="H3391" s="12">
        <f t="shared" si="52"/>
        <v>7200</v>
      </c>
      <c r="I3391" s="10" t="s">
        <v>10</v>
      </c>
      <c r="J3391" s="13">
        <v>46119</v>
      </c>
      <c r="K3391" t="s">
        <v>380</v>
      </c>
    </row>
    <row r="3392" hidden="1" spans="1:11">
      <c r="A3392" t="s">
        <v>319</v>
      </c>
      <c r="B3392" s="8">
        <v>262700032</v>
      </c>
      <c r="C3392" s="9">
        <v>46115</v>
      </c>
      <c r="D3392" s="8" t="s">
        <v>45</v>
      </c>
      <c r="E3392" s="10">
        <v>300000</v>
      </c>
      <c r="F3392" s="8">
        <v>0.024</v>
      </c>
      <c r="G3392" s="11">
        <v>46147</v>
      </c>
      <c r="H3392" s="12">
        <f t="shared" si="52"/>
        <v>7200</v>
      </c>
      <c r="I3392" s="10" t="s">
        <v>10</v>
      </c>
      <c r="J3392" s="13">
        <v>46119</v>
      </c>
      <c r="K3392" t="s">
        <v>380</v>
      </c>
    </row>
    <row r="3393" hidden="1" spans="1:11">
      <c r="A3393" t="s">
        <v>319</v>
      </c>
      <c r="B3393" s="8">
        <v>262700032</v>
      </c>
      <c r="C3393" s="9">
        <v>46115</v>
      </c>
      <c r="D3393" s="8" t="s">
        <v>45</v>
      </c>
      <c r="E3393" s="10">
        <v>300000</v>
      </c>
      <c r="F3393" s="8">
        <v>0.024</v>
      </c>
      <c r="G3393" s="11">
        <v>46178</v>
      </c>
      <c r="H3393" s="12">
        <f t="shared" si="52"/>
        <v>7200</v>
      </c>
      <c r="I3393" s="10" t="s">
        <v>10</v>
      </c>
      <c r="J3393" s="13">
        <v>46119</v>
      </c>
      <c r="K3393" t="s">
        <v>380</v>
      </c>
    </row>
    <row r="3394" hidden="1" spans="1:11">
      <c r="A3394" t="s">
        <v>319</v>
      </c>
      <c r="B3394" s="8">
        <v>262700032</v>
      </c>
      <c r="C3394" s="9">
        <v>46115</v>
      </c>
      <c r="D3394" s="8" t="s">
        <v>40</v>
      </c>
      <c r="E3394" s="10">
        <v>300000</v>
      </c>
      <c r="F3394" s="8">
        <v>0.035</v>
      </c>
      <c r="G3394" s="11">
        <v>46147</v>
      </c>
      <c r="H3394" s="12">
        <f t="shared" ref="H3394:H3457" si="53">E3394*F3394</f>
        <v>10500</v>
      </c>
      <c r="I3394" s="10" t="s">
        <v>10</v>
      </c>
      <c r="J3394" s="13">
        <v>46125</v>
      </c>
      <c r="K3394" t="s">
        <v>380</v>
      </c>
    </row>
    <row r="3395" hidden="1" spans="1:11">
      <c r="A3395" t="s">
        <v>319</v>
      </c>
      <c r="B3395" s="8">
        <v>262700032</v>
      </c>
      <c r="C3395" s="9">
        <v>46115</v>
      </c>
      <c r="D3395" s="8" t="s">
        <v>40</v>
      </c>
      <c r="E3395" s="10">
        <v>300000</v>
      </c>
      <c r="F3395" s="8">
        <v>0.035</v>
      </c>
      <c r="G3395" s="11">
        <v>46178</v>
      </c>
      <c r="H3395" s="12">
        <f t="shared" si="53"/>
        <v>10500</v>
      </c>
      <c r="I3395" s="10" t="s">
        <v>10</v>
      </c>
      <c r="J3395" s="13">
        <v>46125</v>
      </c>
      <c r="K3395" t="s">
        <v>380</v>
      </c>
    </row>
    <row r="3396" hidden="1" spans="1:11">
      <c r="A3396" t="s">
        <v>319</v>
      </c>
      <c r="B3396" s="8">
        <v>262700032</v>
      </c>
      <c r="C3396" s="9">
        <v>46115</v>
      </c>
      <c r="D3396" s="8" t="s">
        <v>96</v>
      </c>
      <c r="E3396" s="10">
        <v>208000</v>
      </c>
      <c r="F3396" s="8">
        <v>0.003</v>
      </c>
      <c r="G3396" s="11">
        <v>46147</v>
      </c>
      <c r="H3396" s="12">
        <f t="shared" si="53"/>
        <v>624</v>
      </c>
      <c r="I3396" s="10" t="s">
        <v>10</v>
      </c>
      <c r="J3396" s="13">
        <v>46127</v>
      </c>
      <c r="K3396" t="s">
        <v>380</v>
      </c>
    </row>
    <row r="3397" hidden="1" spans="1:11">
      <c r="A3397" t="s">
        <v>319</v>
      </c>
      <c r="B3397" s="8">
        <v>262700032</v>
      </c>
      <c r="C3397" s="9">
        <v>46115</v>
      </c>
      <c r="D3397" s="8" t="s">
        <v>163</v>
      </c>
      <c r="E3397" s="10">
        <v>288000</v>
      </c>
      <c r="F3397" s="8">
        <v>0.0025</v>
      </c>
      <c r="G3397" s="11">
        <v>46147</v>
      </c>
      <c r="H3397" s="12">
        <f t="shared" si="53"/>
        <v>720</v>
      </c>
      <c r="I3397" s="10" t="s">
        <v>10</v>
      </c>
      <c r="J3397" s="13">
        <v>46119</v>
      </c>
      <c r="K3397" t="s">
        <v>380</v>
      </c>
    </row>
    <row r="3398" hidden="1" spans="1:11">
      <c r="A3398" t="s">
        <v>319</v>
      </c>
      <c r="B3398" s="8">
        <v>262700032</v>
      </c>
      <c r="C3398" s="9">
        <v>46115</v>
      </c>
      <c r="D3398" s="8" t="s">
        <v>163</v>
      </c>
      <c r="E3398" s="10">
        <v>304000</v>
      </c>
      <c r="F3398" s="8">
        <v>0.0025</v>
      </c>
      <c r="G3398" s="11">
        <v>46147</v>
      </c>
      <c r="H3398" s="12">
        <f t="shared" si="53"/>
        <v>760</v>
      </c>
      <c r="I3398" s="10" t="s">
        <v>10</v>
      </c>
      <c r="J3398" s="13">
        <v>46119</v>
      </c>
      <c r="K3398" t="s">
        <v>380</v>
      </c>
    </row>
    <row r="3399" hidden="1" spans="1:11">
      <c r="A3399" t="s">
        <v>319</v>
      </c>
      <c r="B3399" s="8">
        <v>262700032</v>
      </c>
      <c r="C3399" s="9">
        <v>46115</v>
      </c>
      <c r="D3399" s="8" t="s">
        <v>163</v>
      </c>
      <c r="E3399" s="10">
        <v>304000</v>
      </c>
      <c r="F3399" s="8">
        <v>0.0025</v>
      </c>
      <c r="G3399" s="11">
        <v>46178</v>
      </c>
      <c r="H3399" s="12">
        <f t="shared" si="53"/>
        <v>760</v>
      </c>
      <c r="I3399" s="10" t="s">
        <v>10</v>
      </c>
      <c r="J3399" s="13">
        <v>46119</v>
      </c>
      <c r="K3399" t="s">
        <v>380</v>
      </c>
    </row>
    <row r="3400" hidden="1" spans="1:11">
      <c r="A3400" t="s">
        <v>319</v>
      </c>
      <c r="B3400" s="8">
        <v>262700032</v>
      </c>
      <c r="C3400" s="9">
        <v>46115</v>
      </c>
      <c r="D3400" s="8" t="s">
        <v>163</v>
      </c>
      <c r="E3400" s="10">
        <v>304000</v>
      </c>
      <c r="F3400" s="8">
        <v>0.0025</v>
      </c>
      <c r="G3400" s="11">
        <v>46178</v>
      </c>
      <c r="H3400" s="12">
        <f t="shared" si="53"/>
        <v>760</v>
      </c>
      <c r="I3400" s="10" t="s">
        <v>10</v>
      </c>
      <c r="J3400" s="13">
        <v>46119</v>
      </c>
      <c r="K3400" t="s">
        <v>380</v>
      </c>
    </row>
    <row r="3401" hidden="1" spans="1:11">
      <c r="A3401" t="s">
        <v>319</v>
      </c>
      <c r="B3401" s="8">
        <v>262700033</v>
      </c>
      <c r="C3401" s="9">
        <v>46115</v>
      </c>
      <c r="D3401" s="8" t="s">
        <v>226</v>
      </c>
      <c r="E3401" s="10">
        <v>200000</v>
      </c>
      <c r="F3401" s="8">
        <v>0.065</v>
      </c>
      <c r="G3401" s="11">
        <v>46147</v>
      </c>
      <c r="H3401" s="12">
        <f t="shared" si="53"/>
        <v>13000</v>
      </c>
      <c r="I3401" s="10" t="s">
        <v>10</v>
      </c>
      <c r="J3401" s="13">
        <v>46132</v>
      </c>
      <c r="K3401" t="s">
        <v>486</v>
      </c>
    </row>
    <row r="3402" hidden="1" spans="1:11">
      <c r="A3402" t="s">
        <v>319</v>
      </c>
      <c r="B3402" s="8">
        <v>262700033</v>
      </c>
      <c r="C3402" s="9">
        <v>46115</v>
      </c>
      <c r="D3402" s="8" t="s">
        <v>226</v>
      </c>
      <c r="E3402" s="10">
        <v>200000</v>
      </c>
      <c r="F3402" s="8">
        <v>0.065</v>
      </c>
      <c r="G3402" s="11">
        <v>46178</v>
      </c>
      <c r="H3402" s="12">
        <f t="shared" si="53"/>
        <v>13000</v>
      </c>
      <c r="I3402" s="10" t="s">
        <v>10</v>
      </c>
      <c r="J3402" s="13">
        <v>46132</v>
      </c>
      <c r="K3402" t="s">
        <v>486</v>
      </c>
    </row>
    <row r="3403" hidden="1" spans="1:11">
      <c r="A3403" t="s">
        <v>319</v>
      </c>
      <c r="B3403" s="8">
        <v>262700034</v>
      </c>
      <c r="C3403" s="9">
        <v>46115</v>
      </c>
      <c r="D3403" s="8" t="s">
        <v>226</v>
      </c>
      <c r="E3403" s="10">
        <v>200000</v>
      </c>
      <c r="F3403" s="8">
        <v>0.065</v>
      </c>
      <c r="G3403" s="11">
        <v>46208</v>
      </c>
      <c r="H3403" s="12">
        <f t="shared" si="53"/>
        <v>13000</v>
      </c>
      <c r="I3403" s="10" t="s">
        <v>10</v>
      </c>
      <c r="J3403" s="13">
        <v>46184</v>
      </c>
      <c r="K3403" t="s">
        <v>486</v>
      </c>
    </row>
    <row r="3404" hidden="1" spans="1:11">
      <c r="B3404" s="14">
        <v>262700062</v>
      </c>
      <c r="C3404" s="13">
        <v>46115</v>
      </c>
      <c r="D3404" s="14" t="s">
        <v>425</v>
      </c>
      <c r="E3404" s="15">
        <v>70000</v>
      </c>
      <c r="F3404" s="14">
        <v>0.07</v>
      </c>
      <c r="G3404" s="16">
        <v>46270</v>
      </c>
      <c r="H3404" s="17">
        <f t="shared" si="53"/>
        <v>4900</v>
      </c>
      <c r="I3404" s="15" t="s">
        <v>317</v>
      </c>
      <c r="J3404" s="15"/>
      <c r="K3404" t="s">
        <v>489</v>
      </c>
    </row>
    <row r="3405" hidden="1" spans="1:11">
      <c r="B3405" s="14">
        <v>262700062</v>
      </c>
      <c r="C3405" s="13">
        <v>46115</v>
      </c>
      <c r="D3405" s="14" t="s">
        <v>425</v>
      </c>
      <c r="E3405" s="15">
        <v>70000</v>
      </c>
      <c r="F3405" s="14">
        <v>0.07</v>
      </c>
      <c r="G3405" s="16">
        <v>46300</v>
      </c>
      <c r="H3405" s="17">
        <f t="shared" si="53"/>
        <v>4900</v>
      </c>
      <c r="I3405" s="15" t="s">
        <v>317</v>
      </c>
      <c r="J3405" s="15"/>
      <c r="K3405" t="s">
        <v>489</v>
      </c>
    </row>
    <row r="3406" hidden="1" spans="1:11">
      <c r="A3406" t="s">
        <v>319</v>
      </c>
      <c r="B3406" s="8">
        <v>262700071</v>
      </c>
      <c r="C3406" s="9">
        <v>46118</v>
      </c>
      <c r="D3406" s="8" t="s">
        <v>246</v>
      </c>
      <c r="E3406" s="10">
        <v>54000</v>
      </c>
      <c r="F3406" s="8">
        <v>0.07</v>
      </c>
      <c r="G3406" s="11">
        <v>46134</v>
      </c>
      <c r="H3406" s="12">
        <f t="shared" si="53"/>
        <v>3780</v>
      </c>
      <c r="I3406" s="10" t="s">
        <v>10</v>
      </c>
      <c r="J3406" s="13">
        <v>46121</v>
      </c>
      <c r="K3406" t="s">
        <v>337</v>
      </c>
    </row>
    <row r="3407" hidden="1" spans="1:11">
      <c r="A3407" t="s">
        <v>319</v>
      </c>
      <c r="B3407" s="8">
        <v>262700071</v>
      </c>
      <c r="C3407" s="9">
        <v>46118</v>
      </c>
      <c r="D3407" s="8" t="s">
        <v>226</v>
      </c>
      <c r="E3407" s="10">
        <v>250000</v>
      </c>
      <c r="F3407" s="8">
        <v>0.065</v>
      </c>
      <c r="G3407" s="11">
        <v>46134</v>
      </c>
      <c r="H3407" s="12">
        <f t="shared" si="53"/>
        <v>16250</v>
      </c>
      <c r="I3407" s="10" t="s">
        <v>10</v>
      </c>
      <c r="J3407" s="13">
        <v>46126</v>
      </c>
      <c r="K3407" t="s">
        <v>337</v>
      </c>
    </row>
    <row r="3408" hidden="1" spans="1:11">
      <c r="A3408" t="s">
        <v>319</v>
      </c>
      <c r="B3408" s="8">
        <v>262700071</v>
      </c>
      <c r="C3408" s="9">
        <v>46118</v>
      </c>
      <c r="D3408" s="8" t="s">
        <v>226</v>
      </c>
      <c r="E3408" s="10">
        <v>250000</v>
      </c>
      <c r="F3408" s="8">
        <v>0.065</v>
      </c>
      <c r="G3408" s="11">
        <v>46147</v>
      </c>
      <c r="H3408" s="12">
        <f t="shared" si="53"/>
        <v>16250</v>
      </c>
      <c r="I3408" s="10" t="s">
        <v>10</v>
      </c>
      <c r="J3408" s="13">
        <v>46126</v>
      </c>
      <c r="K3408" t="s">
        <v>337</v>
      </c>
    </row>
    <row r="3409" hidden="1" spans="1:11">
      <c r="A3409" t="s">
        <v>319</v>
      </c>
      <c r="B3409" s="8">
        <v>262700071</v>
      </c>
      <c r="C3409" s="9">
        <v>46118</v>
      </c>
      <c r="D3409" s="8" t="s">
        <v>40</v>
      </c>
      <c r="E3409" s="10">
        <v>250000</v>
      </c>
      <c r="F3409" s="8">
        <v>0.035</v>
      </c>
      <c r="G3409" s="11">
        <v>46147</v>
      </c>
      <c r="H3409" s="12">
        <f t="shared" si="53"/>
        <v>8750</v>
      </c>
      <c r="I3409" s="10" t="s">
        <v>10</v>
      </c>
      <c r="J3409" s="13">
        <v>46126</v>
      </c>
      <c r="K3409" t="s">
        <v>337</v>
      </c>
    </row>
    <row r="3410" hidden="1" spans="1:11">
      <c r="A3410" t="s">
        <v>319</v>
      </c>
      <c r="B3410" s="8">
        <v>262700071</v>
      </c>
      <c r="C3410" s="9">
        <v>46118</v>
      </c>
      <c r="D3410" s="8" t="s">
        <v>40</v>
      </c>
      <c r="E3410" s="10">
        <v>250000</v>
      </c>
      <c r="F3410" s="8">
        <v>0.035</v>
      </c>
      <c r="G3410" s="11">
        <v>46147</v>
      </c>
      <c r="H3410" s="12">
        <f t="shared" si="53"/>
        <v>8750</v>
      </c>
      <c r="I3410" s="10" t="s">
        <v>10</v>
      </c>
      <c r="J3410" s="13">
        <v>46126</v>
      </c>
      <c r="K3410" t="s">
        <v>337</v>
      </c>
    </row>
    <row r="3411" hidden="1" spans="1:11">
      <c r="A3411" t="s">
        <v>319</v>
      </c>
      <c r="B3411" s="8">
        <v>262700071</v>
      </c>
      <c r="C3411" s="9">
        <v>46118</v>
      </c>
      <c r="D3411" s="8" t="s">
        <v>39</v>
      </c>
      <c r="E3411" s="10">
        <v>300000</v>
      </c>
      <c r="F3411" s="8">
        <v>0.022</v>
      </c>
      <c r="G3411" s="11">
        <v>46134</v>
      </c>
      <c r="H3411" s="12">
        <f t="shared" si="53"/>
        <v>6600</v>
      </c>
      <c r="I3411" s="10" t="s">
        <v>10</v>
      </c>
      <c r="J3411" s="13">
        <v>46121</v>
      </c>
      <c r="K3411" t="s">
        <v>337</v>
      </c>
    </row>
    <row r="3412" hidden="1" spans="1:11">
      <c r="A3412" t="s">
        <v>319</v>
      </c>
      <c r="B3412" s="8">
        <v>262700071</v>
      </c>
      <c r="C3412" s="9">
        <v>46118</v>
      </c>
      <c r="D3412" s="8" t="s">
        <v>39</v>
      </c>
      <c r="E3412" s="10">
        <v>300000</v>
      </c>
      <c r="F3412" s="8">
        <v>0.022</v>
      </c>
      <c r="G3412" s="11">
        <v>46134</v>
      </c>
      <c r="H3412" s="12">
        <f t="shared" si="53"/>
        <v>6600</v>
      </c>
      <c r="I3412" s="10" t="s">
        <v>10</v>
      </c>
      <c r="J3412" s="13">
        <v>46121</v>
      </c>
      <c r="K3412" t="s">
        <v>337</v>
      </c>
    </row>
    <row r="3413" hidden="1" spans="1:11">
      <c r="A3413" t="s">
        <v>319</v>
      </c>
      <c r="B3413" s="8">
        <v>262700071</v>
      </c>
      <c r="C3413" s="9">
        <v>46118</v>
      </c>
      <c r="D3413" s="8" t="s">
        <v>39</v>
      </c>
      <c r="E3413" s="10">
        <v>300000</v>
      </c>
      <c r="F3413" s="8">
        <v>0.022</v>
      </c>
      <c r="G3413" s="11">
        <v>46147</v>
      </c>
      <c r="H3413" s="12">
        <f t="shared" si="53"/>
        <v>6600</v>
      </c>
      <c r="I3413" s="10" t="s">
        <v>10</v>
      </c>
      <c r="J3413" s="13">
        <v>46121</v>
      </c>
      <c r="K3413" t="s">
        <v>337</v>
      </c>
    </row>
    <row r="3414" hidden="1" spans="1:11">
      <c r="A3414" t="s">
        <v>319</v>
      </c>
      <c r="B3414" s="8">
        <v>262700071</v>
      </c>
      <c r="C3414" s="9">
        <v>46118</v>
      </c>
      <c r="D3414" s="8" t="s">
        <v>39</v>
      </c>
      <c r="E3414" s="10">
        <v>300000</v>
      </c>
      <c r="F3414" s="8">
        <v>0.022</v>
      </c>
      <c r="G3414" s="11">
        <v>46147</v>
      </c>
      <c r="H3414" s="12">
        <f t="shared" si="53"/>
        <v>6600</v>
      </c>
      <c r="I3414" s="10" t="s">
        <v>10</v>
      </c>
      <c r="J3414" s="13">
        <v>46121</v>
      </c>
      <c r="K3414" t="s">
        <v>337</v>
      </c>
    </row>
    <row r="3415" hidden="1" spans="1:11">
      <c r="A3415" t="s">
        <v>319</v>
      </c>
      <c r="B3415" s="8">
        <v>262700101</v>
      </c>
      <c r="C3415" s="9">
        <v>46120</v>
      </c>
      <c r="D3415" s="8" t="s">
        <v>181</v>
      </c>
      <c r="E3415" s="10">
        <v>200000</v>
      </c>
      <c r="F3415" s="8">
        <v>0.0243</v>
      </c>
      <c r="G3415" s="11">
        <v>46178</v>
      </c>
      <c r="H3415" s="12">
        <f t="shared" si="53"/>
        <v>4860</v>
      </c>
      <c r="I3415" s="10" t="s">
        <v>10</v>
      </c>
      <c r="J3415" s="13">
        <v>46162</v>
      </c>
      <c r="K3415" t="s">
        <v>435</v>
      </c>
    </row>
    <row r="3416" hidden="1" spans="1:11">
      <c r="A3416" t="s">
        <v>319</v>
      </c>
      <c r="B3416" s="8">
        <v>262700101</v>
      </c>
      <c r="C3416" s="9">
        <v>46120</v>
      </c>
      <c r="D3416" s="8" t="s">
        <v>181</v>
      </c>
      <c r="E3416" s="10">
        <v>200000</v>
      </c>
      <c r="F3416" s="8">
        <v>0.0243</v>
      </c>
      <c r="G3416" s="11">
        <v>46178</v>
      </c>
      <c r="H3416" s="12">
        <f t="shared" si="53"/>
        <v>4860</v>
      </c>
      <c r="I3416" s="10" t="s">
        <v>10</v>
      </c>
      <c r="J3416" s="13">
        <v>46162</v>
      </c>
      <c r="K3416" t="s">
        <v>435</v>
      </c>
    </row>
    <row r="3417" hidden="1" spans="1:11">
      <c r="A3417" t="s">
        <v>319</v>
      </c>
      <c r="B3417" s="8">
        <v>262700101</v>
      </c>
      <c r="C3417" s="9">
        <v>46120</v>
      </c>
      <c r="D3417" s="8" t="s">
        <v>181</v>
      </c>
      <c r="E3417" s="10">
        <v>200000</v>
      </c>
      <c r="F3417" s="8">
        <v>0.0243</v>
      </c>
      <c r="G3417" s="11">
        <v>46178</v>
      </c>
      <c r="H3417" s="12">
        <f t="shared" si="53"/>
        <v>4860</v>
      </c>
      <c r="I3417" s="10" t="s">
        <v>10</v>
      </c>
      <c r="J3417" s="13">
        <v>46162</v>
      </c>
      <c r="K3417" t="s">
        <v>435</v>
      </c>
    </row>
    <row r="3418" hidden="1" spans="1:11">
      <c r="A3418" t="s">
        <v>319</v>
      </c>
      <c r="B3418" s="8">
        <v>262700101</v>
      </c>
      <c r="C3418" s="9">
        <v>46120</v>
      </c>
      <c r="D3418" s="8" t="s">
        <v>181</v>
      </c>
      <c r="E3418" s="10">
        <v>200000</v>
      </c>
      <c r="F3418" s="8">
        <v>0.0243</v>
      </c>
      <c r="G3418" s="11">
        <v>46178</v>
      </c>
      <c r="H3418" s="12">
        <f t="shared" si="53"/>
        <v>4860</v>
      </c>
      <c r="I3418" s="10" t="s">
        <v>10</v>
      </c>
      <c r="J3418" s="13">
        <v>46162</v>
      </c>
      <c r="K3418" t="s">
        <v>435</v>
      </c>
    </row>
    <row r="3419" hidden="1" spans="1:11">
      <c r="A3419" t="s">
        <v>319</v>
      </c>
      <c r="B3419" s="8">
        <v>262700101</v>
      </c>
      <c r="C3419" s="9">
        <v>46120</v>
      </c>
      <c r="D3419" s="8" t="s">
        <v>651</v>
      </c>
      <c r="E3419" s="10">
        <v>54000</v>
      </c>
      <c r="F3419" s="8">
        <v>0.025</v>
      </c>
      <c r="G3419" s="11">
        <v>46147</v>
      </c>
      <c r="H3419" s="12">
        <f t="shared" si="53"/>
        <v>1350</v>
      </c>
      <c r="I3419" s="10" t="s">
        <v>10</v>
      </c>
      <c r="J3419" s="13">
        <v>46157</v>
      </c>
      <c r="K3419" t="s">
        <v>435</v>
      </c>
    </row>
    <row r="3420" hidden="1" spans="1:11">
      <c r="A3420" t="s">
        <v>319</v>
      </c>
      <c r="B3420" s="8">
        <v>262700101</v>
      </c>
      <c r="C3420" s="9">
        <v>46120</v>
      </c>
      <c r="D3420" s="8" t="s">
        <v>651</v>
      </c>
      <c r="E3420" s="10">
        <v>50000</v>
      </c>
      <c r="F3420" s="8">
        <v>0.025</v>
      </c>
      <c r="G3420" s="11">
        <v>46178</v>
      </c>
      <c r="H3420" s="12">
        <f t="shared" si="53"/>
        <v>1250</v>
      </c>
      <c r="I3420" s="10" t="s">
        <v>10</v>
      </c>
      <c r="J3420" s="13">
        <v>46157</v>
      </c>
      <c r="K3420" t="s">
        <v>435</v>
      </c>
    </row>
    <row r="3421" hidden="1" spans="1:11">
      <c r="A3421" t="s">
        <v>319</v>
      </c>
      <c r="B3421" s="8">
        <v>262700101</v>
      </c>
      <c r="C3421" s="9">
        <v>46120</v>
      </c>
      <c r="D3421" s="8" t="s">
        <v>650</v>
      </c>
      <c r="E3421" s="10">
        <v>30000</v>
      </c>
      <c r="F3421" s="8">
        <v>0.0255</v>
      </c>
      <c r="G3421" s="11">
        <v>46178</v>
      </c>
      <c r="H3421" s="12">
        <f t="shared" si="53"/>
        <v>765</v>
      </c>
      <c r="I3421" s="10" t="s">
        <v>10</v>
      </c>
      <c r="J3421" s="13">
        <v>46185</v>
      </c>
      <c r="K3421" t="s">
        <v>435</v>
      </c>
    </row>
    <row r="3422" hidden="1" spans="1:11">
      <c r="A3422" t="s">
        <v>319</v>
      </c>
      <c r="B3422" s="8">
        <v>262700102</v>
      </c>
      <c r="C3422" s="9">
        <v>46120</v>
      </c>
      <c r="D3422" s="8" t="s">
        <v>289</v>
      </c>
      <c r="E3422" s="10">
        <v>200000</v>
      </c>
      <c r="F3422" s="8">
        <v>0.033</v>
      </c>
      <c r="G3422" s="11">
        <v>46208</v>
      </c>
      <c r="H3422" s="12">
        <f t="shared" si="53"/>
        <v>6600</v>
      </c>
      <c r="I3422" s="10" t="s">
        <v>10</v>
      </c>
      <c r="J3422" s="13">
        <v>46184</v>
      </c>
      <c r="K3422" t="s">
        <v>435</v>
      </c>
    </row>
    <row r="3423" hidden="1" spans="1:11">
      <c r="A3423" t="s">
        <v>319</v>
      </c>
      <c r="B3423" s="8">
        <v>262700102</v>
      </c>
      <c r="C3423" s="9">
        <v>46120</v>
      </c>
      <c r="D3423" s="8" t="s">
        <v>289</v>
      </c>
      <c r="E3423" s="10">
        <v>200000</v>
      </c>
      <c r="F3423" s="8">
        <v>0.033</v>
      </c>
      <c r="G3423" s="11">
        <v>46239</v>
      </c>
      <c r="H3423" s="12">
        <f t="shared" si="53"/>
        <v>6600</v>
      </c>
      <c r="I3423" s="10" t="s">
        <v>10</v>
      </c>
      <c r="J3423" s="13">
        <v>46184</v>
      </c>
      <c r="K3423" t="s">
        <v>435</v>
      </c>
    </row>
    <row r="3424" hidden="1" spans="1:11">
      <c r="A3424" t="s">
        <v>319</v>
      </c>
      <c r="B3424" s="8">
        <v>262700102</v>
      </c>
      <c r="C3424" s="9">
        <v>46120</v>
      </c>
      <c r="D3424" s="8" t="s">
        <v>289</v>
      </c>
      <c r="E3424" s="10">
        <v>200000</v>
      </c>
      <c r="F3424" s="8">
        <v>0.033</v>
      </c>
      <c r="G3424" s="11">
        <v>46239</v>
      </c>
      <c r="H3424" s="12">
        <f t="shared" si="53"/>
        <v>6600</v>
      </c>
      <c r="I3424" s="10" t="s">
        <v>10</v>
      </c>
      <c r="J3424" s="13">
        <v>46184</v>
      </c>
      <c r="K3424" t="s">
        <v>435</v>
      </c>
    </row>
    <row r="3425" hidden="1" spans="1:11">
      <c r="A3425" t="s">
        <v>319</v>
      </c>
      <c r="B3425" s="8">
        <v>262700102</v>
      </c>
      <c r="C3425" s="9">
        <v>46120</v>
      </c>
      <c r="D3425" s="8" t="s">
        <v>289</v>
      </c>
      <c r="E3425" s="10">
        <v>100000</v>
      </c>
      <c r="F3425" s="8">
        <v>0.033</v>
      </c>
      <c r="G3425" s="11">
        <v>46239</v>
      </c>
      <c r="H3425" s="12">
        <f t="shared" si="53"/>
        <v>3300</v>
      </c>
      <c r="I3425" s="10" t="s">
        <v>10</v>
      </c>
      <c r="J3425" s="13">
        <v>46184</v>
      </c>
      <c r="K3425" t="s">
        <v>435</v>
      </c>
    </row>
    <row r="3426" hidden="1" spans="1:11">
      <c r="A3426" t="s">
        <v>319</v>
      </c>
      <c r="B3426" s="8">
        <v>262700102</v>
      </c>
      <c r="C3426" s="9">
        <v>46120</v>
      </c>
      <c r="D3426" s="8" t="s">
        <v>136</v>
      </c>
      <c r="E3426" s="10">
        <v>200000</v>
      </c>
      <c r="F3426" s="8">
        <v>0.028</v>
      </c>
      <c r="G3426" s="11">
        <v>46208</v>
      </c>
      <c r="H3426" s="12">
        <f t="shared" si="53"/>
        <v>5600</v>
      </c>
      <c r="I3426" s="10" t="s">
        <v>10</v>
      </c>
      <c r="J3426" s="13">
        <v>46184</v>
      </c>
      <c r="K3426" t="s">
        <v>435</v>
      </c>
    </row>
    <row r="3427" hidden="1" spans="1:11">
      <c r="A3427" t="s">
        <v>319</v>
      </c>
      <c r="B3427" s="8">
        <v>262700102</v>
      </c>
      <c r="C3427" s="9">
        <v>46120</v>
      </c>
      <c r="D3427" s="8" t="s">
        <v>136</v>
      </c>
      <c r="E3427" s="10">
        <v>200000</v>
      </c>
      <c r="F3427" s="8">
        <v>0.028</v>
      </c>
      <c r="G3427" s="11">
        <v>46208</v>
      </c>
      <c r="H3427" s="12">
        <f t="shared" si="53"/>
        <v>5600</v>
      </c>
      <c r="I3427" s="10" t="s">
        <v>10</v>
      </c>
      <c r="J3427" s="13">
        <v>46184</v>
      </c>
      <c r="K3427" t="s">
        <v>435</v>
      </c>
    </row>
    <row r="3428" hidden="1" spans="1:11">
      <c r="A3428" t="s">
        <v>319</v>
      </c>
      <c r="B3428" s="8">
        <v>262700102</v>
      </c>
      <c r="C3428" s="9">
        <v>46120</v>
      </c>
      <c r="D3428" s="8" t="s">
        <v>136</v>
      </c>
      <c r="E3428" s="10">
        <v>200000</v>
      </c>
      <c r="F3428" s="8">
        <v>0.028</v>
      </c>
      <c r="G3428" s="11">
        <v>46239</v>
      </c>
      <c r="H3428" s="12">
        <f t="shared" si="53"/>
        <v>5600</v>
      </c>
      <c r="I3428" s="10" t="s">
        <v>10</v>
      </c>
      <c r="J3428" s="13">
        <v>46184</v>
      </c>
      <c r="K3428" t="s">
        <v>435</v>
      </c>
    </row>
    <row r="3429" hidden="1" spans="1:11">
      <c r="A3429" t="s">
        <v>319</v>
      </c>
      <c r="B3429" s="8">
        <v>262700102</v>
      </c>
      <c r="C3429" s="9">
        <v>46120</v>
      </c>
      <c r="D3429" s="8" t="s">
        <v>136</v>
      </c>
      <c r="E3429" s="10">
        <v>200000</v>
      </c>
      <c r="F3429" s="8">
        <v>0.028</v>
      </c>
      <c r="G3429" s="11">
        <v>46239</v>
      </c>
      <c r="H3429" s="12">
        <f t="shared" si="53"/>
        <v>5600</v>
      </c>
      <c r="I3429" s="10" t="s">
        <v>10</v>
      </c>
      <c r="J3429" s="13">
        <v>46184</v>
      </c>
      <c r="K3429" t="s">
        <v>435</v>
      </c>
    </row>
    <row r="3430" hidden="1" spans="1:11">
      <c r="A3430" t="s">
        <v>319</v>
      </c>
      <c r="B3430" s="8">
        <v>262700102</v>
      </c>
      <c r="C3430" s="9">
        <v>46120</v>
      </c>
      <c r="D3430" s="8" t="s">
        <v>181</v>
      </c>
      <c r="E3430" s="10">
        <v>200000</v>
      </c>
      <c r="F3430" s="8">
        <v>0.0243</v>
      </c>
      <c r="G3430" s="11">
        <v>46208</v>
      </c>
      <c r="H3430" s="12">
        <f t="shared" si="53"/>
        <v>4860</v>
      </c>
      <c r="I3430" s="10" t="s">
        <v>10</v>
      </c>
      <c r="J3430" s="13">
        <v>46191</v>
      </c>
      <c r="K3430" t="s">
        <v>435</v>
      </c>
    </row>
    <row r="3431" hidden="1" spans="1:11">
      <c r="A3431" t="s">
        <v>319</v>
      </c>
      <c r="B3431" s="8">
        <v>262700102</v>
      </c>
      <c r="C3431" s="9">
        <v>46120</v>
      </c>
      <c r="D3431" s="8" t="s">
        <v>181</v>
      </c>
      <c r="E3431" s="10">
        <v>200000</v>
      </c>
      <c r="F3431" s="8">
        <v>0.0243</v>
      </c>
      <c r="G3431" s="11">
        <v>46208</v>
      </c>
      <c r="H3431" s="12">
        <f t="shared" si="53"/>
        <v>4860</v>
      </c>
      <c r="I3431" s="10" t="s">
        <v>10</v>
      </c>
      <c r="J3431" s="13">
        <v>46191</v>
      </c>
      <c r="K3431" t="s">
        <v>435</v>
      </c>
    </row>
    <row r="3432" hidden="1" spans="1:11">
      <c r="A3432" t="s">
        <v>319</v>
      </c>
      <c r="B3432" s="8">
        <v>262700103</v>
      </c>
      <c r="C3432" s="9">
        <v>46120</v>
      </c>
      <c r="D3432" s="8" t="s">
        <v>181</v>
      </c>
      <c r="E3432" s="10">
        <v>200000</v>
      </c>
      <c r="F3432" s="8">
        <v>0.0243</v>
      </c>
      <c r="G3432" s="11">
        <v>46208</v>
      </c>
      <c r="H3432" s="12">
        <f t="shared" si="53"/>
        <v>4860</v>
      </c>
      <c r="I3432" s="10" t="s">
        <v>10</v>
      </c>
      <c r="J3432" s="13">
        <v>46191</v>
      </c>
      <c r="K3432" t="s">
        <v>435</v>
      </c>
    </row>
    <row r="3433" hidden="1" spans="1:11">
      <c r="A3433" t="s">
        <v>319</v>
      </c>
      <c r="B3433" s="8">
        <v>262700103</v>
      </c>
      <c r="C3433" s="9">
        <v>46120</v>
      </c>
      <c r="D3433" s="8" t="s">
        <v>181</v>
      </c>
      <c r="E3433" s="10">
        <v>200000</v>
      </c>
      <c r="F3433" s="8">
        <v>0.0243</v>
      </c>
      <c r="G3433" s="11">
        <v>46208</v>
      </c>
      <c r="H3433" s="12">
        <f t="shared" si="53"/>
        <v>4860</v>
      </c>
      <c r="I3433" s="10" t="s">
        <v>10</v>
      </c>
      <c r="J3433" s="13">
        <v>46191</v>
      </c>
      <c r="K3433" t="s">
        <v>435</v>
      </c>
    </row>
    <row r="3434" hidden="1" spans="1:11">
      <c r="A3434" t="s">
        <v>319</v>
      </c>
      <c r="B3434" s="8">
        <v>262700103</v>
      </c>
      <c r="C3434" s="9">
        <v>46120</v>
      </c>
      <c r="D3434" s="8" t="s">
        <v>181</v>
      </c>
      <c r="E3434" s="10">
        <v>200000</v>
      </c>
      <c r="F3434" s="8">
        <v>0.0243</v>
      </c>
      <c r="G3434" s="11">
        <v>46239</v>
      </c>
      <c r="H3434" s="12">
        <f t="shared" si="53"/>
        <v>4860</v>
      </c>
      <c r="I3434" s="10" t="s">
        <v>10</v>
      </c>
      <c r="J3434" s="13">
        <v>46191</v>
      </c>
      <c r="K3434" t="s">
        <v>435</v>
      </c>
    </row>
    <row r="3435" hidden="1" spans="1:11">
      <c r="A3435" t="s">
        <v>319</v>
      </c>
      <c r="B3435" s="8">
        <v>262700103</v>
      </c>
      <c r="C3435" s="9">
        <v>46120</v>
      </c>
      <c r="D3435" s="8" t="s">
        <v>181</v>
      </c>
      <c r="E3435" s="10">
        <v>200000</v>
      </c>
      <c r="F3435" s="8">
        <v>0.0243</v>
      </c>
      <c r="G3435" s="11">
        <v>46239</v>
      </c>
      <c r="H3435" s="12">
        <f t="shared" si="53"/>
        <v>4860</v>
      </c>
      <c r="I3435" s="10" t="s">
        <v>10</v>
      </c>
      <c r="J3435" s="13">
        <v>46191</v>
      </c>
      <c r="K3435" t="s">
        <v>435</v>
      </c>
    </row>
    <row r="3436" hidden="1" spans="1:11">
      <c r="A3436" t="s">
        <v>319</v>
      </c>
      <c r="B3436" s="8">
        <v>262700103</v>
      </c>
      <c r="C3436" s="9">
        <v>46120</v>
      </c>
      <c r="D3436" s="8" t="s">
        <v>181</v>
      </c>
      <c r="E3436" s="10">
        <v>200000</v>
      </c>
      <c r="F3436" s="8">
        <v>0.0243</v>
      </c>
      <c r="G3436" s="11">
        <v>46239</v>
      </c>
      <c r="H3436" s="12">
        <f t="shared" si="53"/>
        <v>4860</v>
      </c>
      <c r="I3436" s="10" t="s">
        <v>10</v>
      </c>
      <c r="J3436" s="13">
        <v>46191</v>
      </c>
      <c r="K3436" t="s">
        <v>435</v>
      </c>
    </row>
    <row r="3437" hidden="1" spans="1:11">
      <c r="A3437" t="s">
        <v>319</v>
      </c>
      <c r="B3437" s="8">
        <v>262700103</v>
      </c>
      <c r="C3437" s="9">
        <v>46120</v>
      </c>
      <c r="D3437" s="8" t="s">
        <v>181</v>
      </c>
      <c r="E3437" s="10">
        <v>200000</v>
      </c>
      <c r="F3437" s="8">
        <v>0.0243</v>
      </c>
      <c r="G3437" s="11">
        <v>46239</v>
      </c>
      <c r="H3437" s="12">
        <f t="shared" si="53"/>
        <v>4860</v>
      </c>
      <c r="I3437" s="10" t="s">
        <v>10</v>
      </c>
      <c r="J3437" s="13">
        <v>46191</v>
      </c>
      <c r="K3437" t="s">
        <v>435</v>
      </c>
    </row>
    <row r="3438" hidden="1" spans="1:11">
      <c r="A3438" t="s">
        <v>319</v>
      </c>
      <c r="B3438" s="8">
        <v>262700103</v>
      </c>
      <c r="C3438" s="9">
        <v>46120</v>
      </c>
      <c r="D3438" s="8" t="s">
        <v>651</v>
      </c>
      <c r="E3438" s="10">
        <v>50000</v>
      </c>
      <c r="F3438" s="8">
        <v>0.025</v>
      </c>
      <c r="G3438" s="11">
        <v>46208</v>
      </c>
      <c r="H3438" s="12">
        <f t="shared" si="53"/>
        <v>1250</v>
      </c>
      <c r="I3438" s="10" t="s">
        <v>10</v>
      </c>
      <c r="J3438" s="13">
        <v>46184</v>
      </c>
      <c r="K3438" t="s">
        <v>435</v>
      </c>
    </row>
    <row r="3439" hidden="1" spans="1:11">
      <c r="A3439" t="s">
        <v>319</v>
      </c>
      <c r="B3439" s="8">
        <v>262700103</v>
      </c>
      <c r="C3439" s="9">
        <v>46120</v>
      </c>
      <c r="D3439" s="8" t="s">
        <v>603</v>
      </c>
      <c r="E3439" s="10">
        <v>140000</v>
      </c>
      <c r="F3439" s="8">
        <v>0.027</v>
      </c>
      <c r="G3439" s="11">
        <v>46239</v>
      </c>
      <c r="H3439" s="12">
        <f t="shared" si="53"/>
        <v>3780</v>
      </c>
      <c r="I3439" s="10" t="s">
        <v>10</v>
      </c>
      <c r="J3439" s="13">
        <v>46191</v>
      </c>
      <c r="K3439" t="s">
        <v>435</v>
      </c>
    </row>
    <row r="3440" hidden="1" spans="1:11">
      <c r="A3440" t="s">
        <v>319</v>
      </c>
      <c r="B3440" s="8">
        <v>262700103</v>
      </c>
      <c r="C3440" s="9">
        <v>46120</v>
      </c>
      <c r="D3440" s="8" t="s">
        <v>603</v>
      </c>
      <c r="E3440" s="10">
        <v>140000</v>
      </c>
      <c r="F3440" s="8">
        <v>0.027</v>
      </c>
      <c r="G3440" s="11">
        <v>46239</v>
      </c>
      <c r="H3440" s="12">
        <f t="shared" si="53"/>
        <v>3780</v>
      </c>
      <c r="I3440" s="10" t="s">
        <v>10</v>
      </c>
      <c r="J3440" s="13">
        <v>46191</v>
      </c>
      <c r="K3440" t="s">
        <v>435</v>
      </c>
    </row>
    <row r="3441" hidden="1" spans="1:11">
      <c r="A3441" t="s">
        <v>319</v>
      </c>
      <c r="B3441" s="8">
        <v>262700103</v>
      </c>
      <c r="C3441" s="9">
        <v>46120</v>
      </c>
      <c r="D3441" s="8" t="s">
        <v>602</v>
      </c>
      <c r="E3441" s="10">
        <v>170000</v>
      </c>
      <c r="F3441" s="8">
        <v>0.022</v>
      </c>
      <c r="G3441" s="11">
        <v>46208</v>
      </c>
      <c r="H3441" s="12">
        <f t="shared" si="53"/>
        <v>3740</v>
      </c>
      <c r="I3441" s="10" t="s">
        <v>10</v>
      </c>
      <c r="J3441" s="13">
        <v>46184</v>
      </c>
      <c r="K3441" t="s">
        <v>435</v>
      </c>
    </row>
    <row r="3442" hidden="1" spans="1:11">
      <c r="A3442" t="s">
        <v>319</v>
      </c>
      <c r="B3442" s="8">
        <v>262700103</v>
      </c>
      <c r="C3442" s="9">
        <v>46120</v>
      </c>
      <c r="D3442" s="8" t="s">
        <v>602</v>
      </c>
      <c r="E3442" s="10">
        <v>170000</v>
      </c>
      <c r="F3442" s="8">
        <v>0.022</v>
      </c>
      <c r="G3442" s="11">
        <v>46239</v>
      </c>
      <c r="H3442" s="12">
        <f t="shared" si="53"/>
        <v>3740</v>
      </c>
      <c r="I3442" s="10" t="s">
        <v>10</v>
      </c>
      <c r="J3442" s="13">
        <v>46184</v>
      </c>
      <c r="K3442" t="s">
        <v>435</v>
      </c>
    </row>
    <row r="3443" hidden="1" spans="1:11">
      <c r="B3443" s="14">
        <v>262700105</v>
      </c>
      <c r="C3443" s="13">
        <v>46120</v>
      </c>
      <c r="D3443" s="14" t="s">
        <v>289</v>
      </c>
      <c r="E3443" s="15">
        <v>200000</v>
      </c>
      <c r="F3443" s="14">
        <v>0.033</v>
      </c>
      <c r="G3443" s="16">
        <v>46270</v>
      </c>
      <c r="H3443" s="17">
        <f t="shared" si="53"/>
        <v>6600</v>
      </c>
      <c r="I3443" s="15" t="s">
        <v>317</v>
      </c>
      <c r="J3443" s="15"/>
      <c r="K3443" t="s">
        <v>435</v>
      </c>
    </row>
    <row r="3444" hidden="1" spans="1:11">
      <c r="B3444" s="14">
        <v>262700105</v>
      </c>
      <c r="C3444" s="13">
        <v>46120</v>
      </c>
      <c r="D3444" s="14" t="s">
        <v>289</v>
      </c>
      <c r="E3444" s="15">
        <v>200000</v>
      </c>
      <c r="F3444" s="14">
        <v>0.033</v>
      </c>
      <c r="G3444" s="16">
        <v>46270</v>
      </c>
      <c r="H3444" s="17">
        <f t="shared" si="53"/>
        <v>6600</v>
      </c>
      <c r="I3444" s="15" t="s">
        <v>317</v>
      </c>
      <c r="J3444" s="15"/>
      <c r="K3444" t="s">
        <v>435</v>
      </c>
    </row>
    <row r="3445" hidden="1" spans="1:11">
      <c r="B3445" s="14">
        <v>262700105</v>
      </c>
      <c r="C3445" s="13">
        <v>46120</v>
      </c>
      <c r="D3445" s="14" t="s">
        <v>289</v>
      </c>
      <c r="E3445" s="15">
        <v>100000</v>
      </c>
      <c r="F3445" s="14">
        <v>0.033</v>
      </c>
      <c r="G3445" s="16">
        <v>46270</v>
      </c>
      <c r="H3445" s="17">
        <f t="shared" si="53"/>
        <v>3300</v>
      </c>
      <c r="I3445" s="15" t="s">
        <v>317</v>
      </c>
      <c r="J3445" s="15"/>
      <c r="K3445" t="s">
        <v>435</v>
      </c>
    </row>
    <row r="3446" hidden="1" spans="1:11">
      <c r="B3446" s="14">
        <v>262700105</v>
      </c>
      <c r="C3446" s="13">
        <v>46120</v>
      </c>
      <c r="D3446" s="14" t="s">
        <v>136</v>
      </c>
      <c r="E3446" s="15">
        <v>200000</v>
      </c>
      <c r="F3446" s="14">
        <v>0.028</v>
      </c>
      <c r="G3446" s="16">
        <v>46270</v>
      </c>
      <c r="H3446" s="17">
        <f t="shared" si="53"/>
        <v>5600</v>
      </c>
      <c r="I3446" s="15" t="s">
        <v>317</v>
      </c>
      <c r="J3446" s="15"/>
      <c r="K3446" t="s">
        <v>435</v>
      </c>
    </row>
    <row r="3447" hidden="1" spans="1:11">
      <c r="B3447" s="14">
        <v>262700105</v>
      </c>
      <c r="C3447" s="13">
        <v>46120</v>
      </c>
      <c r="D3447" s="14" t="s">
        <v>136</v>
      </c>
      <c r="E3447" s="15">
        <v>200000</v>
      </c>
      <c r="F3447" s="14">
        <v>0.028</v>
      </c>
      <c r="G3447" s="16">
        <v>46270</v>
      </c>
      <c r="H3447" s="17">
        <f t="shared" si="53"/>
        <v>5600</v>
      </c>
      <c r="I3447" s="15" t="s">
        <v>317</v>
      </c>
      <c r="J3447" s="15"/>
      <c r="K3447" t="s">
        <v>435</v>
      </c>
    </row>
    <row r="3448" hidden="1" spans="1:11">
      <c r="B3448" s="14">
        <v>262700105</v>
      </c>
      <c r="C3448" s="13">
        <v>46120</v>
      </c>
      <c r="D3448" s="14" t="s">
        <v>181</v>
      </c>
      <c r="E3448" s="15">
        <v>200000</v>
      </c>
      <c r="F3448" s="14">
        <v>0.0243</v>
      </c>
      <c r="G3448" s="16">
        <v>46270</v>
      </c>
      <c r="H3448" s="17">
        <f t="shared" si="53"/>
        <v>4860</v>
      </c>
      <c r="I3448" s="15" t="s">
        <v>317</v>
      </c>
      <c r="J3448" s="15"/>
      <c r="K3448" t="s">
        <v>435</v>
      </c>
    </row>
    <row r="3449" hidden="1" spans="1:11">
      <c r="B3449" s="14">
        <v>262700105</v>
      </c>
      <c r="C3449" s="13">
        <v>46120</v>
      </c>
      <c r="D3449" s="14" t="s">
        <v>181</v>
      </c>
      <c r="E3449" s="15">
        <v>200000</v>
      </c>
      <c r="F3449" s="14">
        <v>0.0243</v>
      </c>
      <c r="G3449" s="16">
        <v>46270</v>
      </c>
      <c r="H3449" s="17">
        <f t="shared" si="53"/>
        <v>4860</v>
      </c>
      <c r="I3449" s="15" t="s">
        <v>317</v>
      </c>
      <c r="J3449" s="15"/>
      <c r="K3449" t="s">
        <v>435</v>
      </c>
    </row>
    <row r="3450" hidden="1" spans="1:11">
      <c r="B3450" s="14">
        <v>262700105</v>
      </c>
      <c r="C3450" s="13">
        <v>46120</v>
      </c>
      <c r="D3450" s="14" t="s">
        <v>181</v>
      </c>
      <c r="E3450" s="15">
        <v>200000</v>
      </c>
      <c r="F3450" s="14">
        <v>0.0243</v>
      </c>
      <c r="G3450" s="16">
        <v>46270</v>
      </c>
      <c r="H3450" s="17">
        <f t="shared" si="53"/>
        <v>4860</v>
      </c>
      <c r="I3450" s="15" t="s">
        <v>317</v>
      </c>
      <c r="J3450" s="15"/>
      <c r="K3450" t="s">
        <v>435</v>
      </c>
    </row>
    <row r="3451" hidden="1" spans="1:11">
      <c r="B3451" s="14">
        <v>262700105</v>
      </c>
      <c r="C3451" s="13">
        <v>46120</v>
      </c>
      <c r="D3451" s="14" t="s">
        <v>181</v>
      </c>
      <c r="E3451" s="15">
        <v>200000</v>
      </c>
      <c r="F3451" s="14">
        <v>0.0243</v>
      </c>
      <c r="G3451" s="16">
        <v>46270</v>
      </c>
      <c r="H3451" s="17">
        <f t="shared" si="53"/>
        <v>4860</v>
      </c>
      <c r="I3451" s="15" t="s">
        <v>317</v>
      </c>
      <c r="J3451" s="15"/>
      <c r="K3451" t="s">
        <v>435</v>
      </c>
    </row>
    <row r="3452" hidden="1" spans="1:11">
      <c r="B3452" s="14">
        <v>262700105</v>
      </c>
      <c r="C3452" s="13">
        <v>46120</v>
      </c>
      <c r="D3452" s="14" t="s">
        <v>603</v>
      </c>
      <c r="E3452" s="15">
        <v>140000</v>
      </c>
      <c r="F3452" s="14">
        <v>0.027</v>
      </c>
      <c r="G3452" s="16">
        <v>46270</v>
      </c>
      <c r="H3452" s="17">
        <f t="shared" si="53"/>
        <v>3780</v>
      </c>
      <c r="I3452" s="15" t="s">
        <v>317</v>
      </c>
      <c r="J3452" s="15"/>
      <c r="K3452" t="s">
        <v>435</v>
      </c>
    </row>
    <row r="3453" hidden="1" spans="1:11">
      <c r="B3453" s="14">
        <v>262700105</v>
      </c>
      <c r="C3453" s="13">
        <v>46120</v>
      </c>
      <c r="D3453" s="14" t="s">
        <v>603</v>
      </c>
      <c r="E3453" s="15">
        <v>140000</v>
      </c>
      <c r="F3453" s="14">
        <v>0.027</v>
      </c>
      <c r="G3453" s="16">
        <v>46270</v>
      </c>
      <c r="H3453" s="17">
        <f t="shared" si="53"/>
        <v>3780</v>
      </c>
      <c r="I3453" s="15" t="s">
        <v>317</v>
      </c>
      <c r="J3453" s="15"/>
      <c r="K3453" t="s">
        <v>435</v>
      </c>
    </row>
    <row r="3454" hidden="1" spans="1:11">
      <c r="B3454" s="14">
        <v>262700105</v>
      </c>
      <c r="C3454" s="13">
        <v>46120</v>
      </c>
      <c r="D3454" s="14" t="s">
        <v>602</v>
      </c>
      <c r="E3454" s="15">
        <v>170000</v>
      </c>
      <c r="F3454" s="14">
        <v>0.022</v>
      </c>
      <c r="G3454" s="16">
        <v>46270</v>
      </c>
      <c r="H3454" s="17">
        <f t="shared" si="53"/>
        <v>3740</v>
      </c>
      <c r="I3454" s="15" t="s">
        <v>317</v>
      </c>
      <c r="J3454" s="15"/>
      <c r="K3454" t="s">
        <v>435</v>
      </c>
    </row>
    <row r="3455" hidden="1" spans="1:11">
      <c r="A3455" t="s">
        <v>319</v>
      </c>
      <c r="B3455" s="8">
        <v>262700136</v>
      </c>
      <c r="C3455" s="9">
        <v>46122</v>
      </c>
      <c r="D3455" s="8" t="s">
        <v>181</v>
      </c>
      <c r="E3455" s="10">
        <v>90000</v>
      </c>
      <c r="F3455" s="8">
        <v>0.0243</v>
      </c>
      <c r="G3455" s="11">
        <v>46134</v>
      </c>
      <c r="H3455" s="12">
        <f t="shared" si="53"/>
        <v>2187</v>
      </c>
      <c r="I3455" s="10" t="s">
        <v>10</v>
      </c>
      <c r="J3455" s="13">
        <v>46157</v>
      </c>
      <c r="K3455" t="s">
        <v>493</v>
      </c>
    </row>
    <row r="3456" hidden="1" spans="1:11">
      <c r="A3456" t="s">
        <v>319</v>
      </c>
      <c r="B3456" s="8">
        <v>262700136</v>
      </c>
      <c r="C3456" s="9">
        <v>46122</v>
      </c>
      <c r="D3456" s="8" t="s">
        <v>58</v>
      </c>
      <c r="E3456" s="10">
        <v>20000</v>
      </c>
      <c r="F3456" s="8">
        <v>0.014</v>
      </c>
      <c r="G3456" s="11">
        <v>46134</v>
      </c>
      <c r="H3456" s="12">
        <f t="shared" si="53"/>
        <v>280</v>
      </c>
      <c r="I3456" s="10" t="s">
        <v>10</v>
      </c>
      <c r="J3456" s="13">
        <v>46157</v>
      </c>
      <c r="K3456" t="s">
        <v>493</v>
      </c>
    </row>
    <row r="3457" hidden="1" spans="1:11">
      <c r="A3457" t="s">
        <v>319</v>
      </c>
      <c r="B3457" s="8">
        <v>262700162</v>
      </c>
      <c r="C3457" s="9">
        <v>46126</v>
      </c>
      <c r="D3457" s="8" t="s">
        <v>233</v>
      </c>
      <c r="E3457" s="10">
        <v>250000</v>
      </c>
      <c r="F3457" s="8">
        <v>0.15</v>
      </c>
      <c r="G3457" s="11">
        <v>46134</v>
      </c>
      <c r="H3457" s="12">
        <f t="shared" si="53"/>
        <v>37500</v>
      </c>
      <c r="I3457" s="10" t="s">
        <v>10</v>
      </c>
      <c r="J3457" s="13">
        <v>46126</v>
      </c>
      <c r="K3457" t="s">
        <v>337</v>
      </c>
    </row>
    <row r="3458" hidden="1" spans="1:11">
      <c r="A3458" t="s">
        <v>319</v>
      </c>
      <c r="B3458" s="8">
        <v>262700162</v>
      </c>
      <c r="C3458" s="9">
        <v>46126</v>
      </c>
      <c r="D3458" s="8" t="s">
        <v>233</v>
      </c>
      <c r="E3458" s="10">
        <v>250000</v>
      </c>
      <c r="F3458" s="8">
        <v>0.15</v>
      </c>
      <c r="G3458" s="11">
        <v>46178</v>
      </c>
      <c r="H3458" s="12">
        <f t="shared" ref="H3458:H3521" si="54">E3458*F3458</f>
        <v>37500</v>
      </c>
      <c r="I3458" s="10" t="s">
        <v>10</v>
      </c>
      <c r="J3458" s="13">
        <v>46126</v>
      </c>
      <c r="K3458" t="s">
        <v>337</v>
      </c>
    </row>
    <row r="3459" hidden="1" spans="1:11">
      <c r="A3459" t="s">
        <v>319</v>
      </c>
      <c r="B3459" s="8">
        <v>262700175</v>
      </c>
      <c r="C3459" s="9">
        <v>46126</v>
      </c>
      <c r="D3459" s="8" t="s">
        <v>70</v>
      </c>
      <c r="E3459" s="10">
        <v>20000</v>
      </c>
      <c r="F3459" s="8">
        <v>0.028</v>
      </c>
      <c r="G3459" s="11">
        <v>46147</v>
      </c>
      <c r="H3459" s="12">
        <f t="shared" si="54"/>
        <v>560</v>
      </c>
      <c r="I3459" s="10" t="s">
        <v>10</v>
      </c>
      <c r="J3459" s="13">
        <v>46132</v>
      </c>
      <c r="K3459" t="s">
        <v>391</v>
      </c>
    </row>
    <row r="3460" hidden="1" spans="1:11">
      <c r="A3460" t="s">
        <v>319</v>
      </c>
      <c r="B3460" s="8">
        <v>262700175</v>
      </c>
      <c r="C3460" s="9">
        <v>46126</v>
      </c>
      <c r="D3460" s="8" t="s">
        <v>70</v>
      </c>
      <c r="E3460" s="10">
        <v>20000</v>
      </c>
      <c r="F3460" s="8">
        <v>0.028</v>
      </c>
      <c r="G3460" s="11">
        <v>46178</v>
      </c>
      <c r="H3460" s="12">
        <f t="shared" si="54"/>
        <v>560</v>
      </c>
      <c r="I3460" s="10" t="s">
        <v>10</v>
      </c>
      <c r="J3460" s="13">
        <v>46132</v>
      </c>
      <c r="K3460" t="s">
        <v>391</v>
      </c>
    </row>
    <row r="3461" hidden="1" spans="1:11">
      <c r="B3461" s="14">
        <v>262700176</v>
      </c>
      <c r="C3461" s="13">
        <v>46126</v>
      </c>
      <c r="D3461" s="14" t="s">
        <v>70</v>
      </c>
      <c r="E3461" s="15">
        <v>20000</v>
      </c>
      <c r="F3461" s="14">
        <v>0.028</v>
      </c>
      <c r="G3461" s="16">
        <v>46270</v>
      </c>
      <c r="H3461" s="17">
        <f t="shared" si="54"/>
        <v>560</v>
      </c>
      <c r="I3461" s="15" t="s">
        <v>317</v>
      </c>
      <c r="J3461" s="15"/>
      <c r="K3461" t="s">
        <v>391</v>
      </c>
    </row>
    <row r="3462" hidden="1" spans="1:11">
      <c r="B3462" s="14">
        <v>262700202</v>
      </c>
      <c r="C3462" s="13">
        <v>46128</v>
      </c>
      <c r="D3462" s="14" t="s">
        <v>285</v>
      </c>
      <c r="E3462" s="15">
        <v>42000</v>
      </c>
      <c r="F3462" s="14">
        <v>0.02</v>
      </c>
      <c r="G3462" s="16">
        <v>46270</v>
      </c>
      <c r="H3462" s="17">
        <f t="shared" si="54"/>
        <v>840</v>
      </c>
      <c r="I3462" s="15" t="s">
        <v>317</v>
      </c>
      <c r="J3462" s="15"/>
      <c r="K3462" t="s">
        <v>469</v>
      </c>
    </row>
    <row r="3463" hidden="1" spans="1:11">
      <c r="B3463" s="14">
        <v>262700202</v>
      </c>
      <c r="C3463" s="13">
        <v>46128</v>
      </c>
      <c r="D3463" s="14" t="s">
        <v>285</v>
      </c>
      <c r="E3463" s="15">
        <v>42000</v>
      </c>
      <c r="F3463" s="14">
        <v>0.02</v>
      </c>
      <c r="G3463" s="16">
        <v>46300</v>
      </c>
      <c r="H3463" s="17">
        <f t="shared" si="54"/>
        <v>840</v>
      </c>
      <c r="I3463" s="15" t="s">
        <v>317</v>
      </c>
      <c r="J3463" s="15"/>
      <c r="K3463" t="s">
        <v>469</v>
      </c>
    </row>
    <row r="3464" hidden="1" spans="1:11">
      <c r="B3464" s="14">
        <v>262700202</v>
      </c>
      <c r="C3464" s="13">
        <v>46128</v>
      </c>
      <c r="D3464" s="14" t="s">
        <v>286</v>
      </c>
      <c r="E3464" s="15">
        <v>42000</v>
      </c>
      <c r="F3464" s="14">
        <v>0.0235</v>
      </c>
      <c r="G3464" s="16">
        <v>46270</v>
      </c>
      <c r="H3464" s="17">
        <f t="shared" si="54"/>
        <v>987</v>
      </c>
      <c r="I3464" s="15" t="s">
        <v>317</v>
      </c>
      <c r="J3464" s="15"/>
      <c r="K3464" t="s">
        <v>469</v>
      </c>
    </row>
    <row r="3465" hidden="1" spans="1:11">
      <c r="B3465" s="14">
        <v>262700202</v>
      </c>
      <c r="C3465" s="13">
        <v>46128</v>
      </c>
      <c r="D3465" s="14" t="s">
        <v>465</v>
      </c>
      <c r="E3465" s="15">
        <v>42000</v>
      </c>
      <c r="F3465" s="14">
        <v>0.018</v>
      </c>
      <c r="G3465" s="16">
        <v>46270</v>
      </c>
      <c r="H3465" s="17">
        <f t="shared" si="54"/>
        <v>756</v>
      </c>
      <c r="I3465" s="15" t="s">
        <v>317</v>
      </c>
      <c r="J3465" s="15"/>
      <c r="K3465" t="s">
        <v>469</v>
      </c>
    </row>
    <row r="3466" hidden="1" spans="1:11">
      <c r="B3466" s="14">
        <v>262700202</v>
      </c>
      <c r="C3466" s="13">
        <v>46128</v>
      </c>
      <c r="D3466" s="14" t="s">
        <v>288</v>
      </c>
      <c r="E3466" s="15">
        <v>84000</v>
      </c>
      <c r="F3466" s="14">
        <v>0.022</v>
      </c>
      <c r="G3466" s="16">
        <v>46270</v>
      </c>
      <c r="H3466" s="17">
        <f t="shared" si="54"/>
        <v>1848</v>
      </c>
      <c r="I3466" s="15" t="s">
        <v>317</v>
      </c>
      <c r="J3466" s="15"/>
      <c r="K3466" t="s">
        <v>469</v>
      </c>
    </row>
    <row r="3467" hidden="1" spans="1:11">
      <c r="B3467" s="14">
        <v>262700202</v>
      </c>
      <c r="C3467" s="13">
        <v>46128</v>
      </c>
      <c r="D3467" s="14" t="s">
        <v>165</v>
      </c>
      <c r="E3467" s="15">
        <v>15000</v>
      </c>
      <c r="F3467" s="14">
        <v>0.018</v>
      </c>
      <c r="G3467" s="16">
        <v>46270</v>
      </c>
      <c r="H3467" s="17">
        <f t="shared" si="54"/>
        <v>270</v>
      </c>
      <c r="I3467" s="15" t="s">
        <v>317</v>
      </c>
      <c r="J3467" s="15"/>
      <c r="K3467" t="s">
        <v>469</v>
      </c>
    </row>
    <row r="3468" hidden="1" spans="1:11">
      <c r="B3468" s="14">
        <v>262700202</v>
      </c>
      <c r="C3468" s="13">
        <v>46128</v>
      </c>
      <c r="D3468" s="14" t="s">
        <v>164</v>
      </c>
      <c r="E3468" s="15">
        <v>12000</v>
      </c>
      <c r="F3468" s="14">
        <v>0.0106</v>
      </c>
      <c r="G3468" s="16">
        <v>46270</v>
      </c>
      <c r="H3468" s="17">
        <f t="shared" si="54"/>
        <v>127.2</v>
      </c>
      <c r="I3468" s="15" t="s">
        <v>317</v>
      </c>
      <c r="J3468" s="15"/>
      <c r="K3468" t="s">
        <v>469</v>
      </c>
    </row>
    <row r="3469" hidden="1" spans="1:11">
      <c r="B3469" s="14">
        <v>262700202</v>
      </c>
      <c r="C3469" s="13">
        <v>46128</v>
      </c>
      <c r="D3469" s="14" t="s">
        <v>622</v>
      </c>
      <c r="E3469" s="15">
        <v>18000</v>
      </c>
      <c r="F3469" s="14">
        <v>0.018</v>
      </c>
      <c r="G3469" s="16">
        <v>46270</v>
      </c>
      <c r="H3469" s="17">
        <f t="shared" si="54"/>
        <v>324</v>
      </c>
      <c r="I3469" s="15" t="s">
        <v>317</v>
      </c>
      <c r="J3469" s="15"/>
      <c r="K3469" t="s">
        <v>469</v>
      </c>
    </row>
    <row r="3470" hidden="1" spans="1:11">
      <c r="A3470" t="s">
        <v>319</v>
      </c>
      <c r="B3470" s="8">
        <v>262700244</v>
      </c>
      <c r="C3470" s="9">
        <v>46132</v>
      </c>
      <c r="D3470" s="8" t="s">
        <v>46</v>
      </c>
      <c r="E3470" s="10">
        <v>300000</v>
      </c>
      <c r="F3470" s="8">
        <v>0.02</v>
      </c>
      <c r="G3470" s="11">
        <v>46134</v>
      </c>
      <c r="H3470" s="12">
        <f t="shared" si="54"/>
        <v>6000</v>
      </c>
      <c r="I3470" s="10" t="s">
        <v>10</v>
      </c>
      <c r="J3470" s="13">
        <v>46139</v>
      </c>
      <c r="K3470" t="s">
        <v>377</v>
      </c>
    </row>
    <row r="3471" hidden="1" spans="1:11">
      <c r="A3471" t="s">
        <v>319</v>
      </c>
      <c r="B3471" s="8">
        <v>262700244</v>
      </c>
      <c r="C3471" s="9">
        <v>46132</v>
      </c>
      <c r="D3471" s="8" t="s">
        <v>46</v>
      </c>
      <c r="E3471" s="10">
        <v>300000</v>
      </c>
      <c r="F3471" s="8">
        <v>0.02</v>
      </c>
      <c r="G3471" s="11">
        <v>46134</v>
      </c>
      <c r="H3471" s="12">
        <f t="shared" si="54"/>
        <v>6000</v>
      </c>
      <c r="I3471" s="10" t="s">
        <v>10</v>
      </c>
      <c r="J3471" s="13">
        <v>46139</v>
      </c>
      <c r="K3471" t="s">
        <v>377</v>
      </c>
    </row>
    <row r="3472" hidden="1" spans="1:11">
      <c r="A3472" t="s">
        <v>319</v>
      </c>
      <c r="B3472" s="8">
        <v>262700244</v>
      </c>
      <c r="C3472" s="9">
        <v>46132</v>
      </c>
      <c r="D3472" s="8" t="s">
        <v>46</v>
      </c>
      <c r="E3472" s="10">
        <v>300000</v>
      </c>
      <c r="F3472" s="8">
        <v>0.02</v>
      </c>
      <c r="G3472" s="11">
        <v>46147</v>
      </c>
      <c r="H3472" s="12">
        <f t="shared" si="54"/>
        <v>6000</v>
      </c>
      <c r="I3472" s="10" t="s">
        <v>10</v>
      </c>
      <c r="J3472" s="13">
        <v>46139</v>
      </c>
      <c r="K3472" t="s">
        <v>377</v>
      </c>
    </row>
    <row r="3473" hidden="1" spans="1:11">
      <c r="A3473" t="s">
        <v>319</v>
      </c>
      <c r="B3473" s="8">
        <v>262700244</v>
      </c>
      <c r="C3473" s="9">
        <v>46132</v>
      </c>
      <c r="D3473" s="8" t="s">
        <v>38</v>
      </c>
      <c r="E3473" s="10">
        <v>100000</v>
      </c>
      <c r="F3473" s="8">
        <v>0.01</v>
      </c>
      <c r="G3473" s="11">
        <v>46134</v>
      </c>
      <c r="H3473" s="12">
        <f t="shared" si="54"/>
        <v>1000</v>
      </c>
      <c r="I3473" s="10" t="s">
        <v>10</v>
      </c>
      <c r="J3473" s="13">
        <v>46139</v>
      </c>
      <c r="K3473" t="s">
        <v>377</v>
      </c>
    </row>
    <row r="3474" hidden="1" spans="1:11">
      <c r="A3474" t="s">
        <v>319</v>
      </c>
      <c r="B3474" s="8">
        <v>262700244</v>
      </c>
      <c r="C3474" s="9">
        <v>46132</v>
      </c>
      <c r="D3474" s="8" t="s">
        <v>38</v>
      </c>
      <c r="E3474" s="10">
        <v>100000</v>
      </c>
      <c r="F3474" s="8">
        <v>0.01</v>
      </c>
      <c r="G3474" s="11">
        <v>46147</v>
      </c>
      <c r="H3474" s="12">
        <f t="shared" si="54"/>
        <v>1000</v>
      </c>
      <c r="I3474" s="10" t="s">
        <v>10</v>
      </c>
      <c r="J3474" s="13">
        <v>46139</v>
      </c>
      <c r="K3474" t="s">
        <v>377</v>
      </c>
    </row>
    <row r="3475" hidden="1" spans="1:11">
      <c r="A3475" t="s">
        <v>319</v>
      </c>
      <c r="B3475" s="8">
        <v>262700244</v>
      </c>
      <c r="C3475" s="9">
        <v>46132</v>
      </c>
      <c r="D3475" s="8" t="s">
        <v>511</v>
      </c>
      <c r="E3475" s="10">
        <v>120000</v>
      </c>
      <c r="F3475" s="8">
        <v>0.041</v>
      </c>
      <c r="G3475" s="11">
        <v>46134</v>
      </c>
      <c r="H3475" s="12">
        <f t="shared" si="54"/>
        <v>4920</v>
      </c>
      <c r="I3475" s="10" t="s">
        <v>10</v>
      </c>
      <c r="J3475" s="13">
        <v>46139</v>
      </c>
      <c r="K3475" t="s">
        <v>377</v>
      </c>
    </row>
    <row r="3476" hidden="1" spans="1:11">
      <c r="A3476" t="s">
        <v>319</v>
      </c>
      <c r="B3476" s="8">
        <v>262700244</v>
      </c>
      <c r="C3476" s="9">
        <v>46132</v>
      </c>
      <c r="D3476" s="8" t="s">
        <v>511</v>
      </c>
      <c r="E3476" s="10">
        <v>120000</v>
      </c>
      <c r="F3476" s="8">
        <v>0.041</v>
      </c>
      <c r="G3476" s="11">
        <v>46147</v>
      </c>
      <c r="H3476" s="12">
        <f t="shared" si="54"/>
        <v>4920</v>
      </c>
      <c r="I3476" s="10" t="s">
        <v>10</v>
      </c>
      <c r="J3476" s="13">
        <v>46139</v>
      </c>
      <c r="K3476" t="s">
        <v>377</v>
      </c>
    </row>
    <row r="3477" hidden="1" spans="1:11">
      <c r="A3477" t="s">
        <v>319</v>
      </c>
      <c r="B3477" s="8">
        <v>262700245</v>
      </c>
      <c r="C3477" s="9">
        <v>46132</v>
      </c>
      <c r="D3477" s="8" t="s">
        <v>487</v>
      </c>
      <c r="E3477" s="10">
        <v>580000</v>
      </c>
      <c r="F3477" s="8">
        <v>0.015</v>
      </c>
      <c r="G3477" s="11">
        <v>46178</v>
      </c>
      <c r="H3477" s="12">
        <f t="shared" si="54"/>
        <v>8700</v>
      </c>
      <c r="I3477" s="10" t="s">
        <v>10</v>
      </c>
      <c r="J3477" s="13">
        <v>46184</v>
      </c>
      <c r="K3477" t="s">
        <v>377</v>
      </c>
    </row>
    <row r="3478" hidden="1" spans="1:11">
      <c r="A3478" t="s">
        <v>319</v>
      </c>
      <c r="B3478" s="8">
        <v>262700245</v>
      </c>
      <c r="C3478" s="9">
        <v>46132</v>
      </c>
      <c r="D3478" s="8" t="s">
        <v>38</v>
      </c>
      <c r="E3478" s="10">
        <v>100000</v>
      </c>
      <c r="F3478" s="8">
        <v>0.01</v>
      </c>
      <c r="G3478" s="11">
        <v>46178</v>
      </c>
      <c r="H3478" s="12">
        <f t="shared" si="54"/>
        <v>1000</v>
      </c>
      <c r="I3478" s="10" t="s">
        <v>10</v>
      </c>
      <c r="J3478" s="13">
        <v>46184</v>
      </c>
      <c r="K3478" t="s">
        <v>377</v>
      </c>
    </row>
    <row r="3479" hidden="1" spans="1:11">
      <c r="A3479" t="s">
        <v>319</v>
      </c>
      <c r="B3479" s="8">
        <v>262700249</v>
      </c>
      <c r="C3479" s="9">
        <v>46129</v>
      </c>
      <c r="D3479" s="8" t="s">
        <v>40</v>
      </c>
      <c r="E3479" s="10">
        <v>250000</v>
      </c>
      <c r="F3479" s="8">
        <v>0.035</v>
      </c>
      <c r="G3479" s="11">
        <v>46178</v>
      </c>
      <c r="H3479" s="12">
        <f t="shared" si="54"/>
        <v>8750</v>
      </c>
      <c r="I3479" s="10" t="s">
        <v>10</v>
      </c>
      <c r="J3479" s="13">
        <v>46162</v>
      </c>
      <c r="K3479" t="s">
        <v>365</v>
      </c>
    </row>
    <row r="3480" hidden="1" spans="1:11">
      <c r="A3480" t="s">
        <v>319</v>
      </c>
      <c r="B3480" s="8">
        <v>262700249</v>
      </c>
      <c r="C3480" s="9">
        <v>46129</v>
      </c>
      <c r="D3480" s="8" t="s">
        <v>40</v>
      </c>
      <c r="E3480" s="10">
        <v>250000</v>
      </c>
      <c r="F3480" s="8">
        <v>0.035</v>
      </c>
      <c r="G3480" s="11">
        <v>46208</v>
      </c>
      <c r="H3480" s="12">
        <f t="shared" si="54"/>
        <v>8750</v>
      </c>
      <c r="I3480" s="10" t="s">
        <v>10</v>
      </c>
      <c r="J3480" s="13">
        <v>46162</v>
      </c>
      <c r="K3480" t="s">
        <v>365</v>
      </c>
    </row>
    <row r="3481" hidden="1" spans="1:11">
      <c r="B3481" s="14">
        <v>262700255</v>
      </c>
      <c r="C3481" s="13">
        <v>46133</v>
      </c>
      <c r="D3481" s="14" t="s">
        <v>30</v>
      </c>
      <c r="E3481" s="15">
        <v>100000</v>
      </c>
      <c r="F3481" s="14">
        <v>0.022</v>
      </c>
      <c r="G3481" s="16">
        <v>46239</v>
      </c>
      <c r="H3481" s="17">
        <f t="shared" si="54"/>
        <v>2200</v>
      </c>
      <c r="I3481" s="15" t="s">
        <v>317</v>
      </c>
      <c r="J3481" s="15"/>
      <c r="K3481" t="s">
        <v>365</v>
      </c>
    </row>
    <row r="3482" hidden="1" spans="1:11">
      <c r="B3482" s="14">
        <v>262700255</v>
      </c>
      <c r="C3482" s="13">
        <v>46133</v>
      </c>
      <c r="D3482" s="14" t="s">
        <v>30</v>
      </c>
      <c r="E3482" s="15">
        <v>150000</v>
      </c>
      <c r="F3482" s="14">
        <v>0.022</v>
      </c>
      <c r="G3482" s="16">
        <v>46239</v>
      </c>
      <c r="H3482" s="17">
        <f t="shared" si="54"/>
        <v>3300</v>
      </c>
      <c r="I3482" s="15" t="s">
        <v>317</v>
      </c>
      <c r="J3482" s="15"/>
      <c r="K3482" t="s">
        <v>365</v>
      </c>
    </row>
    <row r="3483" hidden="1" spans="1:11">
      <c r="A3483" t="s">
        <v>319</v>
      </c>
      <c r="B3483" s="8">
        <v>262700259</v>
      </c>
      <c r="C3483" s="9">
        <v>46133</v>
      </c>
      <c r="D3483" s="8" t="s">
        <v>540</v>
      </c>
      <c r="E3483" s="10">
        <v>20000</v>
      </c>
      <c r="F3483" s="8">
        <v>0.0297</v>
      </c>
      <c r="G3483" s="11">
        <v>46208</v>
      </c>
      <c r="H3483" s="12">
        <f t="shared" si="54"/>
        <v>594</v>
      </c>
      <c r="I3483" s="10" t="s">
        <v>10</v>
      </c>
      <c r="J3483" s="13">
        <v>46168</v>
      </c>
      <c r="K3483" t="s">
        <v>615</v>
      </c>
    </row>
    <row r="3484" hidden="1" spans="1:11">
      <c r="A3484" t="s">
        <v>319</v>
      </c>
      <c r="B3484" s="8">
        <v>262700259</v>
      </c>
      <c r="C3484" s="9">
        <v>46133</v>
      </c>
      <c r="D3484" s="8" t="s">
        <v>636</v>
      </c>
      <c r="E3484" s="10">
        <v>160000</v>
      </c>
      <c r="F3484" s="8">
        <v>0.026</v>
      </c>
      <c r="G3484" s="11">
        <v>46208</v>
      </c>
      <c r="H3484" s="12">
        <f t="shared" si="54"/>
        <v>4160</v>
      </c>
      <c r="I3484" s="10" t="s">
        <v>10</v>
      </c>
      <c r="J3484" s="13">
        <v>46168</v>
      </c>
      <c r="K3484" t="s">
        <v>615</v>
      </c>
    </row>
    <row r="3485" hidden="1" spans="1:11">
      <c r="A3485" t="s">
        <v>319</v>
      </c>
      <c r="B3485" s="8">
        <v>262700259</v>
      </c>
      <c r="C3485" s="9">
        <v>46133</v>
      </c>
      <c r="D3485" s="8" t="s">
        <v>649</v>
      </c>
      <c r="E3485" s="10">
        <v>20000</v>
      </c>
      <c r="F3485" s="8">
        <v>0.028</v>
      </c>
      <c r="G3485" s="11">
        <v>46208</v>
      </c>
      <c r="H3485" s="12">
        <f t="shared" si="54"/>
        <v>560</v>
      </c>
      <c r="I3485" s="10" t="s">
        <v>10</v>
      </c>
      <c r="J3485" s="13">
        <v>46168</v>
      </c>
      <c r="K3485" t="s">
        <v>615</v>
      </c>
    </row>
    <row r="3486" hidden="1" spans="1:11">
      <c r="A3486" t="s">
        <v>319</v>
      </c>
      <c r="B3486" s="8">
        <v>262700260</v>
      </c>
      <c r="C3486" s="9">
        <v>46133</v>
      </c>
      <c r="D3486" s="8" t="s">
        <v>636</v>
      </c>
      <c r="E3486" s="10">
        <v>160000</v>
      </c>
      <c r="F3486" s="8">
        <v>0.026</v>
      </c>
      <c r="G3486" s="11">
        <v>46178</v>
      </c>
      <c r="H3486" s="12">
        <f t="shared" si="54"/>
        <v>4160</v>
      </c>
      <c r="I3486" s="10" t="s">
        <v>10</v>
      </c>
      <c r="J3486" s="13">
        <v>46146</v>
      </c>
      <c r="K3486" t="s">
        <v>615</v>
      </c>
    </row>
    <row r="3487" hidden="1" spans="1:11">
      <c r="A3487" t="s">
        <v>319</v>
      </c>
      <c r="B3487" s="8">
        <v>262700260</v>
      </c>
      <c r="C3487" s="9">
        <v>46133</v>
      </c>
      <c r="D3487" s="8" t="s">
        <v>649</v>
      </c>
      <c r="E3487" s="10">
        <v>40000</v>
      </c>
      <c r="F3487" s="8">
        <v>0.028</v>
      </c>
      <c r="G3487" s="11">
        <v>46147</v>
      </c>
      <c r="H3487" s="12">
        <f t="shared" si="54"/>
        <v>1120</v>
      </c>
      <c r="I3487" s="10" t="s">
        <v>10</v>
      </c>
      <c r="J3487" s="13">
        <v>46146</v>
      </c>
      <c r="K3487" t="s">
        <v>615</v>
      </c>
    </row>
    <row r="3488" hidden="1" spans="1:11">
      <c r="A3488" t="s">
        <v>319</v>
      </c>
      <c r="B3488" s="8">
        <v>262700260</v>
      </c>
      <c r="C3488" s="9">
        <v>46133</v>
      </c>
      <c r="D3488" s="8" t="s">
        <v>649</v>
      </c>
      <c r="E3488" s="10">
        <v>40000</v>
      </c>
      <c r="F3488" s="8">
        <v>0.028</v>
      </c>
      <c r="G3488" s="11">
        <v>46178</v>
      </c>
      <c r="H3488" s="12">
        <f t="shared" si="54"/>
        <v>1120</v>
      </c>
      <c r="I3488" s="10" t="s">
        <v>10</v>
      </c>
      <c r="J3488" s="13">
        <v>46146</v>
      </c>
      <c r="K3488" t="s">
        <v>615</v>
      </c>
    </row>
    <row r="3489" hidden="1" spans="1:11">
      <c r="A3489" t="s">
        <v>319</v>
      </c>
      <c r="B3489" s="8">
        <v>262700268</v>
      </c>
      <c r="C3489" s="9">
        <v>46134</v>
      </c>
      <c r="D3489" s="8" t="s">
        <v>479</v>
      </c>
      <c r="E3489" s="10">
        <v>20000</v>
      </c>
      <c r="F3489" s="8">
        <v>0.0315</v>
      </c>
      <c r="G3489" s="11">
        <v>46134</v>
      </c>
      <c r="H3489" s="12">
        <f t="shared" si="54"/>
        <v>630</v>
      </c>
      <c r="I3489" s="10" t="s">
        <v>10</v>
      </c>
      <c r="J3489" s="13">
        <v>46139</v>
      </c>
      <c r="K3489" t="s">
        <v>519</v>
      </c>
    </row>
    <row r="3490" hidden="1" spans="1:11">
      <c r="A3490" t="s">
        <v>319</v>
      </c>
      <c r="B3490" s="8">
        <v>262700268</v>
      </c>
      <c r="C3490" s="9">
        <v>46134</v>
      </c>
      <c r="D3490" s="8" t="s">
        <v>479</v>
      </c>
      <c r="E3490" s="10">
        <v>20000</v>
      </c>
      <c r="F3490" s="8">
        <v>0.0315</v>
      </c>
      <c r="G3490" s="11">
        <v>46147</v>
      </c>
      <c r="H3490" s="12">
        <f t="shared" si="54"/>
        <v>630</v>
      </c>
      <c r="I3490" s="10" t="s">
        <v>10</v>
      </c>
      <c r="J3490" s="13">
        <v>46139</v>
      </c>
      <c r="K3490" t="s">
        <v>519</v>
      </c>
    </row>
    <row r="3491" hidden="1" spans="1:11">
      <c r="A3491" t="s">
        <v>319</v>
      </c>
      <c r="B3491" s="8">
        <v>262700268</v>
      </c>
      <c r="C3491" s="9">
        <v>46134</v>
      </c>
      <c r="D3491" s="8" t="s">
        <v>479</v>
      </c>
      <c r="E3491" s="10">
        <v>20000</v>
      </c>
      <c r="F3491" s="8">
        <v>0.0315</v>
      </c>
      <c r="G3491" s="11">
        <v>46164</v>
      </c>
      <c r="H3491" s="12">
        <f t="shared" si="54"/>
        <v>630</v>
      </c>
      <c r="I3491" s="10" t="s">
        <v>10</v>
      </c>
      <c r="J3491" s="13">
        <v>46139</v>
      </c>
      <c r="K3491" t="s">
        <v>519</v>
      </c>
    </row>
    <row r="3492" hidden="1" spans="1:11">
      <c r="A3492" t="s">
        <v>319</v>
      </c>
      <c r="B3492" s="8">
        <v>262700268</v>
      </c>
      <c r="C3492" s="9">
        <v>46134</v>
      </c>
      <c r="D3492" s="8" t="s">
        <v>498</v>
      </c>
      <c r="E3492" s="10">
        <v>20000</v>
      </c>
      <c r="F3492" s="8">
        <v>0.06</v>
      </c>
      <c r="G3492" s="11">
        <v>46147</v>
      </c>
      <c r="H3492" s="12">
        <f t="shared" si="54"/>
        <v>1200</v>
      </c>
      <c r="I3492" s="10" t="s">
        <v>10</v>
      </c>
      <c r="J3492" s="13">
        <v>46139</v>
      </c>
      <c r="K3492" t="s">
        <v>519</v>
      </c>
    </row>
    <row r="3493" hidden="1" spans="1:11">
      <c r="A3493" t="s">
        <v>319</v>
      </c>
      <c r="B3493" s="8">
        <v>262700286</v>
      </c>
      <c r="C3493" s="9">
        <v>46134</v>
      </c>
      <c r="D3493" s="8" t="s">
        <v>404</v>
      </c>
      <c r="E3493" s="10">
        <v>100000</v>
      </c>
      <c r="F3493" s="8">
        <v>0.06</v>
      </c>
      <c r="G3493" s="11">
        <v>46178</v>
      </c>
      <c r="H3493" s="12">
        <f t="shared" si="54"/>
        <v>6000</v>
      </c>
      <c r="I3493" s="10" t="s">
        <v>10</v>
      </c>
      <c r="J3493" s="13">
        <v>46139</v>
      </c>
      <c r="K3493" t="s">
        <v>405</v>
      </c>
    </row>
    <row r="3494" hidden="1" spans="1:11">
      <c r="A3494" t="s">
        <v>319</v>
      </c>
      <c r="B3494" s="8">
        <v>262700286</v>
      </c>
      <c r="C3494" s="9">
        <v>46134</v>
      </c>
      <c r="D3494" s="8" t="s">
        <v>404</v>
      </c>
      <c r="E3494" s="10">
        <v>100000</v>
      </c>
      <c r="F3494" s="8">
        <v>0.06</v>
      </c>
      <c r="G3494" s="11">
        <v>46208</v>
      </c>
      <c r="H3494" s="12">
        <f t="shared" si="54"/>
        <v>6000</v>
      </c>
      <c r="I3494" s="10" t="s">
        <v>10</v>
      </c>
      <c r="J3494" s="13">
        <v>46139</v>
      </c>
      <c r="K3494" t="s">
        <v>405</v>
      </c>
    </row>
    <row r="3495" hidden="1" spans="1:11">
      <c r="B3495" s="14">
        <v>262700287</v>
      </c>
      <c r="C3495" s="13">
        <v>46134</v>
      </c>
      <c r="D3495" s="14" t="s">
        <v>404</v>
      </c>
      <c r="E3495" s="15">
        <v>100000</v>
      </c>
      <c r="F3495" s="14">
        <v>0.06</v>
      </c>
      <c r="G3495" s="16">
        <v>46239</v>
      </c>
      <c r="H3495" s="17">
        <f t="shared" si="54"/>
        <v>6000</v>
      </c>
      <c r="I3495" s="15" t="s">
        <v>317</v>
      </c>
      <c r="J3495" s="15"/>
      <c r="K3495" t="s">
        <v>405</v>
      </c>
    </row>
    <row r="3496" hidden="1" spans="1:11">
      <c r="B3496" s="14">
        <v>262700287</v>
      </c>
      <c r="C3496" s="13">
        <v>46134</v>
      </c>
      <c r="D3496" s="14" t="s">
        <v>404</v>
      </c>
      <c r="E3496" s="15">
        <v>100000</v>
      </c>
      <c r="F3496" s="14">
        <v>0.06</v>
      </c>
      <c r="G3496" s="16">
        <v>46270</v>
      </c>
      <c r="H3496" s="17">
        <f t="shared" si="54"/>
        <v>6000</v>
      </c>
      <c r="I3496" s="15" t="s">
        <v>317</v>
      </c>
      <c r="J3496" s="15"/>
      <c r="K3496" t="s">
        <v>405</v>
      </c>
    </row>
    <row r="3497" hidden="1" spans="1:11">
      <c r="B3497" s="14">
        <v>262700288</v>
      </c>
      <c r="C3497" s="13">
        <v>46134</v>
      </c>
      <c r="D3497" s="14" t="s">
        <v>404</v>
      </c>
      <c r="E3497" s="15">
        <v>100000</v>
      </c>
      <c r="F3497" s="14">
        <v>0.06</v>
      </c>
      <c r="G3497" s="16">
        <v>46331</v>
      </c>
      <c r="H3497" s="17">
        <f t="shared" si="54"/>
        <v>6000</v>
      </c>
      <c r="I3497" s="15" t="s">
        <v>317</v>
      </c>
      <c r="J3497" s="15"/>
      <c r="K3497" t="s">
        <v>405</v>
      </c>
    </row>
    <row r="3498" hidden="1" spans="1:11">
      <c r="A3498" t="s">
        <v>319</v>
      </c>
      <c r="B3498" s="8">
        <v>262700289</v>
      </c>
      <c r="C3498" s="9">
        <v>46132</v>
      </c>
      <c r="D3498" s="8" t="s">
        <v>425</v>
      </c>
      <c r="E3498" s="10">
        <v>20000</v>
      </c>
      <c r="F3498" s="8">
        <v>0.07</v>
      </c>
      <c r="G3498" s="11">
        <v>46178</v>
      </c>
      <c r="H3498" s="12">
        <f t="shared" si="54"/>
        <v>1400</v>
      </c>
      <c r="I3498" s="10" t="s">
        <v>10</v>
      </c>
      <c r="J3498" s="13">
        <v>46157</v>
      </c>
      <c r="K3498" t="s">
        <v>431</v>
      </c>
    </row>
    <row r="3499" hidden="1" spans="1:11">
      <c r="A3499" t="s">
        <v>319</v>
      </c>
      <c r="B3499" s="8">
        <v>262700289</v>
      </c>
      <c r="C3499" s="9">
        <v>46132</v>
      </c>
      <c r="D3499" s="8" t="s">
        <v>425</v>
      </c>
      <c r="E3499" s="10">
        <v>20000</v>
      </c>
      <c r="F3499" s="8">
        <v>0.07</v>
      </c>
      <c r="G3499" s="11">
        <v>46208</v>
      </c>
      <c r="H3499" s="12">
        <f t="shared" si="54"/>
        <v>1400</v>
      </c>
      <c r="I3499" s="10" t="s">
        <v>10</v>
      </c>
      <c r="J3499" s="13">
        <v>46157</v>
      </c>
      <c r="K3499" t="s">
        <v>431</v>
      </c>
    </row>
    <row r="3500" hidden="1" spans="1:11">
      <c r="A3500" t="s">
        <v>319</v>
      </c>
      <c r="B3500" s="8">
        <v>262700289</v>
      </c>
      <c r="C3500" s="9">
        <v>46132</v>
      </c>
      <c r="D3500" s="8" t="s">
        <v>625</v>
      </c>
      <c r="E3500" s="10">
        <v>200000</v>
      </c>
      <c r="F3500" s="8">
        <v>0.032</v>
      </c>
      <c r="G3500" s="11">
        <v>46178</v>
      </c>
      <c r="H3500" s="12">
        <f t="shared" si="54"/>
        <v>6400</v>
      </c>
      <c r="I3500" s="10" t="s">
        <v>10</v>
      </c>
      <c r="J3500" s="13">
        <v>46157</v>
      </c>
      <c r="K3500" t="s">
        <v>431</v>
      </c>
    </row>
    <row r="3501" hidden="1" spans="1:11">
      <c r="A3501" t="s">
        <v>319</v>
      </c>
      <c r="B3501" s="8">
        <v>262700289</v>
      </c>
      <c r="C3501" s="9">
        <v>46132</v>
      </c>
      <c r="D3501" s="8" t="s">
        <v>625</v>
      </c>
      <c r="E3501" s="10">
        <v>200000</v>
      </c>
      <c r="F3501" s="8">
        <v>0.032</v>
      </c>
      <c r="G3501" s="11">
        <v>46178</v>
      </c>
      <c r="H3501" s="12">
        <f t="shared" si="54"/>
        <v>6400</v>
      </c>
      <c r="I3501" s="10" t="s">
        <v>10</v>
      </c>
      <c r="J3501" s="13">
        <v>46157</v>
      </c>
      <c r="K3501" t="s">
        <v>431</v>
      </c>
    </row>
    <row r="3502" hidden="1" spans="1:11">
      <c r="A3502" t="s">
        <v>319</v>
      </c>
      <c r="B3502" s="8">
        <v>262700289</v>
      </c>
      <c r="C3502" s="9">
        <v>46132</v>
      </c>
      <c r="D3502" s="8" t="s">
        <v>625</v>
      </c>
      <c r="E3502" s="10">
        <v>200000</v>
      </c>
      <c r="F3502" s="8">
        <v>0.032</v>
      </c>
      <c r="G3502" s="11">
        <v>46178</v>
      </c>
      <c r="H3502" s="12">
        <f t="shared" si="54"/>
        <v>6400</v>
      </c>
      <c r="I3502" s="10" t="s">
        <v>10</v>
      </c>
      <c r="J3502" s="13">
        <v>46157</v>
      </c>
      <c r="K3502" t="s">
        <v>431</v>
      </c>
    </row>
    <row r="3503" hidden="1" spans="1:11">
      <c r="A3503" t="s">
        <v>319</v>
      </c>
      <c r="B3503" s="8">
        <v>262700289</v>
      </c>
      <c r="C3503" s="9">
        <v>46132</v>
      </c>
      <c r="D3503" s="8" t="s">
        <v>625</v>
      </c>
      <c r="E3503" s="10">
        <v>200000</v>
      </c>
      <c r="F3503" s="8">
        <v>0.032</v>
      </c>
      <c r="G3503" s="11">
        <v>46178</v>
      </c>
      <c r="H3503" s="12">
        <f t="shared" si="54"/>
        <v>6400</v>
      </c>
      <c r="I3503" s="10" t="s">
        <v>10</v>
      </c>
      <c r="J3503" s="13">
        <v>46157</v>
      </c>
      <c r="K3503" t="s">
        <v>431</v>
      </c>
    </row>
    <row r="3504" hidden="1" spans="1:11">
      <c r="A3504" t="s">
        <v>319</v>
      </c>
      <c r="B3504" s="8">
        <v>262700289</v>
      </c>
      <c r="C3504" s="9">
        <v>46132</v>
      </c>
      <c r="D3504" s="8" t="s">
        <v>625</v>
      </c>
      <c r="E3504" s="10">
        <v>200000</v>
      </c>
      <c r="F3504" s="8">
        <v>0.032</v>
      </c>
      <c r="G3504" s="11">
        <v>46208</v>
      </c>
      <c r="H3504" s="12">
        <f t="shared" si="54"/>
        <v>6400</v>
      </c>
      <c r="I3504" s="10" t="s">
        <v>10</v>
      </c>
      <c r="J3504" s="13">
        <v>46157</v>
      </c>
      <c r="K3504" t="s">
        <v>431</v>
      </c>
    </row>
    <row r="3505" hidden="1" spans="1:11">
      <c r="A3505" t="s">
        <v>319</v>
      </c>
      <c r="B3505" s="8">
        <v>262700289</v>
      </c>
      <c r="C3505" s="9">
        <v>46132</v>
      </c>
      <c r="D3505" s="8" t="s">
        <v>625</v>
      </c>
      <c r="E3505" s="10">
        <v>200000</v>
      </c>
      <c r="F3505" s="8">
        <v>0.032</v>
      </c>
      <c r="G3505" s="11">
        <v>46208</v>
      </c>
      <c r="H3505" s="12">
        <f t="shared" si="54"/>
        <v>6400</v>
      </c>
      <c r="I3505" s="10" t="s">
        <v>10</v>
      </c>
      <c r="J3505" s="13">
        <v>46157</v>
      </c>
      <c r="K3505" t="s">
        <v>431</v>
      </c>
    </row>
    <row r="3506" hidden="1" spans="1:11">
      <c r="A3506" t="s">
        <v>319</v>
      </c>
      <c r="B3506" s="8">
        <v>262700289</v>
      </c>
      <c r="C3506" s="9">
        <v>46132</v>
      </c>
      <c r="D3506" s="8" t="s">
        <v>625</v>
      </c>
      <c r="E3506" s="10">
        <v>200000</v>
      </c>
      <c r="F3506" s="8">
        <v>0.032</v>
      </c>
      <c r="G3506" s="11">
        <v>46208</v>
      </c>
      <c r="H3506" s="12">
        <f t="shared" si="54"/>
        <v>6400</v>
      </c>
      <c r="I3506" s="10" t="s">
        <v>10</v>
      </c>
      <c r="J3506" s="13">
        <v>46157</v>
      </c>
      <c r="K3506" t="s">
        <v>431</v>
      </c>
    </row>
    <row r="3507" hidden="1" spans="1:11">
      <c r="A3507" t="s">
        <v>319</v>
      </c>
      <c r="B3507" s="8">
        <v>262700289</v>
      </c>
      <c r="C3507" s="9">
        <v>46132</v>
      </c>
      <c r="D3507" s="8" t="s">
        <v>625</v>
      </c>
      <c r="E3507" s="10">
        <v>200000</v>
      </c>
      <c r="F3507" s="8">
        <v>0.032</v>
      </c>
      <c r="G3507" s="11">
        <v>46208</v>
      </c>
      <c r="H3507" s="12">
        <f t="shared" si="54"/>
        <v>6400</v>
      </c>
      <c r="I3507" s="10" t="s">
        <v>10</v>
      </c>
      <c r="J3507" s="13">
        <v>46157</v>
      </c>
      <c r="K3507" t="s">
        <v>431</v>
      </c>
    </row>
    <row r="3508" hidden="1" spans="1:11">
      <c r="B3508" s="14">
        <v>262700290</v>
      </c>
      <c r="C3508" s="13">
        <v>46132</v>
      </c>
      <c r="D3508" s="14" t="s">
        <v>425</v>
      </c>
      <c r="E3508" s="15">
        <v>20000</v>
      </c>
      <c r="F3508" s="14">
        <v>0.07</v>
      </c>
      <c r="G3508" s="16">
        <v>46270</v>
      </c>
      <c r="H3508" s="17">
        <f t="shared" si="54"/>
        <v>1400</v>
      </c>
      <c r="I3508" s="15" t="s">
        <v>317</v>
      </c>
      <c r="J3508" s="15"/>
      <c r="K3508" t="s">
        <v>431</v>
      </c>
    </row>
    <row r="3509" hidden="1" spans="1:11">
      <c r="B3509" s="14">
        <v>262700290</v>
      </c>
      <c r="C3509" s="13">
        <v>46132</v>
      </c>
      <c r="D3509" s="14" t="s">
        <v>426</v>
      </c>
      <c r="E3509" s="15">
        <v>200000</v>
      </c>
      <c r="F3509" s="14">
        <v>0.032</v>
      </c>
      <c r="G3509" s="16">
        <v>46239</v>
      </c>
      <c r="H3509" s="17">
        <f t="shared" si="54"/>
        <v>6400</v>
      </c>
      <c r="I3509" s="15" t="s">
        <v>317</v>
      </c>
      <c r="J3509" s="15"/>
      <c r="K3509" t="s">
        <v>431</v>
      </c>
    </row>
    <row r="3510" hidden="1" spans="1:11">
      <c r="B3510" s="14">
        <v>262700290</v>
      </c>
      <c r="C3510" s="13">
        <v>46132</v>
      </c>
      <c r="D3510" s="14" t="s">
        <v>426</v>
      </c>
      <c r="E3510" s="15">
        <v>200000</v>
      </c>
      <c r="F3510" s="14">
        <v>0.032</v>
      </c>
      <c r="G3510" s="16">
        <v>46239</v>
      </c>
      <c r="H3510" s="17">
        <f t="shared" si="54"/>
        <v>6400</v>
      </c>
      <c r="I3510" s="15" t="s">
        <v>317</v>
      </c>
      <c r="J3510" s="15"/>
      <c r="K3510" t="s">
        <v>431</v>
      </c>
    </row>
    <row r="3511" hidden="1" spans="1:11">
      <c r="B3511" s="14">
        <v>262700290</v>
      </c>
      <c r="C3511" s="13">
        <v>46132</v>
      </c>
      <c r="D3511" s="14" t="s">
        <v>426</v>
      </c>
      <c r="E3511" s="15">
        <v>200000</v>
      </c>
      <c r="F3511" s="14">
        <v>0.032</v>
      </c>
      <c r="G3511" s="16">
        <v>46239</v>
      </c>
      <c r="H3511" s="17">
        <f t="shared" si="54"/>
        <v>6400</v>
      </c>
      <c r="I3511" s="15" t="s">
        <v>317</v>
      </c>
      <c r="J3511" s="15"/>
      <c r="K3511" t="s">
        <v>431</v>
      </c>
    </row>
    <row r="3512" hidden="1" spans="1:11">
      <c r="B3512" s="14">
        <v>262700290</v>
      </c>
      <c r="C3512" s="13">
        <v>46132</v>
      </c>
      <c r="D3512" s="14" t="s">
        <v>426</v>
      </c>
      <c r="E3512" s="15">
        <v>150000</v>
      </c>
      <c r="F3512" s="14">
        <v>0.032</v>
      </c>
      <c r="G3512" s="16">
        <v>46239</v>
      </c>
      <c r="H3512" s="17">
        <f t="shared" si="54"/>
        <v>4800</v>
      </c>
      <c r="I3512" s="15" t="s">
        <v>317</v>
      </c>
      <c r="J3512" s="15"/>
      <c r="K3512" t="s">
        <v>431</v>
      </c>
    </row>
    <row r="3513" hidden="1" spans="1:11">
      <c r="B3513" s="14">
        <v>262700290</v>
      </c>
      <c r="C3513" s="13">
        <v>46132</v>
      </c>
      <c r="D3513" s="14" t="s">
        <v>426</v>
      </c>
      <c r="E3513" s="15">
        <v>200000</v>
      </c>
      <c r="F3513" s="14">
        <v>0.032</v>
      </c>
      <c r="G3513" s="16">
        <v>46270</v>
      </c>
      <c r="H3513" s="17">
        <f t="shared" si="54"/>
        <v>6400</v>
      </c>
      <c r="I3513" s="15" t="s">
        <v>317</v>
      </c>
      <c r="J3513" s="15"/>
      <c r="K3513" t="s">
        <v>431</v>
      </c>
    </row>
    <row r="3514" hidden="1" spans="1:11">
      <c r="B3514" s="14">
        <v>262700290</v>
      </c>
      <c r="C3514" s="13">
        <v>46132</v>
      </c>
      <c r="D3514" s="14" t="s">
        <v>426</v>
      </c>
      <c r="E3514" s="15">
        <v>200000</v>
      </c>
      <c r="F3514" s="14">
        <v>0.032</v>
      </c>
      <c r="G3514" s="16">
        <v>46270</v>
      </c>
      <c r="H3514" s="17">
        <f t="shared" si="54"/>
        <v>6400</v>
      </c>
      <c r="I3514" s="15" t="s">
        <v>317</v>
      </c>
      <c r="J3514" s="15"/>
      <c r="K3514" t="s">
        <v>431</v>
      </c>
    </row>
    <row r="3515" hidden="1" spans="1:11">
      <c r="B3515" s="14">
        <v>262700290</v>
      </c>
      <c r="C3515" s="13">
        <v>46132</v>
      </c>
      <c r="D3515" s="14" t="s">
        <v>426</v>
      </c>
      <c r="E3515" s="15">
        <v>200000</v>
      </c>
      <c r="F3515" s="14">
        <v>0.032</v>
      </c>
      <c r="G3515" s="16">
        <v>46270</v>
      </c>
      <c r="H3515" s="17">
        <f t="shared" si="54"/>
        <v>6400</v>
      </c>
      <c r="I3515" s="15" t="s">
        <v>317</v>
      </c>
      <c r="J3515" s="15"/>
      <c r="K3515" t="s">
        <v>431</v>
      </c>
    </row>
    <row r="3516" hidden="1" spans="1:11">
      <c r="B3516" s="14">
        <v>262700290</v>
      </c>
      <c r="C3516" s="13">
        <v>46132</v>
      </c>
      <c r="D3516" s="14" t="s">
        <v>426</v>
      </c>
      <c r="E3516" s="15">
        <v>150000</v>
      </c>
      <c r="F3516" s="14">
        <v>0.032</v>
      </c>
      <c r="G3516" s="16">
        <v>46270</v>
      </c>
      <c r="H3516" s="17">
        <f t="shared" si="54"/>
        <v>4800</v>
      </c>
      <c r="I3516" s="15" t="s">
        <v>317</v>
      </c>
      <c r="J3516" s="15"/>
      <c r="K3516" t="s">
        <v>431</v>
      </c>
    </row>
    <row r="3517" hidden="1" spans="1:11">
      <c r="B3517" s="14">
        <v>262700291</v>
      </c>
      <c r="C3517" s="13">
        <v>46132</v>
      </c>
      <c r="D3517" s="14" t="s">
        <v>425</v>
      </c>
      <c r="E3517" s="15">
        <v>20000</v>
      </c>
      <c r="F3517" s="14">
        <v>0.07</v>
      </c>
      <c r="G3517" s="16">
        <v>46331</v>
      </c>
      <c r="H3517" s="17">
        <f t="shared" si="54"/>
        <v>1400</v>
      </c>
      <c r="I3517" s="15" t="s">
        <v>317</v>
      </c>
      <c r="J3517" s="15"/>
      <c r="K3517" t="s">
        <v>431</v>
      </c>
    </row>
    <row r="3518" hidden="1" spans="1:11">
      <c r="B3518" s="14">
        <v>262700291</v>
      </c>
      <c r="C3518" s="13">
        <v>46132</v>
      </c>
      <c r="D3518" s="14" t="s">
        <v>426</v>
      </c>
      <c r="E3518" s="15">
        <v>200000</v>
      </c>
      <c r="F3518" s="14">
        <v>0.032</v>
      </c>
      <c r="G3518" s="16">
        <v>46300</v>
      </c>
      <c r="H3518" s="17">
        <f t="shared" si="54"/>
        <v>6400</v>
      </c>
      <c r="I3518" s="15" t="s">
        <v>317</v>
      </c>
      <c r="J3518" s="15"/>
      <c r="K3518" t="s">
        <v>431</v>
      </c>
    </row>
    <row r="3519" hidden="1" spans="1:11">
      <c r="B3519" s="14">
        <v>262700291</v>
      </c>
      <c r="C3519" s="13">
        <v>46132</v>
      </c>
      <c r="D3519" s="14" t="s">
        <v>426</v>
      </c>
      <c r="E3519" s="15">
        <v>200000</v>
      </c>
      <c r="F3519" s="14">
        <v>0.032</v>
      </c>
      <c r="G3519" s="16">
        <v>46300</v>
      </c>
      <c r="H3519" s="17">
        <f t="shared" si="54"/>
        <v>6400</v>
      </c>
      <c r="I3519" s="15" t="s">
        <v>317</v>
      </c>
      <c r="J3519" s="15"/>
      <c r="K3519" t="s">
        <v>431</v>
      </c>
    </row>
    <row r="3520" hidden="1" spans="1:11">
      <c r="B3520" s="14">
        <v>262700291</v>
      </c>
      <c r="C3520" s="13">
        <v>46132</v>
      </c>
      <c r="D3520" s="14" t="s">
        <v>426</v>
      </c>
      <c r="E3520" s="15">
        <v>200000</v>
      </c>
      <c r="F3520" s="14">
        <v>0.032</v>
      </c>
      <c r="G3520" s="16">
        <v>46300</v>
      </c>
      <c r="H3520" s="17">
        <f t="shared" si="54"/>
        <v>6400</v>
      </c>
      <c r="I3520" s="15" t="s">
        <v>317</v>
      </c>
      <c r="J3520" s="15"/>
      <c r="K3520" t="s">
        <v>431</v>
      </c>
    </row>
    <row r="3521" hidden="1" spans="1:11">
      <c r="B3521" s="14">
        <v>262700291</v>
      </c>
      <c r="C3521" s="13">
        <v>46132</v>
      </c>
      <c r="D3521" s="14" t="s">
        <v>426</v>
      </c>
      <c r="E3521" s="15">
        <v>200000</v>
      </c>
      <c r="F3521" s="14">
        <v>0.032</v>
      </c>
      <c r="G3521" s="16">
        <v>46331</v>
      </c>
      <c r="H3521" s="17">
        <f t="shared" si="54"/>
        <v>6400</v>
      </c>
      <c r="I3521" s="15" t="s">
        <v>317</v>
      </c>
      <c r="J3521" s="15"/>
      <c r="K3521" t="s">
        <v>431</v>
      </c>
    </row>
    <row r="3522" hidden="1" spans="1:11">
      <c r="B3522" s="14">
        <v>262700291</v>
      </c>
      <c r="C3522" s="13">
        <v>46132</v>
      </c>
      <c r="D3522" s="14" t="s">
        <v>426</v>
      </c>
      <c r="E3522" s="15">
        <v>200000</v>
      </c>
      <c r="F3522" s="14">
        <v>0.032</v>
      </c>
      <c r="G3522" s="16">
        <v>46331</v>
      </c>
      <c r="H3522" s="17">
        <f t="shared" ref="H3522:H3585" si="55">E3522*F3522</f>
        <v>6400</v>
      </c>
      <c r="I3522" s="15" t="s">
        <v>317</v>
      </c>
      <c r="J3522" s="15"/>
      <c r="K3522" t="s">
        <v>431</v>
      </c>
    </row>
    <row r="3523" hidden="1" spans="1:11">
      <c r="B3523" s="14">
        <v>262700291</v>
      </c>
      <c r="C3523" s="13">
        <v>46132</v>
      </c>
      <c r="D3523" s="14" t="s">
        <v>426</v>
      </c>
      <c r="E3523" s="15">
        <v>200000</v>
      </c>
      <c r="F3523" s="14">
        <v>0.032</v>
      </c>
      <c r="G3523" s="16">
        <v>46331</v>
      </c>
      <c r="H3523" s="17">
        <f t="shared" si="55"/>
        <v>6400</v>
      </c>
      <c r="I3523" s="15" t="s">
        <v>317</v>
      </c>
      <c r="J3523" s="15"/>
      <c r="K3523" t="s">
        <v>431</v>
      </c>
    </row>
    <row r="3524" hidden="1" spans="1:11">
      <c r="A3524" t="s">
        <v>319</v>
      </c>
      <c r="B3524" s="8">
        <v>262700387</v>
      </c>
      <c r="C3524" s="9">
        <v>46139</v>
      </c>
      <c r="D3524" s="8" t="s">
        <v>246</v>
      </c>
      <c r="E3524" s="10">
        <v>20000</v>
      </c>
      <c r="F3524" s="8">
        <v>0.07</v>
      </c>
      <c r="G3524" s="11">
        <v>46147</v>
      </c>
      <c r="H3524" s="12">
        <f t="shared" si="55"/>
        <v>1400</v>
      </c>
      <c r="I3524" s="10" t="s">
        <v>10</v>
      </c>
      <c r="J3524" s="13">
        <v>46146</v>
      </c>
    </row>
    <row r="3525" hidden="1" spans="1:11">
      <c r="A3525" t="s">
        <v>319</v>
      </c>
      <c r="B3525" s="8">
        <v>262700387</v>
      </c>
      <c r="C3525" s="9">
        <v>46139</v>
      </c>
      <c r="D3525" s="8" t="s">
        <v>246</v>
      </c>
      <c r="E3525" s="10">
        <v>20000</v>
      </c>
      <c r="F3525" s="8">
        <v>0.07</v>
      </c>
      <c r="G3525" s="11">
        <v>46178</v>
      </c>
      <c r="H3525" s="12">
        <f t="shared" si="55"/>
        <v>1400</v>
      </c>
      <c r="I3525" s="10" t="s">
        <v>10</v>
      </c>
      <c r="J3525" s="13">
        <v>46146</v>
      </c>
    </row>
    <row r="3526" hidden="1" spans="1:11">
      <c r="A3526" t="s">
        <v>319</v>
      </c>
      <c r="B3526" s="8">
        <v>262700387</v>
      </c>
      <c r="C3526" s="9">
        <v>46139</v>
      </c>
      <c r="D3526" s="8" t="s">
        <v>40</v>
      </c>
      <c r="E3526" s="10">
        <v>240000</v>
      </c>
      <c r="F3526" s="8">
        <v>0.035</v>
      </c>
      <c r="G3526" s="11">
        <v>46178</v>
      </c>
      <c r="H3526" s="12">
        <f t="shared" si="55"/>
        <v>8400</v>
      </c>
      <c r="I3526" s="10" t="s">
        <v>10</v>
      </c>
      <c r="J3526" s="13">
        <v>46157</v>
      </c>
    </row>
    <row r="3527" hidden="1" spans="1:11">
      <c r="A3527" t="s">
        <v>319</v>
      </c>
      <c r="B3527" s="8">
        <v>262700387</v>
      </c>
      <c r="C3527" s="9">
        <v>46139</v>
      </c>
      <c r="D3527" s="8" t="s">
        <v>39</v>
      </c>
      <c r="E3527" s="10">
        <v>500000</v>
      </c>
      <c r="F3527" s="8">
        <v>0.022</v>
      </c>
      <c r="G3527" s="11">
        <v>46178</v>
      </c>
      <c r="H3527" s="12">
        <f t="shared" si="55"/>
        <v>11000</v>
      </c>
      <c r="I3527" s="10" t="s">
        <v>10</v>
      </c>
      <c r="J3527" s="13">
        <v>46146</v>
      </c>
    </row>
    <row r="3528" hidden="1" spans="1:11">
      <c r="A3528" t="s">
        <v>319</v>
      </c>
      <c r="B3528" s="8">
        <v>262700387</v>
      </c>
      <c r="C3528" s="9">
        <v>46139</v>
      </c>
      <c r="D3528" s="8" t="s">
        <v>39</v>
      </c>
      <c r="E3528" s="10">
        <v>100000</v>
      </c>
      <c r="F3528" s="8">
        <v>0.022</v>
      </c>
      <c r="G3528" s="11">
        <v>46178</v>
      </c>
      <c r="H3528" s="12">
        <f t="shared" si="55"/>
        <v>2200</v>
      </c>
      <c r="I3528" s="10" t="s">
        <v>10</v>
      </c>
      <c r="J3528" s="13">
        <v>46146</v>
      </c>
    </row>
    <row r="3529" hidden="1" spans="1:11">
      <c r="A3529" t="s">
        <v>319</v>
      </c>
      <c r="B3529" s="8">
        <v>262700387</v>
      </c>
      <c r="C3529" s="9">
        <v>46139</v>
      </c>
      <c r="D3529" s="8" t="s">
        <v>39</v>
      </c>
      <c r="E3529" s="10">
        <v>500000</v>
      </c>
      <c r="F3529" s="8">
        <v>0.022</v>
      </c>
      <c r="G3529" s="11">
        <v>46208</v>
      </c>
      <c r="H3529" s="12">
        <f t="shared" si="55"/>
        <v>11000</v>
      </c>
      <c r="I3529" s="10" t="s">
        <v>10</v>
      </c>
      <c r="J3529" s="13">
        <v>46146</v>
      </c>
    </row>
    <row r="3530" hidden="1" spans="1:11">
      <c r="A3530" t="s">
        <v>319</v>
      </c>
      <c r="B3530" s="8">
        <v>262700387</v>
      </c>
      <c r="C3530" s="9">
        <v>46139</v>
      </c>
      <c r="D3530" s="8" t="s">
        <v>39</v>
      </c>
      <c r="E3530" s="10">
        <v>100000</v>
      </c>
      <c r="F3530" s="8">
        <v>0.022</v>
      </c>
      <c r="G3530" s="11">
        <v>46208</v>
      </c>
      <c r="H3530" s="12">
        <f t="shared" si="55"/>
        <v>2200</v>
      </c>
      <c r="I3530" s="10" t="s">
        <v>10</v>
      </c>
      <c r="J3530" s="13">
        <v>46146</v>
      </c>
    </row>
    <row r="3531" hidden="1" spans="1:11">
      <c r="B3531" s="14">
        <v>262700424</v>
      </c>
      <c r="C3531" s="13">
        <v>46139</v>
      </c>
      <c r="D3531" s="14" t="s">
        <v>426</v>
      </c>
      <c r="E3531" s="15">
        <v>200000</v>
      </c>
      <c r="F3531" s="14">
        <v>0.032</v>
      </c>
      <c r="G3531" s="16">
        <v>46331</v>
      </c>
      <c r="H3531" s="17">
        <f t="shared" si="55"/>
        <v>6400</v>
      </c>
      <c r="I3531" s="15" t="s">
        <v>317</v>
      </c>
      <c r="J3531" s="15"/>
      <c r="K3531" t="s">
        <v>486</v>
      </c>
    </row>
    <row r="3532" hidden="1" spans="1:11">
      <c r="B3532" s="14">
        <v>262700425</v>
      </c>
      <c r="C3532" s="13">
        <v>46139</v>
      </c>
      <c r="D3532" s="14" t="s">
        <v>630</v>
      </c>
      <c r="E3532" s="15">
        <v>20000</v>
      </c>
      <c r="F3532" s="14">
        <v>0.035</v>
      </c>
      <c r="G3532" s="16">
        <v>46270</v>
      </c>
      <c r="H3532" s="17">
        <f t="shared" si="55"/>
        <v>700</v>
      </c>
      <c r="I3532" s="15" t="s">
        <v>317</v>
      </c>
      <c r="J3532" s="15"/>
      <c r="K3532" t="s">
        <v>486</v>
      </c>
    </row>
    <row r="3533" hidden="1" spans="1:11">
      <c r="B3533" s="14">
        <v>262700425</v>
      </c>
      <c r="C3533" s="13">
        <v>46139</v>
      </c>
      <c r="D3533" s="14" t="s">
        <v>479</v>
      </c>
      <c r="E3533" s="15">
        <v>20000</v>
      </c>
      <c r="F3533" s="14">
        <v>0.033</v>
      </c>
      <c r="G3533" s="16">
        <v>46270</v>
      </c>
      <c r="H3533" s="17">
        <f t="shared" si="55"/>
        <v>660</v>
      </c>
      <c r="I3533" s="15" t="s">
        <v>317</v>
      </c>
      <c r="J3533" s="15"/>
      <c r="K3533" t="s">
        <v>486</v>
      </c>
    </row>
    <row r="3534" hidden="1" spans="1:11">
      <c r="B3534" s="14">
        <v>262700425</v>
      </c>
      <c r="C3534" s="13">
        <v>46139</v>
      </c>
      <c r="D3534" s="14" t="s">
        <v>426</v>
      </c>
      <c r="E3534" s="15">
        <v>200000</v>
      </c>
      <c r="F3534" s="14">
        <v>0.032</v>
      </c>
      <c r="G3534" s="16">
        <v>46270</v>
      </c>
      <c r="H3534" s="17">
        <f t="shared" si="55"/>
        <v>6400</v>
      </c>
      <c r="I3534" s="15" t="s">
        <v>317</v>
      </c>
      <c r="J3534" s="15"/>
      <c r="K3534" t="s">
        <v>486</v>
      </c>
    </row>
    <row r="3535" hidden="1" spans="1:11">
      <c r="B3535" s="14">
        <v>262700425</v>
      </c>
      <c r="C3535" s="13">
        <v>46139</v>
      </c>
      <c r="D3535" s="14" t="s">
        <v>426</v>
      </c>
      <c r="E3535" s="15">
        <v>200000</v>
      </c>
      <c r="F3535" s="14">
        <v>0.032</v>
      </c>
      <c r="G3535" s="16">
        <v>46300</v>
      </c>
      <c r="H3535" s="17">
        <f t="shared" si="55"/>
        <v>6400</v>
      </c>
      <c r="I3535" s="15" t="s">
        <v>317</v>
      </c>
      <c r="J3535" s="15"/>
      <c r="K3535" t="s">
        <v>486</v>
      </c>
    </row>
    <row r="3536" hidden="1" spans="1:11">
      <c r="A3536" t="s">
        <v>319</v>
      </c>
      <c r="B3536" s="8">
        <v>262700426</v>
      </c>
      <c r="C3536" s="9">
        <v>46139</v>
      </c>
      <c r="D3536" s="8" t="s">
        <v>625</v>
      </c>
      <c r="E3536" s="10">
        <v>200000</v>
      </c>
      <c r="F3536" s="8">
        <v>0.032</v>
      </c>
      <c r="G3536" s="11">
        <v>46208</v>
      </c>
      <c r="H3536" s="12">
        <f t="shared" si="55"/>
        <v>6400</v>
      </c>
      <c r="I3536" s="10" t="s">
        <v>10</v>
      </c>
      <c r="J3536" s="13">
        <v>46184</v>
      </c>
      <c r="K3536" t="s">
        <v>486</v>
      </c>
    </row>
    <row r="3537" hidden="1" spans="1:11">
      <c r="A3537" t="s">
        <v>319</v>
      </c>
      <c r="B3537" s="8">
        <v>262700426</v>
      </c>
      <c r="C3537" s="9">
        <v>46139</v>
      </c>
      <c r="D3537" s="8" t="s">
        <v>625</v>
      </c>
      <c r="E3537" s="10">
        <v>200000</v>
      </c>
      <c r="F3537" s="8">
        <v>0.032</v>
      </c>
      <c r="G3537" s="11">
        <v>46239</v>
      </c>
      <c r="H3537" s="12">
        <f t="shared" si="55"/>
        <v>6400</v>
      </c>
      <c r="I3537" s="10" t="s">
        <v>10</v>
      </c>
      <c r="J3537" s="13">
        <v>46184</v>
      </c>
      <c r="K3537" t="s">
        <v>486</v>
      </c>
    </row>
    <row r="3538" hidden="1" spans="1:11">
      <c r="A3538" t="s">
        <v>319</v>
      </c>
      <c r="B3538" s="8">
        <v>262700429</v>
      </c>
      <c r="C3538" s="9">
        <v>46136</v>
      </c>
      <c r="D3538" s="8" t="s">
        <v>58</v>
      </c>
      <c r="E3538" s="10">
        <v>20000</v>
      </c>
      <c r="F3538" s="8">
        <v>0.014</v>
      </c>
      <c r="G3538" s="11">
        <v>46147</v>
      </c>
      <c r="H3538" s="12">
        <f t="shared" si="55"/>
        <v>280</v>
      </c>
      <c r="I3538" s="10" t="s">
        <v>10</v>
      </c>
      <c r="J3538" s="13">
        <v>46157</v>
      </c>
      <c r="K3538" t="s">
        <v>493</v>
      </c>
    </row>
    <row r="3539" hidden="1" spans="1:11">
      <c r="A3539" t="s">
        <v>319</v>
      </c>
      <c r="B3539" s="8">
        <v>262700430</v>
      </c>
      <c r="C3539" s="9">
        <v>46137</v>
      </c>
      <c r="D3539" s="8" t="s">
        <v>108</v>
      </c>
      <c r="E3539" s="10">
        <v>20000</v>
      </c>
      <c r="F3539" s="8">
        <v>0.04</v>
      </c>
      <c r="G3539" s="11">
        <v>46208</v>
      </c>
      <c r="H3539" s="12">
        <f t="shared" si="55"/>
        <v>800</v>
      </c>
      <c r="I3539" s="10" t="s">
        <v>10</v>
      </c>
      <c r="J3539" s="13">
        <v>46184</v>
      </c>
      <c r="K3539" t="s">
        <v>615</v>
      </c>
    </row>
    <row r="3540" hidden="1" spans="1:11">
      <c r="A3540" t="s">
        <v>319</v>
      </c>
      <c r="B3540" s="8">
        <v>262700430</v>
      </c>
      <c r="C3540" s="9">
        <v>46137</v>
      </c>
      <c r="D3540" s="8" t="s">
        <v>108</v>
      </c>
      <c r="E3540" s="10">
        <v>20000</v>
      </c>
      <c r="F3540" s="8">
        <v>0.04</v>
      </c>
      <c r="G3540" s="11">
        <v>46239</v>
      </c>
      <c r="H3540" s="12">
        <f t="shared" si="55"/>
        <v>800</v>
      </c>
      <c r="I3540" s="10" t="s">
        <v>10</v>
      </c>
      <c r="J3540" s="13">
        <v>46184</v>
      </c>
      <c r="K3540" t="s">
        <v>615</v>
      </c>
    </row>
    <row r="3541" hidden="1" spans="1:11">
      <c r="A3541" t="s">
        <v>319</v>
      </c>
      <c r="B3541" s="8">
        <v>262700430</v>
      </c>
      <c r="C3541" s="9">
        <v>46137</v>
      </c>
      <c r="D3541" s="8" t="s">
        <v>282</v>
      </c>
      <c r="E3541" s="10">
        <v>40000</v>
      </c>
      <c r="F3541" s="8">
        <v>0.0304</v>
      </c>
      <c r="G3541" s="11">
        <v>46208</v>
      </c>
      <c r="H3541" s="12">
        <f t="shared" si="55"/>
        <v>1216</v>
      </c>
      <c r="I3541" s="10" t="s">
        <v>10</v>
      </c>
      <c r="J3541" s="13">
        <v>46191</v>
      </c>
      <c r="K3541" t="s">
        <v>615</v>
      </c>
    </row>
    <row r="3542" hidden="1" spans="1:11">
      <c r="A3542" t="s">
        <v>319</v>
      </c>
      <c r="B3542" s="8">
        <v>262700430</v>
      </c>
      <c r="C3542" s="9">
        <v>46137</v>
      </c>
      <c r="D3542" s="8" t="s">
        <v>282</v>
      </c>
      <c r="E3542" s="10">
        <v>40000</v>
      </c>
      <c r="F3542" s="8">
        <v>0.0304</v>
      </c>
      <c r="G3542" s="11">
        <v>46239</v>
      </c>
      <c r="H3542" s="12">
        <f t="shared" si="55"/>
        <v>1216</v>
      </c>
      <c r="I3542" s="10" t="s">
        <v>10</v>
      </c>
      <c r="J3542" s="13">
        <v>46191</v>
      </c>
      <c r="K3542" t="s">
        <v>615</v>
      </c>
    </row>
    <row r="3543" hidden="1" spans="1:11">
      <c r="B3543" s="14">
        <v>262700431</v>
      </c>
      <c r="C3543" s="13">
        <v>46137</v>
      </c>
      <c r="D3543" s="14" t="s">
        <v>108</v>
      </c>
      <c r="E3543" s="15">
        <v>20000</v>
      </c>
      <c r="F3543" s="14">
        <v>0.04</v>
      </c>
      <c r="G3543" s="16">
        <v>46270</v>
      </c>
      <c r="H3543" s="17">
        <f t="shared" si="55"/>
        <v>800</v>
      </c>
      <c r="I3543" s="15" t="s">
        <v>317</v>
      </c>
      <c r="J3543" s="15"/>
      <c r="K3543" t="s">
        <v>615</v>
      </c>
    </row>
    <row r="3544" hidden="1" spans="1:11">
      <c r="B3544" s="14">
        <v>262700431</v>
      </c>
      <c r="C3544" s="13">
        <v>46137</v>
      </c>
      <c r="D3544" s="14" t="s">
        <v>108</v>
      </c>
      <c r="E3544" s="15">
        <v>20000</v>
      </c>
      <c r="F3544" s="14">
        <v>0.04</v>
      </c>
      <c r="G3544" s="16">
        <v>46300</v>
      </c>
      <c r="H3544" s="17">
        <f t="shared" si="55"/>
        <v>800</v>
      </c>
      <c r="I3544" s="15" t="s">
        <v>317</v>
      </c>
      <c r="J3544" s="15"/>
      <c r="K3544" t="s">
        <v>615</v>
      </c>
    </row>
    <row r="3545" hidden="1" spans="1:11">
      <c r="B3545" s="14">
        <v>262700431</v>
      </c>
      <c r="C3545" s="13">
        <v>46137</v>
      </c>
      <c r="D3545" s="14" t="s">
        <v>127</v>
      </c>
      <c r="E3545" s="15">
        <v>200000</v>
      </c>
      <c r="F3545" s="14">
        <v>0.03</v>
      </c>
      <c r="G3545" s="16">
        <v>46270</v>
      </c>
      <c r="H3545" s="17">
        <f t="shared" si="55"/>
        <v>6000</v>
      </c>
      <c r="I3545" s="15" t="s">
        <v>317</v>
      </c>
      <c r="J3545" s="15"/>
      <c r="K3545" t="s">
        <v>615</v>
      </c>
    </row>
    <row r="3546" hidden="1" spans="1:11">
      <c r="B3546" s="14">
        <v>262700431</v>
      </c>
      <c r="C3546" s="13">
        <v>46137</v>
      </c>
      <c r="D3546" s="14" t="s">
        <v>127</v>
      </c>
      <c r="E3546" s="15">
        <v>50000</v>
      </c>
      <c r="F3546" s="14">
        <v>0.03</v>
      </c>
      <c r="G3546" s="16">
        <v>46270</v>
      </c>
      <c r="H3546" s="17">
        <f t="shared" si="55"/>
        <v>1500</v>
      </c>
      <c r="I3546" s="15" t="s">
        <v>317</v>
      </c>
      <c r="J3546" s="15"/>
      <c r="K3546" t="s">
        <v>615</v>
      </c>
    </row>
    <row r="3547" hidden="1" spans="1:11">
      <c r="B3547" s="14">
        <v>262700431</v>
      </c>
      <c r="C3547" s="13">
        <v>46137</v>
      </c>
      <c r="D3547" s="14" t="s">
        <v>127</v>
      </c>
      <c r="E3547" s="15">
        <v>200000</v>
      </c>
      <c r="F3547" s="14">
        <v>0.03</v>
      </c>
      <c r="G3547" s="16">
        <v>46300</v>
      </c>
      <c r="H3547" s="17">
        <f t="shared" si="55"/>
        <v>6000</v>
      </c>
      <c r="I3547" s="15" t="s">
        <v>317</v>
      </c>
      <c r="J3547" s="15"/>
      <c r="K3547" t="s">
        <v>615</v>
      </c>
    </row>
    <row r="3548" hidden="1" spans="1:11">
      <c r="B3548" s="14">
        <v>262700431</v>
      </c>
      <c r="C3548" s="13">
        <v>46137</v>
      </c>
      <c r="D3548" s="14" t="s">
        <v>127</v>
      </c>
      <c r="E3548" s="15">
        <v>50000</v>
      </c>
      <c r="F3548" s="14">
        <v>0.03</v>
      </c>
      <c r="G3548" s="16">
        <v>46300</v>
      </c>
      <c r="H3548" s="17">
        <f t="shared" si="55"/>
        <v>1500</v>
      </c>
      <c r="I3548" s="15" t="s">
        <v>317</v>
      </c>
      <c r="J3548" s="15"/>
      <c r="K3548" t="s">
        <v>615</v>
      </c>
    </row>
    <row r="3549" hidden="1" spans="1:11">
      <c r="B3549" s="14">
        <v>262700431</v>
      </c>
      <c r="C3549" s="13">
        <v>46137</v>
      </c>
      <c r="D3549" s="14" t="s">
        <v>128</v>
      </c>
      <c r="E3549" s="15">
        <v>200000</v>
      </c>
      <c r="F3549" s="14">
        <v>0.025</v>
      </c>
      <c r="G3549" s="16">
        <v>46300</v>
      </c>
      <c r="H3549" s="17">
        <f t="shared" si="55"/>
        <v>5000</v>
      </c>
      <c r="I3549" s="15" t="s">
        <v>317</v>
      </c>
      <c r="J3549" s="15"/>
      <c r="K3549" t="s">
        <v>615</v>
      </c>
    </row>
    <row r="3550" hidden="1" spans="1:11">
      <c r="B3550" s="14">
        <v>262700431</v>
      </c>
      <c r="C3550" s="13">
        <v>46137</v>
      </c>
      <c r="D3550" s="14" t="s">
        <v>282</v>
      </c>
      <c r="E3550" s="15">
        <v>40000</v>
      </c>
      <c r="F3550" s="14">
        <v>0.0304</v>
      </c>
      <c r="G3550" s="16">
        <v>46270</v>
      </c>
      <c r="H3550" s="17">
        <f t="shared" si="55"/>
        <v>1216</v>
      </c>
      <c r="I3550" s="15" t="s">
        <v>317</v>
      </c>
      <c r="J3550" s="15"/>
      <c r="K3550" t="s">
        <v>615</v>
      </c>
    </row>
    <row r="3551" hidden="1" spans="1:11">
      <c r="B3551" s="14">
        <v>262700431</v>
      </c>
      <c r="C3551" s="13">
        <v>46137</v>
      </c>
      <c r="D3551" s="14" t="s">
        <v>282</v>
      </c>
      <c r="E3551" s="15">
        <v>40000</v>
      </c>
      <c r="F3551" s="14">
        <v>0.0304</v>
      </c>
      <c r="G3551" s="16">
        <v>46300</v>
      </c>
      <c r="H3551" s="17">
        <f t="shared" si="55"/>
        <v>1216</v>
      </c>
      <c r="I3551" s="15" t="s">
        <v>317</v>
      </c>
      <c r="J3551" s="15"/>
      <c r="K3551" t="s">
        <v>615</v>
      </c>
    </row>
    <row r="3552" hidden="1" spans="1:11">
      <c r="B3552" s="14">
        <v>262700431</v>
      </c>
      <c r="C3552" s="13">
        <v>46137</v>
      </c>
      <c r="D3552" s="14" t="s">
        <v>581</v>
      </c>
      <c r="E3552" s="15">
        <v>200000</v>
      </c>
      <c r="F3552" s="14">
        <v>0.023</v>
      </c>
      <c r="G3552" s="16">
        <v>46300</v>
      </c>
      <c r="H3552" s="17">
        <f t="shared" si="55"/>
        <v>4600</v>
      </c>
      <c r="I3552" s="15" t="s">
        <v>317</v>
      </c>
      <c r="J3552" s="15"/>
      <c r="K3552" t="s">
        <v>615</v>
      </c>
    </row>
    <row r="3553" hidden="1" spans="1:11">
      <c r="B3553" s="14">
        <v>262700431</v>
      </c>
      <c r="C3553" s="13">
        <v>46137</v>
      </c>
      <c r="D3553" s="14" t="s">
        <v>636</v>
      </c>
      <c r="E3553" s="15">
        <v>140000</v>
      </c>
      <c r="F3553" s="14">
        <v>0.026</v>
      </c>
      <c r="G3553" s="16">
        <v>46270</v>
      </c>
      <c r="H3553" s="17">
        <f t="shared" si="55"/>
        <v>3640</v>
      </c>
      <c r="I3553" s="15" t="s">
        <v>317</v>
      </c>
      <c r="J3553" s="15"/>
      <c r="K3553" t="s">
        <v>615</v>
      </c>
    </row>
    <row r="3554" hidden="1" spans="1:11">
      <c r="B3554" s="14">
        <v>262700431</v>
      </c>
      <c r="C3554" s="13">
        <v>46137</v>
      </c>
      <c r="D3554" s="14" t="s">
        <v>636</v>
      </c>
      <c r="E3554" s="15">
        <v>140000</v>
      </c>
      <c r="F3554" s="14">
        <v>0.026</v>
      </c>
      <c r="G3554" s="16">
        <v>46300</v>
      </c>
      <c r="H3554" s="17">
        <f t="shared" si="55"/>
        <v>3640</v>
      </c>
      <c r="I3554" s="15" t="s">
        <v>317</v>
      </c>
      <c r="J3554" s="15"/>
      <c r="K3554" t="s">
        <v>615</v>
      </c>
    </row>
    <row r="3555" hidden="1" spans="1:11">
      <c r="B3555" s="14">
        <v>262700431</v>
      </c>
      <c r="C3555" s="13">
        <v>46137</v>
      </c>
      <c r="D3555" s="14" t="s">
        <v>609</v>
      </c>
      <c r="E3555" s="15">
        <v>140000</v>
      </c>
      <c r="F3555" s="14">
        <v>0.03</v>
      </c>
      <c r="G3555" s="16">
        <v>46270</v>
      </c>
      <c r="H3555" s="17">
        <f t="shared" si="55"/>
        <v>4200</v>
      </c>
      <c r="I3555" s="15" t="s">
        <v>317</v>
      </c>
      <c r="J3555" s="15"/>
      <c r="K3555" t="s">
        <v>615</v>
      </c>
    </row>
    <row r="3556" hidden="1" spans="1:11">
      <c r="B3556" s="14">
        <v>262700431</v>
      </c>
      <c r="C3556" s="13">
        <v>46137</v>
      </c>
      <c r="D3556" s="14" t="s">
        <v>609</v>
      </c>
      <c r="E3556" s="15">
        <v>140000</v>
      </c>
      <c r="F3556" s="14">
        <v>0.03</v>
      </c>
      <c r="G3556" s="16">
        <v>46300</v>
      </c>
      <c r="H3556" s="17">
        <f t="shared" si="55"/>
        <v>4200</v>
      </c>
      <c r="I3556" s="15" t="s">
        <v>317</v>
      </c>
      <c r="J3556" s="15"/>
      <c r="K3556" t="s">
        <v>615</v>
      </c>
    </row>
    <row r="3557" hidden="1" spans="1:11">
      <c r="B3557" s="14">
        <v>262700432</v>
      </c>
      <c r="C3557" s="13">
        <v>46137</v>
      </c>
      <c r="D3557" s="14" t="s">
        <v>108</v>
      </c>
      <c r="E3557" s="15">
        <v>20000</v>
      </c>
      <c r="F3557" s="14">
        <v>0.04</v>
      </c>
      <c r="G3557" s="16">
        <v>46331</v>
      </c>
      <c r="H3557" s="17">
        <f t="shared" si="55"/>
        <v>800</v>
      </c>
      <c r="I3557" s="15" t="s">
        <v>317</v>
      </c>
      <c r="J3557" s="15"/>
      <c r="K3557" t="s">
        <v>615</v>
      </c>
    </row>
    <row r="3558" hidden="1" spans="1:11">
      <c r="B3558" s="14">
        <v>262700432</v>
      </c>
      <c r="C3558" s="13">
        <v>46137</v>
      </c>
      <c r="D3558" s="14" t="s">
        <v>127</v>
      </c>
      <c r="E3558" s="15">
        <v>200000</v>
      </c>
      <c r="F3558" s="14">
        <v>0.03</v>
      </c>
      <c r="G3558" s="16">
        <v>46331</v>
      </c>
      <c r="H3558" s="17">
        <f t="shared" si="55"/>
        <v>6000</v>
      </c>
      <c r="I3558" s="15" t="s">
        <v>317</v>
      </c>
      <c r="J3558" s="15"/>
      <c r="K3558" t="s">
        <v>615</v>
      </c>
    </row>
    <row r="3559" hidden="1" spans="1:11">
      <c r="B3559" s="14">
        <v>262700432</v>
      </c>
      <c r="C3559" s="13">
        <v>46137</v>
      </c>
      <c r="D3559" s="14" t="s">
        <v>127</v>
      </c>
      <c r="E3559" s="15">
        <v>50000</v>
      </c>
      <c r="F3559" s="14">
        <v>0.03</v>
      </c>
      <c r="G3559" s="16">
        <v>46331</v>
      </c>
      <c r="H3559" s="17">
        <f t="shared" si="55"/>
        <v>1500</v>
      </c>
      <c r="I3559" s="15" t="s">
        <v>317</v>
      </c>
      <c r="J3559" s="15"/>
      <c r="K3559" t="s">
        <v>615</v>
      </c>
    </row>
    <row r="3560" hidden="1" spans="1:11">
      <c r="B3560" s="14">
        <v>262700432</v>
      </c>
      <c r="C3560" s="13">
        <v>46137</v>
      </c>
      <c r="D3560" s="14" t="s">
        <v>128</v>
      </c>
      <c r="E3560" s="15">
        <v>200000</v>
      </c>
      <c r="F3560" s="14">
        <v>0.025</v>
      </c>
      <c r="G3560" s="16">
        <v>46331</v>
      </c>
      <c r="H3560" s="17">
        <f t="shared" si="55"/>
        <v>5000</v>
      </c>
      <c r="I3560" s="15" t="s">
        <v>317</v>
      </c>
      <c r="J3560" s="15"/>
      <c r="K3560" t="s">
        <v>615</v>
      </c>
    </row>
    <row r="3561" hidden="1" spans="1:11">
      <c r="B3561" s="14">
        <v>262700432</v>
      </c>
      <c r="C3561" s="13">
        <v>46137</v>
      </c>
      <c r="D3561" s="14" t="s">
        <v>282</v>
      </c>
      <c r="E3561" s="15">
        <v>40000</v>
      </c>
      <c r="F3561" s="14">
        <v>0.0304</v>
      </c>
      <c r="G3561" s="16">
        <v>46331</v>
      </c>
      <c r="H3561" s="17">
        <f t="shared" si="55"/>
        <v>1216</v>
      </c>
      <c r="I3561" s="15" t="s">
        <v>317</v>
      </c>
      <c r="J3561" s="15"/>
      <c r="K3561" t="s">
        <v>615</v>
      </c>
    </row>
    <row r="3562" hidden="1" spans="1:11">
      <c r="B3562" s="14">
        <v>262700432</v>
      </c>
      <c r="C3562" s="13">
        <v>46137</v>
      </c>
      <c r="D3562" s="14" t="s">
        <v>581</v>
      </c>
      <c r="E3562" s="15">
        <v>200000</v>
      </c>
      <c r="F3562" s="14">
        <v>0.023</v>
      </c>
      <c r="G3562" s="16">
        <v>46331</v>
      </c>
      <c r="H3562" s="17">
        <f t="shared" si="55"/>
        <v>4600</v>
      </c>
      <c r="I3562" s="15" t="s">
        <v>317</v>
      </c>
      <c r="J3562" s="15"/>
      <c r="K3562" t="s">
        <v>615</v>
      </c>
    </row>
    <row r="3563" hidden="1" spans="1:11">
      <c r="B3563" s="14">
        <v>262700432</v>
      </c>
      <c r="C3563" s="13">
        <v>46137</v>
      </c>
      <c r="D3563" s="14" t="s">
        <v>636</v>
      </c>
      <c r="E3563" s="15">
        <v>140000</v>
      </c>
      <c r="F3563" s="14">
        <v>0.026</v>
      </c>
      <c r="G3563" s="16">
        <v>46331</v>
      </c>
      <c r="H3563" s="17">
        <f t="shared" si="55"/>
        <v>3640</v>
      </c>
      <c r="I3563" s="15" t="s">
        <v>317</v>
      </c>
      <c r="J3563" s="15"/>
      <c r="K3563" t="s">
        <v>615</v>
      </c>
    </row>
    <row r="3564" hidden="1" spans="1:11">
      <c r="B3564" s="14">
        <v>262700432</v>
      </c>
      <c r="C3564" s="13">
        <v>46137</v>
      </c>
      <c r="D3564" s="14" t="s">
        <v>609</v>
      </c>
      <c r="E3564" s="15">
        <v>140000</v>
      </c>
      <c r="F3564" s="14">
        <v>0.03</v>
      </c>
      <c r="G3564" s="16">
        <v>46331</v>
      </c>
      <c r="H3564" s="17">
        <f t="shared" si="55"/>
        <v>4200</v>
      </c>
      <c r="I3564" s="15" t="s">
        <v>317</v>
      </c>
      <c r="J3564" s="15"/>
      <c r="K3564" t="s">
        <v>615</v>
      </c>
    </row>
    <row r="3565" hidden="1" spans="1:11">
      <c r="B3565" s="14">
        <v>262700432</v>
      </c>
      <c r="C3565" s="13">
        <v>46137</v>
      </c>
      <c r="D3565" s="14" t="s">
        <v>540</v>
      </c>
      <c r="E3565" s="15">
        <v>20000</v>
      </c>
      <c r="F3565" s="14">
        <v>0.0297</v>
      </c>
      <c r="G3565" s="16">
        <v>46331</v>
      </c>
      <c r="H3565" s="17">
        <f t="shared" si="55"/>
        <v>594</v>
      </c>
      <c r="I3565" s="15" t="s">
        <v>317</v>
      </c>
      <c r="J3565" s="15"/>
      <c r="K3565" t="s">
        <v>615</v>
      </c>
    </row>
    <row r="3566" hidden="1" spans="1:11">
      <c r="B3566" s="14">
        <v>262700432</v>
      </c>
      <c r="C3566" s="13">
        <v>46137</v>
      </c>
      <c r="D3566" s="14" t="s">
        <v>612</v>
      </c>
      <c r="E3566" s="15">
        <v>4000</v>
      </c>
      <c r="F3566" s="14">
        <v>0.028</v>
      </c>
      <c r="G3566" s="16">
        <v>46270</v>
      </c>
      <c r="H3566" s="17">
        <f t="shared" si="55"/>
        <v>112</v>
      </c>
      <c r="I3566" s="15" t="s">
        <v>317</v>
      </c>
      <c r="J3566" s="15"/>
      <c r="K3566" t="s">
        <v>615</v>
      </c>
    </row>
    <row r="3567" hidden="1" spans="1:11">
      <c r="A3567" t="s">
        <v>319</v>
      </c>
      <c r="B3567" s="8">
        <v>262700434</v>
      </c>
      <c r="C3567" s="9">
        <v>46139</v>
      </c>
      <c r="D3567" s="8" t="s">
        <v>630</v>
      </c>
      <c r="E3567" s="10">
        <v>30000</v>
      </c>
      <c r="F3567" s="8">
        <v>0.035</v>
      </c>
      <c r="G3567" s="11">
        <v>46147</v>
      </c>
      <c r="H3567" s="12">
        <f t="shared" si="55"/>
        <v>1050</v>
      </c>
      <c r="I3567" s="10" t="s">
        <v>10</v>
      </c>
      <c r="J3567" s="13">
        <v>46162</v>
      </c>
      <c r="K3567" t="s">
        <v>486</v>
      </c>
    </row>
    <row r="3568" hidden="1" spans="1:11">
      <c r="A3568" t="s">
        <v>319</v>
      </c>
      <c r="B3568" s="8">
        <v>262700434</v>
      </c>
      <c r="C3568" s="9">
        <v>46139</v>
      </c>
      <c r="D3568" s="8" t="s">
        <v>653</v>
      </c>
      <c r="E3568" s="10">
        <v>30000</v>
      </c>
      <c r="F3568" s="8">
        <v>0.033</v>
      </c>
      <c r="G3568" s="11">
        <v>46147</v>
      </c>
      <c r="H3568" s="12">
        <f t="shared" si="55"/>
        <v>990</v>
      </c>
      <c r="I3568" s="10" t="s">
        <v>10</v>
      </c>
      <c r="J3568" s="13">
        <v>46162</v>
      </c>
      <c r="K3568" t="s">
        <v>486</v>
      </c>
    </row>
    <row r="3569" hidden="1" spans="1:11">
      <c r="A3569" t="s">
        <v>319</v>
      </c>
      <c r="B3569" s="8">
        <v>262700434</v>
      </c>
      <c r="C3569" s="9">
        <v>46139</v>
      </c>
      <c r="D3569" s="8" t="s">
        <v>625</v>
      </c>
      <c r="E3569" s="10">
        <v>200000</v>
      </c>
      <c r="F3569" s="8">
        <v>0.032</v>
      </c>
      <c r="G3569" s="11">
        <v>46147</v>
      </c>
      <c r="H3569" s="12">
        <f t="shared" si="55"/>
        <v>6400</v>
      </c>
      <c r="I3569" s="10" t="s">
        <v>10</v>
      </c>
      <c r="J3569" s="13">
        <v>46157</v>
      </c>
      <c r="K3569" t="s">
        <v>486</v>
      </c>
    </row>
    <row r="3570" hidden="1" spans="1:11">
      <c r="A3570" t="s">
        <v>319</v>
      </c>
      <c r="B3570" s="8">
        <v>262700434</v>
      </c>
      <c r="C3570" s="9">
        <v>46139</v>
      </c>
      <c r="D3570" s="8" t="s">
        <v>625</v>
      </c>
      <c r="E3570" s="10">
        <v>20000</v>
      </c>
      <c r="F3570" s="8">
        <v>0.032</v>
      </c>
      <c r="G3570" s="11">
        <v>46147</v>
      </c>
      <c r="H3570" s="12">
        <f t="shared" si="55"/>
        <v>640</v>
      </c>
      <c r="I3570" s="10" t="s">
        <v>10</v>
      </c>
      <c r="J3570" s="13">
        <v>46157</v>
      </c>
      <c r="K3570" t="s">
        <v>486</v>
      </c>
    </row>
    <row r="3571" hidden="1" spans="1:11">
      <c r="A3571" t="s">
        <v>319</v>
      </c>
      <c r="B3571" s="8">
        <v>262700434</v>
      </c>
      <c r="C3571" s="9">
        <v>46139</v>
      </c>
      <c r="D3571" s="8" t="s">
        <v>625</v>
      </c>
      <c r="E3571" s="10">
        <v>200000</v>
      </c>
      <c r="F3571" s="8">
        <v>0.032</v>
      </c>
      <c r="G3571" s="11">
        <v>46178</v>
      </c>
      <c r="H3571" s="12">
        <f t="shared" si="55"/>
        <v>6400</v>
      </c>
      <c r="I3571" s="10" t="s">
        <v>10</v>
      </c>
      <c r="J3571" s="13">
        <v>46157</v>
      </c>
      <c r="K3571" t="s">
        <v>486</v>
      </c>
    </row>
    <row r="3572" hidden="1" spans="1:11">
      <c r="A3572" t="s">
        <v>319</v>
      </c>
      <c r="B3572" s="8">
        <v>262700435</v>
      </c>
      <c r="C3572" s="9">
        <v>46140</v>
      </c>
      <c r="D3572" s="8" t="s">
        <v>48</v>
      </c>
      <c r="E3572" s="10">
        <v>96000</v>
      </c>
      <c r="F3572" s="8">
        <v>0.017</v>
      </c>
      <c r="G3572" s="11">
        <v>46147</v>
      </c>
      <c r="H3572" s="12">
        <f t="shared" si="55"/>
        <v>1632</v>
      </c>
      <c r="I3572" s="10" t="s">
        <v>10</v>
      </c>
      <c r="J3572" s="13">
        <v>46157</v>
      </c>
      <c r="K3572" t="s">
        <v>534</v>
      </c>
    </row>
    <row r="3573" hidden="1" spans="1:11">
      <c r="A3573" t="s">
        <v>319</v>
      </c>
      <c r="B3573" s="8">
        <v>262700435</v>
      </c>
      <c r="C3573" s="9">
        <v>46140</v>
      </c>
      <c r="D3573" s="8" t="s">
        <v>38</v>
      </c>
      <c r="E3573" s="10">
        <v>200000</v>
      </c>
      <c r="F3573" s="8">
        <v>0.01</v>
      </c>
      <c r="G3573" s="11">
        <v>46208</v>
      </c>
      <c r="H3573" s="12">
        <f t="shared" si="55"/>
        <v>2000</v>
      </c>
      <c r="I3573" s="10" t="s">
        <v>10</v>
      </c>
      <c r="J3573" s="13">
        <v>46142</v>
      </c>
      <c r="K3573" t="s">
        <v>534</v>
      </c>
    </row>
    <row r="3574" hidden="1" spans="1:11">
      <c r="A3574" t="s">
        <v>319</v>
      </c>
      <c r="B3574" s="8">
        <v>262700436</v>
      </c>
      <c r="C3574" s="9">
        <v>46140</v>
      </c>
      <c r="D3574" s="8" t="s">
        <v>38</v>
      </c>
      <c r="E3574" s="10">
        <v>200000</v>
      </c>
      <c r="F3574" s="8">
        <v>0.01</v>
      </c>
      <c r="G3574" s="11">
        <v>46178</v>
      </c>
      <c r="H3574" s="12">
        <f t="shared" si="55"/>
        <v>2000</v>
      </c>
      <c r="I3574" s="10" t="s">
        <v>10</v>
      </c>
      <c r="J3574" s="13">
        <v>46157</v>
      </c>
      <c r="K3574" t="s">
        <v>499</v>
      </c>
    </row>
    <row r="3575" hidden="1" spans="1:11">
      <c r="A3575" t="s">
        <v>319</v>
      </c>
      <c r="B3575" s="8">
        <v>262700436</v>
      </c>
      <c r="C3575" s="9">
        <v>46140</v>
      </c>
      <c r="D3575" s="8" t="s">
        <v>163</v>
      </c>
      <c r="E3575" s="10">
        <v>208000</v>
      </c>
      <c r="F3575" s="8">
        <v>0.0025</v>
      </c>
      <c r="G3575" s="11">
        <v>46208</v>
      </c>
      <c r="H3575" s="12">
        <f t="shared" si="55"/>
        <v>520</v>
      </c>
      <c r="I3575" s="10" t="s">
        <v>10</v>
      </c>
      <c r="J3575" s="13">
        <v>46157</v>
      </c>
      <c r="K3575" t="s">
        <v>499</v>
      </c>
    </row>
    <row r="3576" hidden="1" spans="1:11">
      <c r="A3576" t="s">
        <v>319</v>
      </c>
      <c r="B3576" s="8">
        <v>262700436</v>
      </c>
      <c r="C3576" s="9">
        <v>46140</v>
      </c>
      <c r="D3576" s="8" t="s">
        <v>47</v>
      </c>
      <c r="E3576" s="10">
        <v>300000</v>
      </c>
      <c r="F3576" s="8">
        <v>0.022</v>
      </c>
      <c r="G3576" s="11">
        <v>46147</v>
      </c>
      <c r="H3576" s="12">
        <f t="shared" si="55"/>
        <v>6600</v>
      </c>
      <c r="I3576" s="10" t="s">
        <v>10</v>
      </c>
      <c r="J3576" s="13">
        <v>46161</v>
      </c>
      <c r="K3576" t="s">
        <v>499</v>
      </c>
    </row>
    <row r="3577" hidden="1" spans="1:11">
      <c r="A3577" t="s">
        <v>319</v>
      </c>
      <c r="B3577" s="8">
        <v>262700437</v>
      </c>
      <c r="C3577" s="9">
        <v>46140</v>
      </c>
      <c r="D3577" s="8" t="s">
        <v>38</v>
      </c>
      <c r="E3577" s="10">
        <v>200000</v>
      </c>
      <c r="F3577" s="8">
        <v>0.01</v>
      </c>
      <c r="G3577" s="11">
        <v>46147</v>
      </c>
      <c r="H3577" s="12">
        <f t="shared" si="55"/>
        <v>2000</v>
      </c>
      <c r="I3577" s="10" t="s">
        <v>10</v>
      </c>
      <c r="J3577" s="13">
        <v>46184</v>
      </c>
      <c r="K3577" t="s">
        <v>536</v>
      </c>
    </row>
    <row r="3578" hidden="1" spans="1:11">
      <c r="A3578" t="s">
        <v>319</v>
      </c>
      <c r="B3578" s="8">
        <v>262700437</v>
      </c>
      <c r="C3578" s="9">
        <v>46140</v>
      </c>
      <c r="D3578" s="8" t="s">
        <v>163</v>
      </c>
      <c r="E3578" s="10">
        <v>208000</v>
      </c>
      <c r="F3578" s="8">
        <v>0.0025</v>
      </c>
      <c r="G3578" s="11">
        <v>46239</v>
      </c>
      <c r="H3578" s="12">
        <f t="shared" si="55"/>
        <v>520</v>
      </c>
      <c r="I3578" s="10" t="s">
        <v>10</v>
      </c>
      <c r="J3578" s="13">
        <v>46184</v>
      </c>
      <c r="K3578" t="s">
        <v>536</v>
      </c>
    </row>
    <row r="3579" hidden="1" spans="1:11">
      <c r="A3579" t="s">
        <v>319</v>
      </c>
      <c r="B3579" s="8">
        <v>262700538</v>
      </c>
      <c r="C3579" s="9">
        <v>46142</v>
      </c>
      <c r="D3579" s="8" t="s">
        <v>36</v>
      </c>
      <c r="E3579" s="10">
        <v>102000</v>
      </c>
      <c r="F3579" s="8">
        <v>0.00656</v>
      </c>
      <c r="G3579" s="11">
        <v>46147</v>
      </c>
      <c r="H3579" s="12">
        <f t="shared" si="55"/>
        <v>669.12</v>
      </c>
      <c r="I3579" s="10" t="s">
        <v>10</v>
      </c>
      <c r="J3579" s="13">
        <v>46162</v>
      </c>
      <c r="K3579" t="s">
        <v>467</v>
      </c>
    </row>
    <row r="3580" hidden="1" spans="1:11">
      <c r="A3580" t="s">
        <v>319</v>
      </c>
      <c r="B3580" s="8">
        <v>262700538</v>
      </c>
      <c r="C3580" s="9">
        <v>46142</v>
      </c>
      <c r="D3580" s="8" t="s">
        <v>36</v>
      </c>
      <c r="E3580" s="10">
        <v>99000</v>
      </c>
      <c r="F3580" s="8">
        <v>0.00656</v>
      </c>
      <c r="G3580" s="11">
        <v>46147</v>
      </c>
      <c r="H3580" s="12">
        <f t="shared" si="55"/>
        <v>649.44</v>
      </c>
      <c r="I3580" s="10" t="s">
        <v>10</v>
      </c>
      <c r="J3580" s="13">
        <v>46162</v>
      </c>
      <c r="K3580" t="s">
        <v>467</v>
      </c>
    </row>
    <row r="3581" hidden="1" spans="1:11">
      <c r="A3581" t="s">
        <v>319</v>
      </c>
      <c r="B3581" s="8">
        <v>262700538</v>
      </c>
      <c r="C3581" s="9">
        <v>46142</v>
      </c>
      <c r="D3581" s="8" t="s">
        <v>36</v>
      </c>
      <c r="E3581" s="10">
        <v>102000</v>
      </c>
      <c r="F3581" s="8">
        <v>0.00656</v>
      </c>
      <c r="G3581" s="11">
        <v>46178</v>
      </c>
      <c r="H3581" s="12">
        <f t="shared" si="55"/>
        <v>669.12</v>
      </c>
      <c r="I3581" s="10" t="s">
        <v>10</v>
      </c>
      <c r="J3581" s="13">
        <v>46162</v>
      </c>
      <c r="K3581" t="s">
        <v>467</v>
      </c>
    </row>
    <row r="3582" hidden="1" spans="1:11">
      <c r="A3582" t="s">
        <v>319</v>
      </c>
      <c r="B3582" s="8">
        <v>262700538</v>
      </c>
      <c r="C3582" s="9">
        <v>46142</v>
      </c>
      <c r="D3582" s="8" t="s">
        <v>34</v>
      </c>
      <c r="E3582" s="10">
        <v>120000</v>
      </c>
      <c r="F3582" s="8">
        <v>0.0368</v>
      </c>
      <c r="G3582" s="11">
        <v>46147</v>
      </c>
      <c r="H3582" s="12">
        <f t="shared" si="55"/>
        <v>4416</v>
      </c>
      <c r="I3582" s="10" t="s">
        <v>10</v>
      </c>
      <c r="J3582" s="13">
        <v>46162</v>
      </c>
      <c r="K3582" t="s">
        <v>467</v>
      </c>
    </row>
    <row r="3583" hidden="1" spans="1:11">
      <c r="A3583" t="s">
        <v>319</v>
      </c>
      <c r="B3583" s="8">
        <v>262700538</v>
      </c>
      <c r="C3583" s="9">
        <v>46142</v>
      </c>
      <c r="D3583" s="8" t="s">
        <v>34</v>
      </c>
      <c r="E3583" s="10">
        <v>60000</v>
      </c>
      <c r="F3583" s="8">
        <v>0.0368</v>
      </c>
      <c r="G3583" s="11">
        <v>46178</v>
      </c>
      <c r="H3583" s="12">
        <f t="shared" si="55"/>
        <v>2208</v>
      </c>
      <c r="I3583" s="10" t="s">
        <v>10</v>
      </c>
      <c r="J3583" s="13">
        <v>46162</v>
      </c>
      <c r="K3583" t="s">
        <v>467</v>
      </c>
    </row>
    <row r="3584" hidden="1" spans="1:11">
      <c r="A3584" t="s">
        <v>319</v>
      </c>
      <c r="B3584" s="8">
        <v>262700539</v>
      </c>
      <c r="C3584" s="9">
        <v>46142</v>
      </c>
      <c r="D3584" s="8" t="s">
        <v>36</v>
      </c>
      <c r="E3584" s="10">
        <v>99000</v>
      </c>
      <c r="F3584" s="8">
        <v>0.00656</v>
      </c>
      <c r="G3584" s="11">
        <v>46208</v>
      </c>
      <c r="H3584" s="12">
        <f t="shared" si="55"/>
        <v>649.44</v>
      </c>
      <c r="I3584" s="10" t="s">
        <v>10</v>
      </c>
      <c r="J3584" s="13">
        <v>46191</v>
      </c>
      <c r="K3584" t="s">
        <v>467</v>
      </c>
    </row>
    <row r="3585" hidden="1" spans="1:11">
      <c r="A3585" t="s">
        <v>319</v>
      </c>
      <c r="B3585" s="8">
        <v>262700539</v>
      </c>
      <c r="C3585" s="9">
        <v>46142</v>
      </c>
      <c r="D3585" s="8" t="s">
        <v>36</v>
      </c>
      <c r="E3585" s="10">
        <v>99000</v>
      </c>
      <c r="F3585" s="8">
        <v>0.00656</v>
      </c>
      <c r="G3585" s="11">
        <v>46239</v>
      </c>
      <c r="H3585" s="12">
        <f t="shared" si="55"/>
        <v>649.44</v>
      </c>
      <c r="I3585" s="10" t="s">
        <v>10</v>
      </c>
      <c r="J3585" s="13">
        <v>46191</v>
      </c>
      <c r="K3585" t="s">
        <v>467</v>
      </c>
    </row>
    <row r="3586" hidden="1" spans="1:11">
      <c r="A3586" t="s">
        <v>319</v>
      </c>
      <c r="B3586" s="8">
        <v>262700539</v>
      </c>
      <c r="C3586" s="9">
        <v>46142</v>
      </c>
      <c r="D3586" s="8" t="s">
        <v>34</v>
      </c>
      <c r="E3586" s="10">
        <v>60000</v>
      </c>
      <c r="F3586" s="8">
        <v>0.0368</v>
      </c>
      <c r="G3586" s="11">
        <v>46208</v>
      </c>
      <c r="H3586" s="12">
        <f t="shared" ref="H3586:H3649" si="56">E3586*F3586</f>
        <v>2208</v>
      </c>
      <c r="I3586" s="10" t="s">
        <v>10</v>
      </c>
      <c r="J3586" s="13">
        <v>46191</v>
      </c>
      <c r="K3586" t="s">
        <v>467</v>
      </c>
    </row>
    <row r="3587" hidden="1" spans="1:11">
      <c r="A3587" t="s">
        <v>319</v>
      </c>
      <c r="B3587" s="8">
        <v>262700539</v>
      </c>
      <c r="C3587" s="9">
        <v>46142</v>
      </c>
      <c r="D3587" s="8" t="s">
        <v>34</v>
      </c>
      <c r="E3587" s="10">
        <v>56000</v>
      </c>
      <c r="F3587" s="8">
        <v>0.0368</v>
      </c>
      <c r="G3587" s="11">
        <v>46239</v>
      </c>
      <c r="H3587" s="12">
        <f t="shared" si="56"/>
        <v>2060.8</v>
      </c>
      <c r="I3587" s="10" t="s">
        <v>10</v>
      </c>
      <c r="J3587" s="13">
        <v>46191</v>
      </c>
      <c r="K3587" t="s">
        <v>467</v>
      </c>
    </row>
    <row r="3588" hidden="1" spans="1:11">
      <c r="A3588" t="s">
        <v>319</v>
      </c>
      <c r="B3588" s="8">
        <v>262700576</v>
      </c>
      <c r="C3588" s="9">
        <v>46146</v>
      </c>
      <c r="D3588" s="8" t="s">
        <v>220</v>
      </c>
      <c r="E3588" s="10">
        <v>150000</v>
      </c>
      <c r="F3588" s="8">
        <v>0.0115</v>
      </c>
      <c r="G3588" s="11">
        <v>46147</v>
      </c>
      <c r="H3588" s="12">
        <f t="shared" si="56"/>
        <v>1725</v>
      </c>
      <c r="I3588" s="10" t="s">
        <v>10</v>
      </c>
      <c r="J3588" s="13">
        <v>46157</v>
      </c>
      <c r="K3588" t="s">
        <v>337</v>
      </c>
    </row>
    <row r="3589" hidden="1" spans="1:11">
      <c r="A3589" t="s">
        <v>319</v>
      </c>
      <c r="B3589" s="8">
        <v>262700598</v>
      </c>
      <c r="C3589" s="9">
        <v>46147</v>
      </c>
      <c r="D3589" s="8" t="s">
        <v>588</v>
      </c>
      <c r="E3589" s="10">
        <v>100000</v>
      </c>
      <c r="F3589" s="8">
        <v>0.063</v>
      </c>
      <c r="G3589" s="11">
        <v>46164</v>
      </c>
      <c r="H3589" s="12">
        <f t="shared" si="56"/>
        <v>6300</v>
      </c>
      <c r="I3589" s="10" t="s">
        <v>10</v>
      </c>
      <c r="J3589" s="13">
        <v>46157</v>
      </c>
      <c r="K3589" t="s">
        <v>377</v>
      </c>
    </row>
    <row r="3590" hidden="1" spans="1:11">
      <c r="A3590" t="s">
        <v>319</v>
      </c>
      <c r="B3590" s="8">
        <v>262700598</v>
      </c>
      <c r="C3590" s="9">
        <v>46147</v>
      </c>
      <c r="D3590" s="8" t="s">
        <v>588</v>
      </c>
      <c r="E3590" s="10">
        <v>50000</v>
      </c>
      <c r="F3590" s="8">
        <v>0.063</v>
      </c>
      <c r="G3590" s="11">
        <v>46178</v>
      </c>
      <c r="H3590" s="12">
        <f t="shared" si="56"/>
        <v>3150</v>
      </c>
      <c r="I3590" s="10" t="s">
        <v>10</v>
      </c>
      <c r="J3590" s="13">
        <v>46157</v>
      </c>
      <c r="K3590" t="s">
        <v>377</v>
      </c>
    </row>
    <row r="3591" hidden="1" spans="1:11">
      <c r="A3591" t="s">
        <v>319</v>
      </c>
      <c r="B3591" s="8">
        <v>262700600</v>
      </c>
      <c r="C3591" s="9">
        <v>46147</v>
      </c>
      <c r="D3591" s="8" t="s">
        <v>11</v>
      </c>
      <c r="E3591" s="10">
        <v>40000</v>
      </c>
      <c r="F3591" s="8">
        <v>0.032</v>
      </c>
      <c r="G3591" s="11">
        <v>46239</v>
      </c>
      <c r="H3591" s="12">
        <f t="shared" si="56"/>
        <v>1280</v>
      </c>
      <c r="I3591" s="10" t="s">
        <v>10</v>
      </c>
      <c r="J3591" s="13">
        <v>46191</v>
      </c>
    </row>
    <row r="3592" hidden="1" spans="1:11">
      <c r="A3592" t="s">
        <v>319</v>
      </c>
      <c r="B3592" s="8">
        <v>262700600</v>
      </c>
      <c r="C3592" s="9">
        <v>46147</v>
      </c>
      <c r="D3592" s="8" t="s">
        <v>11</v>
      </c>
      <c r="E3592" s="10">
        <v>40000</v>
      </c>
      <c r="F3592" s="8">
        <v>0.032</v>
      </c>
      <c r="G3592" s="11">
        <v>46270</v>
      </c>
      <c r="H3592" s="12">
        <f t="shared" si="56"/>
        <v>1280</v>
      </c>
      <c r="I3592" s="10" t="s">
        <v>10</v>
      </c>
      <c r="J3592" s="13">
        <v>46191</v>
      </c>
    </row>
    <row r="3593" hidden="1" spans="1:11">
      <c r="B3593" s="14">
        <v>262700601</v>
      </c>
      <c r="C3593" s="13">
        <v>46147</v>
      </c>
      <c r="D3593" s="14" t="s">
        <v>11</v>
      </c>
      <c r="E3593" s="15">
        <v>40000</v>
      </c>
      <c r="F3593" s="14">
        <v>0.032</v>
      </c>
      <c r="G3593" s="16">
        <v>46300</v>
      </c>
      <c r="H3593" s="17">
        <f t="shared" si="56"/>
        <v>1280</v>
      </c>
      <c r="I3593" s="15" t="s">
        <v>317</v>
      </c>
      <c r="J3593" s="15"/>
    </row>
    <row r="3594" hidden="1" spans="1:11">
      <c r="B3594" s="14">
        <v>262700601</v>
      </c>
      <c r="C3594" s="13">
        <v>46147</v>
      </c>
      <c r="D3594" s="14" t="s">
        <v>11</v>
      </c>
      <c r="E3594" s="15">
        <v>40000</v>
      </c>
      <c r="F3594" s="14">
        <v>0.032</v>
      </c>
      <c r="G3594" s="16">
        <v>46331</v>
      </c>
      <c r="H3594" s="17">
        <f t="shared" si="56"/>
        <v>1280</v>
      </c>
      <c r="I3594" s="15" t="s">
        <v>317</v>
      </c>
      <c r="J3594" s="15"/>
    </row>
    <row r="3595" hidden="1" spans="1:11">
      <c r="A3595" t="s">
        <v>319</v>
      </c>
      <c r="B3595" s="8">
        <v>262700615</v>
      </c>
      <c r="C3595" s="9">
        <v>46147</v>
      </c>
      <c r="D3595" s="8" t="s">
        <v>45</v>
      </c>
      <c r="E3595" s="10">
        <v>60000</v>
      </c>
      <c r="F3595" s="8">
        <v>0.024</v>
      </c>
      <c r="G3595" s="11">
        <v>46178</v>
      </c>
      <c r="H3595" s="12">
        <f t="shared" si="56"/>
        <v>1440</v>
      </c>
      <c r="I3595" s="10" t="s">
        <v>10</v>
      </c>
      <c r="J3595" s="13">
        <v>46184</v>
      </c>
      <c r="K3595" t="s">
        <v>337</v>
      </c>
    </row>
    <row r="3596" hidden="1" spans="1:11">
      <c r="A3596" t="s">
        <v>319</v>
      </c>
      <c r="B3596" s="8">
        <v>262700723</v>
      </c>
      <c r="C3596" s="9">
        <v>46148</v>
      </c>
      <c r="D3596" s="8" t="s">
        <v>78</v>
      </c>
      <c r="E3596" s="10">
        <v>200000</v>
      </c>
      <c r="F3596" s="8">
        <v>0.016</v>
      </c>
      <c r="G3596" s="11">
        <v>46208</v>
      </c>
      <c r="H3596" s="12">
        <f t="shared" si="56"/>
        <v>3200</v>
      </c>
      <c r="I3596" s="10" t="s">
        <v>10</v>
      </c>
      <c r="J3596" s="13">
        <v>46191</v>
      </c>
      <c r="K3596" t="s">
        <v>628</v>
      </c>
    </row>
    <row r="3597" hidden="1" spans="1:11">
      <c r="A3597" t="s">
        <v>319</v>
      </c>
      <c r="B3597" s="8">
        <v>262700723</v>
      </c>
      <c r="C3597" s="9">
        <v>46148</v>
      </c>
      <c r="D3597" s="8" t="s">
        <v>78</v>
      </c>
      <c r="E3597" s="10">
        <v>200000</v>
      </c>
      <c r="F3597" s="8">
        <v>0.016</v>
      </c>
      <c r="G3597" s="11">
        <v>46239</v>
      </c>
      <c r="H3597" s="12">
        <f t="shared" si="56"/>
        <v>3200</v>
      </c>
      <c r="I3597" s="10" t="s">
        <v>10</v>
      </c>
      <c r="J3597" s="13">
        <v>46191</v>
      </c>
      <c r="K3597" t="s">
        <v>628</v>
      </c>
    </row>
    <row r="3598" hidden="1" spans="1:11">
      <c r="A3598" t="s">
        <v>319</v>
      </c>
      <c r="B3598" s="8">
        <v>262700723</v>
      </c>
      <c r="C3598" s="9">
        <v>46148</v>
      </c>
      <c r="D3598" s="8" t="s">
        <v>11</v>
      </c>
      <c r="E3598" s="10">
        <v>200000</v>
      </c>
      <c r="F3598" s="8">
        <v>0.032</v>
      </c>
      <c r="G3598" s="11">
        <v>46208</v>
      </c>
      <c r="H3598" s="12">
        <f t="shared" si="56"/>
        <v>6400</v>
      </c>
      <c r="I3598" s="10" t="s">
        <v>10</v>
      </c>
      <c r="J3598" s="13">
        <v>46191</v>
      </c>
      <c r="K3598" t="s">
        <v>628</v>
      </c>
    </row>
    <row r="3599" hidden="1" spans="1:11">
      <c r="A3599" t="s">
        <v>319</v>
      </c>
      <c r="B3599" s="8">
        <v>262700723</v>
      </c>
      <c r="C3599" s="9">
        <v>46148</v>
      </c>
      <c r="D3599" s="8" t="s">
        <v>11</v>
      </c>
      <c r="E3599" s="10">
        <v>180000</v>
      </c>
      <c r="F3599" s="8">
        <v>0.032</v>
      </c>
      <c r="G3599" s="11">
        <v>46239</v>
      </c>
      <c r="H3599" s="12">
        <f t="shared" si="56"/>
        <v>5760</v>
      </c>
      <c r="I3599" s="10" t="s">
        <v>10</v>
      </c>
      <c r="J3599" s="13">
        <v>46191</v>
      </c>
      <c r="K3599" t="s">
        <v>628</v>
      </c>
    </row>
    <row r="3600" hidden="1" spans="1:11">
      <c r="A3600" t="s">
        <v>319</v>
      </c>
      <c r="B3600" s="8">
        <v>262700723</v>
      </c>
      <c r="C3600" s="9">
        <v>46148</v>
      </c>
      <c r="D3600" s="8" t="s">
        <v>33</v>
      </c>
      <c r="E3600" s="10">
        <v>84000</v>
      </c>
      <c r="F3600" s="8">
        <v>0.018</v>
      </c>
      <c r="G3600" s="11">
        <v>46208</v>
      </c>
      <c r="H3600" s="12">
        <f t="shared" si="56"/>
        <v>1512</v>
      </c>
      <c r="I3600" s="10" t="s">
        <v>10</v>
      </c>
      <c r="J3600" s="13">
        <v>46191</v>
      </c>
      <c r="K3600" t="s">
        <v>628</v>
      </c>
    </row>
    <row r="3601" hidden="1" spans="1:11">
      <c r="A3601" t="s">
        <v>319</v>
      </c>
      <c r="B3601" s="8">
        <v>262700723</v>
      </c>
      <c r="C3601" s="9">
        <v>46148</v>
      </c>
      <c r="D3601" s="8" t="s">
        <v>33</v>
      </c>
      <c r="E3601" s="10">
        <v>84000</v>
      </c>
      <c r="F3601" s="8">
        <v>0.018</v>
      </c>
      <c r="G3601" s="11">
        <v>46239</v>
      </c>
      <c r="H3601" s="12">
        <f t="shared" si="56"/>
        <v>1512</v>
      </c>
      <c r="I3601" s="10" t="s">
        <v>10</v>
      </c>
      <c r="J3601" s="13">
        <v>46191</v>
      </c>
      <c r="K3601" t="s">
        <v>628</v>
      </c>
    </row>
    <row r="3602" hidden="1" spans="1:11">
      <c r="A3602" t="s">
        <v>319</v>
      </c>
      <c r="B3602" s="8">
        <v>262700723</v>
      </c>
      <c r="C3602" s="9">
        <v>46148</v>
      </c>
      <c r="D3602" s="8" t="s">
        <v>282</v>
      </c>
      <c r="E3602" s="10">
        <v>200000</v>
      </c>
      <c r="F3602" s="8">
        <v>0.0304</v>
      </c>
      <c r="G3602" s="11">
        <v>46239</v>
      </c>
      <c r="H3602" s="12">
        <f t="shared" si="56"/>
        <v>6080</v>
      </c>
      <c r="I3602" s="10" t="s">
        <v>10</v>
      </c>
      <c r="J3602" s="13">
        <v>46191</v>
      </c>
      <c r="K3602" t="s">
        <v>628</v>
      </c>
    </row>
    <row r="3603" hidden="1" spans="1:11">
      <c r="B3603" s="14">
        <v>262700724</v>
      </c>
      <c r="C3603" s="13">
        <v>46148</v>
      </c>
      <c r="D3603" s="14" t="s">
        <v>282</v>
      </c>
      <c r="E3603" s="15">
        <v>200000</v>
      </c>
      <c r="F3603" s="14">
        <v>0.0304</v>
      </c>
      <c r="G3603" s="16">
        <v>46270</v>
      </c>
      <c r="H3603" s="17">
        <f t="shared" si="56"/>
        <v>6080</v>
      </c>
      <c r="I3603" s="15" t="s">
        <v>317</v>
      </c>
      <c r="J3603" s="15"/>
      <c r="K3603" t="s">
        <v>628</v>
      </c>
    </row>
    <row r="3604" hidden="1" spans="1:11">
      <c r="B3604" s="14">
        <v>262700724</v>
      </c>
      <c r="C3604" s="13">
        <v>46148</v>
      </c>
      <c r="D3604" s="14" t="s">
        <v>78</v>
      </c>
      <c r="E3604" s="15">
        <v>200000</v>
      </c>
      <c r="F3604" s="14">
        <v>0.016</v>
      </c>
      <c r="G3604" s="16">
        <v>46270</v>
      </c>
      <c r="H3604" s="17">
        <f t="shared" si="56"/>
        <v>3200</v>
      </c>
      <c r="I3604" s="15" t="s">
        <v>317</v>
      </c>
      <c r="J3604" s="15"/>
      <c r="K3604" t="s">
        <v>628</v>
      </c>
    </row>
    <row r="3605" hidden="1" spans="1:11">
      <c r="B3605" s="14">
        <v>262700724</v>
      </c>
      <c r="C3605" s="13">
        <v>46148</v>
      </c>
      <c r="D3605" s="14" t="s">
        <v>11</v>
      </c>
      <c r="E3605" s="15">
        <v>180000</v>
      </c>
      <c r="F3605" s="14">
        <v>0.032</v>
      </c>
      <c r="G3605" s="16">
        <v>46270</v>
      </c>
      <c r="H3605" s="17">
        <f t="shared" si="56"/>
        <v>5760</v>
      </c>
      <c r="I3605" s="15" t="s">
        <v>317</v>
      </c>
      <c r="J3605" s="15"/>
      <c r="K3605" t="s">
        <v>628</v>
      </c>
    </row>
    <row r="3606" hidden="1" spans="1:11">
      <c r="B3606" s="14">
        <v>262700724</v>
      </c>
      <c r="C3606" s="13">
        <v>46148</v>
      </c>
      <c r="D3606" s="14" t="s">
        <v>33</v>
      </c>
      <c r="E3606" s="15">
        <v>84000</v>
      </c>
      <c r="F3606" s="14">
        <v>0.018</v>
      </c>
      <c r="G3606" s="16">
        <v>46270</v>
      </c>
      <c r="H3606" s="17">
        <f t="shared" si="56"/>
        <v>1512</v>
      </c>
      <c r="I3606" s="15" t="s">
        <v>317</v>
      </c>
      <c r="J3606" s="15"/>
      <c r="K3606" t="s">
        <v>628</v>
      </c>
    </row>
    <row r="3607" hidden="1" spans="1:11">
      <c r="B3607" s="14">
        <v>262700735</v>
      </c>
      <c r="C3607" s="13">
        <v>46150</v>
      </c>
      <c r="D3607" s="14" t="s">
        <v>654</v>
      </c>
      <c r="E3607" s="15">
        <v>4000</v>
      </c>
      <c r="F3607" s="14">
        <v>0.05</v>
      </c>
      <c r="G3607" s="16">
        <v>46164</v>
      </c>
      <c r="H3607" s="17">
        <f t="shared" si="56"/>
        <v>200</v>
      </c>
      <c r="I3607" s="15" t="s">
        <v>51</v>
      </c>
      <c r="J3607" s="15"/>
      <c r="K3607" t="s">
        <v>380</v>
      </c>
    </row>
    <row r="3608" hidden="1" spans="1:11">
      <c r="A3608" t="s">
        <v>319</v>
      </c>
      <c r="B3608" s="8">
        <v>262700784</v>
      </c>
      <c r="C3608" s="9">
        <v>46153</v>
      </c>
      <c r="D3608" s="8" t="s">
        <v>616</v>
      </c>
      <c r="E3608" s="10">
        <v>100000</v>
      </c>
      <c r="F3608" s="8">
        <v>0.06</v>
      </c>
      <c r="G3608" s="11">
        <v>46164</v>
      </c>
      <c r="H3608" s="12">
        <f t="shared" si="56"/>
        <v>6000</v>
      </c>
      <c r="I3608" s="10" t="s">
        <v>10</v>
      </c>
      <c r="J3608" s="13">
        <v>46157</v>
      </c>
      <c r="K3608" t="s">
        <v>377</v>
      </c>
    </row>
    <row r="3609" hidden="1" spans="1:11">
      <c r="A3609" t="s">
        <v>319</v>
      </c>
      <c r="B3609" s="8">
        <v>262700784</v>
      </c>
      <c r="C3609" s="9">
        <v>46153</v>
      </c>
      <c r="D3609" s="8" t="s">
        <v>616</v>
      </c>
      <c r="E3609" s="10">
        <v>50000</v>
      </c>
      <c r="F3609" s="8">
        <v>0.06</v>
      </c>
      <c r="G3609" s="11">
        <v>46178</v>
      </c>
      <c r="H3609" s="12">
        <f t="shared" si="56"/>
        <v>3000</v>
      </c>
      <c r="I3609" s="10" t="s">
        <v>10</v>
      </c>
      <c r="J3609" s="13">
        <v>46157</v>
      </c>
      <c r="K3609" t="s">
        <v>377</v>
      </c>
    </row>
    <row r="3610" hidden="1" spans="1:11">
      <c r="A3610" t="s">
        <v>319</v>
      </c>
      <c r="B3610" s="8">
        <v>262700784</v>
      </c>
      <c r="C3610" s="9">
        <v>46153</v>
      </c>
      <c r="D3610" s="8" t="s">
        <v>509</v>
      </c>
      <c r="E3610" s="10">
        <v>25000</v>
      </c>
      <c r="F3610" s="8">
        <v>0.16</v>
      </c>
      <c r="G3610" s="11">
        <v>46178</v>
      </c>
      <c r="H3610" s="12">
        <f t="shared" si="56"/>
        <v>4000</v>
      </c>
      <c r="I3610" s="10" t="s">
        <v>10</v>
      </c>
      <c r="J3610" s="13">
        <v>46162</v>
      </c>
      <c r="K3610" t="s">
        <v>377</v>
      </c>
    </row>
    <row r="3611" hidden="1" spans="1:11">
      <c r="A3611" t="s">
        <v>319</v>
      </c>
      <c r="B3611" s="8">
        <v>262700784</v>
      </c>
      <c r="C3611" s="9">
        <v>46153</v>
      </c>
      <c r="D3611" s="8" t="s">
        <v>511</v>
      </c>
      <c r="E3611" s="10">
        <v>120000</v>
      </c>
      <c r="F3611" s="8">
        <v>0.041</v>
      </c>
      <c r="G3611" s="11">
        <v>46178</v>
      </c>
      <c r="H3611" s="12">
        <f t="shared" si="56"/>
        <v>4920</v>
      </c>
      <c r="I3611" s="10" t="s">
        <v>10</v>
      </c>
      <c r="J3611" s="13">
        <v>46157</v>
      </c>
      <c r="K3611" t="s">
        <v>377</v>
      </c>
    </row>
    <row r="3612" hidden="1" spans="1:11">
      <c r="A3612" t="s">
        <v>319</v>
      </c>
      <c r="B3612" s="8">
        <v>262700785</v>
      </c>
      <c r="C3612" s="9">
        <v>46153</v>
      </c>
      <c r="D3612" s="8" t="s">
        <v>626</v>
      </c>
      <c r="E3612" s="10">
        <v>20000</v>
      </c>
      <c r="F3612" s="8">
        <v>0.0224</v>
      </c>
      <c r="G3612" s="11">
        <v>46208</v>
      </c>
      <c r="H3612" s="12">
        <f t="shared" si="56"/>
        <v>448</v>
      </c>
      <c r="I3612" s="10" t="s">
        <v>10</v>
      </c>
      <c r="J3612" s="13">
        <v>46191</v>
      </c>
      <c r="K3612" t="s">
        <v>377</v>
      </c>
    </row>
    <row r="3613" hidden="1" spans="1:11">
      <c r="A3613" t="s">
        <v>319</v>
      </c>
      <c r="B3613" s="8">
        <v>262700785</v>
      </c>
      <c r="C3613" s="9">
        <v>46153</v>
      </c>
      <c r="D3613" s="8" t="s">
        <v>38</v>
      </c>
      <c r="E3613" s="10">
        <v>100000</v>
      </c>
      <c r="F3613" s="8">
        <v>0.01</v>
      </c>
      <c r="G3613" s="11">
        <v>46208</v>
      </c>
      <c r="H3613" s="12">
        <f t="shared" si="56"/>
        <v>1000</v>
      </c>
      <c r="I3613" s="10" t="s">
        <v>10</v>
      </c>
      <c r="J3613" s="13">
        <v>46184</v>
      </c>
      <c r="K3613" t="s">
        <v>377</v>
      </c>
    </row>
    <row r="3614" hidden="1" spans="1:11">
      <c r="A3614" t="s">
        <v>319</v>
      </c>
      <c r="B3614" s="8">
        <v>262700803</v>
      </c>
      <c r="C3614" s="9">
        <v>46149</v>
      </c>
      <c r="D3614" s="8" t="s">
        <v>242</v>
      </c>
      <c r="E3614" s="10">
        <v>40000</v>
      </c>
      <c r="F3614" s="8">
        <v>0.043</v>
      </c>
      <c r="G3614" s="11">
        <v>46208</v>
      </c>
      <c r="H3614" s="12">
        <f t="shared" si="56"/>
        <v>1720</v>
      </c>
      <c r="I3614" s="10" t="s">
        <v>10</v>
      </c>
      <c r="J3614" s="13">
        <v>46157</v>
      </c>
      <c r="K3614" t="s">
        <v>491</v>
      </c>
    </row>
    <row r="3615" hidden="1" spans="1:11">
      <c r="A3615" t="s">
        <v>319</v>
      </c>
      <c r="B3615" s="8">
        <v>262700803</v>
      </c>
      <c r="C3615" s="9">
        <v>46149</v>
      </c>
      <c r="D3615" s="8" t="s">
        <v>512</v>
      </c>
      <c r="E3615" s="10">
        <v>100000</v>
      </c>
      <c r="F3615" s="8">
        <v>0.031</v>
      </c>
      <c r="G3615" s="11">
        <v>46178</v>
      </c>
      <c r="H3615" s="12">
        <f t="shared" si="56"/>
        <v>3100</v>
      </c>
      <c r="I3615" s="10" t="s">
        <v>10</v>
      </c>
      <c r="J3615" s="13">
        <v>46157</v>
      </c>
      <c r="K3615" t="s">
        <v>491</v>
      </c>
    </row>
    <row r="3616" hidden="1" spans="1:11">
      <c r="A3616" t="s">
        <v>319</v>
      </c>
      <c r="B3616" s="8">
        <v>262700810</v>
      </c>
      <c r="C3616" s="9">
        <v>46153</v>
      </c>
      <c r="D3616" s="8" t="s">
        <v>179</v>
      </c>
      <c r="E3616" s="10">
        <v>300000</v>
      </c>
      <c r="F3616" s="8">
        <v>0.065</v>
      </c>
      <c r="G3616" s="11">
        <v>46164</v>
      </c>
      <c r="H3616" s="12">
        <f t="shared" si="56"/>
        <v>19500</v>
      </c>
      <c r="I3616" s="10" t="s">
        <v>10</v>
      </c>
      <c r="J3616" s="13">
        <v>46171</v>
      </c>
      <c r="K3616" t="s">
        <v>337</v>
      </c>
    </row>
    <row r="3617" hidden="1" spans="1:11">
      <c r="A3617" t="s">
        <v>319</v>
      </c>
      <c r="B3617" s="8">
        <v>262700810</v>
      </c>
      <c r="C3617" s="9">
        <v>46153</v>
      </c>
      <c r="D3617" s="8" t="s">
        <v>179</v>
      </c>
      <c r="E3617" s="10">
        <v>300000</v>
      </c>
      <c r="F3617" s="8">
        <v>0.065</v>
      </c>
      <c r="G3617" s="11">
        <v>46178</v>
      </c>
      <c r="H3617" s="12">
        <f t="shared" si="56"/>
        <v>19500</v>
      </c>
      <c r="I3617" s="10" t="s">
        <v>10</v>
      </c>
      <c r="J3617" s="13">
        <v>46171</v>
      </c>
      <c r="K3617" t="s">
        <v>337</v>
      </c>
    </row>
    <row r="3618" hidden="1" spans="1:11">
      <c r="A3618" t="s">
        <v>319</v>
      </c>
      <c r="B3618" s="8">
        <v>262700810</v>
      </c>
      <c r="C3618" s="9">
        <v>46153</v>
      </c>
      <c r="D3618" s="8" t="s">
        <v>40</v>
      </c>
      <c r="E3618" s="10">
        <v>300000</v>
      </c>
      <c r="F3618" s="8">
        <v>0.035</v>
      </c>
      <c r="G3618" s="11">
        <v>46164</v>
      </c>
      <c r="H3618" s="12">
        <f t="shared" si="56"/>
        <v>10500</v>
      </c>
      <c r="I3618" s="10" t="s">
        <v>10</v>
      </c>
      <c r="J3618" s="13">
        <v>46171</v>
      </c>
      <c r="K3618" t="s">
        <v>337</v>
      </c>
    </row>
    <row r="3619" hidden="1" spans="1:11">
      <c r="A3619" t="s">
        <v>319</v>
      </c>
      <c r="B3619" s="8">
        <v>262700810</v>
      </c>
      <c r="C3619" s="9">
        <v>46153</v>
      </c>
      <c r="D3619" s="8" t="s">
        <v>40</v>
      </c>
      <c r="E3619" s="10">
        <v>300000</v>
      </c>
      <c r="F3619" s="8">
        <v>0.035</v>
      </c>
      <c r="G3619" s="11">
        <v>46178</v>
      </c>
      <c r="H3619" s="12">
        <f t="shared" si="56"/>
        <v>10500</v>
      </c>
      <c r="I3619" s="10" t="s">
        <v>10</v>
      </c>
      <c r="J3619" s="13">
        <v>46171</v>
      </c>
      <c r="K3619" t="s">
        <v>337</v>
      </c>
    </row>
    <row r="3620" hidden="1" spans="1:11">
      <c r="A3620" t="s">
        <v>319</v>
      </c>
      <c r="B3620" s="8">
        <v>262700810</v>
      </c>
      <c r="C3620" s="9">
        <v>46153</v>
      </c>
      <c r="D3620" s="8" t="s">
        <v>45</v>
      </c>
      <c r="E3620" s="10">
        <v>100000</v>
      </c>
      <c r="F3620" s="8">
        <v>0.024</v>
      </c>
      <c r="G3620" s="11">
        <v>46164</v>
      </c>
      <c r="H3620" s="12">
        <f t="shared" si="56"/>
        <v>2400</v>
      </c>
      <c r="I3620" s="10" t="s">
        <v>10</v>
      </c>
      <c r="J3620" s="13">
        <v>46163</v>
      </c>
      <c r="K3620" t="s">
        <v>337</v>
      </c>
    </row>
    <row r="3621" hidden="1" spans="1:11">
      <c r="A3621" t="s">
        <v>319</v>
      </c>
      <c r="B3621" s="8">
        <v>262700810</v>
      </c>
      <c r="C3621" s="9">
        <v>46153</v>
      </c>
      <c r="D3621" s="8" t="s">
        <v>45</v>
      </c>
      <c r="E3621" s="10">
        <v>100000</v>
      </c>
      <c r="F3621" s="8">
        <v>0.024</v>
      </c>
      <c r="G3621" s="11">
        <v>46178</v>
      </c>
      <c r="H3621" s="12">
        <f t="shared" si="56"/>
        <v>2400</v>
      </c>
      <c r="I3621" s="10" t="s">
        <v>10</v>
      </c>
      <c r="J3621" s="13">
        <v>46163</v>
      </c>
      <c r="K3621" t="s">
        <v>337</v>
      </c>
    </row>
    <row r="3622" hidden="1" spans="1:11">
      <c r="A3622" t="s">
        <v>319</v>
      </c>
      <c r="B3622" s="8">
        <v>262700810</v>
      </c>
      <c r="C3622" s="9">
        <v>46153</v>
      </c>
      <c r="D3622" s="8" t="s">
        <v>39</v>
      </c>
      <c r="E3622" s="10">
        <v>300000</v>
      </c>
      <c r="F3622" s="8">
        <v>0.022</v>
      </c>
      <c r="G3622" s="11">
        <v>46164</v>
      </c>
      <c r="H3622" s="12">
        <f t="shared" si="56"/>
        <v>6600</v>
      </c>
      <c r="I3622" s="10" t="s">
        <v>10</v>
      </c>
      <c r="J3622" s="13">
        <v>46163</v>
      </c>
      <c r="K3622" t="s">
        <v>337</v>
      </c>
    </row>
    <row r="3623" hidden="1" spans="1:11">
      <c r="A3623" t="s">
        <v>319</v>
      </c>
      <c r="B3623" s="8">
        <v>262700810</v>
      </c>
      <c r="C3623" s="9">
        <v>46153</v>
      </c>
      <c r="D3623" s="8" t="s">
        <v>39</v>
      </c>
      <c r="E3623" s="10">
        <v>300000</v>
      </c>
      <c r="F3623" s="8">
        <v>0.022</v>
      </c>
      <c r="G3623" s="11">
        <v>46164</v>
      </c>
      <c r="H3623" s="12">
        <f t="shared" si="56"/>
        <v>6600</v>
      </c>
      <c r="I3623" s="10" t="s">
        <v>10</v>
      </c>
      <c r="J3623" s="13">
        <v>46163</v>
      </c>
      <c r="K3623" t="s">
        <v>337</v>
      </c>
    </row>
    <row r="3624" hidden="1" spans="1:11">
      <c r="A3624" t="s">
        <v>319</v>
      </c>
      <c r="B3624" s="8">
        <v>262700810</v>
      </c>
      <c r="C3624" s="9">
        <v>46153</v>
      </c>
      <c r="D3624" s="8" t="s">
        <v>39</v>
      </c>
      <c r="E3624" s="10">
        <v>300000</v>
      </c>
      <c r="F3624" s="8">
        <v>0.022</v>
      </c>
      <c r="G3624" s="11">
        <v>46178</v>
      </c>
      <c r="H3624" s="12">
        <f t="shared" si="56"/>
        <v>6600</v>
      </c>
      <c r="I3624" s="10" t="s">
        <v>10</v>
      </c>
      <c r="J3624" s="13">
        <v>46163</v>
      </c>
      <c r="K3624" t="s">
        <v>337</v>
      </c>
    </row>
    <row r="3625" hidden="1" spans="1:11">
      <c r="A3625" t="s">
        <v>319</v>
      </c>
      <c r="B3625" s="8">
        <v>262700810</v>
      </c>
      <c r="C3625" s="9">
        <v>46153</v>
      </c>
      <c r="D3625" s="8" t="s">
        <v>39</v>
      </c>
      <c r="E3625" s="10">
        <v>300000</v>
      </c>
      <c r="F3625" s="8">
        <v>0.022</v>
      </c>
      <c r="G3625" s="11">
        <v>46178</v>
      </c>
      <c r="H3625" s="12">
        <f t="shared" si="56"/>
        <v>6600</v>
      </c>
      <c r="I3625" s="10" t="s">
        <v>10</v>
      </c>
      <c r="J3625" s="13">
        <v>46163</v>
      </c>
      <c r="K3625" t="s">
        <v>337</v>
      </c>
    </row>
    <row r="3626" hidden="1" spans="1:11">
      <c r="A3626" t="s">
        <v>319</v>
      </c>
      <c r="B3626" s="8">
        <v>262700811</v>
      </c>
      <c r="C3626" s="9">
        <v>46153</v>
      </c>
      <c r="D3626" s="8" t="s">
        <v>179</v>
      </c>
      <c r="E3626" s="10">
        <v>300000</v>
      </c>
      <c r="F3626" s="8">
        <v>0.065</v>
      </c>
      <c r="G3626" s="11">
        <v>46208</v>
      </c>
      <c r="H3626" s="12">
        <f t="shared" si="56"/>
        <v>19500</v>
      </c>
      <c r="I3626" s="10" t="s">
        <v>10</v>
      </c>
      <c r="J3626" s="13">
        <v>46171</v>
      </c>
      <c r="K3626" t="s">
        <v>337</v>
      </c>
    </row>
    <row r="3627" hidden="1" spans="1:11">
      <c r="A3627" t="s">
        <v>319</v>
      </c>
      <c r="B3627" s="8">
        <v>262700811</v>
      </c>
      <c r="C3627" s="9">
        <v>46153</v>
      </c>
      <c r="D3627" s="8" t="s">
        <v>179</v>
      </c>
      <c r="E3627" s="10">
        <v>300000</v>
      </c>
      <c r="F3627" s="8">
        <v>0.065</v>
      </c>
      <c r="G3627" s="11">
        <v>46239</v>
      </c>
      <c r="H3627" s="12">
        <f t="shared" si="56"/>
        <v>19500</v>
      </c>
      <c r="I3627" s="10" t="s">
        <v>10</v>
      </c>
      <c r="J3627" s="13">
        <v>46171</v>
      </c>
      <c r="K3627" t="s">
        <v>337</v>
      </c>
    </row>
    <row r="3628" hidden="1" spans="1:11">
      <c r="A3628" t="s">
        <v>319</v>
      </c>
      <c r="B3628" s="8">
        <v>262700811</v>
      </c>
      <c r="C3628" s="9">
        <v>46153</v>
      </c>
      <c r="D3628" s="8" t="s">
        <v>45</v>
      </c>
      <c r="E3628" s="10">
        <v>100000</v>
      </c>
      <c r="F3628" s="8">
        <v>0.024</v>
      </c>
      <c r="G3628" s="11">
        <v>46208</v>
      </c>
      <c r="H3628" s="12">
        <f t="shared" si="56"/>
        <v>2400</v>
      </c>
      <c r="I3628" s="10" t="s">
        <v>10</v>
      </c>
      <c r="J3628" s="13">
        <v>46163</v>
      </c>
      <c r="K3628" t="s">
        <v>337</v>
      </c>
    </row>
    <row r="3629" hidden="1" spans="1:11">
      <c r="A3629" t="s">
        <v>319</v>
      </c>
      <c r="B3629" s="8">
        <v>262700811</v>
      </c>
      <c r="C3629" s="9">
        <v>46153</v>
      </c>
      <c r="D3629" s="8" t="s">
        <v>39</v>
      </c>
      <c r="E3629" s="10">
        <v>300000</v>
      </c>
      <c r="F3629" s="8">
        <v>0.022</v>
      </c>
      <c r="G3629" s="11">
        <v>46208</v>
      </c>
      <c r="H3629" s="12">
        <f t="shared" si="56"/>
        <v>6600</v>
      </c>
      <c r="I3629" s="10" t="s">
        <v>10</v>
      </c>
      <c r="J3629" s="13">
        <v>46163</v>
      </c>
      <c r="K3629" t="s">
        <v>337</v>
      </c>
    </row>
    <row r="3630" hidden="1" spans="1:11">
      <c r="A3630" t="s">
        <v>319</v>
      </c>
      <c r="B3630" s="8">
        <v>262700811</v>
      </c>
      <c r="C3630" s="9">
        <v>46153</v>
      </c>
      <c r="D3630" s="8" t="s">
        <v>39</v>
      </c>
      <c r="E3630" s="10">
        <v>300000</v>
      </c>
      <c r="F3630" s="8">
        <v>0.022</v>
      </c>
      <c r="G3630" s="11">
        <v>46208</v>
      </c>
      <c r="H3630" s="12">
        <f t="shared" si="56"/>
        <v>6600</v>
      </c>
      <c r="I3630" s="10" t="s">
        <v>10</v>
      </c>
      <c r="J3630" s="13">
        <v>46163</v>
      </c>
      <c r="K3630" t="s">
        <v>337</v>
      </c>
    </row>
    <row r="3631" hidden="1" spans="1:11">
      <c r="A3631" t="s">
        <v>319</v>
      </c>
      <c r="B3631" s="8">
        <v>262700812</v>
      </c>
      <c r="C3631" s="9">
        <v>46153</v>
      </c>
      <c r="D3631" s="8" t="s">
        <v>30</v>
      </c>
      <c r="E3631" s="10">
        <v>50000</v>
      </c>
      <c r="F3631" s="8">
        <v>0.022</v>
      </c>
      <c r="G3631" s="11">
        <v>46164</v>
      </c>
      <c r="H3631" s="12">
        <f t="shared" si="56"/>
        <v>1100</v>
      </c>
      <c r="I3631" s="10" t="s">
        <v>10</v>
      </c>
      <c r="J3631" s="13">
        <v>46162</v>
      </c>
      <c r="K3631" t="s">
        <v>378</v>
      </c>
    </row>
    <row r="3632" s="26" customFormat="1" hidden="1" spans="1:11">
      <c r="A3632" t="s">
        <v>319</v>
      </c>
      <c r="B3632" s="8">
        <v>262700834</v>
      </c>
      <c r="C3632" s="9">
        <v>46154</v>
      </c>
      <c r="D3632" s="8" t="s">
        <v>16</v>
      </c>
      <c r="E3632" s="10">
        <v>20000</v>
      </c>
      <c r="F3632" s="8">
        <v>0.0292</v>
      </c>
      <c r="G3632" s="11">
        <v>46164</v>
      </c>
      <c r="H3632" s="12">
        <f t="shared" si="56"/>
        <v>584</v>
      </c>
      <c r="I3632" s="10" t="s">
        <v>10</v>
      </c>
      <c r="J3632" s="13">
        <v>46184</v>
      </c>
      <c r="K3632" s="26" t="s">
        <v>571</v>
      </c>
    </row>
    <row r="3633" s="26" customFormat="1" hidden="1" spans="1:11">
      <c r="A3633" t="s">
        <v>319</v>
      </c>
      <c r="B3633" s="8">
        <v>262700834</v>
      </c>
      <c r="C3633" s="9">
        <v>46154</v>
      </c>
      <c r="D3633" s="8" t="s">
        <v>142</v>
      </c>
      <c r="E3633" s="10">
        <v>21000</v>
      </c>
      <c r="F3633" s="8">
        <v>0.024</v>
      </c>
      <c r="G3633" s="11">
        <v>46164</v>
      </c>
      <c r="H3633" s="12">
        <f t="shared" si="56"/>
        <v>504</v>
      </c>
      <c r="I3633" s="10" t="s">
        <v>10</v>
      </c>
      <c r="J3633" s="13">
        <v>46184</v>
      </c>
      <c r="K3633" s="26" t="s">
        <v>571</v>
      </c>
    </row>
    <row r="3634" hidden="1" spans="1:11">
      <c r="B3634" s="14">
        <v>262700942</v>
      </c>
      <c r="C3634" s="13">
        <v>46157</v>
      </c>
      <c r="D3634" s="14" t="s">
        <v>285</v>
      </c>
      <c r="E3634" s="15">
        <v>30000</v>
      </c>
      <c r="F3634" s="14">
        <v>0.02</v>
      </c>
      <c r="G3634" s="16">
        <v>46331</v>
      </c>
      <c r="H3634" s="17">
        <f t="shared" si="56"/>
        <v>600</v>
      </c>
      <c r="I3634" s="15" t="s">
        <v>317</v>
      </c>
      <c r="J3634" s="15"/>
      <c r="K3634" t="s">
        <v>469</v>
      </c>
    </row>
    <row r="3635" hidden="1" spans="1:11">
      <c r="B3635" s="14">
        <v>262700942</v>
      </c>
      <c r="C3635" s="13">
        <v>46157</v>
      </c>
      <c r="D3635" s="14" t="s">
        <v>286</v>
      </c>
      <c r="E3635" s="15">
        <v>30000</v>
      </c>
      <c r="F3635" s="14">
        <v>0.0235</v>
      </c>
      <c r="G3635" s="16">
        <v>46300</v>
      </c>
      <c r="H3635" s="17">
        <f t="shared" si="56"/>
        <v>705</v>
      </c>
      <c r="I3635" s="15" t="s">
        <v>317</v>
      </c>
      <c r="J3635" s="15"/>
      <c r="K3635" t="s">
        <v>469</v>
      </c>
    </row>
    <row r="3636" hidden="1" spans="1:11">
      <c r="B3636" s="14">
        <v>262700942</v>
      </c>
      <c r="C3636" s="13">
        <v>46157</v>
      </c>
      <c r="D3636" s="14" t="s">
        <v>286</v>
      </c>
      <c r="E3636" s="15">
        <v>30000</v>
      </c>
      <c r="F3636" s="14">
        <v>0.0235</v>
      </c>
      <c r="G3636" s="16">
        <v>46331</v>
      </c>
      <c r="H3636" s="17">
        <f t="shared" si="56"/>
        <v>705</v>
      </c>
      <c r="I3636" s="15" t="s">
        <v>317</v>
      </c>
      <c r="J3636" s="15"/>
      <c r="K3636" t="s">
        <v>469</v>
      </c>
    </row>
    <row r="3637" hidden="1" spans="1:11">
      <c r="B3637" s="14">
        <v>262700942</v>
      </c>
      <c r="C3637" s="13">
        <v>46157</v>
      </c>
      <c r="D3637" s="14" t="s">
        <v>465</v>
      </c>
      <c r="E3637" s="15">
        <v>30000</v>
      </c>
      <c r="F3637" s="14">
        <v>0.018</v>
      </c>
      <c r="G3637" s="16">
        <v>46300</v>
      </c>
      <c r="H3637" s="17">
        <f t="shared" si="56"/>
        <v>540</v>
      </c>
      <c r="I3637" s="15" t="s">
        <v>317</v>
      </c>
      <c r="J3637" s="15"/>
      <c r="K3637" t="s">
        <v>469</v>
      </c>
    </row>
    <row r="3638" hidden="1" spans="1:11">
      <c r="B3638" s="14">
        <v>262700942</v>
      </c>
      <c r="C3638" s="13">
        <v>46157</v>
      </c>
      <c r="D3638" s="14" t="s">
        <v>465</v>
      </c>
      <c r="E3638" s="15">
        <v>30000</v>
      </c>
      <c r="F3638" s="14">
        <v>0.018</v>
      </c>
      <c r="G3638" s="16">
        <v>46331</v>
      </c>
      <c r="H3638" s="17">
        <f t="shared" si="56"/>
        <v>540</v>
      </c>
      <c r="I3638" s="15" t="s">
        <v>317</v>
      </c>
      <c r="J3638" s="15"/>
      <c r="K3638" t="s">
        <v>469</v>
      </c>
    </row>
    <row r="3639" hidden="1" spans="1:11">
      <c r="B3639" s="14">
        <v>262700942</v>
      </c>
      <c r="C3639" s="13">
        <v>46157</v>
      </c>
      <c r="D3639" s="14" t="s">
        <v>288</v>
      </c>
      <c r="E3639" s="15">
        <v>36000</v>
      </c>
      <c r="F3639" s="14">
        <v>0.022</v>
      </c>
      <c r="G3639" s="16">
        <v>46300</v>
      </c>
      <c r="H3639" s="17">
        <f t="shared" si="56"/>
        <v>792</v>
      </c>
      <c r="I3639" s="15" t="s">
        <v>317</v>
      </c>
      <c r="J3639" s="15"/>
      <c r="K3639" t="s">
        <v>469</v>
      </c>
    </row>
    <row r="3640" hidden="1" spans="1:11">
      <c r="B3640" s="14">
        <v>262700942</v>
      </c>
      <c r="C3640" s="13">
        <v>46157</v>
      </c>
      <c r="D3640" s="14" t="s">
        <v>288</v>
      </c>
      <c r="E3640" s="15">
        <v>36000</v>
      </c>
      <c r="F3640" s="14">
        <v>0.022</v>
      </c>
      <c r="G3640" s="16">
        <v>46331</v>
      </c>
      <c r="H3640" s="17">
        <f t="shared" si="56"/>
        <v>792</v>
      </c>
      <c r="I3640" s="15" t="s">
        <v>317</v>
      </c>
      <c r="J3640" s="15"/>
      <c r="K3640" t="s">
        <v>469</v>
      </c>
    </row>
    <row r="3641" hidden="1" spans="1:11">
      <c r="B3641" s="14">
        <v>262700946</v>
      </c>
      <c r="C3641" s="13">
        <v>46157</v>
      </c>
      <c r="D3641" s="14" t="s">
        <v>285</v>
      </c>
      <c r="E3641" s="15">
        <v>30000</v>
      </c>
      <c r="F3641" s="14">
        <v>0.02</v>
      </c>
      <c r="G3641" s="16">
        <v>46361</v>
      </c>
      <c r="H3641" s="17">
        <f t="shared" si="56"/>
        <v>600</v>
      </c>
      <c r="I3641" s="15" t="s">
        <v>317</v>
      </c>
      <c r="J3641" s="15"/>
      <c r="K3641" t="s">
        <v>469</v>
      </c>
    </row>
    <row r="3642" hidden="1" spans="1:11">
      <c r="B3642" s="14">
        <v>262700946</v>
      </c>
      <c r="C3642" s="13">
        <v>46157</v>
      </c>
      <c r="D3642" s="14" t="s">
        <v>286</v>
      </c>
      <c r="E3642" s="15">
        <v>30000</v>
      </c>
      <c r="F3642" s="14">
        <v>0.0235</v>
      </c>
      <c r="G3642" s="16">
        <v>46361</v>
      </c>
      <c r="H3642" s="17">
        <f t="shared" si="56"/>
        <v>705</v>
      </c>
      <c r="I3642" s="15" t="s">
        <v>317</v>
      </c>
      <c r="J3642" s="15"/>
      <c r="K3642" t="s">
        <v>469</v>
      </c>
    </row>
    <row r="3643" hidden="1" spans="1:11">
      <c r="B3643" s="14">
        <v>262700946</v>
      </c>
      <c r="C3643" s="13">
        <v>46157</v>
      </c>
      <c r="D3643" s="14" t="s">
        <v>465</v>
      </c>
      <c r="E3643" s="15">
        <v>30000</v>
      </c>
      <c r="F3643" s="14">
        <v>0.018</v>
      </c>
      <c r="G3643" s="16">
        <v>46361</v>
      </c>
      <c r="H3643" s="17">
        <f t="shared" si="56"/>
        <v>540</v>
      </c>
      <c r="I3643" s="15" t="s">
        <v>317</v>
      </c>
      <c r="J3643" s="15"/>
      <c r="K3643" t="s">
        <v>469</v>
      </c>
    </row>
    <row r="3644" hidden="1" spans="1:11">
      <c r="B3644" s="14">
        <v>262700946</v>
      </c>
      <c r="C3644" s="13">
        <v>46157</v>
      </c>
      <c r="D3644" s="14" t="s">
        <v>288</v>
      </c>
      <c r="E3644" s="15">
        <v>48000</v>
      </c>
      <c r="F3644" s="14">
        <v>0.022</v>
      </c>
      <c r="G3644" s="16">
        <v>46361</v>
      </c>
      <c r="H3644" s="17">
        <f t="shared" si="56"/>
        <v>1056</v>
      </c>
      <c r="I3644" s="15" t="s">
        <v>317</v>
      </c>
      <c r="J3644" s="15"/>
      <c r="K3644" t="s">
        <v>469</v>
      </c>
    </row>
    <row r="3645" hidden="1" spans="1:11">
      <c r="A3645" t="s">
        <v>319</v>
      </c>
      <c r="B3645" s="8">
        <v>262700951</v>
      </c>
      <c r="C3645" s="9">
        <v>46157</v>
      </c>
      <c r="D3645" s="8" t="s">
        <v>625</v>
      </c>
      <c r="E3645" s="10">
        <v>200000</v>
      </c>
      <c r="F3645" s="8">
        <v>0.032</v>
      </c>
      <c r="G3645" s="11">
        <v>46208</v>
      </c>
      <c r="H3645" s="12">
        <f t="shared" si="56"/>
        <v>6400</v>
      </c>
      <c r="I3645" s="10" t="s">
        <v>10</v>
      </c>
      <c r="J3645" s="13">
        <v>46184</v>
      </c>
      <c r="K3645" t="s">
        <v>642</v>
      </c>
    </row>
    <row r="3646" hidden="1" spans="1:11">
      <c r="A3646" t="s">
        <v>319</v>
      </c>
      <c r="B3646" s="8">
        <v>262700951</v>
      </c>
      <c r="C3646" s="9">
        <v>46157</v>
      </c>
      <c r="D3646" s="8" t="s">
        <v>625</v>
      </c>
      <c r="E3646" s="10">
        <v>200000</v>
      </c>
      <c r="F3646" s="8">
        <v>0.032</v>
      </c>
      <c r="G3646" s="11">
        <v>46208</v>
      </c>
      <c r="H3646" s="12">
        <f t="shared" si="56"/>
        <v>6400</v>
      </c>
      <c r="I3646" s="10" t="s">
        <v>10</v>
      </c>
      <c r="J3646" s="13">
        <v>46184</v>
      </c>
      <c r="K3646" t="s">
        <v>642</v>
      </c>
    </row>
    <row r="3647" hidden="1" spans="1:11">
      <c r="A3647" t="s">
        <v>319</v>
      </c>
      <c r="B3647" s="8">
        <v>262700951</v>
      </c>
      <c r="C3647" s="9">
        <v>46157</v>
      </c>
      <c r="D3647" s="8" t="s">
        <v>625</v>
      </c>
      <c r="E3647" s="10">
        <v>200000</v>
      </c>
      <c r="F3647" s="8">
        <v>0.032</v>
      </c>
      <c r="G3647" s="11">
        <v>46208</v>
      </c>
      <c r="H3647" s="12">
        <f t="shared" si="56"/>
        <v>6400</v>
      </c>
      <c r="I3647" s="10" t="s">
        <v>10</v>
      </c>
      <c r="J3647" s="13">
        <v>46184</v>
      </c>
      <c r="K3647" t="s">
        <v>642</v>
      </c>
    </row>
    <row r="3648" hidden="1" spans="1:11">
      <c r="A3648" t="s">
        <v>319</v>
      </c>
      <c r="B3648" s="8">
        <v>262700951</v>
      </c>
      <c r="C3648" s="9">
        <v>46157</v>
      </c>
      <c r="D3648" s="8" t="s">
        <v>625</v>
      </c>
      <c r="E3648" s="10">
        <v>100000</v>
      </c>
      <c r="F3648" s="8">
        <v>0.032</v>
      </c>
      <c r="G3648" s="11">
        <v>46208</v>
      </c>
      <c r="H3648" s="12">
        <f t="shared" si="56"/>
        <v>3200</v>
      </c>
      <c r="I3648" s="10" t="s">
        <v>10</v>
      </c>
      <c r="J3648" s="13">
        <v>46184</v>
      </c>
      <c r="K3648" t="s">
        <v>642</v>
      </c>
    </row>
    <row r="3649" hidden="1" spans="1:11">
      <c r="A3649" t="s">
        <v>319</v>
      </c>
      <c r="B3649" s="8">
        <v>262700951</v>
      </c>
      <c r="C3649" s="9">
        <v>46157</v>
      </c>
      <c r="D3649" s="8" t="s">
        <v>625</v>
      </c>
      <c r="E3649" s="10">
        <v>200000</v>
      </c>
      <c r="F3649" s="8">
        <v>0.032</v>
      </c>
      <c r="G3649" s="11">
        <v>46239</v>
      </c>
      <c r="H3649" s="12">
        <f t="shared" si="56"/>
        <v>6400</v>
      </c>
      <c r="I3649" s="10" t="s">
        <v>10</v>
      </c>
      <c r="J3649" s="13">
        <v>46184</v>
      </c>
      <c r="K3649" t="s">
        <v>642</v>
      </c>
    </row>
    <row r="3650" hidden="1" spans="1:11">
      <c r="A3650" t="s">
        <v>319</v>
      </c>
      <c r="B3650" s="8">
        <v>262700951</v>
      </c>
      <c r="C3650" s="9">
        <v>46157</v>
      </c>
      <c r="D3650" s="8" t="s">
        <v>625</v>
      </c>
      <c r="E3650" s="10">
        <v>200000</v>
      </c>
      <c r="F3650" s="8">
        <v>0.032</v>
      </c>
      <c r="G3650" s="11">
        <v>46239</v>
      </c>
      <c r="H3650" s="12">
        <f t="shared" ref="H3650:H3713" si="57">E3650*F3650</f>
        <v>6400</v>
      </c>
      <c r="I3650" s="10" t="s">
        <v>10</v>
      </c>
      <c r="J3650" s="13">
        <v>46184</v>
      </c>
      <c r="K3650" t="s">
        <v>642</v>
      </c>
    </row>
    <row r="3651" hidden="1" spans="1:11">
      <c r="A3651" t="s">
        <v>319</v>
      </c>
      <c r="B3651" s="8">
        <v>262700951</v>
      </c>
      <c r="C3651" s="9">
        <v>46157</v>
      </c>
      <c r="D3651" s="8" t="s">
        <v>625</v>
      </c>
      <c r="E3651" s="10">
        <v>200000</v>
      </c>
      <c r="F3651" s="8">
        <v>0.032</v>
      </c>
      <c r="G3651" s="11">
        <v>46239</v>
      </c>
      <c r="H3651" s="12">
        <f t="shared" si="57"/>
        <v>6400</v>
      </c>
      <c r="I3651" s="10" t="s">
        <v>10</v>
      </c>
      <c r="J3651" s="13">
        <v>46184</v>
      </c>
      <c r="K3651" t="s">
        <v>642</v>
      </c>
    </row>
    <row r="3652" hidden="1" spans="1:11">
      <c r="A3652" t="s">
        <v>319</v>
      </c>
      <c r="B3652" s="8">
        <v>262700951</v>
      </c>
      <c r="C3652" s="9">
        <v>46157</v>
      </c>
      <c r="D3652" s="8" t="s">
        <v>625</v>
      </c>
      <c r="E3652" s="10">
        <v>100000</v>
      </c>
      <c r="F3652" s="8">
        <v>0.032</v>
      </c>
      <c r="G3652" s="11">
        <v>46239</v>
      </c>
      <c r="H3652" s="12">
        <f t="shared" si="57"/>
        <v>3200</v>
      </c>
      <c r="I3652" s="10" t="s">
        <v>10</v>
      </c>
      <c r="J3652" s="13">
        <v>46184</v>
      </c>
      <c r="K3652" t="s">
        <v>642</v>
      </c>
    </row>
    <row r="3653" hidden="1" spans="1:11">
      <c r="B3653" s="14">
        <v>262700952</v>
      </c>
      <c r="C3653" s="13">
        <v>46157</v>
      </c>
      <c r="D3653" s="14" t="s">
        <v>426</v>
      </c>
      <c r="E3653" s="15">
        <v>200000</v>
      </c>
      <c r="F3653" s="14">
        <v>0.032</v>
      </c>
      <c r="G3653" s="16">
        <v>46270</v>
      </c>
      <c r="H3653" s="17">
        <f t="shared" si="57"/>
        <v>6400</v>
      </c>
      <c r="I3653" s="15" t="s">
        <v>317</v>
      </c>
      <c r="J3653" s="15"/>
      <c r="K3653" t="s">
        <v>642</v>
      </c>
    </row>
    <row r="3654" hidden="1" spans="1:11">
      <c r="B3654" s="14">
        <v>262700952</v>
      </c>
      <c r="C3654" s="13">
        <v>46157</v>
      </c>
      <c r="D3654" s="14" t="s">
        <v>426</v>
      </c>
      <c r="E3654" s="15">
        <v>200000</v>
      </c>
      <c r="F3654" s="14">
        <v>0.032</v>
      </c>
      <c r="G3654" s="16">
        <v>46270</v>
      </c>
      <c r="H3654" s="17">
        <f t="shared" si="57"/>
        <v>6400</v>
      </c>
      <c r="I3654" s="15" t="s">
        <v>317</v>
      </c>
      <c r="J3654" s="15"/>
      <c r="K3654" t="s">
        <v>642</v>
      </c>
    </row>
    <row r="3655" hidden="1" spans="1:11">
      <c r="B3655" s="14">
        <v>262700952</v>
      </c>
      <c r="C3655" s="13">
        <v>46157</v>
      </c>
      <c r="D3655" s="14" t="s">
        <v>426</v>
      </c>
      <c r="E3655" s="15">
        <v>200000</v>
      </c>
      <c r="F3655" s="14">
        <v>0.032</v>
      </c>
      <c r="G3655" s="16">
        <v>46270</v>
      </c>
      <c r="H3655" s="17">
        <f t="shared" si="57"/>
        <v>6400</v>
      </c>
      <c r="I3655" s="15" t="s">
        <v>317</v>
      </c>
      <c r="J3655" s="15"/>
      <c r="K3655" t="s">
        <v>642</v>
      </c>
    </row>
    <row r="3656" hidden="1" spans="1:11">
      <c r="B3656" s="14">
        <v>262700952</v>
      </c>
      <c r="C3656" s="13">
        <v>46157</v>
      </c>
      <c r="D3656" s="14" t="s">
        <v>426</v>
      </c>
      <c r="E3656" s="15">
        <v>100000</v>
      </c>
      <c r="F3656" s="14">
        <v>0.032</v>
      </c>
      <c r="G3656" s="16">
        <v>46270</v>
      </c>
      <c r="H3656" s="17">
        <f t="shared" si="57"/>
        <v>3200</v>
      </c>
      <c r="I3656" s="15" t="s">
        <v>317</v>
      </c>
      <c r="J3656" s="15"/>
      <c r="K3656" t="s">
        <v>642</v>
      </c>
    </row>
    <row r="3657" hidden="1" spans="1:11">
      <c r="A3657" t="s">
        <v>319</v>
      </c>
      <c r="B3657" s="8">
        <v>262700963</v>
      </c>
      <c r="C3657" s="9">
        <v>46157</v>
      </c>
      <c r="D3657" s="8" t="s">
        <v>641</v>
      </c>
      <c r="E3657" s="10">
        <v>21000</v>
      </c>
      <c r="F3657" s="8">
        <v>0.036</v>
      </c>
      <c r="G3657" s="11">
        <v>46164</v>
      </c>
      <c r="H3657" s="12">
        <f t="shared" si="57"/>
        <v>756</v>
      </c>
      <c r="I3657" s="10" t="s">
        <v>10</v>
      </c>
      <c r="J3657" s="13">
        <v>46168</v>
      </c>
      <c r="K3657" t="s">
        <v>645</v>
      </c>
    </row>
    <row r="3658" hidden="1" spans="1:11">
      <c r="A3658" t="s">
        <v>319</v>
      </c>
      <c r="B3658" s="8">
        <v>262700963</v>
      </c>
      <c r="C3658" s="9">
        <v>46157</v>
      </c>
      <c r="D3658" s="8" t="s">
        <v>655</v>
      </c>
      <c r="E3658" s="10">
        <v>21000</v>
      </c>
      <c r="F3658" s="8">
        <v>0.027</v>
      </c>
      <c r="G3658" s="11">
        <v>46164</v>
      </c>
      <c r="H3658" s="12">
        <f t="shared" si="57"/>
        <v>567</v>
      </c>
      <c r="I3658" s="10" t="s">
        <v>10</v>
      </c>
      <c r="J3658" s="13">
        <v>46168</v>
      </c>
      <c r="K3658" t="s">
        <v>645</v>
      </c>
    </row>
    <row r="3659" hidden="1" spans="1:11">
      <c r="A3659" t="s">
        <v>319</v>
      </c>
      <c r="B3659" s="8">
        <v>262700963</v>
      </c>
      <c r="C3659" s="9">
        <v>46157</v>
      </c>
      <c r="D3659" s="8" t="s">
        <v>656</v>
      </c>
      <c r="E3659" s="10">
        <v>21000</v>
      </c>
      <c r="F3659" s="8">
        <v>0.0181</v>
      </c>
      <c r="G3659" s="11">
        <v>46164</v>
      </c>
      <c r="H3659" s="12">
        <f t="shared" si="57"/>
        <v>380.1</v>
      </c>
      <c r="I3659" s="10" t="s">
        <v>10</v>
      </c>
      <c r="J3659" s="13">
        <v>46168</v>
      </c>
      <c r="K3659" t="s">
        <v>645</v>
      </c>
    </row>
    <row r="3660" hidden="1" spans="1:11">
      <c r="A3660" t="s">
        <v>319</v>
      </c>
      <c r="B3660" s="8">
        <v>262700964</v>
      </c>
      <c r="C3660" s="9">
        <v>46157</v>
      </c>
      <c r="D3660" s="8" t="s">
        <v>233</v>
      </c>
      <c r="E3660" s="10">
        <v>150000</v>
      </c>
      <c r="F3660" s="8">
        <v>0.15</v>
      </c>
      <c r="G3660" s="11">
        <v>46164</v>
      </c>
      <c r="H3660" s="12">
        <f t="shared" si="57"/>
        <v>22500</v>
      </c>
      <c r="I3660" s="10" t="s">
        <v>10</v>
      </c>
      <c r="J3660" s="13">
        <v>46163</v>
      </c>
      <c r="K3660" t="s">
        <v>337</v>
      </c>
    </row>
    <row r="3661" hidden="1" spans="1:11">
      <c r="A3661" t="s">
        <v>319</v>
      </c>
      <c r="B3661" s="8">
        <v>262700964</v>
      </c>
      <c r="C3661" s="9">
        <v>46157</v>
      </c>
      <c r="D3661" s="8" t="s">
        <v>233</v>
      </c>
      <c r="E3661" s="10">
        <v>150000</v>
      </c>
      <c r="F3661" s="8">
        <v>0.15</v>
      </c>
      <c r="G3661" s="11">
        <v>46178</v>
      </c>
      <c r="H3661" s="12">
        <f t="shared" si="57"/>
        <v>22500</v>
      </c>
      <c r="I3661" s="10" t="s">
        <v>10</v>
      </c>
      <c r="J3661" s="13">
        <v>46163</v>
      </c>
      <c r="K3661" t="s">
        <v>337</v>
      </c>
    </row>
    <row r="3662" hidden="1" spans="1:11">
      <c r="A3662" t="s">
        <v>319</v>
      </c>
      <c r="B3662" s="8">
        <v>262700964</v>
      </c>
      <c r="C3662" s="9">
        <v>46157</v>
      </c>
      <c r="D3662" s="8" t="s">
        <v>610</v>
      </c>
      <c r="E3662" s="10">
        <v>100000</v>
      </c>
      <c r="F3662" s="8">
        <v>0.033</v>
      </c>
      <c r="G3662" s="11">
        <v>46164</v>
      </c>
      <c r="H3662" s="12">
        <f t="shared" si="57"/>
        <v>3300</v>
      </c>
      <c r="I3662" s="10" t="s">
        <v>10</v>
      </c>
      <c r="J3662" s="13">
        <v>46163</v>
      </c>
      <c r="K3662" t="s">
        <v>337</v>
      </c>
    </row>
    <row r="3663" hidden="1" spans="1:11">
      <c r="A3663" t="s">
        <v>319</v>
      </c>
      <c r="B3663" s="8">
        <v>262700964</v>
      </c>
      <c r="C3663" s="9">
        <v>46157</v>
      </c>
      <c r="D3663" s="8" t="s">
        <v>610</v>
      </c>
      <c r="E3663" s="10">
        <v>50000</v>
      </c>
      <c r="F3663" s="8">
        <v>0.033</v>
      </c>
      <c r="G3663" s="11">
        <v>46178</v>
      </c>
      <c r="H3663" s="12">
        <f t="shared" si="57"/>
        <v>1650</v>
      </c>
      <c r="I3663" s="10" t="s">
        <v>10</v>
      </c>
      <c r="J3663" s="13">
        <v>46163</v>
      </c>
      <c r="K3663" t="s">
        <v>337</v>
      </c>
    </row>
    <row r="3664" hidden="1" spans="1:11">
      <c r="A3664" t="s">
        <v>319</v>
      </c>
      <c r="B3664" s="8">
        <v>262700964</v>
      </c>
      <c r="C3664" s="9">
        <v>46157</v>
      </c>
      <c r="D3664" s="8" t="s">
        <v>657</v>
      </c>
      <c r="E3664" s="10">
        <v>20000</v>
      </c>
      <c r="F3664" s="8">
        <v>0.065</v>
      </c>
      <c r="G3664" s="11">
        <v>46164</v>
      </c>
      <c r="H3664" s="12">
        <f t="shared" si="57"/>
        <v>1300</v>
      </c>
      <c r="I3664" s="10" t="s">
        <v>10</v>
      </c>
      <c r="J3664" s="13">
        <v>46163</v>
      </c>
      <c r="K3664" t="s">
        <v>337</v>
      </c>
    </row>
    <row r="3665" hidden="1" spans="1:11">
      <c r="A3665" t="s">
        <v>319</v>
      </c>
      <c r="B3665" s="8">
        <v>262700967</v>
      </c>
      <c r="C3665" s="9">
        <v>46160</v>
      </c>
      <c r="D3665" s="8" t="s">
        <v>610</v>
      </c>
      <c r="E3665" s="10">
        <v>50000</v>
      </c>
      <c r="F3665" s="8">
        <v>0.033</v>
      </c>
      <c r="G3665" s="11">
        <v>46225</v>
      </c>
      <c r="H3665" s="12">
        <f t="shared" si="57"/>
        <v>1650</v>
      </c>
      <c r="I3665" s="10" t="s">
        <v>10</v>
      </c>
      <c r="J3665" s="13">
        <v>46168</v>
      </c>
      <c r="K3665" t="s">
        <v>337</v>
      </c>
    </row>
    <row r="3666" s="26" customFormat="1" hidden="1" spans="1:11">
      <c r="A3666" t="s">
        <v>319</v>
      </c>
      <c r="B3666" s="8">
        <v>262701035</v>
      </c>
      <c r="C3666" s="9">
        <v>46161</v>
      </c>
      <c r="D3666" s="8" t="s">
        <v>31</v>
      </c>
      <c r="E3666" s="10">
        <v>40000</v>
      </c>
      <c r="F3666" s="8">
        <v>0.024</v>
      </c>
      <c r="G3666" s="11">
        <v>46178</v>
      </c>
      <c r="H3666" s="12">
        <f t="shared" si="57"/>
        <v>960</v>
      </c>
      <c r="I3666" s="10" t="s">
        <v>10</v>
      </c>
      <c r="J3666" s="13">
        <v>46191</v>
      </c>
      <c r="K3666" s="26" t="s">
        <v>627</v>
      </c>
    </row>
    <row r="3667" s="26" customFormat="1" hidden="1" spans="1:11">
      <c r="A3667" t="s">
        <v>319</v>
      </c>
      <c r="B3667" s="8">
        <v>262701035</v>
      </c>
      <c r="C3667" s="9">
        <v>46161</v>
      </c>
      <c r="D3667" s="8" t="s">
        <v>31</v>
      </c>
      <c r="E3667" s="10">
        <v>40000</v>
      </c>
      <c r="F3667" s="8">
        <v>0.024</v>
      </c>
      <c r="G3667" s="11">
        <v>46239</v>
      </c>
      <c r="H3667" s="12">
        <f t="shared" si="57"/>
        <v>960</v>
      </c>
      <c r="I3667" s="10" t="s">
        <v>10</v>
      </c>
      <c r="J3667" s="13">
        <v>46191</v>
      </c>
      <c r="K3667" s="26" t="s">
        <v>627</v>
      </c>
    </row>
    <row r="3668" s="26" customFormat="1" hidden="1" spans="1:11">
      <c r="A3668" t="s">
        <v>319</v>
      </c>
      <c r="B3668" s="8">
        <v>262701035</v>
      </c>
      <c r="C3668" s="9">
        <v>46161</v>
      </c>
      <c r="D3668" s="8" t="s">
        <v>517</v>
      </c>
      <c r="E3668" s="10">
        <v>60000</v>
      </c>
      <c r="F3668" s="8">
        <v>0.0238</v>
      </c>
      <c r="G3668" s="11">
        <v>46178</v>
      </c>
      <c r="H3668" s="12">
        <f t="shared" si="57"/>
        <v>1428</v>
      </c>
      <c r="I3668" s="10" t="s">
        <v>10</v>
      </c>
      <c r="J3668" s="13">
        <v>46184</v>
      </c>
      <c r="K3668" s="26" t="s">
        <v>627</v>
      </c>
    </row>
    <row r="3669" s="26" customFormat="1" hidden="1" spans="1:11">
      <c r="A3669" t="s">
        <v>319</v>
      </c>
      <c r="B3669" s="8">
        <v>262701035</v>
      </c>
      <c r="C3669" s="9">
        <v>46161</v>
      </c>
      <c r="D3669" s="8" t="s">
        <v>517</v>
      </c>
      <c r="E3669" s="10">
        <v>60000</v>
      </c>
      <c r="F3669" s="8">
        <v>0.0238</v>
      </c>
      <c r="G3669" s="11">
        <v>46178</v>
      </c>
      <c r="H3669" s="12">
        <f t="shared" si="57"/>
        <v>1428</v>
      </c>
      <c r="I3669" s="10" t="s">
        <v>10</v>
      </c>
      <c r="J3669" s="13">
        <v>46184</v>
      </c>
      <c r="K3669" s="26" t="s">
        <v>627</v>
      </c>
    </row>
    <row r="3670" hidden="1" spans="1:11">
      <c r="A3670" t="s">
        <v>319</v>
      </c>
      <c r="B3670" s="8">
        <v>262701051</v>
      </c>
      <c r="C3670" s="9">
        <v>46161</v>
      </c>
      <c r="D3670" s="8" t="s">
        <v>16</v>
      </c>
      <c r="E3670" s="10">
        <v>80000</v>
      </c>
      <c r="F3670" s="8">
        <v>0.0292</v>
      </c>
      <c r="G3670" s="11">
        <v>46178</v>
      </c>
      <c r="H3670" s="12">
        <f t="shared" si="57"/>
        <v>2336</v>
      </c>
      <c r="I3670" s="10" t="s">
        <v>10</v>
      </c>
      <c r="J3670" s="13">
        <v>46168</v>
      </c>
      <c r="K3670" t="s">
        <v>405</v>
      </c>
    </row>
    <row r="3671" hidden="1" spans="1:11">
      <c r="A3671" t="s">
        <v>319</v>
      </c>
      <c r="B3671" s="8">
        <v>262701051</v>
      </c>
      <c r="C3671" s="9">
        <v>46161</v>
      </c>
      <c r="D3671" s="8" t="s">
        <v>16</v>
      </c>
      <c r="E3671" s="10">
        <v>80000</v>
      </c>
      <c r="F3671" s="8">
        <v>0.0292</v>
      </c>
      <c r="G3671" s="11">
        <v>46178</v>
      </c>
      <c r="H3671" s="12">
        <f t="shared" si="57"/>
        <v>2336</v>
      </c>
      <c r="I3671" s="10" t="s">
        <v>10</v>
      </c>
      <c r="J3671" s="13">
        <v>46168</v>
      </c>
      <c r="K3671" t="s">
        <v>405</v>
      </c>
    </row>
    <row r="3672" hidden="1" spans="1:11">
      <c r="A3672" t="s">
        <v>319</v>
      </c>
      <c r="B3672" s="8">
        <v>262701051</v>
      </c>
      <c r="C3672" s="9">
        <v>46161</v>
      </c>
      <c r="D3672" s="8" t="s">
        <v>16</v>
      </c>
      <c r="E3672" s="10">
        <v>80000</v>
      </c>
      <c r="F3672" s="8">
        <v>0.0292</v>
      </c>
      <c r="G3672" s="11">
        <v>46208</v>
      </c>
      <c r="H3672" s="12">
        <f t="shared" si="57"/>
        <v>2336</v>
      </c>
      <c r="I3672" s="10" t="s">
        <v>10</v>
      </c>
      <c r="J3672" s="13">
        <v>46168</v>
      </c>
      <c r="K3672" t="s">
        <v>405</v>
      </c>
    </row>
    <row r="3673" hidden="1" spans="1:11">
      <c r="A3673" t="s">
        <v>319</v>
      </c>
      <c r="B3673" s="8">
        <v>262701051</v>
      </c>
      <c r="C3673" s="9">
        <v>46161</v>
      </c>
      <c r="D3673" s="8" t="s">
        <v>67</v>
      </c>
      <c r="E3673" s="10">
        <v>60000</v>
      </c>
      <c r="F3673" s="8">
        <v>0.028</v>
      </c>
      <c r="G3673" s="11">
        <v>46178</v>
      </c>
      <c r="H3673" s="12">
        <f t="shared" si="57"/>
        <v>1680</v>
      </c>
      <c r="I3673" s="10" t="s">
        <v>10</v>
      </c>
      <c r="J3673" s="13">
        <v>46168</v>
      </c>
      <c r="K3673" t="s">
        <v>405</v>
      </c>
    </row>
    <row r="3674" hidden="1" spans="1:11">
      <c r="A3674" t="s">
        <v>319</v>
      </c>
      <c r="B3674" s="8">
        <v>262701051</v>
      </c>
      <c r="C3674" s="9">
        <v>46161</v>
      </c>
      <c r="D3674" s="8" t="s">
        <v>104</v>
      </c>
      <c r="E3674" s="10">
        <v>60000</v>
      </c>
      <c r="F3674" s="8">
        <v>0.028</v>
      </c>
      <c r="G3674" s="11">
        <v>46178</v>
      </c>
      <c r="H3674" s="12">
        <f t="shared" si="57"/>
        <v>1680</v>
      </c>
      <c r="I3674" s="10" t="s">
        <v>10</v>
      </c>
      <c r="J3674" s="13">
        <v>46168</v>
      </c>
      <c r="K3674" t="s">
        <v>405</v>
      </c>
    </row>
    <row r="3675" hidden="1" spans="1:11">
      <c r="A3675" t="s">
        <v>319</v>
      </c>
      <c r="B3675" s="8">
        <v>262701059</v>
      </c>
      <c r="C3675" s="9">
        <v>46162</v>
      </c>
      <c r="D3675" s="8" t="s">
        <v>658</v>
      </c>
      <c r="E3675" s="10">
        <v>160000</v>
      </c>
      <c r="F3675" s="8">
        <v>0.11</v>
      </c>
      <c r="G3675" s="11">
        <v>46178</v>
      </c>
      <c r="H3675" s="12">
        <f t="shared" si="57"/>
        <v>17600</v>
      </c>
      <c r="I3675" s="10" t="s">
        <v>10</v>
      </c>
      <c r="J3675" s="13">
        <v>46174</v>
      </c>
      <c r="K3675" t="s">
        <v>491</v>
      </c>
    </row>
    <row r="3676" hidden="1" spans="1:11">
      <c r="A3676" t="s">
        <v>319</v>
      </c>
      <c r="B3676" s="8">
        <v>262701059</v>
      </c>
      <c r="C3676" s="9">
        <v>46162</v>
      </c>
      <c r="D3676" s="8" t="s">
        <v>658</v>
      </c>
      <c r="E3676" s="10">
        <v>100000</v>
      </c>
      <c r="F3676" s="8">
        <v>0.11</v>
      </c>
      <c r="G3676" s="11">
        <v>46208</v>
      </c>
      <c r="H3676" s="12">
        <f t="shared" si="57"/>
        <v>11000</v>
      </c>
      <c r="I3676" s="10" t="s">
        <v>10</v>
      </c>
      <c r="J3676" s="13">
        <v>46174</v>
      </c>
      <c r="K3676" t="s">
        <v>491</v>
      </c>
    </row>
    <row r="3677" hidden="1" spans="1:11">
      <c r="A3677" t="s">
        <v>319</v>
      </c>
      <c r="B3677" s="8">
        <v>262701059</v>
      </c>
      <c r="C3677" s="9">
        <v>46162</v>
      </c>
      <c r="D3677" s="8" t="s">
        <v>658</v>
      </c>
      <c r="E3677" s="10">
        <v>100000</v>
      </c>
      <c r="F3677" s="8">
        <v>0.11</v>
      </c>
      <c r="G3677" s="11">
        <v>46208</v>
      </c>
      <c r="H3677" s="12">
        <f t="shared" si="57"/>
        <v>11000</v>
      </c>
      <c r="I3677" s="10" t="s">
        <v>10</v>
      </c>
      <c r="J3677" s="13">
        <v>46174</v>
      </c>
      <c r="K3677" t="s">
        <v>491</v>
      </c>
    </row>
    <row r="3678" hidden="1" spans="1:11">
      <c r="A3678" t="s">
        <v>319</v>
      </c>
      <c r="B3678" s="8">
        <v>262701059</v>
      </c>
      <c r="C3678" s="9">
        <v>46162</v>
      </c>
      <c r="D3678" s="8" t="s">
        <v>659</v>
      </c>
      <c r="E3678" s="10">
        <v>20000</v>
      </c>
      <c r="F3678" s="8">
        <v>0.0272</v>
      </c>
      <c r="G3678" s="11">
        <v>46178</v>
      </c>
      <c r="H3678" s="12">
        <f t="shared" si="57"/>
        <v>544</v>
      </c>
      <c r="I3678" s="10" t="s">
        <v>10</v>
      </c>
      <c r="J3678" s="13">
        <v>46174</v>
      </c>
      <c r="K3678" t="s">
        <v>491</v>
      </c>
    </row>
    <row r="3679" hidden="1" spans="1:11">
      <c r="A3679" t="s">
        <v>319</v>
      </c>
      <c r="B3679" s="8">
        <v>262701059</v>
      </c>
      <c r="C3679" s="9">
        <v>46162</v>
      </c>
      <c r="D3679" s="8" t="s">
        <v>30</v>
      </c>
      <c r="E3679" s="10">
        <v>30000</v>
      </c>
      <c r="F3679" s="8">
        <v>0.022</v>
      </c>
      <c r="G3679" s="11">
        <v>46178</v>
      </c>
      <c r="H3679" s="12">
        <f t="shared" si="57"/>
        <v>660</v>
      </c>
      <c r="I3679" s="10" t="s">
        <v>10</v>
      </c>
      <c r="J3679" s="13">
        <v>46171</v>
      </c>
      <c r="K3679" t="s">
        <v>491</v>
      </c>
    </row>
    <row r="3680" hidden="1" spans="1:11">
      <c r="A3680" t="s">
        <v>319</v>
      </c>
      <c r="B3680" s="8">
        <v>262701059</v>
      </c>
      <c r="C3680" s="9">
        <v>46162</v>
      </c>
      <c r="D3680" s="8" t="s">
        <v>30</v>
      </c>
      <c r="E3680" s="10">
        <v>30000</v>
      </c>
      <c r="F3680" s="8">
        <v>0.022</v>
      </c>
      <c r="G3680" s="11">
        <v>46208</v>
      </c>
      <c r="H3680" s="12">
        <f t="shared" si="57"/>
        <v>660</v>
      </c>
      <c r="I3680" s="10" t="s">
        <v>10</v>
      </c>
      <c r="J3680" s="13">
        <v>46171</v>
      </c>
      <c r="K3680" t="s">
        <v>491</v>
      </c>
    </row>
    <row r="3681" hidden="1" spans="1:11">
      <c r="A3681" t="s">
        <v>319</v>
      </c>
      <c r="B3681" s="8">
        <v>262701059</v>
      </c>
      <c r="C3681" s="9">
        <v>46162</v>
      </c>
      <c r="D3681" s="8" t="s">
        <v>30</v>
      </c>
      <c r="E3681" s="10">
        <v>30000</v>
      </c>
      <c r="F3681" s="8">
        <v>0.022</v>
      </c>
      <c r="G3681" s="11">
        <v>46208</v>
      </c>
      <c r="H3681" s="12">
        <f t="shared" si="57"/>
        <v>660</v>
      </c>
      <c r="I3681" s="10" t="s">
        <v>10</v>
      </c>
      <c r="J3681" s="13">
        <v>46171</v>
      </c>
      <c r="K3681" t="s">
        <v>491</v>
      </c>
    </row>
    <row r="3682" hidden="1" spans="1:11">
      <c r="A3682" t="s">
        <v>319</v>
      </c>
      <c r="B3682" s="8">
        <v>262701059</v>
      </c>
      <c r="C3682" s="9">
        <v>46162</v>
      </c>
      <c r="D3682" s="8" t="s">
        <v>11</v>
      </c>
      <c r="E3682" s="10">
        <v>200000</v>
      </c>
      <c r="F3682" s="8">
        <v>0.032</v>
      </c>
      <c r="G3682" s="11">
        <v>46178</v>
      </c>
      <c r="H3682" s="12">
        <f t="shared" si="57"/>
        <v>6400</v>
      </c>
      <c r="I3682" s="10" t="s">
        <v>10</v>
      </c>
      <c r="J3682" s="13">
        <v>46171</v>
      </c>
      <c r="K3682" t="s">
        <v>491</v>
      </c>
    </row>
    <row r="3683" hidden="1" spans="1:11">
      <c r="A3683" t="s">
        <v>319</v>
      </c>
      <c r="B3683" s="8">
        <v>262701059</v>
      </c>
      <c r="C3683" s="9">
        <v>46162</v>
      </c>
      <c r="D3683" s="8" t="s">
        <v>11</v>
      </c>
      <c r="E3683" s="10">
        <v>200000</v>
      </c>
      <c r="F3683" s="8">
        <v>0.032</v>
      </c>
      <c r="G3683" s="11">
        <v>46178</v>
      </c>
      <c r="H3683" s="12">
        <f t="shared" si="57"/>
        <v>6400</v>
      </c>
      <c r="I3683" s="10" t="s">
        <v>10</v>
      </c>
      <c r="J3683" s="13">
        <v>46171</v>
      </c>
      <c r="K3683" t="s">
        <v>491</v>
      </c>
    </row>
    <row r="3684" hidden="1" spans="1:11">
      <c r="A3684" t="s">
        <v>319</v>
      </c>
      <c r="B3684" s="8">
        <v>262701059</v>
      </c>
      <c r="C3684" s="9">
        <v>46162</v>
      </c>
      <c r="D3684" s="8" t="s">
        <v>11</v>
      </c>
      <c r="E3684" s="10">
        <v>100000</v>
      </c>
      <c r="F3684" s="8">
        <v>0.032</v>
      </c>
      <c r="G3684" s="11">
        <v>46178</v>
      </c>
      <c r="H3684" s="12">
        <f t="shared" si="57"/>
        <v>3200</v>
      </c>
      <c r="I3684" s="10" t="s">
        <v>10</v>
      </c>
      <c r="J3684" s="13">
        <v>46171</v>
      </c>
      <c r="K3684" t="s">
        <v>491</v>
      </c>
    </row>
    <row r="3685" hidden="1" spans="1:11">
      <c r="B3685" s="14">
        <v>262701162</v>
      </c>
      <c r="C3685" s="13">
        <v>46168</v>
      </c>
      <c r="D3685" s="14" t="s">
        <v>181</v>
      </c>
      <c r="E3685" s="15">
        <v>200000</v>
      </c>
      <c r="F3685" s="14">
        <v>0.0243</v>
      </c>
      <c r="G3685" s="16">
        <v>46270</v>
      </c>
      <c r="H3685" s="17">
        <f t="shared" si="57"/>
        <v>4860</v>
      </c>
      <c r="I3685" s="15" t="s">
        <v>317</v>
      </c>
      <c r="J3685" s="15"/>
      <c r="K3685" t="s">
        <v>435</v>
      </c>
    </row>
    <row r="3686" hidden="1" spans="1:11">
      <c r="B3686" s="14">
        <v>262701162</v>
      </c>
      <c r="C3686" s="13">
        <v>46168</v>
      </c>
      <c r="D3686" s="14" t="s">
        <v>181</v>
      </c>
      <c r="E3686" s="15">
        <v>200000</v>
      </c>
      <c r="F3686" s="14">
        <v>0.0243</v>
      </c>
      <c r="G3686" s="16">
        <v>46270</v>
      </c>
      <c r="H3686" s="17">
        <f t="shared" si="57"/>
        <v>4860</v>
      </c>
      <c r="I3686" s="15" t="s">
        <v>317</v>
      </c>
      <c r="J3686" s="15"/>
      <c r="K3686" t="s">
        <v>435</v>
      </c>
    </row>
    <row r="3687" hidden="1" spans="1:11">
      <c r="B3687" s="14">
        <v>262701162</v>
      </c>
      <c r="C3687" s="13">
        <v>46168</v>
      </c>
      <c r="D3687" s="14" t="s">
        <v>181</v>
      </c>
      <c r="E3687" s="15">
        <v>200000</v>
      </c>
      <c r="F3687" s="14">
        <v>0.0243</v>
      </c>
      <c r="G3687" s="16">
        <v>46270</v>
      </c>
      <c r="H3687" s="17">
        <f t="shared" si="57"/>
        <v>4860</v>
      </c>
      <c r="I3687" s="15" t="s">
        <v>317</v>
      </c>
      <c r="J3687" s="15"/>
      <c r="K3687" t="s">
        <v>435</v>
      </c>
    </row>
    <row r="3688" hidden="1" spans="1:11">
      <c r="B3688" s="14">
        <v>262701162</v>
      </c>
      <c r="C3688" s="13">
        <v>46168</v>
      </c>
      <c r="D3688" s="14" t="s">
        <v>181</v>
      </c>
      <c r="E3688" s="15">
        <v>200000</v>
      </c>
      <c r="F3688" s="14">
        <v>0.0243</v>
      </c>
      <c r="G3688" s="16">
        <v>46270</v>
      </c>
      <c r="H3688" s="17">
        <f t="shared" si="57"/>
        <v>4860</v>
      </c>
      <c r="I3688" s="15" t="s">
        <v>317</v>
      </c>
      <c r="J3688" s="15"/>
      <c r="K3688" t="s">
        <v>435</v>
      </c>
    </row>
    <row r="3689" hidden="1" spans="1:11">
      <c r="B3689" s="14">
        <v>262701162</v>
      </c>
      <c r="C3689" s="13">
        <v>46168</v>
      </c>
      <c r="D3689" s="14" t="s">
        <v>603</v>
      </c>
      <c r="E3689" s="15">
        <v>200000</v>
      </c>
      <c r="F3689" s="14">
        <v>0.027</v>
      </c>
      <c r="G3689" s="16">
        <v>46239</v>
      </c>
      <c r="H3689" s="17">
        <f t="shared" si="57"/>
        <v>5400</v>
      </c>
      <c r="I3689" s="15" t="s">
        <v>317</v>
      </c>
      <c r="J3689" s="15"/>
      <c r="K3689" t="s">
        <v>435</v>
      </c>
    </row>
    <row r="3690" hidden="1" spans="1:11">
      <c r="B3690" s="14">
        <v>262701162</v>
      </c>
      <c r="C3690" s="13">
        <v>46168</v>
      </c>
      <c r="D3690" s="14" t="s">
        <v>603</v>
      </c>
      <c r="E3690" s="15">
        <v>120000</v>
      </c>
      <c r="F3690" s="14">
        <v>0.027</v>
      </c>
      <c r="G3690" s="16">
        <v>46239</v>
      </c>
      <c r="H3690" s="17">
        <f t="shared" si="57"/>
        <v>3240</v>
      </c>
      <c r="I3690" s="15" t="s">
        <v>317</v>
      </c>
      <c r="J3690" s="15"/>
      <c r="K3690" t="s">
        <v>435</v>
      </c>
    </row>
    <row r="3691" hidden="1" spans="1:11">
      <c r="B3691" s="14">
        <v>262701162</v>
      </c>
      <c r="C3691" s="13">
        <v>46168</v>
      </c>
      <c r="D3691" s="14" t="s">
        <v>603</v>
      </c>
      <c r="E3691" s="15">
        <v>200000</v>
      </c>
      <c r="F3691" s="14">
        <v>0.027</v>
      </c>
      <c r="G3691" s="16">
        <v>46270</v>
      </c>
      <c r="H3691" s="17">
        <f t="shared" si="57"/>
        <v>5400</v>
      </c>
      <c r="I3691" s="15" t="s">
        <v>317</v>
      </c>
      <c r="J3691" s="15"/>
      <c r="K3691" t="s">
        <v>435</v>
      </c>
    </row>
    <row r="3692" hidden="1" spans="1:11">
      <c r="B3692" s="14">
        <v>262701162</v>
      </c>
      <c r="C3692" s="13">
        <v>46168</v>
      </c>
      <c r="D3692" s="14" t="s">
        <v>603</v>
      </c>
      <c r="E3692" s="15">
        <v>100000</v>
      </c>
      <c r="F3692" s="14">
        <v>0.027</v>
      </c>
      <c r="G3692" s="16">
        <v>46270</v>
      </c>
      <c r="H3692" s="17">
        <f t="shared" si="57"/>
        <v>2700</v>
      </c>
      <c r="I3692" s="15" t="s">
        <v>317</v>
      </c>
      <c r="J3692" s="15"/>
      <c r="K3692" t="s">
        <v>435</v>
      </c>
    </row>
    <row r="3693" hidden="1" spans="1:11">
      <c r="B3693" s="14">
        <v>262701162</v>
      </c>
      <c r="C3693" s="13">
        <v>46168</v>
      </c>
      <c r="D3693" s="14" t="s">
        <v>602</v>
      </c>
      <c r="E3693" s="15">
        <v>180000</v>
      </c>
      <c r="F3693" s="14">
        <v>0.022</v>
      </c>
      <c r="G3693" s="16">
        <v>46239</v>
      </c>
      <c r="H3693" s="17">
        <f t="shared" si="57"/>
        <v>3960</v>
      </c>
      <c r="I3693" s="15" t="s">
        <v>317</v>
      </c>
      <c r="J3693" s="15"/>
      <c r="K3693" t="s">
        <v>435</v>
      </c>
    </row>
    <row r="3694" hidden="1" spans="1:11">
      <c r="B3694" s="14">
        <v>262701162</v>
      </c>
      <c r="C3694" s="13">
        <v>46168</v>
      </c>
      <c r="D3694" s="14" t="s">
        <v>602</v>
      </c>
      <c r="E3694" s="15">
        <v>180000</v>
      </c>
      <c r="F3694" s="14">
        <v>0.022</v>
      </c>
      <c r="G3694" s="16">
        <v>46270</v>
      </c>
      <c r="H3694" s="17">
        <f t="shared" si="57"/>
        <v>3960</v>
      </c>
      <c r="I3694" s="15" t="s">
        <v>317</v>
      </c>
      <c r="J3694" s="15"/>
      <c r="K3694" t="s">
        <v>435</v>
      </c>
    </row>
    <row r="3695" hidden="1" spans="1:11">
      <c r="A3695" t="s">
        <v>319</v>
      </c>
      <c r="B3695" s="8">
        <v>262701168</v>
      </c>
      <c r="C3695" s="9">
        <v>46167</v>
      </c>
      <c r="D3695" s="8" t="s">
        <v>32</v>
      </c>
      <c r="E3695" s="10">
        <v>20000</v>
      </c>
      <c r="F3695" s="8">
        <v>0.014</v>
      </c>
      <c r="G3695" s="11">
        <v>46178</v>
      </c>
      <c r="H3695" s="12">
        <f t="shared" si="57"/>
        <v>280</v>
      </c>
      <c r="I3695" s="10" t="s">
        <v>10</v>
      </c>
      <c r="J3695" s="13">
        <v>46191</v>
      </c>
      <c r="K3695" t="s">
        <v>435</v>
      </c>
    </row>
    <row r="3696" hidden="1" spans="1:11">
      <c r="A3696" t="s">
        <v>319</v>
      </c>
      <c r="B3696" s="8">
        <v>262701168</v>
      </c>
      <c r="C3696" s="9">
        <v>46167</v>
      </c>
      <c r="D3696" s="8" t="s">
        <v>32</v>
      </c>
      <c r="E3696" s="10">
        <v>20000</v>
      </c>
      <c r="F3696" s="8">
        <v>0.014</v>
      </c>
      <c r="G3696" s="11">
        <v>46208</v>
      </c>
      <c r="H3696" s="12">
        <f t="shared" si="57"/>
        <v>280</v>
      </c>
      <c r="I3696" s="10" t="s">
        <v>10</v>
      </c>
      <c r="J3696" s="13">
        <v>46191</v>
      </c>
      <c r="K3696" t="s">
        <v>435</v>
      </c>
    </row>
    <row r="3697" hidden="1" spans="1:11">
      <c r="A3697" t="s">
        <v>319</v>
      </c>
      <c r="B3697" s="8">
        <v>262701168</v>
      </c>
      <c r="C3697" s="9">
        <v>46167</v>
      </c>
      <c r="D3697" s="8" t="s">
        <v>652</v>
      </c>
      <c r="E3697" s="10">
        <v>20000</v>
      </c>
      <c r="F3697" s="8">
        <v>0.028</v>
      </c>
      <c r="G3697" s="11">
        <v>46208</v>
      </c>
      <c r="H3697" s="12">
        <f t="shared" si="57"/>
        <v>560</v>
      </c>
      <c r="I3697" s="10" t="s">
        <v>10</v>
      </c>
      <c r="J3697" s="13">
        <v>46184</v>
      </c>
      <c r="K3697" t="s">
        <v>435</v>
      </c>
    </row>
    <row r="3698" hidden="1" spans="1:11">
      <c r="B3698" s="14">
        <v>262701169</v>
      </c>
      <c r="C3698" s="13">
        <v>46168</v>
      </c>
      <c r="D3698" s="14" t="s">
        <v>32</v>
      </c>
      <c r="E3698" s="15">
        <v>20000</v>
      </c>
      <c r="F3698" s="14">
        <v>0.014</v>
      </c>
      <c r="G3698" s="16">
        <v>46270</v>
      </c>
      <c r="H3698" s="17">
        <f t="shared" si="57"/>
        <v>280</v>
      </c>
      <c r="I3698" s="15" t="s">
        <v>317</v>
      </c>
      <c r="J3698" s="15"/>
      <c r="K3698" t="s">
        <v>435</v>
      </c>
    </row>
    <row r="3699" hidden="1" spans="1:11">
      <c r="B3699" s="14">
        <v>262701169</v>
      </c>
      <c r="C3699" s="13">
        <v>46168</v>
      </c>
      <c r="D3699" s="14" t="s">
        <v>651</v>
      </c>
      <c r="E3699" s="15">
        <v>50000</v>
      </c>
      <c r="F3699" s="14">
        <v>0.025</v>
      </c>
      <c r="G3699" s="16">
        <v>46239</v>
      </c>
      <c r="H3699" s="17">
        <f t="shared" si="57"/>
        <v>1250</v>
      </c>
      <c r="I3699" s="15" t="s">
        <v>317</v>
      </c>
      <c r="J3699" s="15"/>
      <c r="K3699" t="s">
        <v>435</v>
      </c>
    </row>
    <row r="3700" hidden="1" spans="1:11">
      <c r="B3700" s="14">
        <v>262701169</v>
      </c>
      <c r="C3700" s="13">
        <v>46168</v>
      </c>
      <c r="D3700" s="14" t="s">
        <v>651</v>
      </c>
      <c r="E3700" s="15">
        <v>50000</v>
      </c>
      <c r="F3700" s="14">
        <v>0.025</v>
      </c>
      <c r="G3700" s="16">
        <v>46270</v>
      </c>
      <c r="H3700" s="17">
        <f t="shared" si="57"/>
        <v>1250</v>
      </c>
      <c r="I3700" s="15" t="s">
        <v>317</v>
      </c>
      <c r="J3700" s="15"/>
      <c r="K3700" t="s">
        <v>435</v>
      </c>
    </row>
    <row r="3701" hidden="1" spans="1:11">
      <c r="B3701" s="14">
        <v>262701169</v>
      </c>
      <c r="C3701" s="13">
        <v>46168</v>
      </c>
      <c r="D3701" s="27" t="s">
        <v>650</v>
      </c>
      <c r="E3701" s="15">
        <v>20000</v>
      </c>
      <c r="F3701" s="14">
        <v>0.0255</v>
      </c>
      <c r="G3701" s="16">
        <v>46239</v>
      </c>
      <c r="H3701" s="17">
        <f t="shared" si="57"/>
        <v>510</v>
      </c>
      <c r="I3701" s="15" t="s">
        <v>317</v>
      </c>
      <c r="J3701" s="15"/>
      <c r="K3701" t="s">
        <v>435</v>
      </c>
    </row>
    <row r="3702" hidden="1" spans="1:11">
      <c r="B3702" s="14">
        <v>262701169</v>
      </c>
      <c r="C3702" s="13">
        <v>46168</v>
      </c>
      <c r="D3702" s="14" t="s">
        <v>652</v>
      </c>
      <c r="E3702" s="15">
        <v>20000</v>
      </c>
      <c r="F3702" s="14">
        <v>0.028</v>
      </c>
      <c r="G3702" s="16">
        <v>46239</v>
      </c>
      <c r="H3702" s="17">
        <f t="shared" si="57"/>
        <v>560</v>
      </c>
      <c r="I3702" s="15" t="s">
        <v>317</v>
      </c>
      <c r="J3702" s="15"/>
      <c r="K3702" t="s">
        <v>435</v>
      </c>
    </row>
    <row r="3703" hidden="1" spans="1:11">
      <c r="B3703" s="14">
        <v>262701169</v>
      </c>
      <c r="C3703" s="13">
        <v>46168</v>
      </c>
      <c r="D3703" s="14" t="s">
        <v>652</v>
      </c>
      <c r="E3703" s="15">
        <v>20000</v>
      </c>
      <c r="F3703" s="14">
        <v>0.028</v>
      </c>
      <c r="G3703" s="16">
        <v>46270</v>
      </c>
      <c r="H3703" s="17">
        <f t="shared" si="57"/>
        <v>560</v>
      </c>
      <c r="I3703" s="15" t="s">
        <v>317</v>
      </c>
      <c r="J3703" s="15"/>
      <c r="K3703" t="s">
        <v>435</v>
      </c>
    </row>
    <row r="3704" hidden="1" spans="1:11">
      <c r="B3704" s="14">
        <v>262701169</v>
      </c>
      <c r="C3704" s="13">
        <v>46168</v>
      </c>
      <c r="D3704" s="14" t="s">
        <v>181</v>
      </c>
      <c r="E3704" s="15">
        <v>200000</v>
      </c>
      <c r="F3704" s="14">
        <v>0.0243</v>
      </c>
      <c r="G3704" s="16">
        <v>46239</v>
      </c>
      <c r="H3704" s="17">
        <f t="shared" si="57"/>
        <v>4860</v>
      </c>
      <c r="I3704" s="15" t="s">
        <v>317</v>
      </c>
      <c r="J3704" s="15"/>
      <c r="K3704" t="s">
        <v>435</v>
      </c>
    </row>
    <row r="3705" hidden="1" spans="1:11">
      <c r="B3705" s="14">
        <v>262701169</v>
      </c>
      <c r="C3705" s="13">
        <v>46168</v>
      </c>
      <c r="D3705" s="14" t="s">
        <v>181</v>
      </c>
      <c r="E3705" s="15">
        <v>200000</v>
      </c>
      <c r="F3705" s="14">
        <v>0.0243</v>
      </c>
      <c r="G3705" s="16">
        <v>46239</v>
      </c>
      <c r="H3705" s="17">
        <f t="shared" si="57"/>
        <v>4860</v>
      </c>
      <c r="I3705" s="15" t="s">
        <v>317</v>
      </c>
      <c r="J3705" s="15"/>
      <c r="K3705" t="s">
        <v>435</v>
      </c>
    </row>
    <row r="3706" hidden="1" spans="1:11">
      <c r="B3706" s="14">
        <v>262701169</v>
      </c>
      <c r="C3706" s="13">
        <v>46168</v>
      </c>
      <c r="D3706" s="14" t="s">
        <v>181</v>
      </c>
      <c r="E3706" s="15">
        <v>200000</v>
      </c>
      <c r="F3706" s="14">
        <v>0.0243</v>
      </c>
      <c r="G3706" s="16">
        <v>46239</v>
      </c>
      <c r="H3706" s="17">
        <f t="shared" si="57"/>
        <v>4860</v>
      </c>
      <c r="I3706" s="15" t="s">
        <v>317</v>
      </c>
      <c r="J3706" s="15"/>
      <c r="K3706" t="s">
        <v>435</v>
      </c>
    </row>
    <row r="3707" hidden="1" spans="1:11">
      <c r="B3707" s="14">
        <v>262701169</v>
      </c>
      <c r="C3707" s="13">
        <v>46168</v>
      </c>
      <c r="D3707" s="14" t="s">
        <v>181</v>
      </c>
      <c r="E3707" s="15">
        <v>200000</v>
      </c>
      <c r="F3707" s="14">
        <v>0.0243</v>
      </c>
      <c r="G3707" s="16">
        <v>46239</v>
      </c>
      <c r="H3707" s="17">
        <f t="shared" si="57"/>
        <v>4860</v>
      </c>
      <c r="I3707" s="15" t="s">
        <v>317</v>
      </c>
      <c r="J3707" s="15"/>
      <c r="K3707" t="s">
        <v>435</v>
      </c>
    </row>
    <row r="3708" hidden="1" spans="1:11">
      <c r="B3708" s="14">
        <v>262701179</v>
      </c>
      <c r="C3708" s="13">
        <v>46168</v>
      </c>
      <c r="D3708" s="14" t="s">
        <v>32</v>
      </c>
      <c r="E3708" s="15">
        <v>20000</v>
      </c>
      <c r="F3708" s="14">
        <v>0.014</v>
      </c>
      <c r="G3708" s="16">
        <v>46331</v>
      </c>
      <c r="H3708" s="17">
        <f t="shared" si="57"/>
        <v>280</v>
      </c>
      <c r="I3708" s="15" t="s">
        <v>317</v>
      </c>
      <c r="J3708" s="15"/>
      <c r="K3708" t="s">
        <v>435</v>
      </c>
    </row>
    <row r="3709" hidden="1" spans="1:11">
      <c r="B3709" s="14">
        <v>262701179</v>
      </c>
      <c r="C3709" s="13">
        <v>46168</v>
      </c>
      <c r="D3709" s="14" t="s">
        <v>651</v>
      </c>
      <c r="E3709" s="15">
        <v>50000</v>
      </c>
      <c r="F3709" s="14">
        <v>0.025</v>
      </c>
      <c r="G3709" s="16">
        <v>46331</v>
      </c>
      <c r="H3709" s="17">
        <f t="shared" si="57"/>
        <v>1250</v>
      </c>
      <c r="I3709" s="15" t="s">
        <v>317</v>
      </c>
      <c r="J3709" s="15"/>
      <c r="K3709" t="s">
        <v>435</v>
      </c>
    </row>
    <row r="3710" hidden="1" spans="1:11">
      <c r="B3710" s="14">
        <v>262701179</v>
      </c>
      <c r="C3710" s="13">
        <v>46168</v>
      </c>
      <c r="D3710" s="14" t="s">
        <v>651</v>
      </c>
      <c r="E3710" s="15">
        <v>50000</v>
      </c>
      <c r="F3710" s="14">
        <v>0.025</v>
      </c>
      <c r="G3710" s="16">
        <v>46361</v>
      </c>
      <c r="H3710" s="17">
        <f t="shared" si="57"/>
        <v>1250</v>
      </c>
      <c r="I3710" s="15" t="s">
        <v>317</v>
      </c>
      <c r="J3710" s="15"/>
      <c r="K3710" t="s">
        <v>435</v>
      </c>
    </row>
    <row r="3711" hidden="1" spans="1:11">
      <c r="B3711" s="14">
        <v>262701179</v>
      </c>
      <c r="C3711" s="13">
        <v>46168</v>
      </c>
      <c r="D3711" s="14" t="s">
        <v>650</v>
      </c>
      <c r="E3711" s="15">
        <v>20000</v>
      </c>
      <c r="F3711" s="14">
        <v>0.0255</v>
      </c>
      <c r="G3711" s="16">
        <v>46331</v>
      </c>
      <c r="H3711" s="17">
        <f t="shared" si="57"/>
        <v>510</v>
      </c>
      <c r="I3711" s="15" t="s">
        <v>317</v>
      </c>
      <c r="J3711" s="15"/>
      <c r="K3711" t="s">
        <v>435</v>
      </c>
    </row>
    <row r="3712" hidden="1" spans="1:11">
      <c r="B3712" s="14">
        <v>262701179</v>
      </c>
      <c r="C3712" s="13">
        <v>46168</v>
      </c>
      <c r="D3712" s="14" t="s">
        <v>652</v>
      </c>
      <c r="E3712" s="15">
        <v>20000</v>
      </c>
      <c r="F3712" s="14">
        <v>0.028</v>
      </c>
      <c r="G3712" s="16">
        <v>46331</v>
      </c>
      <c r="H3712" s="17">
        <f t="shared" si="57"/>
        <v>560</v>
      </c>
      <c r="I3712" s="15" t="s">
        <v>317</v>
      </c>
      <c r="J3712" s="15"/>
      <c r="K3712" t="s">
        <v>435</v>
      </c>
    </row>
    <row r="3713" hidden="1" spans="1:11">
      <c r="B3713" s="14">
        <v>262701179</v>
      </c>
      <c r="C3713" s="13">
        <v>46168</v>
      </c>
      <c r="D3713" s="14" t="s">
        <v>181</v>
      </c>
      <c r="E3713" s="15">
        <v>200000</v>
      </c>
      <c r="F3713" s="14">
        <v>0.0243</v>
      </c>
      <c r="G3713" s="16">
        <v>46331</v>
      </c>
      <c r="H3713" s="17">
        <f t="shared" si="57"/>
        <v>4860</v>
      </c>
      <c r="I3713" s="15" t="s">
        <v>317</v>
      </c>
      <c r="J3713" s="15"/>
      <c r="K3713" t="s">
        <v>435</v>
      </c>
    </row>
    <row r="3714" hidden="1" spans="1:11">
      <c r="B3714" s="14">
        <v>262701179</v>
      </c>
      <c r="C3714" s="13">
        <v>46168</v>
      </c>
      <c r="D3714" s="14" t="s">
        <v>181</v>
      </c>
      <c r="E3714" s="15">
        <v>200000</v>
      </c>
      <c r="F3714" s="14">
        <v>0.0243</v>
      </c>
      <c r="G3714" s="16">
        <v>46331</v>
      </c>
      <c r="H3714" s="17">
        <f t="shared" ref="H3714:H3777" si="58">E3714*F3714</f>
        <v>4860</v>
      </c>
      <c r="I3714" s="15" t="s">
        <v>317</v>
      </c>
      <c r="J3714" s="15"/>
      <c r="K3714" t="s">
        <v>435</v>
      </c>
    </row>
    <row r="3715" hidden="1" spans="1:11">
      <c r="B3715" s="14">
        <v>262701179</v>
      </c>
      <c r="C3715" s="13">
        <v>46168</v>
      </c>
      <c r="D3715" s="14" t="s">
        <v>181</v>
      </c>
      <c r="E3715" s="15">
        <v>200000</v>
      </c>
      <c r="F3715" s="14">
        <v>0.0243</v>
      </c>
      <c r="G3715" s="16">
        <v>46331</v>
      </c>
      <c r="H3715" s="17">
        <f t="shared" si="58"/>
        <v>4860</v>
      </c>
      <c r="I3715" s="15" t="s">
        <v>317</v>
      </c>
      <c r="J3715" s="15"/>
      <c r="K3715" t="s">
        <v>435</v>
      </c>
    </row>
    <row r="3716" hidden="1" spans="1:11">
      <c r="B3716" s="14">
        <v>262701179</v>
      </c>
      <c r="C3716" s="13">
        <v>46168</v>
      </c>
      <c r="D3716" s="14" t="s">
        <v>181</v>
      </c>
      <c r="E3716" s="15">
        <v>200000</v>
      </c>
      <c r="F3716" s="14">
        <v>0.0243</v>
      </c>
      <c r="G3716" s="16">
        <v>46331</v>
      </c>
      <c r="H3716" s="17">
        <f t="shared" si="58"/>
        <v>4860</v>
      </c>
      <c r="I3716" s="15" t="s">
        <v>317</v>
      </c>
      <c r="J3716" s="15"/>
      <c r="K3716" t="s">
        <v>435</v>
      </c>
    </row>
    <row r="3717" hidden="1" spans="1:11">
      <c r="B3717" s="14">
        <v>262701179</v>
      </c>
      <c r="C3717" s="13">
        <v>46168</v>
      </c>
      <c r="D3717" s="14" t="s">
        <v>181</v>
      </c>
      <c r="E3717" s="15">
        <v>200000</v>
      </c>
      <c r="F3717" s="14">
        <v>0.0243</v>
      </c>
      <c r="G3717" s="16">
        <v>46331</v>
      </c>
      <c r="H3717" s="17">
        <f t="shared" si="58"/>
        <v>4860</v>
      </c>
      <c r="I3717" s="15" t="s">
        <v>317</v>
      </c>
      <c r="J3717" s="15"/>
      <c r="K3717" t="s">
        <v>435</v>
      </c>
    </row>
    <row r="3718" hidden="1" spans="1:11">
      <c r="A3718" t="s">
        <v>319</v>
      </c>
      <c r="B3718" s="8">
        <v>262701180</v>
      </c>
      <c r="C3718" s="9">
        <v>46167</v>
      </c>
      <c r="D3718" s="8" t="s">
        <v>181</v>
      </c>
      <c r="E3718" s="10">
        <v>24000</v>
      </c>
      <c r="F3718" s="8">
        <v>0.0243</v>
      </c>
      <c r="G3718" s="11">
        <v>46178</v>
      </c>
      <c r="H3718" s="12">
        <f t="shared" si="58"/>
        <v>583.2</v>
      </c>
      <c r="I3718" s="10" t="s">
        <v>10</v>
      </c>
      <c r="J3718" s="13">
        <v>46191</v>
      </c>
      <c r="K3718" t="s">
        <v>627</v>
      </c>
    </row>
    <row r="3719" hidden="1" spans="1:11">
      <c r="A3719" t="s">
        <v>319</v>
      </c>
      <c r="B3719" s="8">
        <v>262701181</v>
      </c>
      <c r="C3719" s="9">
        <v>46167</v>
      </c>
      <c r="D3719" s="8" t="s">
        <v>315</v>
      </c>
      <c r="E3719" s="10">
        <v>30000</v>
      </c>
      <c r="F3719" s="8">
        <v>0.0522</v>
      </c>
      <c r="G3719" s="11">
        <v>46178</v>
      </c>
      <c r="H3719" s="12">
        <f t="shared" si="58"/>
        <v>1566</v>
      </c>
      <c r="I3719" s="10" t="s">
        <v>10</v>
      </c>
      <c r="J3719" s="13">
        <v>46191</v>
      </c>
      <c r="K3719" t="s">
        <v>467</v>
      </c>
    </row>
    <row r="3720" hidden="1" spans="1:11">
      <c r="B3720" s="14">
        <v>262701224</v>
      </c>
      <c r="C3720" s="13">
        <v>46168</v>
      </c>
      <c r="D3720" s="14" t="s">
        <v>181</v>
      </c>
      <c r="E3720" s="15">
        <v>200000</v>
      </c>
      <c r="F3720" s="14">
        <v>0.0243</v>
      </c>
      <c r="G3720" s="16">
        <v>46361</v>
      </c>
      <c r="H3720" s="17">
        <f t="shared" si="58"/>
        <v>4860</v>
      </c>
      <c r="I3720" s="15" t="s">
        <v>317</v>
      </c>
      <c r="J3720" s="15"/>
      <c r="K3720" t="s">
        <v>435</v>
      </c>
    </row>
    <row r="3721" hidden="1" spans="1:11">
      <c r="B3721" s="14">
        <v>262701224</v>
      </c>
      <c r="C3721" s="13">
        <v>46168</v>
      </c>
      <c r="D3721" s="14" t="s">
        <v>181</v>
      </c>
      <c r="E3721" s="15">
        <v>200000</v>
      </c>
      <c r="F3721" s="14">
        <v>0.0243</v>
      </c>
      <c r="G3721" s="16">
        <v>46361</v>
      </c>
      <c r="H3721" s="17">
        <f t="shared" si="58"/>
        <v>4860</v>
      </c>
      <c r="I3721" s="15" t="s">
        <v>317</v>
      </c>
      <c r="J3721" s="15"/>
      <c r="K3721" t="s">
        <v>435</v>
      </c>
    </row>
    <row r="3722" hidden="1" spans="1:11">
      <c r="B3722" s="14">
        <v>262701224</v>
      </c>
      <c r="C3722" s="13">
        <v>46168</v>
      </c>
      <c r="D3722" s="14" t="s">
        <v>603</v>
      </c>
      <c r="E3722" s="15">
        <v>200000</v>
      </c>
      <c r="F3722" s="14">
        <v>0.027</v>
      </c>
      <c r="G3722" s="16">
        <v>46331</v>
      </c>
      <c r="H3722" s="17">
        <f t="shared" si="58"/>
        <v>5400</v>
      </c>
      <c r="I3722" s="15" t="s">
        <v>317</v>
      </c>
      <c r="J3722" s="15"/>
      <c r="K3722" t="s">
        <v>435</v>
      </c>
    </row>
    <row r="3723" hidden="1" spans="1:11">
      <c r="B3723" s="14">
        <v>262701224</v>
      </c>
      <c r="C3723" s="13">
        <v>46168</v>
      </c>
      <c r="D3723" s="14" t="s">
        <v>603</v>
      </c>
      <c r="E3723" s="15">
        <v>100000</v>
      </c>
      <c r="F3723" s="14">
        <v>0.027</v>
      </c>
      <c r="G3723" s="16">
        <v>46331</v>
      </c>
      <c r="H3723" s="17">
        <f t="shared" si="58"/>
        <v>2700</v>
      </c>
      <c r="I3723" s="15" t="s">
        <v>317</v>
      </c>
      <c r="J3723" s="15"/>
      <c r="K3723" t="s">
        <v>435</v>
      </c>
    </row>
    <row r="3724" hidden="1" spans="1:11">
      <c r="B3724" s="14">
        <v>262701224</v>
      </c>
      <c r="C3724" s="13">
        <v>46168</v>
      </c>
      <c r="D3724" s="14" t="s">
        <v>603</v>
      </c>
      <c r="E3724" s="15">
        <v>200000</v>
      </c>
      <c r="F3724" s="14">
        <v>0.027</v>
      </c>
      <c r="G3724" s="16">
        <v>46361</v>
      </c>
      <c r="H3724" s="17">
        <f t="shared" si="58"/>
        <v>5400</v>
      </c>
      <c r="I3724" s="15" t="s">
        <v>317</v>
      </c>
      <c r="J3724" s="15"/>
      <c r="K3724" t="s">
        <v>435</v>
      </c>
    </row>
    <row r="3725" hidden="1" spans="1:11">
      <c r="B3725" s="14">
        <v>262701224</v>
      </c>
      <c r="C3725" s="13">
        <v>46168</v>
      </c>
      <c r="D3725" s="14" t="s">
        <v>603</v>
      </c>
      <c r="E3725" s="15">
        <v>100000</v>
      </c>
      <c r="F3725" s="14">
        <v>0.027</v>
      </c>
      <c r="G3725" s="16">
        <v>46361</v>
      </c>
      <c r="H3725" s="17">
        <f t="shared" si="58"/>
        <v>2700</v>
      </c>
      <c r="I3725" s="15" t="s">
        <v>317</v>
      </c>
      <c r="J3725" s="15"/>
      <c r="K3725" t="s">
        <v>435</v>
      </c>
    </row>
    <row r="3726" hidden="1" spans="1:11">
      <c r="B3726" s="14">
        <v>262701224</v>
      </c>
      <c r="C3726" s="13">
        <v>46168</v>
      </c>
      <c r="D3726" s="14" t="s">
        <v>602</v>
      </c>
      <c r="E3726" s="15">
        <v>180000</v>
      </c>
      <c r="F3726" s="14">
        <v>0.022</v>
      </c>
      <c r="G3726" s="16">
        <v>46331</v>
      </c>
      <c r="H3726" s="17">
        <f t="shared" si="58"/>
        <v>3960</v>
      </c>
      <c r="I3726" s="15" t="s">
        <v>317</v>
      </c>
      <c r="J3726" s="15"/>
      <c r="K3726" t="s">
        <v>435</v>
      </c>
    </row>
    <row r="3727" hidden="1" spans="1:11">
      <c r="B3727" s="14">
        <v>262701224</v>
      </c>
      <c r="C3727" s="13">
        <v>46168</v>
      </c>
      <c r="D3727" s="14" t="s">
        <v>602</v>
      </c>
      <c r="E3727" s="15">
        <v>180000</v>
      </c>
      <c r="F3727" s="14">
        <v>0.022</v>
      </c>
      <c r="G3727" s="16">
        <v>46361</v>
      </c>
      <c r="H3727" s="17">
        <f t="shared" si="58"/>
        <v>3960</v>
      </c>
      <c r="I3727" s="15" t="s">
        <v>317</v>
      </c>
      <c r="J3727" s="15"/>
      <c r="K3727" t="s">
        <v>435</v>
      </c>
    </row>
    <row r="3728" hidden="1" spans="1:11">
      <c r="A3728" t="s">
        <v>319</v>
      </c>
      <c r="B3728" s="8">
        <v>262701235</v>
      </c>
      <c r="C3728" s="9">
        <v>46169</v>
      </c>
      <c r="D3728" s="8" t="s">
        <v>16</v>
      </c>
      <c r="E3728" s="10">
        <v>190000</v>
      </c>
      <c r="F3728" s="8">
        <v>0.0292</v>
      </c>
      <c r="G3728" s="11">
        <v>46208</v>
      </c>
      <c r="H3728" s="12">
        <f t="shared" si="58"/>
        <v>5548</v>
      </c>
      <c r="I3728" s="10" t="s">
        <v>10</v>
      </c>
      <c r="J3728" s="13">
        <v>46174</v>
      </c>
      <c r="K3728" t="s">
        <v>405</v>
      </c>
    </row>
    <row r="3729" hidden="1" spans="1:11">
      <c r="A3729" t="s">
        <v>319</v>
      </c>
      <c r="B3729" s="8">
        <v>262701235</v>
      </c>
      <c r="C3729" s="9">
        <v>46169</v>
      </c>
      <c r="D3729" s="8" t="s">
        <v>16</v>
      </c>
      <c r="E3729" s="10">
        <v>190000</v>
      </c>
      <c r="F3729" s="8">
        <v>0.0292</v>
      </c>
      <c r="G3729" s="11">
        <v>46208</v>
      </c>
      <c r="H3729" s="12">
        <f t="shared" si="58"/>
        <v>5548</v>
      </c>
      <c r="I3729" s="10" t="s">
        <v>10</v>
      </c>
      <c r="J3729" s="13">
        <v>46174</v>
      </c>
      <c r="K3729" t="s">
        <v>405</v>
      </c>
    </row>
    <row r="3730" hidden="1" spans="1:11">
      <c r="A3730" t="s">
        <v>319</v>
      </c>
      <c r="B3730" s="8">
        <v>262701235</v>
      </c>
      <c r="C3730" s="9">
        <v>46169</v>
      </c>
      <c r="D3730" s="8" t="s">
        <v>16</v>
      </c>
      <c r="E3730" s="10">
        <v>22000</v>
      </c>
      <c r="F3730" s="8">
        <v>0.0292</v>
      </c>
      <c r="G3730" s="11">
        <v>46208</v>
      </c>
      <c r="H3730" s="12">
        <f t="shared" si="58"/>
        <v>642.4</v>
      </c>
      <c r="I3730" s="10" t="s">
        <v>10</v>
      </c>
      <c r="J3730" s="13">
        <v>46174</v>
      </c>
      <c r="K3730" t="s">
        <v>405</v>
      </c>
    </row>
    <row r="3731" hidden="1" spans="1:11">
      <c r="A3731" t="s">
        <v>319</v>
      </c>
      <c r="B3731" s="8">
        <v>262701235</v>
      </c>
      <c r="C3731" s="9">
        <v>46169</v>
      </c>
      <c r="D3731" s="8" t="s">
        <v>16</v>
      </c>
      <c r="E3731" s="10">
        <v>200000</v>
      </c>
      <c r="F3731" s="8">
        <v>0.0292</v>
      </c>
      <c r="G3731" s="11">
        <v>46239</v>
      </c>
      <c r="H3731" s="12">
        <f t="shared" si="58"/>
        <v>5840</v>
      </c>
      <c r="I3731" s="10" t="s">
        <v>10</v>
      </c>
      <c r="J3731" s="13">
        <v>46174</v>
      </c>
      <c r="K3731" t="s">
        <v>405</v>
      </c>
    </row>
    <row r="3732" hidden="1" spans="1:11">
      <c r="A3732" t="s">
        <v>319</v>
      </c>
      <c r="B3732" s="8">
        <v>262701235</v>
      </c>
      <c r="C3732" s="9">
        <v>46169</v>
      </c>
      <c r="D3732" s="8" t="s">
        <v>16</v>
      </c>
      <c r="E3732" s="10">
        <v>100000</v>
      </c>
      <c r="F3732" s="8">
        <v>0.0292</v>
      </c>
      <c r="G3732" s="11">
        <v>46239</v>
      </c>
      <c r="H3732" s="12">
        <f t="shared" si="58"/>
        <v>2920</v>
      </c>
      <c r="I3732" s="10" t="s">
        <v>10</v>
      </c>
      <c r="J3732" s="13">
        <v>46174</v>
      </c>
      <c r="K3732" t="s">
        <v>405</v>
      </c>
    </row>
    <row r="3733" hidden="1" spans="1:11">
      <c r="A3733" t="s">
        <v>319</v>
      </c>
      <c r="B3733" s="8">
        <v>262701235</v>
      </c>
      <c r="C3733" s="9">
        <v>46169</v>
      </c>
      <c r="D3733" s="8" t="s">
        <v>104</v>
      </c>
      <c r="E3733" s="10">
        <v>200000</v>
      </c>
      <c r="F3733" s="8">
        <v>0.028</v>
      </c>
      <c r="G3733" s="11">
        <v>46239</v>
      </c>
      <c r="H3733" s="12">
        <f t="shared" si="58"/>
        <v>5600</v>
      </c>
      <c r="I3733" s="10" t="s">
        <v>10</v>
      </c>
      <c r="J3733" s="13">
        <v>46174</v>
      </c>
      <c r="K3733" t="s">
        <v>405</v>
      </c>
    </row>
    <row r="3734" hidden="1" spans="1:11">
      <c r="A3734" t="s">
        <v>319</v>
      </c>
      <c r="B3734" s="8">
        <v>262701235</v>
      </c>
      <c r="C3734" s="9">
        <v>46169</v>
      </c>
      <c r="D3734" s="8" t="s">
        <v>104</v>
      </c>
      <c r="E3734" s="10">
        <v>100000</v>
      </c>
      <c r="F3734" s="8">
        <v>0.028</v>
      </c>
      <c r="G3734" s="11">
        <v>46239</v>
      </c>
      <c r="H3734" s="12">
        <f t="shared" si="58"/>
        <v>2800</v>
      </c>
      <c r="I3734" s="10" t="s">
        <v>10</v>
      </c>
      <c r="J3734" s="13">
        <v>46174</v>
      </c>
      <c r="K3734" t="s">
        <v>405</v>
      </c>
    </row>
    <row r="3735" hidden="1" spans="1:11">
      <c r="A3735" t="s">
        <v>319</v>
      </c>
      <c r="B3735" s="8">
        <v>262701235</v>
      </c>
      <c r="C3735" s="9">
        <v>46169</v>
      </c>
      <c r="D3735" s="8" t="s">
        <v>67</v>
      </c>
      <c r="E3735" s="10">
        <v>160000</v>
      </c>
      <c r="F3735" s="8">
        <v>0.028</v>
      </c>
      <c r="G3735" s="11">
        <v>46208</v>
      </c>
      <c r="H3735" s="12">
        <f t="shared" si="58"/>
        <v>4480</v>
      </c>
      <c r="I3735" s="10" t="s">
        <v>10</v>
      </c>
      <c r="J3735" s="13">
        <v>46174</v>
      </c>
      <c r="K3735" t="s">
        <v>405</v>
      </c>
    </row>
    <row r="3736" hidden="1" spans="1:11">
      <c r="A3736" t="s">
        <v>319</v>
      </c>
      <c r="B3736" s="8">
        <v>262701235</v>
      </c>
      <c r="C3736" s="9">
        <v>46169</v>
      </c>
      <c r="D3736" s="8" t="s">
        <v>67</v>
      </c>
      <c r="E3736" s="10">
        <v>90000</v>
      </c>
      <c r="F3736" s="8">
        <v>0.028</v>
      </c>
      <c r="G3736" s="11">
        <v>46239</v>
      </c>
      <c r="H3736" s="12">
        <f t="shared" si="58"/>
        <v>2520</v>
      </c>
      <c r="I3736" s="10" t="s">
        <v>10</v>
      </c>
      <c r="J3736" s="13">
        <v>46174</v>
      </c>
      <c r="K3736" t="s">
        <v>405</v>
      </c>
    </row>
    <row r="3737" hidden="1" spans="1:11">
      <c r="A3737" t="s">
        <v>319</v>
      </c>
      <c r="B3737" s="8">
        <v>262701235</v>
      </c>
      <c r="C3737" s="9">
        <v>46169</v>
      </c>
      <c r="D3737" s="8" t="s">
        <v>517</v>
      </c>
      <c r="E3737" s="10">
        <v>134000</v>
      </c>
      <c r="F3737" s="8">
        <v>0.0238</v>
      </c>
      <c r="G3737" s="11">
        <v>46208</v>
      </c>
      <c r="H3737" s="12">
        <f t="shared" si="58"/>
        <v>3189.2</v>
      </c>
      <c r="I3737" s="10" t="s">
        <v>10</v>
      </c>
      <c r="J3737" s="13">
        <v>46174</v>
      </c>
      <c r="K3737" t="s">
        <v>405</v>
      </c>
    </row>
    <row r="3738" hidden="1" spans="1:11">
      <c r="A3738" t="s">
        <v>319</v>
      </c>
      <c r="B3738" s="8">
        <v>262701235</v>
      </c>
      <c r="C3738" s="9">
        <v>46169</v>
      </c>
      <c r="D3738" s="8" t="s">
        <v>517</v>
      </c>
      <c r="E3738" s="10">
        <v>132000</v>
      </c>
      <c r="F3738" s="8">
        <v>0.0238</v>
      </c>
      <c r="G3738" s="11">
        <v>46239</v>
      </c>
      <c r="H3738" s="12">
        <f t="shared" si="58"/>
        <v>3141.6</v>
      </c>
      <c r="I3738" s="10" t="s">
        <v>10</v>
      </c>
      <c r="J3738" s="13">
        <v>46174</v>
      </c>
      <c r="K3738" t="s">
        <v>405</v>
      </c>
    </row>
    <row r="3739" hidden="1" spans="1:11">
      <c r="B3739" s="14">
        <v>262701236</v>
      </c>
      <c r="C3739" s="13">
        <v>46169</v>
      </c>
      <c r="D3739" s="14" t="s">
        <v>16</v>
      </c>
      <c r="E3739" s="15">
        <v>200000</v>
      </c>
      <c r="F3739" s="14">
        <v>0.0292</v>
      </c>
      <c r="G3739" s="16">
        <v>46270</v>
      </c>
      <c r="H3739" s="17">
        <f t="shared" si="58"/>
        <v>5840</v>
      </c>
      <c r="I3739" s="15" t="s">
        <v>317</v>
      </c>
      <c r="J3739" s="15"/>
      <c r="K3739" t="s">
        <v>405</v>
      </c>
    </row>
    <row r="3740" hidden="1" spans="1:11">
      <c r="B3740" s="14">
        <v>262701236</v>
      </c>
      <c r="C3740" s="13">
        <v>46169</v>
      </c>
      <c r="D3740" s="14" t="s">
        <v>16</v>
      </c>
      <c r="E3740" s="15">
        <v>48000</v>
      </c>
      <c r="F3740" s="14">
        <v>0.0292</v>
      </c>
      <c r="G3740" s="16">
        <v>46270</v>
      </c>
      <c r="H3740" s="17">
        <f t="shared" si="58"/>
        <v>1401.6</v>
      </c>
      <c r="I3740" s="15" t="s">
        <v>317</v>
      </c>
      <c r="J3740" s="15"/>
      <c r="K3740" t="s">
        <v>405</v>
      </c>
    </row>
    <row r="3741" hidden="1" spans="1:11">
      <c r="B3741" s="14">
        <v>262701236</v>
      </c>
      <c r="C3741" s="13">
        <v>46169</v>
      </c>
      <c r="D3741" s="14" t="s">
        <v>16</v>
      </c>
      <c r="E3741" s="15">
        <v>200000</v>
      </c>
      <c r="F3741" s="14">
        <v>0.0292</v>
      </c>
      <c r="G3741" s="16">
        <v>46300</v>
      </c>
      <c r="H3741" s="17">
        <f t="shared" si="58"/>
        <v>5840</v>
      </c>
      <c r="I3741" s="15" t="s">
        <v>317</v>
      </c>
      <c r="J3741" s="15"/>
      <c r="K3741" t="s">
        <v>405</v>
      </c>
    </row>
    <row r="3742" hidden="1" spans="1:11">
      <c r="B3742" s="14">
        <v>262701236</v>
      </c>
      <c r="C3742" s="13">
        <v>46169</v>
      </c>
      <c r="D3742" s="14" t="s">
        <v>16</v>
      </c>
      <c r="E3742" s="15">
        <v>30000</v>
      </c>
      <c r="F3742" s="14">
        <v>0.0292</v>
      </c>
      <c r="G3742" s="16">
        <v>46300</v>
      </c>
      <c r="H3742" s="17">
        <f t="shared" si="58"/>
        <v>876</v>
      </c>
      <c r="I3742" s="15" t="s">
        <v>317</v>
      </c>
      <c r="J3742" s="15"/>
      <c r="K3742" t="s">
        <v>405</v>
      </c>
    </row>
    <row r="3743" hidden="1" spans="1:11">
      <c r="B3743" s="14">
        <v>262701236</v>
      </c>
      <c r="C3743" s="13">
        <v>46169</v>
      </c>
      <c r="D3743" s="14" t="s">
        <v>103</v>
      </c>
      <c r="E3743" s="15">
        <v>80000</v>
      </c>
      <c r="F3743" s="14">
        <v>0.028</v>
      </c>
      <c r="G3743" s="16">
        <v>46270</v>
      </c>
      <c r="H3743" s="17">
        <f t="shared" si="58"/>
        <v>2240</v>
      </c>
      <c r="I3743" s="15" t="s">
        <v>317</v>
      </c>
      <c r="J3743" s="15"/>
      <c r="K3743" t="s">
        <v>405</v>
      </c>
    </row>
    <row r="3744" hidden="1" spans="1:11">
      <c r="B3744" s="14">
        <v>262701236</v>
      </c>
      <c r="C3744" s="13">
        <v>46169</v>
      </c>
      <c r="D3744" s="14" t="s">
        <v>103</v>
      </c>
      <c r="E3744" s="15">
        <v>80000</v>
      </c>
      <c r="F3744" s="14">
        <v>0.028</v>
      </c>
      <c r="G3744" s="16">
        <v>46300</v>
      </c>
      <c r="H3744" s="17">
        <f t="shared" si="58"/>
        <v>2240</v>
      </c>
      <c r="I3744" s="15" t="s">
        <v>317</v>
      </c>
      <c r="J3744" s="15"/>
      <c r="K3744" t="s">
        <v>405</v>
      </c>
    </row>
    <row r="3745" hidden="1" spans="1:11">
      <c r="B3745" s="14">
        <v>262701236</v>
      </c>
      <c r="C3745" s="13">
        <v>46169</v>
      </c>
      <c r="D3745" s="14" t="s">
        <v>104</v>
      </c>
      <c r="E3745" s="15">
        <v>120000</v>
      </c>
      <c r="F3745" s="14">
        <v>0.028</v>
      </c>
      <c r="G3745" s="16">
        <v>46270</v>
      </c>
      <c r="H3745" s="17">
        <f t="shared" si="58"/>
        <v>3360</v>
      </c>
      <c r="I3745" s="15" t="s">
        <v>317</v>
      </c>
      <c r="J3745" s="15"/>
      <c r="K3745" t="s">
        <v>405</v>
      </c>
    </row>
    <row r="3746" hidden="1" spans="1:11">
      <c r="B3746" s="14">
        <v>262701236</v>
      </c>
      <c r="C3746" s="13">
        <v>46169</v>
      </c>
      <c r="D3746" s="14" t="s">
        <v>104</v>
      </c>
      <c r="E3746" s="15">
        <v>90000</v>
      </c>
      <c r="F3746" s="14">
        <v>0.028</v>
      </c>
      <c r="G3746" s="16">
        <v>46300</v>
      </c>
      <c r="H3746" s="17">
        <f t="shared" si="58"/>
        <v>2520</v>
      </c>
      <c r="I3746" s="15" t="s">
        <v>317</v>
      </c>
      <c r="J3746" s="15"/>
      <c r="K3746" t="s">
        <v>405</v>
      </c>
    </row>
    <row r="3747" hidden="1" spans="1:11">
      <c r="B3747" s="14">
        <v>262701236</v>
      </c>
      <c r="C3747" s="13">
        <v>46169</v>
      </c>
      <c r="D3747" s="14" t="s">
        <v>67</v>
      </c>
      <c r="E3747" s="15">
        <v>120000</v>
      </c>
      <c r="F3747" s="14">
        <v>0.028</v>
      </c>
      <c r="G3747" s="16">
        <v>46270</v>
      </c>
      <c r="H3747" s="17">
        <f t="shared" si="58"/>
        <v>3360</v>
      </c>
      <c r="I3747" s="15" t="s">
        <v>317</v>
      </c>
      <c r="J3747" s="15"/>
      <c r="K3747" t="s">
        <v>405</v>
      </c>
    </row>
    <row r="3748" hidden="1" spans="1:11">
      <c r="B3748" s="14">
        <v>262701236</v>
      </c>
      <c r="C3748" s="13">
        <v>46169</v>
      </c>
      <c r="D3748" s="14" t="s">
        <v>67</v>
      </c>
      <c r="E3748" s="15">
        <v>102000</v>
      </c>
      <c r="F3748" s="14">
        <v>0.028</v>
      </c>
      <c r="G3748" s="16">
        <v>46300</v>
      </c>
      <c r="H3748" s="17">
        <f t="shared" si="58"/>
        <v>2856</v>
      </c>
      <c r="I3748" s="15" t="s">
        <v>317</v>
      </c>
      <c r="J3748" s="15"/>
      <c r="K3748" t="s">
        <v>405</v>
      </c>
    </row>
    <row r="3749" hidden="1" spans="1:11">
      <c r="B3749" s="14">
        <v>262701236</v>
      </c>
      <c r="C3749" s="13">
        <v>46169</v>
      </c>
      <c r="D3749" s="14" t="s">
        <v>36</v>
      </c>
      <c r="E3749" s="15">
        <v>144000</v>
      </c>
      <c r="F3749" s="14">
        <v>0.00656</v>
      </c>
      <c r="G3749" s="16">
        <v>46270</v>
      </c>
      <c r="H3749" s="17">
        <f t="shared" si="58"/>
        <v>944.64</v>
      </c>
      <c r="I3749" s="15" t="s">
        <v>317</v>
      </c>
      <c r="J3749" s="15"/>
      <c r="K3749" t="s">
        <v>405</v>
      </c>
    </row>
    <row r="3750" hidden="1" spans="1:11">
      <c r="B3750" s="14">
        <v>262701236</v>
      </c>
      <c r="C3750" s="13">
        <v>46169</v>
      </c>
      <c r="D3750" s="14" t="s">
        <v>36</v>
      </c>
      <c r="E3750" s="15">
        <v>159000</v>
      </c>
      <c r="F3750" s="14">
        <v>0.00656</v>
      </c>
      <c r="G3750" s="16">
        <v>46300</v>
      </c>
      <c r="H3750" s="17">
        <f t="shared" si="58"/>
        <v>1043.04</v>
      </c>
      <c r="I3750" s="15" t="s">
        <v>317</v>
      </c>
      <c r="J3750" s="15"/>
      <c r="K3750" t="s">
        <v>405</v>
      </c>
    </row>
    <row r="3751" hidden="1" spans="1:11">
      <c r="B3751" s="14">
        <v>262701236</v>
      </c>
      <c r="C3751" s="13">
        <v>46169</v>
      </c>
      <c r="D3751" s="14" t="s">
        <v>517</v>
      </c>
      <c r="E3751" s="15">
        <v>142000</v>
      </c>
      <c r="F3751" s="14">
        <v>0.0238</v>
      </c>
      <c r="G3751" s="16">
        <v>46270</v>
      </c>
      <c r="H3751" s="17">
        <f t="shared" si="58"/>
        <v>3379.6</v>
      </c>
      <c r="I3751" s="15" t="s">
        <v>317</v>
      </c>
      <c r="J3751" s="15"/>
      <c r="K3751" t="s">
        <v>405</v>
      </c>
    </row>
    <row r="3752" hidden="1" spans="1:11">
      <c r="B3752" s="14">
        <v>262701236</v>
      </c>
      <c r="C3752" s="13">
        <v>46169</v>
      </c>
      <c r="D3752" s="14" t="s">
        <v>517</v>
      </c>
      <c r="E3752" s="15">
        <v>146000</v>
      </c>
      <c r="F3752" s="14">
        <v>0.0238</v>
      </c>
      <c r="G3752" s="16">
        <v>46300</v>
      </c>
      <c r="H3752" s="17">
        <f t="shared" si="58"/>
        <v>3474.8</v>
      </c>
      <c r="I3752" s="15" t="s">
        <v>317</v>
      </c>
      <c r="J3752" s="15"/>
      <c r="K3752" t="s">
        <v>405</v>
      </c>
    </row>
    <row r="3753" hidden="1" spans="1:11">
      <c r="B3753" s="14">
        <v>262701239</v>
      </c>
      <c r="C3753" s="13">
        <v>46169</v>
      </c>
      <c r="D3753" s="14" t="s">
        <v>16</v>
      </c>
      <c r="E3753" s="15">
        <v>200000</v>
      </c>
      <c r="F3753" s="14">
        <v>0.0292</v>
      </c>
      <c r="G3753" s="16">
        <v>46331</v>
      </c>
      <c r="H3753" s="17">
        <f t="shared" si="58"/>
        <v>5840</v>
      </c>
      <c r="I3753" s="15" t="s">
        <v>317</v>
      </c>
      <c r="J3753" s="15"/>
      <c r="K3753" t="s">
        <v>405</v>
      </c>
    </row>
    <row r="3754" hidden="1" spans="1:11">
      <c r="B3754" s="14">
        <v>262701239</v>
      </c>
      <c r="C3754" s="13">
        <v>46169</v>
      </c>
      <c r="D3754" s="14" t="s">
        <v>16</v>
      </c>
      <c r="E3754" s="15">
        <v>46000</v>
      </c>
      <c r="F3754" s="14">
        <v>0.0292</v>
      </c>
      <c r="G3754" s="16">
        <v>46331</v>
      </c>
      <c r="H3754" s="17">
        <f t="shared" si="58"/>
        <v>1343.2</v>
      </c>
      <c r="I3754" s="15" t="s">
        <v>317</v>
      </c>
      <c r="J3754" s="15"/>
      <c r="K3754" t="s">
        <v>405</v>
      </c>
    </row>
    <row r="3755" hidden="1" spans="1:11">
      <c r="B3755" s="14">
        <v>262701239</v>
      </c>
      <c r="C3755" s="13">
        <v>46169</v>
      </c>
      <c r="D3755" s="14" t="s">
        <v>103</v>
      </c>
      <c r="E3755" s="15">
        <v>80000</v>
      </c>
      <c r="F3755" s="14">
        <v>0.028</v>
      </c>
      <c r="G3755" s="16">
        <v>46331</v>
      </c>
      <c r="H3755" s="17">
        <f t="shared" si="58"/>
        <v>2240</v>
      </c>
      <c r="I3755" s="15" t="s">
        <v>317</v>
      </c>
      <c r="J3755" s="15"/>
      <c r="K3755" t="s">
        <v>405</v>
      </c>
    </row>
    <row r="3756" hidden="1" spans="1:11">
      <c r="B3756" s="14">
        <v>262701239</v>
      </c>
      <c r="C3756" s="13">
        <v>46169</v>
      </c>
      <c r="D3756" s="14" t="s">
        <v>104</v>
      </c>
      <c r="E3756" s="15">
        <v>90000</v>
      </c>
      <c r="F3756" s="14">
        <v>0.028</v>
      </c>
      <c r="G3756" s="16">
        <v>46331</v>
      </c>
      <c r="H3756" s="17">
        <f t="shared" si="58"/>
        <v>2520</v>
      </c>
      <c r="I3756" s="15" t="s">
        <v>317</v>
      </c>
      <c r="J3756" s="15"/>
      <c r="K3756" t="s">
        <v>405</v>
      </c>
    </row>
    <row r="3757" hidden="1" spans="1:11">
      <c r="B3757" s="14">
        <v>262701239</v>
      </c>
      <c r="C3757" s="13">
        <v>46169</v>
      </c>
      <c r="D3757" s="14" t="s">
        <v>67</v>
      </c>
      <c r="E3757" s="15">
        <v>102000</v>
      </c>
      <c r="F3757" s="14">
        <v>0.028</v>
      </c>
      <c r="G3757" s="16">
        <v>46331</v>
      </c>
      <c r="H3757" s="17">
        <f t="shared" si="58"/>
        <v>2856</v>
      </c>
      <c r="I3757" s="15" t="s">
        <v>317</v>
      </c>
      <c r="J3757" s="15"/>
      <c r="K3757" t="s">
        <v>405</v>
      </c>
    </row>
    <row r="3758" hidden="1" spans="1:11">
      <c r="B3758" s="14">
        <v>262701239</v>
      </c>
      <c r="C3758" s="13">
        <v>46169</v>
      </c>
      <c r="D3758" s="14" t="s">
        <v>36</v>
      </c>
      <c r="E3758" s="15">
        <v>195000</v>
      </c>
      <c r="F3758" s="14">
        <v>0.00656</v>
      </c>
      <c r="G3758" s="16">
        <v>46331</v>
      </c>
      <c r="H3758" s="17">
        <f t="shared" si="58"/>
        <v>1279.2</v>
      </c>
      <c r="I3758" s="15" t="s">
        <v>317</v>
      </c>
      <c r="J3758" s="15"/>
      <c r="K3758" t="s">
        <v>405</v>
      </c>
    </row>
    <row r="3759" hidden="1" spans="1:11">
      <c r="B3759" s="14">
        <v>262701239</v>
      </c>
      <c r="C3759" s="13">
        <v>46169</v>
      </c>
      <c r="D3759" s="14" t="s">
        <v>517</v>
      </c>
      <c r="E3759" s="15">
        <v>140000</v>
      </c>
      <c r="F3759" s="14">
        <v>0.0238</v>
      </c>
      <c r="G3759" s="16">
        <v>46331</v>
      </c>
      <c r="H3759" s="17">
        <f t="shared" si="58"/>
        <v>3332</v>
      </c>
      <c r="I3759" s="15" t="s">
        <v>317</v>
      </c>
      <c r="J3759" s="15"/>
      <c r="K3759" t="s">
        <v>405</v>
      </c>
    </row>
    <row r="3760" hidden="1" spans="1:11">
      <c r="A3760" t="s">
        <v>319</v>
      </c>
      <c r="B3760" s="8">
        <v>262701242</v>
      </c>
      <c r="C3760" s="9">
        <v>46170</v>
      </c>
      <c r="D3760" s="8" t="s">
        <v>38</v>
      </c>
      <c r="E3760" s="10">
        <v>60000</v>
      </c>
      <c r="F3760" s="8">
        <v>0.01</v>
      </c>
      <c r="G3760" s="11">
        <v>46178</v>
      </c>
      <c r="H3760" s="12">
        <f t="shared" si="58"/>
        <v>600</v>
      </c>
      <c r="I3760" s="10" t="s">
        <v>10</v>
      </c>
      <c r="J3760" s="13">
        <v>46174</v>
      </c>
      <c r="K3760" t="s">
        <v>460</v>
      </c>
    </row>
    <row r="3761" hidden="1" spans="1:11">
      <c r="A3761" t="s">
        <v>319</v>
      </c>
      <c r="B3761" s="8">
        <v>262701242</v>
      </c>
      <c r="C3761" s="9">
        <v>46170</v>
      </c>
      <c r="D3761" s="8" t="s">
        <v>38</v>
      </c>
      <c r="E3761" s="10">
        <v>60000</v>
      </c>
      <c r="F3761" s="8">
        <v>0.01</v>
      </c>
      <c r="G3761" s="11">
        <v>46208</v>
      </c>
      <c r="H3761" s="12">
        <f t="shared" si="58"/>
        <v>600</v>
      </c>
      <c r="I3761" s="10" t="s">
        <v>10</v>
      </c>
      <c r="J3761" s="13">
        <v>46174</v>
      </c>
      <c r="K3761" t="s">
        <v>460</v>
      </c>
    </row>
    <row r="3762" hidden="1" spans="1:11">
      <c r="A3762" t="s">
        <v>319</v>
      </c>
      <c r="B3762" s="8">
        <v>262701242</v>
      </c>
      <c r="C3762" s="9">
        <v>46170</v>
      </c>
      <c r="D3762" s="8" t="s">
        <v>46</v>
      </c>
      <c r="E3762" s="10">
        <v>28000</v>
      </c>
      <c r="F3762" s="8">
        <v>0.02</v>
      </c>
      <c r="G3762" s="11">
        <v>46178</v>
      </c>
      <c r="H3762" s="12">
        <f t="shared" si="58"/>
        <v>560</v>
      </c>
      <c r="I3762" s="10" t="s">
        <v>10</v>
      </c>
      <c r="J3762" s="13">
        <v>46174</v>
      </c>
      <c r="K3762" t="s">
        <v>460</v>
      </c>
    </row>
    <row r="3763" hidden="1" spans="1:11">
      <c r="A3763" t="s">
        <v>319</v>
      </c>
      <c r="B3763" s="8">
        <v>262701243</v>
      </c>
      <c r="C3763" s="9">
        <v>46170</v>
      </c>
      <c r="D3763" s="8" t="s">
        <v>38</v>
      </c>
      <c r="E3763" s="10">
        <v>60000</v>
      </c>
      <c r="F3763" s="8">
        <v>0.01</v>
      </c>
      <c r="G3763" s="11">
        <v>46239</v>
      </c>
      <c r="H3763" s="12">
        <f t="shared" si="58"/>
        <v>600</v>
      </c>
      <c r="I3763" s="10" t="s">
        <v>10</v>
      </c>
      <c r="J3763" s="13">
        <v>46174</v>
      </c>
      <c r="K3763" t="s">
        <v>460</v>
      </c>
    </row>
    <row r="3764" hidden="1" spans="1:11">
      <c r="A3764" t="s">
        <v>319</v>
      </c>
      <c r="B3764" s="8">
        <v>262701243</v>
      </c>
      <c r="C3764" s="9">
        <v>46170</v>
      </c>
      <c r="D3764" s="8" t="s">
        <v>38</v>
      </c>
      <c r="E3764" s="10">
        <v>60000</v>
      </c>
      <c r="F3764" s="8">
        <v>0.01</v>
      </c>
      <c r="G3764" s="11">
        <v>46270</v>
      </c>
      <c r="H3764" s="12">
        <f t="shared" si="58"/>
        <v>600</v>
      </c>
      <c r="I3764" s="10" t="s">
        <v>10</v>
      </c>
      <c r="J3764" s="13">
        <v>46174</v>
      </c>
      <c r="K3764" t="s">
        <v>460</v>
      </c>
    </row>
    <row r="3765" hidden="1" spans="1:11">
      <c r="A3765" t="s">
        <v>319</v>
      </c>
      <c r="B3765" s="8">
        <v>262701243</v>
      </c>
      <c r="C3765" s="9">
        <v>46170</v>
      </c>
      <c r="D3765" s="8" t="s">
        <v>40</v>
      </c>
      <c r="E3765" s="10">
        <v>50000</v>
      </c>
      <c r="F3765" s="8">
        <v>0.035</v>
      </c>
      <c r="G3765" s="11">
        <v>46239</v>
      </c>
      <c r="H3765" s="12">
        <f t="shared" si="58"/>
        <v>1750</v>
      </c>
      <c r="I3765" s="10" t="s">
        <v>10</v>
      </c>
      <c r="J3765" s="13">
        <v>46184</v>
      </c>
      <c r="K3765" t="s">
        <v>460</v>
      </c>
    </row>
    <row r="3766" hidden="1" spans="1:11">
      <c r="A3766" t="s">
        <v>319</v>
      </c>
      <c r="B3766" s="8">
        <v>262701243</v>
      </c>
      <c r="C3766" s="9">
        <v>46170</v>
      </c>
      <c r="D3766" s="8" t="s">
        <v>45</v>
      </c>
      <c r="E3766" s="10">
        <v>32000</v>
      </c>
      <c r="F3766" s="8">
        <v>0.024</v>
      </c>
      <c r="G3766" s="11">
        <v>46239</v>
      </c>
      <c r="H3766" s="12">
        <f t="shared" si="58"/>
        <v>768</v>
      </c>
      <c r="I3766" s="10" t="s">
        <v>10</v>
      </c>
      <c r="J3766" s="13">
        <v>46174</v>
      </c>
      <c r="K3766" t="s">
        <v>460</v>
      </c>
    </row>
    <row r="3767" hidden="1" spans="1:11">
      <c r="A3767" t="s">
        <v>319</v>
      </c>
      <c r="B3767" s="8">
        <v>262701246</v>
      </c>
      <c r="C3767" s="9">
        <v>46170</v>
      </c>
      <c r="D3767" s="8" t="s">
        <v>67</v>
      </c>
      <c r="E3767" s="10">
        <v>40000</v>
      </c>
      <c r="F3767" s="8">
        <v>0.028</v>
      </c>
      <c r="G3767" s="11">
        <v>46178</v>
      </c>
      <c r="H3767" s="12">
        <f t="shared" si="58"/>
        <v>1120</v>
      </c>
      <c r="I3767" s="10" t="s">
        <v>10</v>
      </c>
      <c r="J3767" s="13">
        <v>46174</v>
      </c>
      <c r="K3767" t="s">
        <v>405</v>
      </c>
    </row>
    <row r="3768" hidden="1" spans="1:11">
      <c r="A3768" t="s">
        <v>319</v>
      </c>
      <c r="B3768" s="8">
        <v>262701246</v>
      </c>
      <c r="C3768" s="9">
        <v>46170</v>
      </c>
      <c r="D3768" s="8" t="s">
        <v>67</v>
      </c>
      <c r="E3768" s="10">
        <v>40000</v>
      </c>
      <c r="F3768" s="8">
        <v>0.028</v>
      </c>
      <c r="G3768" s="11">
        <v>46239</v>
      </c>
      <c r="H3768" s="12">
        <f t="shared" si="58"/>
        <v>1120</v>
      </c>
      <c r="I3768" s="10" t="s">
        <v>10</v>
      </c>
      <c r="J3768" s="13">
        <v>46174</v>
      </c>
      <c r="K3768" t="s">
        <v>405</v>
      </c>
    </row>
    <row r="3769" hidden="1" spans="1:11">
      <c r="A3769" t="s">
        <v>319</v>
      </c>
      <c r="B3769" s="8">
        <v>262701246</v>
      </c>
      <c r="C3769" s="9">
        <v>46170</v>
      </c>
      <c r="D3769" s="8" t="s">
        <v>104</v>
      </c>
      <c r="E3769" s="10">
        <v>40000</v>
      </c>
      <c r="F3769" s="8">
        <v>0.028</v>
      </c>
      <c r="G3769" s="11">
        <v>46178</v>
      </c>
      <c r="H3769" s="12">
        <f t="shared" si="58"/>
        <v>1120</v>
      </c>
      <c r="I3769" s="10" t="s">
        <v>10</v>
      </c>
      <c r="J3769" s="13">
        <v>46174</v>
      </c>
      <c r="K3769" t="s">
        <v>405</v>
      </c>
    </row>
    <row r="3770" hidden="1" spans="1:11">
      <c r="A3770" t="s">
        <v>319</v>
      </c>
      <c r="B3770" s="8">
        <v>262701246</v>
      </c>
      <c r="C3770" s="9">
        <v>46170</v>
      </c>
      <c r="D3770" s="8" t="s">
        <v>104</v>
      </c>
      <c r="E3770" s="10">
        <v>40000</v>
      </c>
      <c r="F3770" s="8">
        <v>0.028</v>
      </c>
      <c r="G3770" s="11">
        <v>46239</v>
      </c>
      <c r="H3770" s="12">
        <f t="shared" si="58"/>
        <v>1120</v>
      </c>
      <c r="I3770" s="10" t="s">
        <v>10</v>
      </c>
      <c r="J3770" s="13">
        <v>46174</v>
      </c>
      <c r="K3770" t="s">
        <v>405</v>
      </c>
    </row>
    <row r="3771" hidden="1" spans="1:11">
      <c r="B3771" s="14">
        <v>262701303</v>
      </c>
      <c r="C3771" s="13">
        <v>46170</v>
      </c>
      <c r="D3771" s="14" t="s">
        <v>30</v>
      </c>
      <c r="E3771" s="15">
        <v>20000</v>
      </c>
      <c r="F3771" s="14">
        <v>0.022</v>
      </c>
      <c r="G3771" s="16">
        <v>46270</v>
      </c>
      <c r="H3771" s="17">
        <f t="shared" si="58"/>
        <v>440</v>
      </c>
      <c r="I3771" s="15" t="s">
        <v>317</v>
      </c>
      <c r="J3771" s="15"/>
      <c r="K3771" t="s">
        <v>431</v>
      </c>
    </row>
    <row r="3772" hidden="1" spans="1:11">
      <c r="B3772" s="14">
        <v>262701303</v>
      </c>
      <c r="C3772" s="13">
        <v>46170</v>
      </c>
      <c r="D3772" s="14" t="s">
        <v>30</v>
      </c>
      <c r="E3772" s="15">
        <v>20000</v>
      </c>
      <c r="F3772" s="14">
        <v>0.022</v>
      </c>
      <c r="G3772" s="16">
        <v>46300</v>
      </c>
      <c r="H3772" s="17">
        <f t="shared" si="58"/>
        <v>440</v>
      </c>
      <c r="I3772" s="15" t="s">
        <v>317</v>
      </c>
      <c r="J3772" s="15"/>
      <c r="K3772" t="s">
        <v>431</v>
      </c>
    </row>
    <row r="3773" hidden="1" spans="1:11">
      <c r="B3773" s="14">
        <v>262701350</v>
      </c>
      <c r="C3773" s="13">
        <v>46175</v>
      </c>
      <c r="D3773" s="14" t="s">
        <v>181</v>
      </c>
      <c r="E3773" s="15">
        <v>200000</v>
      </c>
      <c r="F3773" s="14">
        <v>0.0243</v>
      </c>
      <c r="G3773" s="16">
        <v>46270</v>
      </c>
      <c r="H3773" s="17">
        <f t="shared" si="58"/>
        <v>4860</v>
      </c>
      <c r="I3773" s="15" t="s">
        <v>317</v>
      </c>
      <c r="J3773" s="15"/>
      <c r="K3773" t="s">
        <v>439</v>
      </c>
    </row>
    <row r="3774" hidden="1" spans="1:11">
      <c r="B3774" s="14">
        <v>262701350</v>
      </c>
      <c r="C3774" s="13">
        <v>46175</v>
      </c>
      <c r="D3774" s="14" t="s">
        <v>181</v>
      </c>
      <c r="E3774" s="15">
        <v>200000</v>
      </c>
      <c r="F3774" s="14">
        <v>0.0243</v>
      </c>
      <c r="G3774" s="16">
        <v>46270</v>
      </c>
      <c r="H3774" s="17">
        <f t="shared" si="58"/>
        <v>4860</v>
      </c>
      <c r="I3774" s="15" t="s">
        <v>317</v>
      </c>
      <c r="J3774" s="15"/>
      <c r="K3774" t="s">
        <v>439</v>
      </c>
    </row>
    <row r="3775" hidden="1" spans="1:11">
      <c r="A3775" t="s">
        <v>319</v>
      </c>
      <c r="B3775" s="14">
        <v>262701358</v>
      </c>
      <c r="C3775" s="13">
        <v>46176</v>
      </c>
      <c r="D3775" s="14" t="s">
        <v>637</v>
      </c>
      <c r="E3775" s="15">
        <v>20000</v>
      </c>
      <c r="F3775" s="14">
        <v>0.032</v>
      </c>
      <c r="G3775" s="16">
        <v>46178</v>
      </c>
      <c r="H3775" s="17">
        <f t="shared" si="58"/>
        <v>640</v>
      </c>
      <c r="I3775" s="15" t="s">
        <v>317</v>
      </c>
      <c r="J3775" s="15" t="s">
        <v>660</v>
      </c>
      <c r="K3775" t="s">
        <v>638</v>
      </c>
    </row>
    <row r="3776" hidden="1" spans="1:11">
      <c r="A3776" t="s">
        <v>319</v>
      </c>
      <c r="B3776" s="14">
        <v>262701358</v>
      </c>
      <c r="C3776" s="13">
        <v>46176</v>
      </c>
      <c r="D3776" s="14" t="s">
        <v>524</v>
      </c>
      <c r="E3776" s="15">
        <v>20000</v>
      </c>
      <c r="F3776" s="14">
        <v>0.0385</v>
      </c>
      <c r="G3776" s="16">
        <v>46178</v>
      </c>
      <c r="H3776" s="17">
        <f t="shared" si="58"/>
        <v>770</v>
      </c>
      <c r="I3776" s="15" t="s">
        <v>317</v>
      </c>
      <c r="J3776" s="15" t="s">
        <v>660</v>
      </c>
      <c r="K3776" t="s">
        <v>638</v>
      </c>
    </row>
    <row r="3777" hidden="1" spans="1:11">
      <c r="A3777" t="s">
        <v>319</v>
      </c>
      <c r="B3777" s="8">
        <v>262701358</v>
      </c>
      <c r="C3777" s="9">
        <v>46176</v>
      </c>
      <c r="D3777" s="8" t="s">
        <v>626</v>
      </c>
      <c r="E3777" s="10">
        <v>20000</v>
      </c>
      <c r="F3777" s="8">
        <v>0.0224</v>
      </c>
      <c r="G3777" s="11">
        <v>46178</v>
      </c>
      <c r="H3777" s="12">
        <f t="shared" si="58"/>
        <v>448</v>
      </c>
      <c r="I3777" s="10" t="s">
        <v>10</v>
      </c>
      <c r="J3777" s="13">
        <v>46191</v>
      </c>
      <c r="K3777" t="s">
        <v>638</v>
      </c>
    </row>
    <row r="3778" hidden="1" spans="1:11">
      <c r="A3778" t="s">
        <v>319</v>
      </c>
      <c r="B3778" s="8">
        <v>262701405</v>
      </c>
      <c r="C3778" s="9">
        <v>46178</v>
      </c>
      <c r="D3778" s="8" t="s">
        <v>38</v>
      </c>
      <c r="E3778" s="10">
        <v>80000</v>
      </c>
      <c r="F3778" s="8">
        <v>0.01</v>
      </c>
      <c r="G3778" s="11">
        <v>46195</v>
      </c>
      <c r="H3778" s="12">
        <f t="shared" ref="H3778:H3835" si="59">E3778*F3778</f>
        <v>800</v>
      </c>
      <c r="I3778" s="10" t="s">
        <v>10</v>
      </c>
      <c r="J3778" s="13">
        <v>46184</v>
      </c>
      <c r="K3778" t="s">
        <v>488</v>
      </c>
    </row>
    <row r="3779" hidden="1" spans="1:11">
      <c r="A3779" t="s">
        <v>319</v>
      </c>
      <c r="B3779" s="8">
        <v>262701407</v>
      </c>
      <c r="C3779" s="9">
        <v>46178</v>
      </c>
      <c r="D3779" s="8" t="s">
        <v>181</v>
      </c>
      <c r="E3779" s="10">
        <v>110000</v>
      </c>
      <c r="F3779" s="8">
        <v>0.0243</v>
      </c>
      <c r="G3779" s="11">
        <v>46195</v>
      </c>
      <c r="H3779" s="12">
        <f t="shared" si="59"/>
        <v>2673</v>
      </c>
      <c r="I3779" s="10" t="s">
        <v>10</v>
      </c>
      <c r="J3779" s="13">
        <v>46191</v>
      </c>
      <c r="K3779" t="s">
        <v>493</v>
      </c>
    </row>
    <row r="3780" hidden="1" spans="1:11">
      <c r="A3780" t="s">
        <v>319</v>
      </c>
      <c r="B3780" s="14">
        <v>262701429</v>
      </c>
      <c r="C3780" s="13">
        <v>46181</v>
      </c>
      <c r="D3780" s="14" t="s">
        <v>661</v>
      </c>
      <c r="E3780" s="15">
        <v>10000</v>
      </c>
      <c r="F3780" s="14">
        <v>0.035</v>
      </c>
      <c r="G3780" s="16">
        <v>46195</v>
      </c>
      <c r="H3780" s="17">
        <f t="shared" si="59"/>
        <v>350</v>
      </c>
      <c r="I3780" s="15" t="s">
        <v>51</v>
      </c>
      <c r="J3780" s="15"/>
      <c r="K3780" t="s">
        <v>488</v>
      </c>
    </row>
    <row r="3781" hidden="1" spans="1:11">
      <c r="A3781" t="s">
        <v>319</v>
      </c>
      <c r="B3781" s="8">
        <v>262701439</v>
      </c>
      <c r="C3781" s="9">
        <v>46182</v>
      </c>
      <c r="D3781" s="8" t="s">
        <v>318</v>
      </c>
      <c r="E3781" s="10">
        <v>20000</v>
      </c>
      <c r="F3781" s="8">
        <v>0.042</v>
      </c>
      <c r="G3781" s="11">
        <v>46195</v>
      </c>
      <c r="H3781" s="12">
        <f t="shared" si="59"/>
        <v>840</v>
      </c>
      <c r="I3781" s="10" t="s">
        <v>10</v>
      </c>
      <c r="J3781" s="13">
        <v>46184</v>
      </c>
      <c r="K3781" t="s">
        <v>627</v>
      </c>
    </row>
    <row r="3782" hidden="1" spans="1:11">
      <c r="B3782" s="14">
        <v>262701487</v>
      </c>
      <c r="C3782" s="13">
        <v>46184</v>
      </c>
      <c r="D3782" s="14" t="s">
        <v>47</v>
      </c>
      <c r="E3782" s="15">
        <v>136000</v>
      </c>
      <c r="F3782" s="14">
        <v>0.022</v>
      </c>
      <c r="G3782" s="16">
        <v>46195</v>
      </c>
      <c r="H3782" s="17">
        <f t="shared" si="59"/>
        <v>2992</v>
      </c>
      <c r="I3782" s="15" t="s">
        <v>317</v>
      </c>
      <c r="J3782" s="15"/>
      <c r="K3782" t="s">
        <v>662</v>
      </c>
    </row>
    <row r="3783" hidden="1" spans="1:11">
      <c r="A3783" t="s">
        <v>319</v>
      </c>
      <c r="B3783" s="14">
        <v>262701535</v>
      </c>
      <c r="C3783" s="13">
        <v>46185</v>
      </c>
      <c r="D3783" s="14" t="s">
        <v>557</v>
      </c>
      <c r="E3783" s="15">
        <v>70000</v>
      </c>
      <c r="F3783" s="14">
        <v>0.026</v>
      </c>
      <c r="G3783" s="16">
        <v>46239</v>
      </c>
      <c r="H3783" s="17">
        <f t="shared" si="59"/>
        <v>1820</v>
      </c>
      <c r="I3783" s="15" t="s">
        <v>317</v>
      </c>
      <c r="J3783" s="15" t="s">
        <v>663</v>
      </c>
      <c r="K3783" t="s">
        <v>377</v>
      </c>
    </row>
    <row r="3784" hidden="1" spans="1:11">
      <c r="A3784" t="s">
        <v>319</v>
      </c>
      <c r="B3784" s="14">
        <v>262701535</v>
      </c>
      <c r="C3784" s="13">
        <v>46185</v>
      </c>
      <c r="D3784" s="14" t="s">
        <v>557</v>
      </c>
      <c r="E3784" s="15">
        <v>70000</v>
      </c>
      <c r="F3784" s="14">
        <v>0.026</v>
      </c>
      <c r="G3784" s="16">
        <v>46270</v>
      </c>
      <c r="H3784" s="17">
        <f t="shared" si="59"/>
        <v>1820</v>
      </c>
      <c r="I3784" s="15" t="s">
        <v>317</v>
      </c>
      <c r="J3784" s="15" t="s">
        <v>663</v>
      </c>
      <c r="K3784" t="s">
        <v>377</v>
      </c>
    </row>
    <row r="3785" hidden="1" spans="1:11">
      <c r="A3785" t="s">
        <v>319</v>
      </c>
      <c r="B3785" s="14">
        <v>262701535</v>
      </c>
      <c r="C3785" s="13">
        <v>46185</v>
      </c>
      <c r="D3785" s="14" t="s">
        <v>623</v>
      </c>
      <c r="E3785" s="15">
        <v>70000</v>
      </c>
      <c r="F3785" s="14">
        <v>0.07</v>
      </c>
      <c r="G3785" s="16">
        <v>46270</v>
      </c>
      <c r="H3785" s="17">
        <f t="shared" si="59"/>
        <v>4900</v>
      </c>
      <c r="I3785" s="15" t="s">
        <v>317</v>
      </c>
      <c r="J3785" s="15" t="s">
        <v>663</v>
      </c>
      <c r="K3785" t="s">
        <v>377</v>
      </c>
    </row>
    <row r="3786" hidden="1" spans="1:11">
      <c r="A3786" t="s">
        <v>319</v>
      </c>
      <c r="B3786" s="14">
        <v>262701535</v>
      </c>
      <c r="C3786" s="13">
        <v>46185</v>
      </c>
      <c r="D3786" s="14" t="s">
        <v>40</v>
      </c>
      <c r="E3786" s="15">
        <v>80000</v>
      </c>
      <c r="F3786" s="14">
        <v>0.035</v>
      </c>
      <c r="G3786" s="16">
        <v>46239</v>
      </c>
      <c r="H3786" s="17">
        <f t="shared" si="59"/>
        <v>2800</v>
      </c>
      <c r="I3786" s="15" t="s">
        <v>317</v>
      </c>
      <c r="J3786" s="15" t="s">
        <v>663</v>
      </c>
      <c r="K3786" t="s">
        <v>377</v>
      </c>
    </row>
    <row r="3787" hidden="1" spans="1:11">
      <c r="A3787" t="s">
        <v>319</v>
      </c>
      <c r="B3787" s="14">
        <v>262701535</v>
      </c>
      <c r="C3787" s="13">
        <v>46185</v>
      </c>
      <c r="D3787" s="14" t="s">
        <v>511</v>
      </c>
      <c r="E3787" s="15">
        <v>126000</v>
      </c>
      <c r="F3787" s="14">
        <v>0.041</v>
      </c>
      <c r="G3787" s="16">
        <v>46239</v>
      </c>
      <c r="H3787" s="17">
        <f t="shared" si="59"/>
        <v>5166</v>
      </c>
      <c r="I3787" s="15" t="s">
        <v>317</v>
      </c>
      <c r="J3787" s="15" t="s">
        <v>663</v>
      </c>
      <c r="K3787" t="s">
        <v>377</v>
      </c>
    </row>
    <row r="3788" hidden="1" spans="1:11">
      <c r="A3788" t="s">
        <v>319</v>
      </c>
      <c r="B3788" s="14">
        <v>262701535</v>
      </c>
      <c r="C3788" s="13">
        <v>46185</v>
      </c>
      <c r="D3788" s="14" t="s">
        <v>38</v>
      </c>
      <c r="E3788" s="15">
        <v>132000</v>
      </c>
      <c r="F3788" s="14">
        <v>0.01</v>
      </c>
      <c r="G3788" s="16">
        <v>46239</v>
      </c>
      <c r="H3788" s="17">
        <f t="shared" si="59"/>
        <v>1320</v>
      </c>
      <c r="I3788" s="15" t="s">
        <v>317</v>
      </c>
      <c r="J3788" s="15" t="s">
        <v>663</v>
      </c>
      <c r="K3788" t="s">
        <v>377</v>
      </c>
    </row>
    <row r="3789" hidden="1" spans="1:11">
      <c r="A3789" t="s">
        <v>319</v>
      </c>
      <c r="B3789" s="14">
        <v>262701536</v>
      </c>
      <c r="C3789" s="13">
        <v>46185</v>
      </c>
      <c r="D3789" s="14" t="s">
        <v>623</v>
      </c>
      <c r="E3789" s="15">
        <v>70000</v>
      </c>
      <c r="F3789" s="14">
        <v>0.07</v>
      </c>
      <c r="G3789" s="16">
        <v>46300</v>
      </c>
      <c r="H3789" s="17">
        <f t="shared" si="59"/>
        <v>4900</v>
      </c>
      <c r="I3789" s="15" t="s">
        <v>317</v>
      </c>
      <c r="J3789" s="15" t="s">
        <v>663</v>
      </c>
      <c r="K3789" t="s">
        <v>377</v>
      </c>
    </row>
    <row r="3790" hidden="1" spans="1:11">
      <c r="A3790" t="s">
        <v>319</v>
      </c>
      <c r="B3790" s="14">
        <v>262701549</v>
      </c>
      <c r="C3790" s="13">
        <v>46188</v>
      </c>
      <c r="D3790" s="14" t="s">
        <v>179</v>
      </c>
      <c r="E3790" s="15">
        <v>400000</v>
      </c>
      <c r="F3790" s="14">
        <v>0.065</v>
      </c>
      <c r="G3790" s="16">
        <v>46208</v>
      </c>
      <c r="H3790" s="17">
        <f t="shared" si="59"/>
        <v>26000</v>
      </c>
      <c r="I3790" s="15" t="s">
        <v>317</v>
      </c>
      <c r="J3790" s="15" t="s">
        <v>663</v>
      </c>
      <c r="K3790" t="s">
        <v>337</v>
      </c>
    </row>
    <row r="3791" hidden="1" spans="1:11">
      <c r="A3791" t="s">
        <v>319</v>
      </c>
      <c r="B3791" s="14">
        <v>262701549</v>
      </c>
      <c r="C3791" s="13">
        <v>46188</v>
      </c>
      <c r="D3791" s="14" t="s">
        <v>179</v>
      </c>
      <c r="E3791" s="15">
        <v>400000</v>
      </c>
      <c r="F3791" s="14">
        <v>0.065</v>
      </c>
      <c r="G3791" s="16">
        <v>46239</v>
      </c>
      <c r="H3791" s="17">
        <f t="shared" si="59"/>
        <v>26000</v>
      </c>
      <c r="I3791" s="15" t="s">
        <v>317</v>
      </c>
      <c r="J3791" s="15" t="s">
        <v>663</v>
      </c>
      <c r="K3791" t="s">
        <v>337</v>
      </c>
    </row>
    <row r="3792" hidden="1" spans="1:11">
      <c r="B3792" s="14">
        <v>262701552</v>
      </c>
      <c r="C3792" s="13">
        <v>46188</v>
      </c>
      <c r="D3792" s="14" t="s">
        <v>609</v>
      </c>
      <c r="E3792" s="15">
        <v>20000</v>
      </c>
      <c r="F3792" s="14">
        <v>0.028</v>
      </c>
      <c r="G3792" s="16">
        <v>46195</v>
      </c>
      <c r="H3792" s="17">
        <f t="shared" si="59"/>
        <v>560</v>
      </c>
      <c r="I3792" s="15" t="s">
        <v>317</v>
      </c>
      <c r="J3792" s="15"/>
      <c r="K3792" t="s">
        <v>664</v>
      </c>
    </row>
    <row r="3793" hidden="1" spans="1:11">
      <c r="B3793" s="14">
        <v>262701552</v>
      </c>
      <c r="C3793" s="13">
        <v>46188</v>
      </c>
      <c r="D3793" s="14" t="s">
        <v>665</v>
      </c>
      <c r="E3793" s="15">
        <v>20000</v>
      </c>
      <c r="F3793" s="14">
        <v>0.0135</v>
      </c>
      <c r="G3793" s="16">
        <v>46195</v>
      </c>
      <c r="H3793" s="17">
        <f t="shared" si="59"/>
        <v>270</v>
      </c>
      <c r="I3793" s="15" t="s">
        <v>317</v>
      </c>
      <c r="J3793" s="15"/>
      <c r="K3793" t="s">
        <v>664</v>
      </c>
    </row>
    <row r="3794" hidden="1" spans="1:11">
      <c r="B3794" s="14">
        <v>262701552</v>
      </c>
      <c r="C3794" s="13">
        <v>46188</v>
      </c>
      <c r="D3794" s="14" t="s">
        <v>315</v>
      </c>
      <c r="E3794" s="15">
        <v>20000</v>
      </c>
      <c r="F3794" s="14">
        <v>0.0522</v>
      </c>
      <c r="G3794" s="16">
        <v>46195</v>
      </c>
      <c r="H3794" s="17">
        <f t="shared" si="59"/>
        <v>1044</v>
      </c>
      <c r="I3794" s="15" t="s">
        <v>317</v>
      </c>
      <c r="J3794" s="15"/>
      <c r="K3794" t="s">
        <v>664</v>
      </c>
    </row>
    <row r="3795" hidden="1" spans="1:11">
      <c r="A3795" t="s">
        <v>319</v>
      </c>
      <c r="B3795" s="14">
        <v>262701561</v>
      </c>
      <c r="C3795" s="13">
        <v>46188</v>
      </c>
      <c r="D3795" s="14" t="s">
        <v>179</v>
      </c>
      <c r="E3795" s="15">
        <v>360000</v>
      </c>
      <c r="F3795" s="14">
        <v>0.065</v>
      </c>
      <c r="G3795" s="16">
        <v>46208</v>
      </c>
      <c r="H3795" s="17">
        <f t="shared" si="59"/>
        <v>23400</v>
      </c>
      <c r="I3795" s="15" t="s">
        <v>317</v>
      </c>
      <c r="J3795" s="15" t="s">
        <v>663</v>
      </c>
      <c r="K3795" t="s">
        <v>486</v>
      </c>
    </row>
    <row r="3796" hidden="1" spans="1:11">
      <c r="A3796" t="s">
        <v>319</v>
      </c>
      <c r="B3796" s="14">
        <v>262701561</v>
      </c>
      <c r="C3796" s="13">
        <v>46188</v>
      </c>
      <c r="D3796" s="14" t="s">
        <v>179</v>
      </c>
      <c r="E3796" s="15">
        <v>360000</v>
      </c>
      <c r="F3796" s="14">
        <v>0.065</v>
      </c>
      <c r="G3796" s="16">
        <v>46239</v>
      </c>
      <c r="H3796" s="17">
        <f t="shared" si="59"/>
        <v>23400</v>
      </c>
      <c r="I3796" s="15" t="s">
        <v>317</v>
      </c>
      <c r="J3796" s="15" t="s">
        <v>663</v>
      </c>
      <c r="K3796" t="s">
        <v>486</v>
      </c>
    </row>
    <row r="3797" hidden="1" spans="1:11">
      <c r="B3797" s="14">
        <v>262701578</v>
      </c>
      <c r="C3797" s="13">
        <v>46189</v>
      </c>
      <c r="D3797" s="14" t="s">
        <v>40</v>
      </c>
      <c r="E3797" s="15">
        <v>250000</v>
      </c>
      <c r="F3797" s="14">
        <v>0.035</v>
      </c>
      <c r="G3797" s="16">
        <v>46331</v>
      </c>
      <c r="H3797" s="17">
        <f t="shared" si="59"/>
        <v>8750</v>
      </c>
      <c r="I3797" s="15" t="s">
        <v>317</v>
      </c>
      <c r="J3797" s="15"/>
      <c r="K3797" t="s">
        <v>337</v>
      </c>
    </row>
    <row r="3798" hidden="1" spans="1:11">
      <c r="B3798" s="14">
        <v>262701578</v>
      </c>
      <c r="C3798" s="13">
        <v>46189</v>
      </c>
      <c r="D3798" s="14" t="s">
        <v>246</v>
      </c>
      <c r="E3798" s="15">
        <v>20000</v>
      </c>
      <c r="F3798" s="14">
        <v>0.07</v>
      </c>
      <c r="G3798" s="16">
        <v>46331</v>
      </c>
      <c r="H3798" s="17">
        <f t="shared" si="59"/>
        <v>1400</v>
      </c>
      <c r="I3798" s="15" t="s">
        <v>317</v>
      </c>
      <c r="J3798" s="15"/>
      <c r="K3798" t="s">
        <v>337</v>
      </c>
    </row>
    <row r="3799" hidden="1" spans="1:11">
      <c r="A3799" t="s">
        <v>319</v>
      </c>
      <c r="B3799" s="14">
        <v>262701582</v>
      </c>
      <c r="C3799" s="13">
        <v>46189</v>
      </c>
      <c r="D3799" s="14" t="s">
        <v>233</v>
      </c>
      <c r="E3799" s="15">
        <v>200000</v>
      </c>
      <c r="F3799" s="14">
        <v>0.15</v>
      </c>
      <c r="G3799" s="16">
        <v>46270</v>
      </c>
      <c r="H3799" s="17">
        <f t="shared" si="59"/>
        <v>30000</v>
      </c>
      <c r="I3799" s="15" t="s">
        <v>317</v>
      </c>
      <c r="J3799" s="15" t="s">
        <v>663</v>
      </c>
      <c r="K3799" t="s">
        <v>337</v>
      </c>
    </row>
    <row r="3800" hidden="1" spans="1:11">
      <c r="A3800" t="s">
        <v>319</v>
      </c>
      <c r="B3800" s="14">
        <v>262701582</v>
      </c>
      <c r="C3800" s="13">
        <v>46189</v>
      </c>
      <c r="D3800" s="14" t="s">
        <v>233</v>
      </c>
      <c r="E3800" s="15">
        <v>200000</v>
      </c>
      <c r="F3800" s="14">
        <v>0.15</v>
      </c>
      <c r="G3800" s="16">
        <v>46300</v>
      </c>
      <c r="H3800" s="17">
        <f t="shared" si="59"/>
        <v>30000</v>
      </c>
      <c r="I3800" s="15" t="s">
        <v>317</v>
      </c>
      <c r="J3800" s="15" t="s">
        <v>663</v>
      </c>
      <c r="K3800" t="s">
        <v>337</v>
      </c>
    </row>
    <row r="3801" hidden="1" spans="1:11">
      <c r="B3801" s="14">
        <v>262701585</v>
      </c>
      <c r="C3801" s="13">
        <v>46189</v>
      </c>
      <c r="D3801" s="14" t="s">
        <v>45</v>
      </c>
      <c r="E3801" s="15">
        <v>300000</v>
      </c>
      <c r="F3801" s="14">
        <v>0.024</v>
      </c>
      <c r="G3801" s="16">
        <v>46208</v>
      </c>
      <c r="H3801" s="17">
        <f t="shared" si="59"/>
        <v>7200</v>
      </c>
      <c r="I3801" s="15" t="s">
        <v>317</v>
      </c>
      <c r="J3801" s="15"/>
      <c r="K3801" t="s">
        <v>499</v>
      </c>
    </row>
    <row r="3802" hidden="1" spans="1:11">
      <c r="B3802" s="14">
        <v>262701585</v>
      </c>
      <c r="C3802" s="13">
        <v>46189</v>
      </c>
      <c r="D3802" s="14" t="s">
        <v>45</v>
      </c>
      <c r="E3802" s="15">
        <v>300000</v>
      </c>
      <c r="F3802" s="14">
        <v>0.024</v>
      </c>
      <c r="G3802" s="16">
        <v>46225</v>
      </c>
      <c r="H3802" s="17">
        <f t="shared" si="59"/>
        <v>7200</v>
      </c>
      <c r="I3802" s="15" t="s">
        <v>317</v>
      </c>
      <c r="J3802" s="15"/>
      <c r="K3802" t="s">
        <v>499</v>
      </c>
    </row>
    <row r="3803" hidden="1" spans="1:11">
      <c r="B3803" s="14">
        <v>262701595</v>
      </c>
      <c r="C3803" s="13">
        <v>46189</v>
      </c>
      <c r="D3803" s="14" t="s">
        <v>45</v>
      </c>
      <c r="E3803" s="15">
        <v>300000</v>
      </c>
      <c r="F3803" s="14">
        <v>0.024</v>
      </c>
      <c r="G3803" s="16">
        <v>46208</v>
      </c>
      <c r="H3803" s="17">
        <f t="shared" si="59"/>
        <v>7200</v>
      </c>
      <c r="I3803" s="15" t="s">
        <v>317</v>
      </c>
      <c r="J3803" s="15"/>
      <c r="K3803" t="s">
        <v>534</v>
      </c>
    </row>
    <row r="3804" hidden="1" spans="1:11">
      <c r="B3804" s="14">
        <v>262701595</v>
      </c>
      <c r="C3804" s="13">
        <v>46189</v>
      </c>
      <c r="D3804" s="14" t="s">
        <v>45</v>
      </c>
      <c r="E3804" s="15">
        <v>300000</v>
      </c>
      <c r="F3804" s="14">
        <v>0.024</v>
      </c>
      <c r="G3804" s="16">
        <v>46225</v>
      </c>
      <c r="H3804" s="17">
        <f t="shared" si="59"/>
        <v>7200</v>
      </c>
      <c r="I3804" s="15" t="s">
        <v>317</v>
      </c>
      <c r="J3804" s="15"/>
      <c r="K3804" t="s">
        <v>534</v>
      </c>
    </row>
    <row r="3805" hidden="1" spans="1:11">
      <c r="B3805" s="14">
        <v>262701595</v>
      </c>
      <c r="C3805" s="13">
        <v>46189</v>
      </c>
      <c r="D3805" s="14" t="s">
        <v>48</v>
      </c>
      <c r="E3805" s="15">
        <v>200000</v>
      </c>
      <c r="F3805" s="14">
        <v>0.017</v>
      </c>
      <c r="G3805" s="16">
        <v>46208</v>
      </c>
      <c r="H3805" s="17">
        <f t="shared" si="59"/>
        <v>3400</v>
      </c>
      <c r="I3805" s="15" t="s">
        <v>317</v>
      </c>
      <c r="J3805" s="15"/>
      <c r="K3805" t="s">
        <v>534</v>
      </c>
    </row>
    <row r="3806" hidden="1" spans="1:11">
      <c r="B3806" s="14">
        <v>262701595</v>
      </c>
      <c r="C3806" s="13">
        <v>46189</v>
      </c>
      <c r="D3806" s="14" t="s">
        <v>48</v>
      </c>
      <c r="E3806" s="15">
        <v>200000</v>
      </c>
      <c r="F3806" s="14">
        <v>0.017</v>
      </c>
      <c r="G3806" s="16">
        <v>46225</v>
      </c>
      <c r="H3806" s="17">
        <f t="shared" si="59"/>
        <v>3400</v>
      </c>
      <c r="I3806" s="15" t="s">
        <v>317</v>
      </c>
      <c r="J3806" s="15"/>
      <c r="K3806" t="s">
        <v>534</v>
      </c>
    </row>
    <row r="3807" hidden="1" spans="1:11">
      <c r="B3807" s="14">
        <v>262701598</v>
      </c>
      <c r="C3807" s="13">
        <v>46190</v>
      </c>
      <c r="D3807" s="14" t="s">
        <v>163</v>
      </c>
      <c r="E3807" s="15">
        <v>208000</v>
      </c>
      <c r="F3807" s="14">
        <v>0.0025</v>
      </c>
      <c r="G3807" s="16">
        <v>46208</v>
      </c>
      <c r="H3807" s="17">
        <f t="shared" si="59"/>
        <v>520</v>
      </c>
      <c r="I3807" s="15" t="s">
        <v>317</v>
      </c>
      <c r="J3807" s="15"/>
      <c r="K3807" t="s">
        <v>499</v>
      </c>
    </row>
    <row r="3808" hidden="1" spans="1:11">
      <c r="B3808" s="14">
        <v>262701598</v>
      </c>
      <c r="C3808" s="13">
        <v>46190</v>
      </c>
      <c r="D3808" s="14" t="s">
        <v>163</v>
      </c>
      <c r="E3808" s="15">
        <v>208000</v>
      </c>
      <c r="F3808" s="14">
        <v>0.0025</v>
      </c>
      <c r="G3808" s="16">
        <v>46225</v>
      </c>
      <c r="H3808" s="17">
        <f t="shared" si="59"/>
        <v>520</v>
      </c>
      <c r="I3808" s="15" t="s">
        <v>317</v>
      </c>
      <c r="J3808" s="15"/>
      <c r="K3808" t="s">
        <v>499</v>
      </c>
    </row>
    <row r="3809" hidden="1" spans="1:11">
      <c r="B3809" s="14">
        <v>262701598</v>
      </c>
      <c r="C3809" s="13">
        <v>46190</v>
      </c>
      <c r="D3809" s="14" t="s">
        <v>163</v>
      </c>
      <c r="E3809" s="15">
        <v>192000</v>
      </c>
      <c r="F3809" s="14">
        <v>0.0025</v>
      </c>
      <c r="G3809" s="16">
        <v>46239</v>
      </c>
      <c r="H3809" s="17">
        <f t="shared" si="59"/>
        <v>480</v>
      </c>
      <c r="I3809" s="15" t="s">
        <v>317</v>
      </c>
      <c r="J3809" s="15"/>
      <c r="K3809" t="s">
        <v>499</v>
      </c>
    </row>
    <row r="3810" hidden="1" spans="1:11">
      <c r="A3810" t="s">
        <v>319</v>
      </c>
      <c r="B3810" s="14">
        <v>262701599</v>
      </c>
      <c r="C3810" s="13">
        <v>46189</v>
      </c>
      <c r="D3810" s="14" t="s">
        <v>105</v>
      </c>
      <c r="E3810" s="15">
        <v>32000</v>
      </c>
      <c r="F3810" s="14">
        <v>0.18</v>
      </c>
      <c r="G3810" s="16">
        <v>46208</v>
      </c>
      <c r="H3810" s="17">
        <f t="shared" si="59"/>
        <v>5760</v>
      </c>
      <c r="I3810" s="15" t="s">
        <v>317</v>
      </c>
      <c r="J3810" s="15" t="s">
        <v>663</v>
      </c>
      <c r="K3810" t="s">
        <v>377</v>
      </c>
    </row>
    <row r="3811" hidden="1" spans="1:11">
      <c r="B3811" s="14">
        <v>262701603</v>
      </c>
      <c r="C3811" s="13">
        <v>46190</v>
      </c>
      <c r="D3811" s="14" t="s">
        <v>220</v>
      </c>
      <c r="E3811" s="15">
        <v>50000</v>
      </c>
      <c r="F3811" s="14">
        <v>0.0115</v>
      </c>
      <c r="G3811" s="16">
        <v>46270</v>
      </c>
      <c r="H3811" s="17">
        <f t="shared" si="59"/>
        <v>575</v>
      </c>
      <c r="I3811" s="15" t="s">
        <v>317</v>
      </c>
      <c r="J3811" s="15"/>
      <c r="K3811" t="s">
        <v>337</v>
      </c>
    </row>
    <row r="3812" hidden="1" spans="1:11">
      <c r="B3812" s="14">
        <v>262701603</v>
      </c>
      <c r="C3812" s="13">
        <v>46190</v>
      </c>
      <c r="D3812" s="14" t="s">
        <v>220</v>
      </c>
      <c r="E3812" s="15">
        <v>50000</v>
      </c>
      <c r="F3812" s="14">
        <v>0.0115</v>
      </c>
      <c r="G3812" s="16">
        <v>46300</v>
      </c>
      <c r="H3812" s="17">
        <f t="shared" si="59"/>
        <v>575</v>
      </c>
      <c r="I3812" s="15" t="s">
        <v>317</v>
      </c>
      <c r="J3812" s="15"/>
      <c r="K3812" t="s">
        <v>337</v>
      </c>
    </row>
    <row r="3813" hidden="1" spans="1:11">
      <c r="B3813" s="14">
        <v>262701604</v>
      </c>
      <c r="C3813" s="13">
        <v>46190</v>
      </c>
      <c r="D3813" s="14" t="s">
        <v>246</v>
      </c>
      <c r="E3813" s="15">
        <v>20000</v>
      </c>
      <c r="F3813" s="14">
        <v>0.07</v>
      </c>
      <c r="G3813" s="16">
        <v>46300</v>
      </c>
      <c r="H3813" s="17">
        <f t="shared" si="59"/>
        <v>1400</v>
      </c>
      <c r="I3813" s="15" t="s">
        <v>317</v>
      </c>
      <c r="J3813" s="15"/>
      <c r="K3813" t="s">
        <v>337</v>
      </c>
    </row>
    <row r="3814" hidden="1" spans="1:11">
      <c r="B3814" s="14">
        <v>262701604</v>
      </c>
      <c r="C3814" s="13">
        <v>46190</v>
      </c>
      <c r="D3814" s="14" t="s">
        <v>40</v>
      </c>
      <c r="E3814" s="15">
        <v>250000</v>
      </c>
      <c r="F3814" s="14">
        <v>0.035</v>
      </c>
      <c r="G3814" s="16">
        <v>46300</v>
      </c>
      <c r="H3814" s="17">
        <f t="shared" si="59"/>
        <v>8750</v>
      </c>
      <c r="I3814" s="15" t="s">
        <v>317</v>
      </c>
      <c r="J3814" s="15"/>
      <c r="K3814" t="s">
        <v>337</v>
      </c>
    </row>
    <row r="3815" hidden="1" spans="1:11">
      <c r="B3815" s="14">
        <v>262701644</v>
      </c>
      <c r="C3815" s="13">
        <v>46191</v>
      </c>
      <c r="D3815" s="14" t="s">
        <v>16</v>
      </c>
      <c r="E3815" s="15">
        <v>12000</v>
      </c>
      <c r="F3815" s="14">
        <v>0.0292</v>
      </c>
      <c r="G3815" s="16">
        <v>46195</v>
      </c>
      <c r="H3815" s="17">
        <f t="shared" si="59"/>
        <v>350.4</v>
      </c>
      <c r="I3815" s="15" t="s">
        <v>317</v>
      </c>
      <c r="J3815" s="15"/>
      <c r="K3815" t="s">
        <v>571</v>
      </c>
    </row>
    <row r="3816" hidden="1" spans="1:11">
      <c r="B3816" s="14"/>
      <c r="C3816" s="13"/>
      <c r="D3816" s="14"/>
      <c r="E3816" s="15"/>
      <c r="F3816" s="14"/>
      <c r="G3816" s="16"/>
      <c r="H3816" s="17">
        <f t="shared" si="59"/>
        <v>0</v>
      </c>
      <c r="I3816" s="15"/>
      <c r="J3816" s="15"/>
    </row>
    <row r="3817" hidden="1" spans="1:11">
      <c r="B3817" s="14"/>
      <c r="C3817" s="13"/>
      <c r="D3817" s="14"/>
      <c r="E3817" s="15"/>
      <c r="F3817" s="14"/>
      <c r="G3817" s="16"/>
      <c r="H3817" s="17">
        <f t="shared" si="59"/>
        <v>0</v>
      </c>
      <c r="I3817" s="15"/>
      <c r="J3817" s="15"/>
    </row>
    <row r="3818" hidden="1" spans="1:11">
      <c r="B3818" s="14"/>
      <c r="C3818" s="13"/>
      <c r="D3818" s="14"/>
      <c r="E3818" s="15"/>
      <c r="F3818" s="14"/>
      <c r="G3818" s="16"/>
      <c r="H3818" s="17">
        <f t="shared" si="59"/>
        <v>0</v>
      </c>
      <c r="I3818" s="15"/>
      <c r="J3818" s="15"/>
    </row>
    <row r="3819" hidden="1" spans="1:11">
      <c r="B3819" s="14"/>
      <c r="C3819" s="13"/>
      <c r="D3819" s="14"/>
      <c r="E3819" s="15"/>
      <c r="F3819" s="14"/>
      <c r="G3819" s="16"/>
      <c r="H3819" s="17">
        <f t="shared" si="59"/>
        <v>0</v>
      </c>
      <c r="I3819" s="15"/>
      <c r="J3819" s="15"/>
    </row>
    <row r="3820" hidden="1" spans="1:11">
      <c r="B3820" s="14"/>
      <c r="C3820" s="13"/>
      <c r="D3820" s="14"/>
      <c r="E3820" s="15"/>
      <c r="F3820" s="14"/>
      <c r="G3820" s="16"/>
      <c r="H3820" s="17">
        <f t="shared" si="59"/>
        <v>0</v>
      </c>
      <c r="I3820" s="15"/>
      <c r="J3820" s="15"/>
    </row>
    <row r="3821" hidden="1" spans="1:11">
      <c r="B3821" s="14"/>
      <c r="C3821" s="13"/>
      <c r="D3821" s="14"/>
      <c r="E3821" s="15"/>
      <c r="F3821" s="14"/>
      <c r="G3821" s="16"/>
      <c r="H3821" s="17">
        <f t="shared" si="59"/>
        <v>0</v>
      </c>
      <c r="I3821" s="15"/>
      <c r="J3821" s="15"/>
    </row>
    <row r="3822" hidden="1" spans="1:11">
      <c r="B3822" s="14"/>
      <c r="C3822" s="13"/>
      <c r="D3822" s="14"/>
      <c r="E3822" s="15"/>
      <c r="F3822" s="14"/>
      <c r="G3822" s="16"/>
      <c r="H3822" s="17">
        <f t="shared" si="59"/>
        <v>0</v>
      </c>
      <c r="I3822" s="15"/>
      <c r="J3822" s="15"/>
    </row>
    <row r="3823" hidden="1" spans="1:11">
      <c r="B3823" s="14"/>
      <c r="C3823" s="13"/>
      <c r="D3823" s="14"/>
      <c r="E3823" s="15"/>
      <c r="F3823" s="14"/>
      <c r="G3823" s="16"/>
      <c r="H3823" s="17">
        <f t="shared" si="59"/>
        <v>0</v>
      </c>
      <c r="I3823" s="15"/>
      <c r="J3823" s="15"/>
    </row>
    <row r="3824" hidden="1" spans="1:11">
      <c r="B3824" s="14"/>
      <c r="C3824" s="13"/>
      <c r="D3824" s="14"/>
      <c r="E3824" s="15"/>
      <c r="F3824" s="14"/>
      <c r="G3824" s="16"/>
      <c r="H3824" s="17">
        <f t="shared" si="59"/>
        <v>0</v>
      </c>
      <c r="I3824" s="15"/>
      <c r="J3824" s="15"/>
    </row>
    <row r="3825" hidden="1" spans="2:10">
      <c r="B3825" s="14"/>
      <c r="C3825" s="13"/>
      <c r="D3825" s="14"/>
      <c r="E3825" s="15"/>
      <c r="F3825" s="14"/>
      <c r="G3825" s="16"/>
      <c r="H3825" s="17">
        <f t="shared" si="59"/>
        <v>0</v>
      </c>
      <c r="I3825" s="15"/>
      <c r="J3825" s="15"/>
    </row>
    <row r="3826" hidden="1" spans="2:10">
      <c r="B3826" s="14"/>
      <c r="C3826" s="13"/>
      <c r="D3826" s="14"/>
      <c r="E3826" s="15"/>
      <c r="F3826" s="14"/>
      <c r="G3826" s="16"/>
      <c r="H3826" s="17">
        <f t="shared" si="59"/>
        <v>0</v>
      </c>
      <c r="I3826" s="15"/>
      <c r="J3826" s="15"/>
    </row>
    <row r="3827" hidden="1" spans="2:10">
      <c r="B3827" s="14"/>
      <c r="C3827" s="13"/>
      <c r="D3827" s="14"/>
      <c r="E3827" s="15"/>
      <c r="F3827" s="14"/>
      <c r="G3827" s="16"/>
      <c r="H3827" s="17">
        <f t="shared" si="59"/>
        <v>0</v>
      </c>
      <c r="I3827" s="15"/>
      <c r="J3827" s="15"/>
    </row>
    <row r="3828" hidden="1" spans="2:10">
      <c r="B3828" s="14"/>
      <c r="C3828" s="13"/>
      <c r="D3828" s="14"/>
      <c r="E3828" s="15"/>
      <c r="F3828" s="14"/>
      <c r="G3828" s="16"/>
      <c r="H3828" s="17">
        <f t="shared" si="59"/>
        <v>0</v>
      </c>
      <c r="I3828" s="15"/>
      <c r="J3828" s="15"/>
    </row>
    <row r="3829" hidden="1" spans="2:10">
      <c r="B3829" s="14"/>
      <c r="C3829" s="13"/>
      <c r="D3829" s="14"/>
      <c r="E3829" s="15"/>
      <c r="F3829" s="14"/>
      <c r="G3829" s="16"/>
      <c r="H3829" s="17">
        <f t="shared" si="59"/>
        <v>0</v>
      </c>
      <c r="I3829" s="15"/>
      <c r="J3829" s="15"/>
    </row>
    <row r="3830" hidden="1" spans="2:10">
      <c r="B3830" s="14"/>
      <c r="C3830" s="13"/>
      <c r="D3830" s="14"/>
      <c r="E3830" s="15"/>
      <c r="F3830" s="14"/>
      <c r="G3830" s="16"/>
      <c r="H3830" s="17">
        <f t="shared" si="59"/>
        <v>0</v>
      </c>
      <c r="I3830" s="15"/>
      <c r="J3830" s="15"/>
    </row>
    <row r="3831" hidden="1" spans="2:10">
      <c r="B3831" s="14"/>
      <c r="C3831" s="13"/>
      <c r="D3831" s="14"/>
      <c r="E3831" s="15"/>
      <c r="F3831" s="14"/>
      <c r="G3831" s="16"/>
      <c r="H3831" s="17">
        <f t="shared" si="59"/>
        <v>0</v>
      </c>
      <c r="I3831" s="15"/>
      <c r="J3831" s="15"/>
    </row>
    <row r="3832" hidden="1" spans="2:10">
      <c r="B3832" s="14"/>
      <c r="C3832" s="13"/>
      <c r="D3832" s="14"/>
      <c r="E3832" s="15"/>
      <c r="F3832" s="14"/>
      <c r="G3832" s="16"/>
      <c r="H3832" s="17">
        <f t="shared" si="59"/>
        <v>0</v>
      </c>
      <c r="I3832" s="15"/>
      <c r="J3832" s="15"/>
    </row>
    <row r="3833" hidden="1" spans="2:10">
      <c r="B3833" s="14"/>
      <c r="C3833" s="13"/>
      <c r="D3833" s="14"/>
      <c r="E3833" s="15"/>
      <c r="F3833" s="14"/>
      <c r="G3833" s="16"/>
      <c r="H3833" s="17">
        <f t="shared" si="59"/>
        <v>0</v>
      </c>
      <c r="I3833" s="15"/>
      <c r="J3833" s="15"/>
    </row>
    <row r="3834" hidden="1" spans="2:10">
      <c r="B3834" s="14"/>
      <c r="C3834" s="13"/>
      <c r="D3834" s="14"/>
      <c r="E3834" s="15"/>
      <c r="F3834" s="14"/>
      <c r="G3834" s="16"/>
      <c r="H3834" s="17">
        <f t="shared" si="59"/>
        <v>0</v>
      </c>
      <c r="I3834" s="15"/>
      <c r="J3834" s="15"/>
    </row>
    <row r="3835" hidden="1" spans="2:10">
      <c r="B3835" s="14"/>
      <c r="C3835" s="13"/>
      <c r="D3835" s="14"/>
      <c r="E3835" s="15"/>
      <c r="F3835" s="14"/>
      <c r="G3835" s="16"/>
      <c r="H3835" s="17">
        <f t="shared" si="59"/>
        <v>0</v>
      </c>
      <c r="I3835" s="15"/>
      <c r="J3835" s="15"/>
    </row>
  </sheetData>
  <autoFilter xmlns:etc="http://www.wps.cn/officeDocument/2017/etCustomData" ref="A1:XFD3835" etc:filterBottomFollowUsedRange="0">
    <filterColumn colId="3">
      <customFilters>
        <customFilter operator="equal" val="XI3030-PA1500M-PAF4F62732-2T_x0002_AM(EMM)"/>
      </customFilters>
    </filterColumn>
    <extLst/>
  </autoFilter>
  <pageMargins left="0.75" right="0.75" top="1" bottom="1" header="0.5" footer="0.5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XFD1249"/>
  <sheetViews>
    <sheetView tabSelected="1" topLeftCell="C1236" workbookViewId="0">
      <selection activeCell="E1251" sqref="E1251"/>
    </sheetView>
  </sheetViews>
  <sheetFormatPr defaultColWidth="8.90909090909091" defaultRowHeight="14.5"/>
  <cols>
    <col min="2" max="2" width="10.6363636363636" customWidth="1"/>
    <col min="3" max="3" width="12" customWidth="1"/>
    <col min="4" max="4" width="51.0909090909091" customWidth="1"/>
    <col min="7" max="7" width="17.8181818181818" style="3" customWidth="1"/>
    <col min="8" max="8" width="8.63636363636364" customWidth="1"/>
    <col min="9" max="9" width="11.4545454545455" customWidth="1"/>
    <col min="10" max="10" width="22" customWidth="1"/>
    <col min="11" max="11" width="17.9090909090909" customWidth="1"/>
  </cols>
  <sheetData>
    <row r="1" s="1" customFormat="1" ht="43.5" spans="1:11 16384:16384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5" t="s">
        <v>6</v>
      </c>
      <c r="I1" s="5" t="s">
        <v>7</v>
      </c>
      <c r="J1" s="7" t="s">
        <v>221</v>
      </c>
      <c r="XFD1" s="1">
        <f>SUBTOTAL(9,A1:XFC1)</f>
        <v>0</v>
      </c>
    </row>
    <row r="2" s="1" customFormat="1" spans="1:11 16384:16384">
      <c r="A2" t="s">
        <v>319</v>
      </c>
      <c r="B2" s="8">
        <v>252603603</v>
      </c>
      <c r="C2" s="9">
        <v>46024</v>
      </c>
      <c r="D2" s="8" t="s">
        <v>58</v>
      </c>
      <c r="E2" s="10">
        <v>200000</v>
      </c>
      <c r="F2" s="8">
        <v>0.014</v>
      </c>
      <c r="G2" s="11">
        <v>46147</v>
      </c>
      <c r="H2" s="12">
        <f t="shared" ref="H2:H8" si="0">E2*F2</f>
        <v>2800</v>
      </c>
      <c r="I2" s="10" t="s">
        <v>10</v>
      </c>
      <c r="J2" s="13">
        <v>46119</v>
      </c>
      <c r="K2" t="s">
        <v>467</v>
      </c>
    </row>
    <row r="3" s="1" customFormat="1" spans="1:11 16384:16384">
      <c r="A3" t="s">
        <v>319</v>
      </c>
      <c r="B3" s="8">
        <v>252603603</v>
      </c>
      <c r="C3" s="9">
        <v>46024</v>
      </c>
      <c r="D3" s="8" t="s">
        <v>58</v>
      </c>
      <c r="E3" s="10">
        <v>100000</v>
      </c>
      <c r="F3" s="8">
        <v>0.014</v>
      </c>
      <c r="G3" s="11">
        <v>46147</v>
      </c>
      <c r="H3" s="12">
        <f t="shared" si="0"/>
        <v>1400</v>
      </c>
      <c r="I3" s="10" t="s">
        <v>10</v>
      </c>
      <c r="J3" s="13">
        <v>46119</v>
      </c>
      <c r="K3" t="s">
        <v>467</v>
      </c>
    </row>
    <row r="4" s="1" customFormat="1" spans="1:11 16384:16384">
      <c r="A4" t="s">
        <v>319</v>
      </c>
      <c r="B4" s="8">
        <v>252603603</v>
      </c>
      <c r="C4" s="9">
        <v>46024</v>
      </c>
      <c r="D4" s="8" t="s">
        <v>31</v>
      </c>
      <c r="E4" s="10">
        <v>200000</v>
      </c>
      <c r="F4" s="8">
        <v>0.024</v>
      </c>
      <c r="G4" s="11">
        <v>46147</v>
      </c>
      <c r="H4" s="12">
        <f t="shared" si="0"/>
        <v>4800</v>
      </c>
      <c r="I4" s="10" t="s">
        <v>10</v>
      </c>
      <c r="J4" s="13">
        <v>46119</v>
      </c>
      <c r="K4" t="s">
        <v>467</v>
      </c>
    </row>
    <row r="5" s="1" customFormat="1" spans="1:11 16384:16384">
      <c r="A5" t="s">
        <v>319</v>
      </c>
      <c r="B5" s="8">
        <v>252603603</v>
      </c>
      <c r="C5" s="9">
        <v>46024</v>
      </c>
      <c r="D5" s="8" t="s">
        <v>32</v>
      </c>
      <c r="E5" s="10">
        <v>150000</v>
      </c>
      <c r="F5" s="8">
        <v>0.014</v>
      </c>
      <c r="G5" s="11">
        <v>46147</v>
      </c>
      <c r="H5" s="12">
        <f t="shared" si="0"/>
        <v>2100</v>
      </c>
      <c r="I5" s="10" t="s">
        <v>10</v>
      </c>
      <c r="J5" s="13">
        <v>46119</v>
      </c>
      <c r="K5" t="s">
        <v>467</v>
      </c>
    </row>
    <row r="6" s="1" customFormat="1" spans="1:11 16384:16384">
      <c r="A6" t="s">
        <v>319</v>
      </c>
      <c r="B6" s="8">
        <v>252603603</v>
      </c>
      <c r="C6" s="9">
        <v>46024</v>
      </c>
      <c r="D6" s="8" t="s">
        <v>29</v>
      </c>
      <c r="E6" s="10">
        <v>100000</v>
      </c>
      <c r="F6" s="8">
        <v>0.0216</v>
      </c>
      <c r="G6" s="11">
        <v>46147</v>
      </c>
      <c r="H6" s="12">
        <f t="shared" si="0"/>
        <v>2160</v>
      </c>
      <c r="I6" s="10" t="s">
        <v>10</v>
      </c>
      <c r="J6" s="13">
        <v>46119</v>
      </c>
      <c r="K6" t="s">
        <v>467</v>
      </c>
    </row>
    <row r="7" s="1" customFormat="1" spans="1:11 16384:16384">
      <c r="A7" t="s">
        <v>319</v>
      </c>
      <c r="B7" s="8">
        <v>252603615</v>
      </c>
      <c r="C7" s="9">
        <v>46027</v>
      </c>
      <c r="D7" s="8" t="s">
        <v>629</v>
      </c>
      <c r="E7" s="10">
        <v>70000</v>
      </c>
      <c r="F7" s="8">
        <v>0.03</v>
      </c>
      <c r="G7" s="11">
        <v>46047</v>
      </c>
      <c r="H7" s="12">
        <f t="shared" si="0"/>
        <v>2100</v>
      </c>
      <c r="I7" s="10" t="s">
        <v>10</v>
      </c>
      <c r="J7" s="13">
        <v>46031</v>
      </c>
      <c r="K7" t="s">
        <v>491</v>
      </c>
    </row>
    <row r="8" s="1" customFormat="1" spans="1:11 16384:16384">
      <c r="A8" t="s">
        <v>319</v>
      </c>
      <c r="B8" s="8">
        <v>252603615</v>
      </c>
      <c r="C8" s="9">
        <v>46027</v>
      </c>
      <c r="D8" s="8" t="s">
        <v>629</v>
      </c>
      <c r="E8" s="10">
        <v>70000</v>
      </c>
      <c r="F8" s="8">
        <v>0.03</v>
      </c>
      <c r="G8" s="11">
        <v>46058</v>
      </c>
      <c r="H8" s="12">
        <f t="shared" si="0"/>
        <v>2100</v>
      </c>
      <c r="I8" s="10" t="s">
        <v>10</v>
      </c>
      <c r="J8" s="13">
        <v>46031</v>
      </c>
      <c r="K8" t="s">
        <v>491</v>
      </c>
    </row>
    <row r="9" spans="1:11 16384:16384">
      <c r="A9" t="s">
        <v>319</v>
      </c>
      <c r="B9" s="14">
        <v>252603627</v>
      </c>
      <c r="C9" s="13">
        <v>46027</v>
      </c>
      <c r="D9" s="14" t="s">
        <v>630</v>
      </c>
      <c r="E9" s="15">
        <v>2000</v>
      </c>
      <c r="F9" s="14">
        <v>0.037</v>
      </c>
      <c r="G9" s="16">
        <v>46027</v>
      </c>
      <c r="H9" s="17">
        <f t="shared" ref="H9:H72" si="1">E9*F9</f>
        <v>74</v>
      </c>
      <c r="I9" s="15" t="s">
        <v>51</v>
      </c>
      <c r="J9" s="15"/>
      <c r="K9" t="s">
        <v>486</v>
      </c>
    </row>
    <row r="10" spans="1:11 16384:16384">
      <c r="A10" t="s">
        <v>319</v>
      </c>
      <c r="B10" s="14">
        <v>252603627</v>
      </c>
      <c r="C10" s="13">
        <v>46027</v>
      </c>
      <c r="D10" s="14" t="s">
        <v>630</v>
      </c>
      <c r="E10" s="15">
        <v>2000</v>
      </c>
      <c r="F10" s="14">
        <v>0.037</v>
      </c>
      <c r="G10" s="16">
        <v>46208</v>
      </c>
      <c r="H10" s="17">
        <f t="shared" si="1"/>
        <v>74</v>
      </c>
      <c r="I10" s="15" t="s">
        <v>51</v>
      </c>
      <c r="J10" s="15"/>
      <c r="K10" t="s">
        <v>486</v>
      </c>
    </row>
    <row r="11" spans="1:11 16384:16384">
      <c r="A11" t="s">
        <v>319</v>
      </c>
      <c r="B11" s="14">
        <v>252603627</v>
      </c>
      <c r="C11" s="13">
        <v>46027</v>
      </c>
      <c r="D11" s="14" t="s">
        <v>479</v>
      </c>
      <c r="E11" s="15">
        <v>2000</v>
      </c>
      <c r="F11" s="14">
        <v>0.035</v>
      </c>
      <c r="G11" s="16">
        <v>46027</v>
      </c>
      <c r="H11" s="17">
        <f t="shared" si="1"/>
        <v>70</v>
      </c>
      <c r="I11" s="15" t="s">
        <v>51</v>
      </c>
      <c r="J11" s="15"/>
      <c r="K11" t="s">
        <v>486</v>
      </c>
    </row>
    <row r="12" spans="1:11 16384:16384">
      <c r="A12" t="s">
        <v>319</v>
      </c>
      <c r="B12" s="14">
        <v>252603627</v>
      </c>
      <c r="C12" s="13">
        <v>46027</v>
      </c>
      <c r="D12" s="14" t="s">
        <v>479</v>
      </c>
      <c r="E12" s="15">
        <v>2000</v>
      </c>
      <c r="F12" s="14">
        <v>0.035</v>
      </c>
      <c r="G12" s="16">
        <v>46208</v>
      </c>
      <c r="H12" s="17">
        <f t="shared" si="1"/>
        <v>70</v>
      </c>
      <c r="I12" s="15" t="s">
        <v>51</v>
      </c>
      <c r="J12" s="15"/>
      <c r="K12" t="s">
        <v>486</v>
      </c>
    </row>
    <row r="13" spans="1:11 16384:16384">
      <c r="A13" t="s">
        <v>319</v>
      </c>
      <c r="B13" s="8">
        <v>252603711</v>
      </c>
      <c r="C13" s="9">
        <v>46034</v>
      </c>
      <c r="D13" s="8" t="s">
        <v>631</v>
      </c>
      <c r="E13" s="10">
        <v>600000</v>
      </c>
      <c r="F13" s="8">
        <v>0.04</v>
      </c>
      <c r="G13" s="11">
        <v>46045</v>
      </c>
      <c r="H13" s="12">
        <f t="shared" si="1"/>
        <v>24000</v>
      </c>
      <c r="I13" s="10" t="s">
        <v>10</v>
      </c>
      <c r="J13" s="13">
        <v>46057</v>
      </c>
    </row>
    <row r="14" spans="1:11 16384:16384">
      <c r="A14" t="s">
        <v>319</v>
      </c>
      <c r="B14" s="8">
        <v>252603714</v>
      </c>
      <c r="C14" s="9">
        <v>46034</v>
      </c>
      <c r="D14" s="8" t="s">
        <v>577</v>
      </c>
      <c r="E14" s="10">
        <v>28000</v>
      </c>
      <c r="F14" s="8">
        <v>0.055</v>
      </c>
      <c r="G14" s="11">
        <v>46086</v>
      </c>
      <c r="H14" s="12">
        <f t="shared" si="1"/>
        <v>1540</v>
      </c>
      <c r="I14" s="10" t="s">
        <v>10</v>
      </c>
      <c r="J14" s="13">
        <v>46037</v>
      </c>
      <c r="K14" t="s">
        <v>615</v>
      </c>
    </row>
    <row r="15" spans="1:11 16384:16384">
      <c r="A15" t="s">
        <v>319</v>
      </c>
      <c r="B15" s="8">
        <v>252603714</v>
      </c>
      <c r="C15" s="9">
        <v>46034</v>
      </c>
      <c r="D15" s="8" t="s">
        <v>577</v>
      </c>
      <c r="E15" s="10">
        <v>28000</v>
      </c>
      <c r="F15" s="8">
        <v>0.055</v>
      </c>
      <c r="G15" s="11">
        <v>46117</v>
      </c>
      <c r="H15" s="12">
        <f t="shared" si="1"/>
        <v>1540</v>
      </c>
      <c r="I15" s="10" t="s">
        <v>10</v>
      </c>
      <c r="J15" s="13">
        <v>46037</v>
      </c>
      <c r="K15" t="s">
        <v>615</v>
      </c>
    </row>
    <row r="16" spans="1:11 16384:16384">
      <c r="A16" t="s">
        <v>319</v>
      </c>
      <c r="B16" s="8">
        <v>252603719</v>
      </c>
      <c r="C16" s="9">
        <v>46031</v>
      </c>
      <c r="D16" s="8" t="s">
        <v>569</v>
      </c>
      <c r="E16" s="10">
        <v>50000</v>
      </c>
      <c r="F16" s="8">
        <v>0.035</v>
      </c>
      <c r="G16" s="11">
        <v>46044</v>
      </c>
      <c r="H16" s="12">
        <f t="shared" si="1"/>
        <v>1750</v>
      </c>
      <c r="I16" s="10" t="s">
        <v>10</v>
      </c>
      <c r="J16" s="13">
        <v>46035</v>
      </c>
    </row>
    <row r="17" spans="1:11">
      <c r="A17" t="s">
        <v>319</v>
      </c>
      <c r="B17" s="8">
        <v>252603719</v>
      </c>
      <c r="C17" s="9">
        <v>46031</v>
      </c>
      <c r="D17" s="8" t="s">
        <v>569</v>
      </c>
      <c r="E17" s="10">
        <v>50000</v>
      </c>
      <c r="F17" s="8">
        <v>0.035</v>
      </c>
      <c r="G17" s="11">
        <v>46058</v>
      </c>
      <c r="H17" s="12">
        <f t="shared" si="1"/>
        <v>1750</v>
      </c>
      <c r="I17" s="10" t="s">
        <v>10</v>
      </c>
      <c r="J17" s="13">
        <v>46035</v>
      </c>
    </row>
    <row r="18" spans="1:11">
      <c r="A18" t="s">
        <v>319</v>
      </c>
      <c r="B18" s="8">
        <v>252603761</v>
      </c>
      <c r="C18" s="9">
        <v>46037</v>
      </c>
      <c r="D18" s="8" t="s">
        <v>47</v>
      </c>
      <c r="E18" s="10">
        <v>160000</v>
      </c>
      <c r="F18" s="8">
        <v>0.022</v>
      </c>
      <c r="G18" s="11">
        <v>46058</v>
      </c>
      <c r="H18" s="12">
        <f t="shared" si="1"/>
        <v>3520</v>
      </c>
      <c r="I18" s="10" t="s">
        <v>10</v>
      </c>
      <c r="J18" s="13">
        <v>46049</v>
      </c>
      <c r="K18" t="s">
        <v>632</v>
      </c>
    </row>
    <row r="19" spans="1:11">
      <c r="A19" t="s">
        <v>319</v>
      </c>
      <c r="B19" s="8">
        <v>252603761</v>
      </c>
      <c r="C19" s="9">
        <v>46037</v>
      </c>
      <c r="D19" s="8" t="s">
        <v>47</v>
      </c>
      <c r="E19" s="10">
        <v>160000</v>
      </c>
      <c r="F19" s="8">
        <v>0.022</v>
      </c>
      <c r="G19" s="11">
        <v>46058</v>
      </c>
      <c r="H19" s="12">
        <f t="shared" si="1"/>
        <v>3520</v>
      </c>
      <c r="I19" s="10" t="s">
        <v>10</v>
      </c>
      <c r="J19" s="13">
        <v>46049</v>
      </c>
      <c r="K19" t="s">
        <v>632</v>
      </c>
    </row>
    <row r="20" spans="1:11">
      <c r="A20" t="s">
        <v>319</v>
      </c>
      <c r="B20" s="8">
        <v>252603766</v>
      </c>
      <c r="C20" s="9">
        <v>46038</v>
      </c>
      <c r="D20" s="8" t="s">
        <v>47</v>
      </c>
      <c r="E20" s="10">
        <v>200000</v>
      </c>
      <c r="F20" s="8">
        <v>0.022</v>
      </c>
      <c r="G20" s="11">
        <v>46086</v>
      </c>
      <c r="H20" s="12">
        <f t="shared" si="1"/>
        <v>4400</v>
      </c>
      <c r="I20" s="10" t="s">
        <v>10</v>
      </c>
      <c r="J20" s="13">
        <v>46049</v>
      </c>
      <c r="K20" t="s">
        <v>499</v>
      </c>
    </row>
    <row r="21" spans="1:11">
      <c r="A21" t="s">
        <v>319</v>
      </c>
      <c r="B21" s="8">
        <v>252603766</v>
      </c>
      <c r="C21" s="9">
        <v>46038</v>
      </c>
      <c r="D21" s="8" t="s">
        <v>38</v>
      </c>
      <c r="E21" s="10">
        <v>200000</v>
      </c>
      <c r="F21" s="8">
        <v>0.01</v>
      </c>
      <c r="G21" s="11">
        <v>46086</v>
      </c>
      <c r="H21" s="12">
        <f t="shared" si="1"/>
        <v>2000</v>
      </c>
      <c r="I21" s="10" t="s">
        <v>10</v>
      </c>
      <c r="J21" s="13">
        <v>46049</v>
      </c>
      <c r="K21" t="s">
        <v>499</v>
      </c>
    </row>
    <row r="22" spans="1:11">
      <c r="A22" t="s">
        <v>319</v>
      </c>
      <c r="B22" s="8">
        <v>252603767</v>
      </c>
      <c r="C22" s="9">
        <v>46038</v>
      </c>
      <c r="D22" s="8" t="s">
        <v>38</v>
      </c>
      <c r="E22" s="10">
        <v>200000</v>
      </c>
      <c r="F22" s="8">
        <v>0.01</v>
      </c>
      <c r="G22" s="11">
        <v>46147</v>
      </c>
      <c r="H22" s="12">
        <f t="shared" si="1"/>
        <v>2000</v>
      </c>
      <c r="I22" s="10" t="s">
        <v>10</v>
      </c>
      <c r="J22" s="13">
        <v>46108</v>
      </c>
      <c r="K22" t="s">
        <v>536</v>
      </c>
    </row>
    <row r="23" spans="1:11">
      <c r="A23" t="s">
        <v>319</v>
      </c>
      <c r="B23" s="8">
        <v>252603768</v>
      </c>
      <c r="C23" s="9">
        <v>46038</v>
      </c>
      <c r="D23" s="8" t="s">
        <v>47</v>
      </c>
      <c r="E23" s="10">
        <v>200000</v>
      </c>
      <c r="F23" s="8">
        <v>0.022</v>
      </c>
      <c r="G23" s="11">
        <v>46147</v>
      </c>
      <c r="H23" s="12">
        <f t="shared" si="1"/>
        <v>4400</v>
      </c>
      <c r="I23" s="10" t="s">
        <v>10</v>
      </c>
      <c r="J23" s="13">
        <v>46120</v>
      </c>
      <c r="K23" t="s">
        <v>534</v>
      </c>
    </row>
    <row r="24" spans="1:11">
      <c r="A24" t="s">
        <v>319</v>
      </c>
      <c r="B24" s="8">
        <v>252603774</v>
      </c>
      <c r="C24" s="9">
        <v>46037</v>
      </c>
      <c r="D24" s="8" t="s">
        <v>285</v>
      </c>
      <c r="E24" s="10">
        <v>30000</v>
      </c>
      <c r="F24" s="8">
        <v>0.02</v>
      </c>
      <c r="G24" s="11">
        <v>46058</v>
      </c>
      <c r="H24" s="12">
        <f t="shared" si="1"/>
        <v>600</v>
      </c>
      <c r="I24" s="10" t="s">
        <v>10</v>
      </c>
      <c r="J24" s="13">
        <v>46044</v>
      </c>
      <c r="K24" t="s">
        <v>469</v>
      </c>
    </row>
    <row r="25" spans="1:11">
      <c r="A25" t="s">
        <v>319</v>
      </c>
      <c r="B25" s="8">
        <v>252603774</v>
      </c>
      <c r="C25" s="9">
        <v>46037</v>
      </c>
      <c r="D25" s="8" t="s">
        <v>286</v>
      </c>
      <c r="E25" s="10">
        <v>72000</v>
      </c>
      <c r="F25" s="8">
        <v>0.0235</v>
      </c>
      <c r="G25" s="11">
        <v>46058</v>
      </c>
      <c r="H25" s="12">
        <f t="shared" si="1"/>
        <v>1692</v>
      </c>
      <c r="I25" s="10" t="s">
        <v>10</v>
      </c>
      <c r="J25" s="13">
        <v>46044</v>
      </c>
      <c r="K25" t="s">
        <v>469</v>
      </c>
    </row>
    <row r="26" spans="1:11">
      <c r="A26" t="s">
        <v>319</v>
      </c>
      <c r="B26" s="8">
        <v>252603774</v>
      </c>
      <c r="C26" s="9">
        <v>46037</v>
      </c>
      <c r="D26" s="8" t="s">
        <v>465</v>
      </c>
      <c r="E26" s="10">
        <v>60000</v>
      </c>
      <c r="F26" s="8">
        <v>0.018</v>
      </c>
      <c r="G26" s="11">
        <v>46058</v>
      </c>
      <c r="H26" s="12">
        <f t="shared" si="1"/>
        <v>1080</v>
      </c>
      <c r="I26" s="10" t="s">
        <v>10</v>
      </c>
      <c r="J26" s="13">
        <v>46044</v>
      </c>
      <c r="K26" t="s">
        <v>469</v>
      </c>
    </row>
    <row r="27" spans="1:11">
      <c r="A27" t="s">
        <v>319</v>
      </c>
      <c r="B27" s="8">
        <v>252603774</v>
      </c>
      <c r="C27" s="9">
        <v>46037</v>
      </c>
      <c r="D27" s="8" t="s">
        <v>288</v>
      </c>
      <c r="E27" s="10">
        <v>30000</v>
      </c>
      <c r="F27" s="8">
        <v>0.022</v>
      </c>
      <c r="G27" s="11">
        <v>46058</v>
      </c>
      <c r="H27" s="12">
        <f t="shared" si="1"/>
        <v>660</v>
      </c>
      <c r="I27" s="10" t="s">
        <v>10</v>
      </c>
      <c r="J27" s="13">
        <v>46044</v>
      </c>
      <c r="K27" t="s">
        <v>469</v>
      </c>
    </row>
    <row r="28" spans="1:11">
      <c r="A28" t="s">
        <v>319</v>
      </c>
      <c r="B28" s="8">
        <v>252603774</v>
      </c>
      <c r="C28" s="9">
        <v>46037</v>
      </c>
      <c r="D28" s="8" t="s">
        <v>285</v>
      </c>
      <c r="E28" s="10">
        <v>42000</v>
      </c>
      <c r="F28" s="8">
        <v>0.02</v>
      </c>
      <c r="G28" s="11">
        <v>46086</v>
      </c>
      <c r="H28" s="12">
        <f t="shared" si="1"/>
        <v>840</v>
      </c>
      <c r="I28" s="10" t="s">
        <v>10</v>
      </c>
      <c r="J28" s="13">
        <v>46044</v>
      </c>
      <c r="K28" t="s">
        <v>469</v>
      </c>
    </row>
    <row r="29" spans="1:11">
      <c r="A29" t="s">
        <v>319</v>
      </c>
      <c r="B29" s="8">
        <v>252603774</v>
      </c>
      <c r="C29" s="9">
        <v>46037</v>
      </c>
      <c r="D29" s="8" t="s">
        <v>286</v>
      </c>
      <c r="E29" s="10">
        <v>42000</v>
      </c>
      <c r="F29" s="8">
        <v>0.0235</v>
      </c>
      <c r="G29" s="11">
        <v>46086</v>
      </c>
      <c r="H29" s="12">
        <f t="shared" si="1"/>
        <v>987</v>
      </c>
      <c r="I29" s="10" t="s">
        <v>10</v>
      </c>
      <c r="J29" s="13">
        <v>46044</v>
      </c>
      <c r="K29" t="s">
        <v>469</v>
      </c>
    </row>
    <row r="30" spans="1:11">
      <c r="A30" t="s">
        <v>319</v>
      </c>
      <c r="B30" s="8">
        <v>252603774</v>
      </c>
      <c r="C30" s="9">
        <v>46037</v>
      </c>
      <c r="D30" s="8" t="s">
        <v>465</v>
      </c>
      <c r="E30" s="10">
        <v>42000</v>
      </c>
      <c r="F30" s="8">
        <v>0.018</v>
      </c>
      <c r="G30" s="11">
        <v>46086</v>
      </c>
      <c r="H30" s="12">
        <f t="shared" si="1"/>
        <v>756</v>
      </c>
      <c r="I30" s="10" t="s">
        <v>10</v>
      </c>
      <c r="J30" s="13">
        <v>46044</v>
      </c>
      <c r="K30" t="s">
        <v>469</v>
      </c>
    </row>
    <row r="31" spans="1:11">
      <c r="A31" t="s">
        <v>319</v>
      </c>
      <c r="B31" s="8">
        <v>252603774</v>
      </c>
      <c r="C31" s="9">
        <v>46037</v>
      </c>
      <c r="D31" s="8" t="s">
        <v>288</v>
      </c>
      <c r="E31" s="10">
        <v>42000</v>
      </c>
      <c r="F31" s="8">
        <v>0.022</v>
      </c>
      <c r="G31" s="11">
        <v>46086</v>
      </c>
      <c r="H31" s="12">
        <f t="shared" si="1"/>
        <v>924</v>
      </c>
      <c r="I31" s="10" t="s">
        <v>10</v>
      </c>
      <c r="J31" s="13">
        <v>46044</v>
      </c>
      <c r="K31" t="s">
        <v>469</v>
      </c>
    </row>
    <row r="32" spans="1:11">
      <c r="A32" t="s">
        <v>319</v>
      </c>
      <c r="B32" s="8">
        <v>252603775</v>
      </c>
      <c r="C32" s="9">
        <v>46037</v>
      </c>
      <c r="D32" s="8" t="s">
        <v>285</v>
      </c>
      <c r="E32" s="10">
        <v>36000</v>
      </c>
      <c r="F32" s="8">
        <v>0.02</v>
      </c>
      <c r="G32" s="11">
        <v>46117</v>
      </c>
      <c r="H32" s="12">
        <f t="shared" si="1"/>
        <v>720</v>
      </c>
      <c r="I32" s="10" t="s">
        <v>10</v>
      </c>
      <c r="J32" s="13">
        <v>46044</v>
      </c>
      <c r="K32" t="s">
        <v>469</v>
      </c>
    </row>
    <row r="33" spans="1:11">
      <c r="A33" t="s">
        <v>319</v>
      </c>
      <c r="B33" s="8">
        <v>252603775</v>
      </c>
      <c r="C33" s="9">
        <v>46037</v>
      </c>
      <c r="D33" s="8" t="s">
        <v>286</v>
      </c>
      <c r="E33" s="10">
        <v>36000</v>
      </c>
      <c r="F33" s="8">
        <v>0.0235</v>
      </c>
      <c r="G33" s="11">
        <v>46117</v>
      </c>
      <c r="H33" s="12">
        <f t="shared" si="1"/>
        <v>846</v>
      </c>
      <c r="I33" s="10" t="s">
        <v>10</v>
      </c>
      <c r="J33" s="13">
        <v>46044</v>
      </c>
      <c r="K33" t="s">
        <v>469</v>
      </c>
    </row>
    <row r="34" spans="1:11">
      <c r="A34" t="s">
        <v>319</v>
      </c>
      <c r="B34" s="8">
        <v>252603775</v>
      </c>
      <c r="C34" s="9">
        <v>46037</v>
      </c>
      <c r="D34" s="8" t="s">
        <v>465</v>
      </c>
      <c r="E34" s="10">
        <v>36000</v>
      </c>
      <c r="F34" s="8">
        <v>0.018</v>
      </c>
      <c r="G34" s="11">
        <v>46117</v>
      </c>
      <c r="H34" s="12">
        <f t="shared" si="1"/>
        <v>648</v>
      </c>
      <c r="I34" s="10" t="s">
        <v>10</v>
      </c>
      <c r="J34" s="13">
        <v>46044</v>
      </c>
      <c r="K34" t="s">
        <v>469</v>
      </c>
    </row>
    <row r="35" spans="1:11">
      <c r="A35" t="s">
        <v>319</v>
      </c>
      <c r="B35" s="8">
        <v>252603775</v>
      </c>
      <c r="C35" s="9">
        <v>46037</v>
      </c>
      <c r="D35" s="8" t="s">
        <v>288</v>
      </c>
      <c r="E35" s="10">
        <v>42000</v>
      </c>
      <c r="F35" s="8">
        <v>0.022</v>
      </c>
      <c r="G35" s="11">
        <v>46117</v>
      </c>
      <c r="H35" s="12">
        <f t="shared" si="1"/>
        <v>924</v>
      </c>
      <c r="I35" s="10" t="s">
        <v>10</v>
      </c>
      <c r="J35" s="13">
        <v>46044</v>
      </c>
      <c r="K35" t="s">
        <v>469</v>
      </c>
    </row>
    <row r="36" spans="1:11">
      <c r="A36" t="s">
        <v>319</v>
      </c>
      <c r="B36" s="14">
        <v>252603793</v>
      </c>
      <c r="C36" s="13">
        <v>46042</v>
      </c>
      <c r="D36" s="14" t="s">
        <v>633</v>
      </c>
      <c r="E36" s="15">
        <v>4000</v>
      </c>
      <c r="F36" s="14">
        <v>0.035</v>
      </c>
      <c r="G36" s="16">
        <v>46044</v>
      </c>
      <c r="H36" s="17">
        <f t="shared" si="1"/>
        <v>140</v>
      </c>
      <c r="I36" s="15" t="s">
        <v>51</v>
      </c>
      <c r="J36" s="15"/>
      <c r="K36" t="s">
        <v>486</v>
      </c>
    </row>
    <row r="37" spans="1:11">
      <c r="A37" t="s">
        <v>319</v>
      </c>
      <c r="B37" s="14">
        <v>252603814</v>
      </c>
      <c r="C37" s="13">
        <v>46041</v>
      </c>
      <c r="D37" s="14" t="s">
        <v>634</v>
      </c>
      <c r="E37" s="15">
        <v>2000</v>
      </c>
      <c r="F37" s="14">
        <v>0.0435</v>
      </c>
      <c r="G37" s="16">
        <v>46058</v>
      </c>
      <c r="H37" s="17">
        <f t="shared" si="1"/>
        <v>87</v>
      </c>
      <c r="I37" s="15" t="s">
        <v>51</v>
      </c>
      <c r="J37" s="15"/>
      <c r="K37" t="s">
        <v>627</v>
      </c>
    </row>
    <row r="38" spans="1:11">
      <c r="A38" t="s">
        <v>319</v>
      </c>
      <c r="B38" s="8">
        <v>252603837</v>
      </c>
      <c r="C38" s="9">
        <v>46043</v>
      </c>
      <c r="D38" s="8" t="s">
        <v>557</v>
      </c>
      <c r="E38" s="10">
        <v>100000</v>
      </c>
      <c r="F38" s="8">
        <v>0.026</v>
      </c>
      <c r="G38" s="11">
        <v>46058</v>
      </c>
      <c r="H38" s="12">
        <f t="shared" si="1"/>
        <v>2600</v>
      </c>
      <c r="I38" s="10" t="s">
        <v>10</v>
      </c>
      <c r="J38" s="13">
        <v>46045</v>
      </c>
      <c r="K38" t="s">
        <v>377</v>
      </c>
    </row>
    <row r="39" spans="1:11">
      <c r="A39" t="s">
        <v>319</v>
      </c>
      <c r="B39" s="8">
        <v>252603837</v>
      </c>
      <c r="C39" s="9">
        <v>46043</v>
      </c>
      <c r="D39" s="8" t="s">
        <v>162</v>
      </c>
      <c r="E39" s="10">
        <v>150000</v>
      </c>
      <c r="F39" s="8">
        <v>0.05</v>
      </c>
      <c r="G39" s="11">
        <v>46058</v>
      </c>
      <c r="H39" s="12">
        <f t="shared" si="1"/>
        <v>7500</v>
      </c>
      <c r="I39" s="10" t="s">
        <v>10</v>
      </c>
      <c r="J39" s="13">
        <v>46045</v>
      </c>
      <c r="K39" t="s">
        <v>377</v>
      </c>
    </row>
    <row r="40" spans="1:11">
      <c r="A40" t="s">
        <v>319</v>
      </c>
      <c r="B40" s="8">
        <v>252603837</v>
      </c>
      <c r="C40" s="9">
        <v>46043</v>
      </c>
      <c r="D40" s="8" t="s">
        <v>105</v>
      </c>
      <c r="E40" s="10">
        <v>50000</v>
      </c>
      <c r="F40" s="8">
        <v>0.18</v>
      </c>
      <c r="G40" s="11">
        <v>46058</v>
      </c>
      <c r="H40" s="12">
        <f t="shared" si="1"/>
        <v>9000</v>
      </c>
      <c r="I40" s="10" t="s">
        <v>10</v>
      </c>
      <c r="J40" s="13">
        <v>46045</v>
      </c>
      <c r="K40" t="s">
        <v>377</v>
      </c>
    </row>
    <row r="41" spans="1:11">
      <c r="A41" t="s">
        <v>319</v>
      </c>
      <c r="B41" s="8">
        <v>252603837</v>
      </c>
      <c r="C41" s="9">
        <v>46043</v>
      </c>
      <c r="D41" s="8" t="s">
        <v>105</v>
      </c>
      <c r="E41" s="10">
        <v>50000</v>
      </c>
      <c r="F41" s="8">
        <v>0.18</v>
      </c>
      <c r="G41" s="11">
        <v>46086</v>
      </c>
      <c r="H41" s="12">
        <f t="shared" si="1"/>
        <v>9000</v>
      </c>
      <c r="I41" s="10" t="s">
        <v>10</v>
      </c>
      <c r="J41" s="13">
        <v>46045</v>
      </c>
      <c r="K41" t="s">
        <v>377</v>
      </c>
    </row>
    <row r="42" spans="1:11">
      <c r="A42" t="s">
        <v>319</v>
      </c>
      <c r="B42" s="8">
        <v>252603837</v>
      </c>
      <c r="C42" s="9">
        <v>46043</v>
      </c>
      <c r="D42" s="8" t="s">
        <v>502</v>
      </c>
      <c r="E42" s="10">
        <v>100000</v>
      </c>
      <c r="F42" s="8">
        <v>0.1</v>
      </c>
      <c r="G42" s="11">
        <v>46058</v>
      </c>
      <c r="H42" s="12">
        <f t="shared" si="1"/>
        <v>10000</v>
      </c>
      <c r="I42" s="10" t="s">
        <v>10</v>
      </c>
      <c r="J42" s="13">
        <v>46045</v>
      </c>
      <c r="K42" t="s">
        <v>377</v>
      </c>
    </row>
    <row r="43" spans="1:11">
      <c r="A43" t="s">
        <v>319</v>
      </c>
      <c r="B43" s="8">
        <v>252603837</v>
      </c>
      <c r="C43" s="9">
        <v>46043</v>
      </c>
      <c r="D43" s="8" t="s">
        <v>509</v>
      </c>
      <c r="E43" s="10">
        <v>40000</v>
      </c>
      <c r="F43" s="8">
        <v>0.16</v>
      </c>
      <c r="G43" s="11">
        <v>46058</v>
      </c>
      <c r="H43" s="12">
        <f t="shared" si="1"/>
        <v>6400</v>
      </c>
      <c r="I43" s="10" t="s">
        <v>10</v>
      </c>
      <c r="J43" s="13">
        <v>46050</v>
      </c>
      <c r="K43" t="s">
        <v>377</v>
      </c>
    </row>
    <row r="44" spans="1:11">
      <c r="A44" t="s">
        <v>319</v>
      </c>
      <c r="B44" s="8">
        <v>252603837</v>
      </c>
      <c r="C44" s="9">
        <v>46043</v>
      </c>
      <c r="D44" s="8" t="s">
        <v>511</v>
      </c>
      <c r="E44" s="10">
        <v>40000</v>
      </c>
      <c r="F44" s="8">
        <v>0.041</v>
      </c>
      <c r="G44" s="11">
        <v>46058</v>
      </c>
      <c r="H44" s="12">
        <f t="shared" si="1"/>
        <v>1640</v>
      </c>
      <c r="I44" s="10" t="s">
        <v>10</v>
      </c>
      <c r="J44" s="13">
        <v>46045</v>
      </c>
      <c r="K44" t="s">
        <v>377</v>
      </c>
    </row>
    <row r="45" spans="1:11">
      <c r="A45" t="s">
        <v>319</v>
      </c>
      <c r="B45" s="8">
        <v>252603837</v>
      </c>
      <c r="C45" s="9">
        <v>46043</v>
      </c>
      <c r="D45" s="8" t="s">
        <v>38</v>
      </c>
      <c r="E45" s="10">
        <v>60000</v>
      </c>
      <c r="F45" s="8">
        <v>0.01</v>
      </c>
      <c r="G45" s="11">
        <v>46086</v>
      </c>
      <c r="H45" s="12">
        <f t="shared" si="1"/>
        <v>600</v>
      </c>
      <c r="I45" s="10" t="s">
        <v>10</v>
      </c>
      <c r="J45" s="13">
        <v>46045</v>
      </c>
      <c r="K45" t="s">
        <v>377</v>
      </c>
    </row>
    <row r="46" spans="1:11">
      <c r="A46" t="s">
        <v>319</v>
      </c>
      <c r="B46" s="8">
        <v>252603863</v>
      </c>
      <c r="C46" s="9">
        <v>46044</v>
      </c>
      <c r="D46" s="8" t="s">
        <v>38</v>
      </c>
      <c r="E46" s="10">
        <v>20000</v>
      </c>
      <c r="F46" s="8">
        <v>0.01</v>
      </c>
      <c r="G46" s="11">
        <v>46086</v>
      </c>
      <c r="H46" s="12">
        <f t="shared" si="1"/>
        <v>200</v>
      </c>
      <c r="I46" s="10" t="s">
        <v>10</v>
      </c>
      <c r="J46" s="13">
        <v>46056</v>
      </c>
      <c r="K46" t="s">
        <v>369</v>
      </c>
    </row>
    <row r="47" spans="1:11">
      <c r="A47" t="s">
        <v>319</v>
      </c>
      <c r="B47" s="8">
        <v>252603863</v>
      </c>
      <c r="C47" s="9">
        <v>46044</v>
      </c>
      <c r="D47" s="8" t="s">
        <v>38</v>
      </c>
      <c r="E47" s="10">
        <v>20000</v>
      </c>
      <c r="F47" s="8">
        <v>0.01</v>
      </c>
      <c r="G47" s="11">
        <v>46117</v>
      </c>
      <c r="H47" s="12">
        <f t="shared" si="1"/>
        <v>200</v>
      </c>
      <c r="I47" s="10" t="s">
        <v>10</v>
      </c>
      <c r="J47" s="13">
        <v>46056</v>
      </c>
      <c r="K47" t="s">
        <v>369</v>
      </c>
    </row>
    <row r="48" spans="1:11">
      <c r="A48" t="s">
        <v>319</v>
      </c>
      <c r="B48" s="8">
        <v>252603866</v>
      </c>
      <c r="C48" s="9">
        <v>46045</v>
      </c>
      <c r="D48" s="8" t="s">
        <v>30</v>
      </c>
      <c r="E48" s="10">
        <v>70000</v>
      </c>
      <c r="F48" s="8">
        <v>0.022</v>
      </c>
      <c r="G48" s="11">
        <v>46058</v>
      </c>
      <c r="H48" s="12">
        <f t="shared" si="1"/>
        <v>1540</v>
      </c>
      <c r="I48" s="10" t="s">
        <v>10</v>
      </c>
      <c r="J48" s="13">
        <v>46062</v>
      </c>
      <c r="K48" t="s">
        <v>369</v>
      </c>
    </row>
    <row r="49" spans="1:11">
      <c r="A49" t="s">
        <v>319</v>
      </c>
      <c r="B49" s="8">
        <v>252603866</v>
      </c>
      <c r="C49" s="9">
        <v>46045</v>
      </c>
      <c r="D49" s="8" t="s">
        <v>30</v>
      </c>
      <c r="E49" s="10">
        <v>70000</v>
      </c>
      <c r="F49" s="8">
        <v>0.022</v>
      </c>
      <c r="G49" s="11">
        <v>46058</v>
      </c>
      <c r="H49" s="12">
        <f t="shared" si="1"/>
        <v>1540</v>
      </c>
      <c r="I49" s="10" t="s">
        <v>10</v>
      </c>
      <c r="J49" s="13">
        <v>46062</v>
      </c>
      <c r="K49" t="s">
        <v>369</v>
      </c>
    </row>
    <row r="50" spans="1:11">
      <c r="A50" t="s">
        <v>319</v>
      </c>
      <c r="B50" s="8">
        <v>252603872</v>
      </c>
      <c r="C50" s="9">
        <v>46045</v>
      </c>
      <c r="D50" s="8" t="s">
        <v>153</v>
      </c>
      <c r="E50" s="10">
        <v>20000</v>
      </c>
      <c r="F50" s="8">
        <v>0.097</v>
      </c>
      <c r="G50" s="11">
        <v>46058</v>
      </c>
      <c r="H50" s="12">
        <f t="shared" si="1"/>
        <v>1940</v>
      </c>
      <c r="I50" s="10" t="s">
        <v>10</v>
      </c>
      <c r="J50" s="13">
        <v>46050</v>
      </c>
      <c r="K50" t="s">
        <v>337</v>
      </c>
    </row>
    <row r="51" spans="1:11">
      <c r="A51" t="s">
        <v>319</v>
      </c>
      <c r="B51" s="8">
        <v>252603872</v>
      </c>
      <c r="C51" s="9">
        <v>46045</v>
      </c>
      <c r="D51" s="8" t="s">
        <v>153</v>
      </c>
      <c r="E51" s="10">
        <v>20000</v>
      </c>
      <c r="F51" s="8">
        <v>0.097</v>
      </c>
      <c r="G51" s="11">
        <v>46058</v>
      </c>
      <c r="H51" s="12">
        <f t="shared" si="1"/>
        <v>1940</v>
      </c>
      <c r="I51" s="10" t="s">
        <v>10</v>
      </c>
      <c r="J51" s="13">
        <v>46050</v>
      </c>
      <c r="K51" t="s">
        <v>337</v>
      </c>
    </row>
    <row r="52" spans="1:11">
      <c r="A52" t="s">
        <v>319</v>
      </c>
      <c r="B52" s="8">
        <v>252603872</v>
      </c>
      <c r="C52" s="9">
        <v>46045</v>
      </c>
      <c r="D52" s="8" t="s">
        <v>624</v>
      </c>
      <c r="E52" s="10">
        <v>24000</v>
      </c>
      <c r="F52" s="8">
        <v>0.05</v>
      </c>
      <c r="G52" s="11">
        <v>46058</v>
      </c>
      <c r="H52" s="12">
        <f t="shared" si="1"/>
        <v>1200</v>
      </c>
      <c r="I52" s="10" t="s">
        <v>10</v>
      </c>
      <c r="J52" s="13">
        <v>46050</v>
      </c>
      <c r="K52" t="s">
        <v>337</v>
      </c>
    </row>
    <row r="53" spans="1:11">
      <c r="A53" t="s">
        <v>319</v>
      </c>
      <c r="B53" s="8">
        <v>252603885</v>
      </c>
      <c r="C53" s="9">
        <v>46049</v>
      </c>
      <c r="D53" s="8" t="s">
        <v>181</v>
      </c>
      <c r="E53" s="10">
        <v>20000</v>
      </c>
      <c r="F53" s="8">
        <v>0.0243</v>
      </c>
      <c r="G53" s="11">
        <v>46058</v>
      </c>
      <c r="H53" s="12">
        <f t="shared" si="1"/>
        <v>486</v>
      </c>
      <c r="I53" s="10" t="s">
        <v>10</v>
      </c>
      <c r="J53" s="13">
        <v>46050</v>
      </c>
      <c r="K53" t="s">
        <v>493</v>
      </c>
    </row>
    <row r="54" spans="1:11">
      <c r="A54" t="s">
        <v>319</v>
      </c>
      <c r="B54" s="8">
        <v>252603899</v>
      </c>
      <c r="C54" s="9">
        <v>46049</v>
      </c>
      <c r="D54" s="8" t="s">
        <v>35</v>
      </c>
      <c r="E54" s="10">
        <v>60000</v>
      </c>
      <c r="F54" s="8">
        <v>0.05</v>
      </c>
      <c r="G54" s="11">
        <v>46058</v>
      </c>
      <c r="H54" s="12">
        <f t="shared" si="1"/>
        <v>3000</v>
      </c>
      <c r="I54" s="10" t="s">
        <v>10</v>
      </c>
      <c r="J54" s="13">
        <v>46050</v>
      </c>
      <c r="K54" t="s">
        <v>486</v>
      </c>
    </row>
    <row r="55" spans="1:11">
      <c r="A55" t="s">
        <v>319</v>
      </c>
      <c r="B55" s="8">
        <v>252603903</v>
      </c>
      <c r="C55" s="9">
        <v>46045</v>
      </c>
      <c r="D55" s="8" t="s">
        <v>9</v>
      </c>
      <c r="E55" s="10">
        <v>30000</v>
      </c>
      <c r="F55" s="8">
        <v>0.0254</v>
      </c>
      <c r="G55" s="11">
        <v>46086</v>
      </c>
      <c r="H55" s="12">
        <f t="shared" si="1"/>
        <v>762</v>
      </c>
      <c r="I55" s="10" t="s">
        <v>10</v>
      </c>
      <c r="J55" s="13">
        <v>46051</v>
      </c>
      <c r="K55" t="s">
        <v>635</v>
      </c>
    </row>
    <row r="56" spans="1:11">
      <c r="A56" t="s">
        <v>319</v>
      </c>
      <c r="B56" s="8">
        <v>252603903</v>
      </c>
      <c r="C56" s="9">
        <v>46045</v>
      </c>
      <c r="D56" s="8" t="s">
        <v>9</v>
      </c>
      <c r="E56" s="10">
        <v>20000</v>
      </c>
      <c r="F56" s="8">
        <v>0.0254</v>
      </c>
      <c r="G56" s="11">
        <v>46117</v>
      </c>
      <c r="H56" s="12">
        <f t="shared" si="1"/>
        <v>508</v>
      </c>
      <c r="I56" s="10" t="s">
        <v>10</v>
      </c>
      <c r="J56" s="13">
        <v>46051</v>
      </c>
      <c r="K56" t="s">
        <v>635</v>
      </c>
    </row>
    <row r="57" spans="1:11">
      <c r="A57" t="s">
        <v>319</v>
      </c>
      <c r="B57" s="8">
        <v>252603923</v>
      </c>
      <c r="C57" s="9">
        <v>46044</v>
      </c>
      <c r="D57" s="8" t="s">
        <v>46</v>
      </c>
      <c r="E57" s="10">
        <v>68000</v>
      </c>
      <c r="F57" s="8">
        <v>0.02</v>
      </c>
      <c r="G57" s="11">
        <v>46058</v>
      </c>
      <c r="H57" s="12">
        <f t="shared" si="1"/>
        <v>1360</v>
      </c>
      <c r="I57" s="10" t="s">
        <v>10</v>
      </c>
      <c r="J57" s="13">
        <v>46051</v>
      </c>
      <c r="K57" t="s">
        <v>377</v>
      </c>
    </row>
    <row r="58" spans="1:11">
      <c r="A58" t="s">
        <v>319</v>
      </c>
      <c r="B58" s="8">
        <v>252603923</v>
      </c>
      <c r="C58" s="9">
        <v>46044</v>
      </c>
      <c r="D58" s="8" t="s">
        <v>46</v>
      </c>
      <c r="E58" s="10">
        <v>72000</v>
      </c>
      <c r="F58" s="8">
        <v>0.02</v>
      </c>
      <c r="G58" s="11">
        <v>46086</v>
      </c>
      <c r="H58" s="12">
        <f t="shared" si="1"/>
        <v>1440</v>
      </c>
      <c r="I58" s="10" t="s">
        <v>10</v>
      </c>
      <c r="J58" s="13">
        <v>46051</v>
      </c>
      <c r="K58" t="s">
        <v>377</v>
      </c>
    </row>
    <row r="59" spans="1:11">
      <c r="A59" t="s">
        <v>319</v>
      </c>
      <c r="B59" s="8">
        <v>252603929</v>
      </c>
      <c r="C59" s="9">
        <v>46051</v>
      </c>
      <c r="D59" s="8" t="s">
        <v>569</v>
      </c>
      <c r="E59" s="10">
        <v>60000</v>
      </c>
      <c r="F59" s="8">
        <v>0.035</v>
      </c>
      <c r="G59" s="11">
        <v>46058</v>
      </c>
      <c r="H59" s="12">
        <f t="shared" si="1"/>
        <v>2100</v>
      </c>
      <c r="I59" s="10" t="s">
        <v>10</v>
      </c>
      <c r="J59" s="13">
        <v>46057</v>
      </c>
      <c r="K59" t="s">
        <v>378</v>
      </c>
    </row>
    <row r="60" spans="1:11">
      <c r="A60" t="s">
        <v>319</v>
      </c>
      <c r="B60" s="8">
        <v>252603931</v>
      </c>
      <c r="C60" s="9">
        <v>46050</v>
      </c>
      <c r="D60" s="8" t="s">
        <v>242</v>
      </c>
      <c r="E60" s="10">
        <v>40000</v>
      </c>
      <c r="F60" s="8">
        <v>0.043</v>
      </c>
      <c r="G60" s="11">
        <v>46086</v>
      </c>
      <c r="H60" s="12">
        <f t="shared" si="1"/>
        <v>1720</v>
      </c>
      <c r="I60" s="10" t="s">
        <v>10</v>
      </c>
      <c r="J60" s="13">
        <v>46056</v>
      </c>
      <c r="K60" t="s">
        <v>491</v>
      </c>
    </row>
    <row r="61" spans="1:11">
      <c r="A61" t="s">
        <v>319</v>
      </c>
      <c r="B61" s="8">
        <v>252603931</v>
      </c>
      <c r="C61" s="9">
        <v>46050</v>
      </c>
      <c r="D61" s="8" t="s">
        <v>512</v>
      </c>
      <c r="E61" s="10">
        <v>20000</v>
      </c>
      <c r="F61" s="8">
        <v>0.31</v>
      </c>
      <c r="G61" s="11">
        <v>46086</v>
      </c>
      <c r="H61" s="12">
        <f t="shared" si="1"/>
        <v>6200</v>
      </c>
      <c r="I61" s="10" t="s">
        <v>10</v>
      </c>
      <c r="J61" s="13">
        <v>46056</v>
      </c>
      <c r="K61" t="s">
        <v>491</v>
      </c>
    </row>
    <row r="62" spans="1:11">
      <c r="A62" t="s">
        <v>319</v>
      </c>
      <c r="B62" s="8">
        <v>252603959</v>
      </c>
      <c r="C62" s="9">
        <v>46052</v>
      </c>
      <c r="D62" s="8" t="s">
        <v>30</v>
      </c>
      <c r="E62" s="10">
        <v>70000</v>
      </c>
      <c r="F62" s="8">
        <v>0.022</v>
      </c>
      <c r="G62" s="11">
        <v>46058</v>
      </c>
      <c r="H62" s="12">
        <f t="shared" si="1"/>
        <v>1540</v>
      </c>
      <c r="I62" s="10" t="s">
        <v>10</v>
      </c>
      <c r="J62" s="13">
        <v>46062</v>
      </c>
      <c r="K62" t="s">
        <v>365</v>
      </c>
    </row>
    <row r="63" spans="1:11">
      <c r="A63" t="s">
        <v>319</v>
      </c>
      <c r="B63" s="8">
        <v>252603959</v>
      </c>
      <c r="C63" s="9">
        <v>46052</v>
      </c>
      <c r="D63" s="8" t="s">
        <v>30</v>
      </c>
      <c r="E63" s="10">
        <v>70000</v>
      </c>
      <c r="F63" s="8">
        <v>0.022</v>
      </c>
      <c r="G63" s="11">
        <v>46086</v>
      </c>
      <c r="H63" s="12">
        <f t="shared" si="1"/>
        <v>1540</v>
      </c>
      <c r="I63" s="10" t="s">
        <v>10</v>
      </c>
      <c r="J63" s="13">
        <v>46062</v>
      </c>
      <c r="K63" t="s">
        <v>365</v>
      </c>
    </row>
    <row r="64" spans="1:11">
      <c r="A64" t="s">
        <v>319</v>
      </c>
      <c r="B64" s="8">
        <v>252603964</v>
      </c>
      <c r="C64" s="9">
        <v>46051</v>
      </c>
      <c r="D64" s="8" t="s">
        <v>100</v>
      </c>
      <c r="E64" s="10">
        <v>20000</v>
      </c>
      <c r="F64" s="8">
        <v>0.0224</v>
      </c>
      <c r="G64" s="11">
        <v>46117</v>
      </c>
      <c r="H64" s="12">
        <f t="shared" si="1"/>
        <v>448</v>
      </c>
      <c r="I64" s="10" t="s">
        <v>10</v>
      </c>
      <c r="J64" s="13">
        <v>46097</v>
      </c>
      <c r="K64" t="s">
        <v>467</v>
      </c>
    </row>
    <row r="65" spans="1:11">
      <c r="A65" t="s">
        <v>319</v>
      </c>
      <c r="B65" s="8">
        <v>252603964</v>
      </c>
      <c r="C65" s="9">
        <v>46051</v>
      </c>
      <c r="D65" s="8" t="s">
        <v>11</v>
      </c>
      <c r="E65" s="10">
        <v>140000</v>
      </c>
      <c r="F65" s="8">
        <v>0.032</v>
      </c>
      <c r="G65" s="11">
        <v>46147</v>
      </c>
      <c r="H65" s="12">
        <f t="shared" si="1"/>
        <v>4480</v>
      </c>
      <c r="I65" s="10" t="s">
        <v>10</v>
      </c>
      <c r="J65" s="13">
        <v>46097</v>
      </c>
      <c r="K65" t="s">
        <v>467</v>
      </c>
    </row>
    <row r="66" spans="1:11">
      <c r="A66" t="s">
        <v>319</v>
      </c>
      <c r="B66" s="8">
        <v>252603964</v>
      </c>
      <c r="C66" s="9">
        <v>46051</v>
      </c>
      <c r="D66" s="8" t="s">
        <v>31</v>
      </c>
      <c r="E66" s="10">
        <v>200000</v>
      </c>
      <c r="F66" s="8">
        <v>0.024</v>
      </c>
      <c r="G66" s="11">
        <v>46147</v>
      </c>
      <c r="H66" s="12">
        <f t="shared" si="1"/>
        <v>4800</v>
      </c>
      <c r="I66" s="10" t="s">
        <v>10</v>
      </c>
      <c r="J66" s="13">
        <v>46097</v>
      </c>
      <c r="K66" t="s">
        <v>467</v>
      </c>
    </row>
    <row r="67" spans="1:11">
      <c r="A67" t="s">
        <v>319</v>
      </c>
      <c r="B67" s="8">
        <v>252603964</v>
      </c>
      <c r="C67" s="9">
        <v>46051</v>
      </c>
      <c r="D67" s="8" t="s">
        <v>31</v>
      </c>
      <c r="E67" s="10">
        <v>200000</v>
      </c>
      <c r="F67" s="8">
        <v>0.024</v>
      </c>
      <c r="G67" s="11">
        <v>46147</v>
      </c>
      <c r="H67" s="12">
        <f t="shared" si="1"/>
        <v>4800</v>
      </c>
      <c r="I67" s="10" t="s">
        <v>10</v>
      </c>
      <c r="J67" s="13">
        <v>46097</v>
      </c>
      <c r="K67" t="s">
        <v>467</v>
      </c>
    </row>
    <row r="68" spans="1:11">
      <c r="A68" t="s">
        <v>319</v>
      </c>
      <c r="B68" s="8">
        <v>252603964</v>
      </c>
      <c r="C68" s="9">
        <v>46051</v>
      </c>
      <c r="D68" s="8" t="s">
        <v>31</v>
      </c>
      <c r="E68" s="10">
        <v>200000</v>
      </c>
      <c r="F68" s="8">
        <v>0.024</v>
      </c>
      <c r="G68" s="11">
        <v>46147</v>
      </c>
      <c r="H68" s="12">
        <f t="shared" si="1"/>
        <v>4800</v>
      </c>
      <c r="I68" s="10" t="s">
        <v>10</v>
      </c>
      <c r="J68" s="13">
        <v>46097</v>
      </c>
      <c r="K68" t="s">
        <v>467</v>
      </c>
    </row>
    <row r="69" spans="1:11">
      <c r="A69" t="s">
        <v>319</v>
      </c>
      <c r="B69" s="8">
        <v>252603964</v>
      </c>
      <c r="C69" s="9">
        <v>46051</v>
      </c>
      <c r="D69" s="8" t="s">
        <v>31</v>
      </c>
      <c r="E69" s="10">
        <v>200000</v>
      </c>
      <c r="F69" s="8">
        <v>0.024</v>
      </c>
      <c r="G69" s="11">
        <v>46147</v>
      </c>
      <c r="H69" s="12">
        <f t="shared" si="1"/>
        <v>4800</v>
      </c>
      <c r="I69" s="10" t="s">
        <v>10</v>
      </c>
      <c r="J69" s="13">
        <v>46097</v>
      </c>
      <c r="K69" t="s">
        <v>467</v>
      </c>
    </row>
    <row r="70" spans="1:11">
      <c r="A70" t="s">
        <v>319</v>
      </c>
      <c r="B70" s="8">
        <v>252603964</v>
      </c>
      <c r="C70" s="9">
        <v>46051</v>
      </c>
      <c r="D70" s="8" t="s">
        <v>32</v>
      </c>
      <c r="E70" s="10">
        <v>200000</v>
      </c>
      <c r="F70" s="8">
        <v>0.014</v>
      </c>
      <c r="G70" s="11">
        <v>46147</v>
      </c>
      <c r="H70" s="12">
        <f t="shared" si="1"/>
        <v>2800</v>
      </c>
      <c r="I70" s="10" t="s">
        <v>10</v>
      </c>
      <c r="J70" s="13">
        <v>46097</v>
      </c>
      <c r="K70" t="s">
        <v>467</v>
      </c>
    </row>
    <row r="71" spans="1:11">
      <c r="A71" t="s">
        <v>319</v>
      </c>
      <c r="B71" s="8">
        <v>252603964</v>
      </c>
      <c r="C71" s="9">
        <v>46051</v>
      </c>
      <c r="D71" s="8" t="s">
        <v>32</v>
      </c>
      <c r="E71" s="10">
        <v>200000</v>
      </c>
      <c r="F71" s="8">
        <v>0.014</v>
      </c>
      <c r="G71" s="11">
        <v>46147</v>
      </c>
      <c r="H71" s="12">
        <f t="shared" si="1"/>
        <v>2800</v>
      </c>
      <c r="I71" s="10" t="s">
        <v>10</v>
      </c>
      <c r="J71" s="13">
        <v>46097</v>
      </c>
      <c r="K71" t="s">
        <v>467</v>
      </c>
    </row>
    <row r="72" spans="1:11">
      <c r="A72" t="s">
        <v>319</v>
      </c>
      <c r="B72" s="8">
        <v>252603964</v>
      </c>
      <c r="C72" s="9">
        <v>46051</v>
      </c>
      <c r="D72" s="8" t="s">
        <v>32</v>
      </c>
      <c r="E72" s="10">
        <v>200000</v>
      </c>
      <c r="F72" s="8">
        <v>0.014</v>
      </c>
      <c r="G72" s="11">
        <v>46147</v>
      </c>
      <c r="H72" s="12">
        <f t="shared" si="1"/>
        <v>2800</v>
      </c>
      <c r="I72" s="10" t="s">
        <v>10</v>
      </c>
      <c r="J72" s="13">
        <v>46097</v>
      </c>
      <c r="K72" t="s">
        <v>467</v>
      </c>
    </row>
    <row r="73" spans="1:11">
      <c r="A73" t="s">
        <v>319</v>
      </c>
      <c r="B73" s="8">
        <v>252603964</v>
      </c>
      <c r="C73" s="9">
        <v>46051</v>
      </c>
      <c r="D73" s="8" t="s">
        <v>32</v>
      </c>
      <c r="E73" s="10">
        <v>120000</v>
      </c>
      <c r="F73" s="8">
        <v>0.014</v>
      </c>
      <c r="G73" s="11">
        <v>46147</v>
      </c>
      <c r="H73" s="12">
        <f t="shared" ref="H73:H136" si="2">E73*F73</f>
        <v>1680</v>
      </c>
      <c r="I73" s="10" t="s">
        <v>10</v>
      </c>
      <c r="J73" s="13">
        <v>46097</v>
      </c>
      <c r="K73" t="s">
        <v>467</v>
      </c>
    </row>
    <row r="74" spans="1:11">
      <c r="A74" t="s">
        <v>319</v>
      </c>
      <c r="B74" s="8">
        <v>252603964</v>
      </c>
      <c r="C74" s="9">
        <v>46051</v>
      </c>
      <c r="D74" s="8" t="s">
        <v>29</v>
      </c>
      <c r="E74" s="10">
        <v>200000</v>
      </c>
      <c r="F74" s="8">
        <v>0.0216</v>
      </c>
      <c r="G74" s="11">
        <v>46117</v>
      </c>
      <c r="H74" s="12">
        <f t="shared" si="2"/>
        <v>4320</v>
      </c>
      <c r="I74" s="10" t="s">
        <v>10</v>
      </c>
      <c r="J74" s="13">
        <v>46097</v>
      </c>
      <c r="K74" t="s">
        <v>467</v>
      </c>
    </row>
    <row r="75" spans="1:11">
      <c r="A75" t="s">
        <v>319</v>
      </c>
      <c r="B75" s="8">
        <v>252603964</v>
      </c>
      <c r="C75" s="9">
        <v>46051</v>
      </c>
      <c r="D75" s="8" t="s">
        <v>29</v>
      </c>
      <c r="E75" s="10">
        <v>200000</v>
      </c>
      <c r="F75" s="8">
        <v>0.0216</v>
      </c>
      <c r="G75" s="11">
        <v>46117</v>
      </c>
      <c r="H75" s="12">
        <f t="shared" si="2"/>
        <v>4320</v>
      </c>
      <c r="I75" s="10" t="s">
        <v>10</v>
      </c>
      <c r="J75" s="13">
        <v>46097</v>
      </c>
      <c r="K75" t="s">
        <v>467</v>
      </c>
    </row>
    <row r="76" spans="1:11">
      <c r="A76" t="s">
        <v>319</v>
      </c>
      <c r="B76" s="8">
        <v>252603964</v>
      </c>
      <c r="C76" s="9">
        <v>46051</v>
      </c>
      <c r="D76" s="8" t="s">
        <v>29</v>
      </c>
      <c r="E76" s="10">
        <v>200000</v>
      </c>
      <c r="F76" s="8">
        <v>0.0216</v>
      </c>
      <c r="G76" s="11">
        <v>46117</v>
      </c>
      <c r="H76" s="12">
        <f t="shared" si="2"/>
        <v>4320</v>
      </c>
      <c r="I76" s="10" t="s">
        <v>10</v>
      </c>
      <c r="J76" s="13">
        <v>46097</v>
      </c>
      <c r="K76" t="s">
        <v>467</v>
      </c>
    </row>
    <row r="77" spans="1:11">
      <c r="A77" t="s">
        <v>319</v>
      </c>
      <c r="B77" s="8">
        <v>252603964</v>
      </c>
      <c r="C77" s="9">
        <v>46051</v>
      </c>
      <c r="D77" s="8" t="s">
        <v>29</v>
      </c>
      <c r="E77" s="10">
        <v>200000</v>
      </c>
      <c r="F77" s="8">
        <v>0.0216</v>
      </c>
      <c r="G77" s="11">
        <v>46117</v>
      </c>
      <c r="H77" s="12">
        <f t="shared" si="2"/>
        <v>4320</v>
      </c>
      <c r="I77" s="10" t="s">
        <v>10</v>
      </c>
      <c r="J77" s="13">
        <v>46097</v>
      </c>
      <c r="K77" t="s">
        <v>467</v>
      </c>
    </row>
    <row r="78" spans="1:11">
      <c r="A78" t="s">
        <v>319</v>
      </c>
      <c r="B78" s="8">
        <v>252603964</v>
      </c>
      <c r="C78" s="9">
        <v>46051</v>
      </c>
      <c r="D78" s="8" t="s">
        <v>29</v>
      </c>
      <c r="E78" s="10">
        <v>200000</v>
      </c>
      <c r="F78" s="8">
        <v>0.0216</v>
      </c>
      <c r="G78" s="11">
        <v>46117</v>
      </c>
      <c r="H78" s="12">
        <f t="shared" si="2"/>
        <v>4320</v>
      </c>
      <c r="I78" s="10" t="s">
        <v>10</v>
      </c>
      <c r="J78" s="13">
        <v>46097</v>
      </c>
      <c r="K78" t="s">
        <v>467</v>
      </c>
    </row>
    <row r="79" spans="1:11">
      <c r="A79" t="s">
        <v>319</v>
      </c>
      <c r="B79" s="8">
        <v>252603965</v>
      </c>
      <c r="C79" s="9">
        <v>46051</v>
      </c>
      <c r="D79" s="8" t="s">
        <v>29</v>
      </c>
      <c r="E79" s="10">
        <v>200000</v>
      </c>
      <c r="F79" s="8">
        <v>0.0216</v>
      </c>
      <c r="G79" s="11">
        <v>46117</v>
      </c>
      <c r="H79" s="12">
        <f t="shared" si="2"/>
        <v>4320</v>
      </c>
      <c r="I79" s="10" t="s">
        <v>10</v>
      </c>
      <c r="J79" s="13">
        <v>46094</v>
      </c>
      <c r="K79" t="s">
        <v>467</v>
      </c>
    </row>
    <row r="80" spans="1:11">
      <c r="A80" t="s">
        <v>319</v>
      </c>
      <c r="B80" s="8">
        <v>252603965</v>
      </c>
      <c r="C80" s="9">
        <v>46051</v>
      </c>
      <c r="D80" s="8" t="s">
        <v>29</v>
      </c>
      <c r="E80" s="10">
        <v>200000</v>
      </c>
      <c r="F80" s="8">
        <v>0.0216</v>
      </c>
      <c r="G80" s="11">
        <v>46117</v>
      </c>
      <c r="H80" s="12">
        <f t="shared" si="2"/>
        <v>4320</v>
      </c>
      <c r="I80" s="10" t="s">
        <v>10</v>
      </c>
      <c r="J80" s="13">
        <v>46094</v>
      </c>
      <c r="K80" t="s">
        <v>467</v>
      </c>
    </row>
    <row r="81" spans="1:11">
      <c r="A81" t="s">
        <v>319</v>
      </c>
      <c r="B81" s="8">
        <v>252603965</v>
      </c>
      <c r="C81" s="9">
        <v>46051</v>
      </c>
      <c r="D81" s="8" t="s">
        <v>29</v>
      </c>
      <c r="E81" s="10">
        <v>200000</v>
      </c>
      <c r="F81" s="8">
        <v>0.0216</v>
      </c>
      <c r="G81" s="11">
        <v>46117</v>
      </c>
      <c r="H81" s="12">
        <f t="shared" si="2"/>
        <v>4320</v>
      </c>
      <c r="I81" s="10" t="s">
        <v>10</v>
      </c>
      <c r="J81" s="13">
        <v>46094</v>
      </c>
      <c r="K81" t="s">
        <v>467</v>
      </c>
    </row>
    <row r="82" spans="1:11">
      <c r="A82" t="s">
        <v>319</v>
      </c>
      <c r="B82" s="8">
        <v>252603965</v>
      </c>
      <c r="C82" s="9">
        <v>46051</v>
      </c>
      <c r="D82" s="8" t="s">
        <v>29</v>
      </c>
      <c r="E82" s="10">
        <v>200000</v>
      </c>
      <c r="F82" s="8">
        <v>0.0216</v>
      </c>
      <c r="G82" s="11">
        <v>46117</v>
      </c>
      <c r="H82" s="12">
        <f t="shared" si="2"/>
        <v>4320</v>
      </c>
      <c r="I82" s="10" t="s">
        <v>10</v>
      </c>
      <c r="J82" s="13">
        <v>46094</v>
      </c>
      <c r="K82" t="s">
        <v>467</v>
      </c>
    </row>
    <row r="83" spans="1:11">
      <c r="A83" t="s">
        <v>319</v>
      </c>
      <c r="B83" s="8">
        <v>252603965</v>
      </c>
      <c r="C83" s="9">
        <v>46051</v>
      </c>
      <c r="D83" s="8" t="s">
        <v>29</v>
      </c>
      <c r="E83" s="10">
        <v>200000</v>
      </c>
      <c r="F83" s="8">
        <v>0.0216</v>
      </c>
      <c r="G83" s="11">
        <v>46117</v>
      </c>
      <c r="H83" s="12">
        <f t="shared" si="2"/>
        <v>4320</v>
      </c>
      <c r="I83" s="10" t="s">
        <v>10</v>
      </c>
      <c r="J83" s="13">
        <v>46094</v>
      </c>
      <c r="K83" t="s">
        <v>467</v>
      </c>
    </row>
    <row r="84" spans="1:11">
      <c r="A84" t="s">
        <v>319</v>
      </c>
      <c r="B84" s="8">
        <v>252603965</v>
      </c>
      <c r="C84" s="9">
        <v>46051</v>
      </c>
      <c r="D84" s="8" t="s">
        <v>29</v>
      </c>
      <c r="E84" s="10">
        <v>200000</v>
      </c>
      <c r="F84" s="8">
        <v>0.0216</v>
      </c>
      <c r="G84" s="11">
        <v>46117</v>
      </c>
      <c r="H84" s="12">
        <f t="shared" si="2"/>
        <v>4320</v>
      </c>
      <c r="I84" s="10" t="s">
        <v>10</v>
      </c>
      <c r="J84" s="13">
        <v>46094</v>
      </c>
      <c r="K84" t="s">
        <v>467</v>
      </c>
    </row>
    <row r="85" spans="1:11">
      <c r="A85" t="s">
        <v>319</v>
      </c>
      <c r="B85" s="8">
        <v>252603965</v>
      </c>
      <c r="C85" s="9">
        <v>46051</v>
      </c>
      <c r="D85" s="8" t="s">
        <v>29</v>
      </c>
      <c r="E85" s="10">
        <v>200000</v>
      </c>
      <c r="F85" s="8">
        <v>0.0216</v>
      </c>
      <c r="G85" s="11">
        <v>46117</v>
      </c>
      <c r="H85" s="12">
        <f t="shared" si="2"/>
        <v>4320</v>
      </c>
      <c r="I85" s="10" t="s">
        <v>10</v>
      </c>
      <c r="J85" s="13">
        <v>46094</v>
      </c>
      <c r="K85" t="s">
        <v>467</v>
      </c>
    </row>
    <row r="86" spans="1:11">
      <c r="A86" t="s">
        <v>319</v>
      </c>
      <c r="B86" s="8">
        <v>252603965</v>
      </c>
      <c r="C86" s="9">
        <v>46051</v>
      </c>
      <c r="D86" s="8" t="s">
        <v>29</v>
      </c>
      <c r="E86" s="10">
        <v>100000</v>
      </c>
      <c r="F86" s="8">
        <v>0.0216</v>
      </c>
      <c r="G86" s="11">
        <v>46117</v>
      </c>
      <c r="H86" s="12">
        <f t="shared" si="2"/>
        <v>2160</v>
      </c>
      <c r="I86" s="10" t="s">
        <v>10</v>
      </c>
      <c r="J86" s="13">
        <v>46094</v>
      </c>
      <c r="K86" t="s">
        <v>467</v>
      </c>
    </row>
    <row r="87" spans="1:11">
      <c r="A87" t="s">
        <v>319</v>
      </c>
      <c r="B87" s="8">
        <v>252603965</v>
      </c>
      <c r="C87" s="9">
        <v>46051</v>
      </c>
      <c r="D87" s="8" t="s">
        <v>29</v>
      </c>
      <c r="E87" s="10">
        <v>200000</v>
      </c>
      <c r="F87" s="8">
        <v>0.0216</v>
      </c>
      <c r="G87" s="11">
        <v>46147</v>
      </c>
      <c r="H87" s="12">
        <f t="shared" si="2"/>
        <v>4320</v>
      </c>
      <c r="I87" s="10" t="s">
        <v>10</v>
      </c>
      <c r="J87" s="13">
        <v>46094</v>
      </c>
      <c r="K87" t="s">
        <v>467</v>
      </c>
    </row>
    <row r="88" spans="1:11">
      <c r="A88" t="s">
        <v>319</v>
      </c>
      <c r="B88" s="8">
        <v>252603965</v>
      </c>
      <c r="C88" s="9">
        <v>46051</v>
      </c>
      <c r="D88" s="8" t="s">
        <v>29</v>
      </c>
      <c r="E88" s="10">
        <v>200000</v>
      </c>
      <c r="F88" s="8">
        <v>0.0216</v>
      </c>
      <c r="G88" s="11">
        <v>46147</v>
      </c>
      <c r="H88" s="12">
        <f t="shared" si="2"/>
        <v>4320</v>
      </c>
      <c r="I88" s="10" t="s">
        <v>10</v>
      </c>
      <c r="J88" s="13">
        <v>46094</v>
      </c>
      <c r="K88" t="s">
        <v>467</v>
      </c>
    </row>
    <row r="89" spans="1:11">
      <c r="A89" t="s">
        <v>319</v>
      </c>
      <c r="B89" s="8">
        <v>252603965</v>
      </c>
      <c r="C89" s="9">
        <v>46051</v>
      </c>
      <c r="D89" s="8" t="s">
        <v>29</v>
      </c>
      <c r="E89" s="10">
        <v>200000</v>
      </c>
      <c r="F89" s="8">
        <v>0.0216</v>
      </c>
      <c r="G89" s="11">
        <v>46147</v>
      </c>
      <c r="H89" s="12">
        <f t="shared" si="2"/>
        <v>4320</v>
      </c>
      <c r="I89" s="10" t="s">
        <v>10</v>
      </c>
      <c r="J89" s="13">
        <v>46094</v>
      </c>
      <c r="K89" t="s">
        <v>467</v>
      </c>
    </row>
    <row r="90" spans="1:11">
      <c r="A90" t="s">
        <v>319</v>
      </c>
      <c r="B90" s="8">
        <v>252603965</v>
      </c>
      <c r="C90" s="9">
        <v>46051</v>
      </c>
      <c r="D90" s="8" t="s">
        <v>29</v>
      </c>
      <c r="E90" s="10">
        <v>200000</v>
      </c>
      <c r="F90" s="8">
        <v>0.0216</v>
      </c>
      <c r="G90" s="11">
        <v>46147</v>
      </c>
      <c r="H90" s="12">
        <f t="shared" si="2"/>
        <v>4320</v>
      </c>
      <c r="I90" s="10" t="s">
        <v>10</v>
      </c>
      <c r="J90" s="13">
        <v>46094</v>
      </c>
      <c r="K90" t="s">
        <v>467</v>
      </c>
    </row>
    <row r="91" spans="1:11">
      <c r="A91" t="s">
        <v>319</v>
      </c>
      <c r="B91" s="8">
        <v>252603965</v>
      </c>
      <c r="C91" s="9">
        <v>46051</v>
      </c>
      <c r="D91" s="8" t="s">
        <v>29</v>
      </c>
      <c r="E91" s="10">
        <v>200000</v>
      </c>
      <c r="F91" s="8">
        <v>0.0216</v>
      </c>
      <c r="G91" s="11">
        <v>46147</v>
      </c>
      <c r="H91" s="12">
        <f t="shared" si="2"/>
        <v>4320</v>
      </c>
      <c r="I91" s="10" t="s">
        <v>10</v>
      </c>
      <c r="J91" s="13">
        <v>46094</v>
      </c>
      <c r="K91" t="s">
        <v>467</v>
      </c>
    </row>
    <row r="92" spans="1:11">
      <c r="A92" t="s">
        <v>319</v>
      </c>
      <c r="B92" s="8">
        <v>252603965</v>
      </c>
      <c r="C92" s="9">
        <v>46051</v>
      </c>
      <c r="D92" s="8" t="s">
        <v>29</v>
      </c>
      <c r="E92" s="10">
        <v>200000</v>
      </c>
      <c r="F92" s="8">
        <v>0.0216</v>
      </c>
      <c r="G92" s="11">
        <v>46147</v>
      </c>
      <c r="H92" s="12">
        <f t="shared" si="2"/>
        <v>4320</v>
      </c>
      <c r="I92" s="10" t="s">
        <v>10</v>
      </c>
      <c r="J92" s="13">
        <v>46094</v>
      </c>
      <c r="K92" t="s">
        <v>467</v>
      </c>
    </row>
    <row r="93" spans="1:11">
      <c r="A93" t="s">
        <v>319</v>
      </c>
      <c r="B93" s="8">
        <v>252603966</v>
      </c>
      <c r="C93" s="9">
        <v>46051</v>
      </c>
      <c r="D93" s="8" t="s">
        <v>29</v>
      </c>
      <c r="E93" s="10">
        <v>200000</v>
      </c>
      <c r="F93" s="8">
        <v>0.0216</v>
      </c>
      <c r="G93" s="11">
        <v>46147</v>
      </c>
      <c r="H93" s="12">
        <f t="shared" si="2"/>
        <v>4320</v>
      </c>
      <c r="I93" s="10" t="s">
        <v>10</v>
      </c>
      <c r="J93" s="13">
        <v>46119</v>
      </c>
      <c r="K93" t="s">
        <v>467</v>
      </c>
    </row>
    <row r="94" spans="1:11">
      <c r="A94" t="s">
        <v>319</v>
      </c>
      <c r="B94" s="8">
        <v>252603966</v>
      </c>
      <c r="C94" s="9">
        <v>46051</v>
      </c>
      <c r="D94" s="8" t="s">
        <v>29</v>
      </c>
      <c r="E94" s="10">
        <v>200000</v>
      </c>
      <c r="F94" s="8">
        <v>0.0216</v>
      </c>
      <c r="G94" s="11">
        <v>46147</v>
      </c>
      <c r="H94" s="12">
        <f t="shared" si="2"/>
        <v>4320</v>
      </c>
      <c r="I94" s="10" t="s">
        <v>10</v>
      </c>
      <c r="J94" s="13">
        <v>46119</v>
      </c>
      <c r="K94" t="s">
        <v>467</v>
      </c>
    </row>
    <row r="95" spans="1:11">
      <c r="A95" t="s">
        <v>319</v>
      </c>
      <c r="B95" s="8">
        <v>252603966</v>
      </c>
      <c r="C95" s="9">
        <v>46051</v>
      </c>
      <c r="D95" s="8" t="s">
        <v>29</v>
      </c>
      <c r="E95" s="10">
        <v>200000</v>
      </c>
      <c r="F95" s="8">
        <v>0.0216</v>
      </c>
      <c r="G95" s="11">
        <v>46147</v>
      </c>
      <c r="H95" s="12">
        <f t="shared" si="2"/>
        <v>4320</v>
      </c>
      <c r="I95" s="10" t="s">
        <v>10</v>
      </c>
      <c r="J95" s="13">
        <v>46119</v>
      </c>
      <c r="K95" t="s">
        <v>467</v>
      </c>
    </row>
    <row r="96" spans="1:11">
      <c r="A96" t="s">
        <v>319</v>
      </c>
      <c r="B96" s="8">
        <v>252603966</v>
      </c>
      <c r="C96" s="9">
        <v>46051</v>
      </c>
      <c r="D96" s="8" t="s">
        <v>29</v>
      </c>
      <c r="E96" s="10">
        <v>200000</v>
      </c>
      <c r="F96" s="8">
        <v>0.0216</v>
      </c>
      <c r="G96" s="11">
        <v>46147</v>
      </c>
      <c r="H96" s="12">
        <f t="shared" si="2"/>
        <v>4320</v>
      </c>
      <c r="I96" s="10" t="s">
        <v>10</v>
      </c>
      <c r="J96" s="13">
        <v>46119</v>
      </c>
      <c r="K96" t="s">
        <v>467</v>
      </c>
    </row>
    <row r="97" spans="1:11">
      <c r="A97" t="s">
        <v>319</v>
      </c>
      <c r="B97" s="8">
        <v>252603966</v>
      </c>
      <c r="C97" s="9">
        <v>46051</v>
      </c>
      <c r="D97" s="8" t="s">
        <v>29</v>
      </c>
      <c r="E97" s="10">
        <v>200000</v>
      </c>
      <c r="F97" s="8">
        <v>0.0216</v>
      </c>
      <c r="G97" s="11">
        <v>46147</v>
      </c>
      <c r="H97" s="12">
        <f t="shared" si="2"/>
        <v>4320</v>
      </c>
      <c r="I97" s="10" t="s">
        <v>10</v>
      </c>
      <c r="J97" s="13">
        <v>46119</v>
      </c>
      <c r="K97" t="s">
        <v>467</v>
      </c>
    </row>
    <row r="98" spans="1:11">
      <c r="A98" t="s">
        <v>319</v>
      </c>
      <c r="B98" s="8">
        <v>252603966</v>
      </c>
      <c r="C98" s="9">
        <v>46051</v>
      </c>
      <c r="D98" s="8" t="s">
        <v>29</v>
      </c>
      <c r="E98" s="10">
        <v>200000</v>
      </c>
      <c r="F98" s="8">
        <v>0.0216</v>
      </c>
      <c r="G98" s="11">
        <v>46147</v>
      </c>
      <c r="H98" s="12">
        <f t="shared" si="2"/>
        <v>4320</v>
      </c>
      <c r="I98" s="10" t="s">
        <v>10</v>
      </c>
      <c r="J98" s="13">
        <v>46119</v>
      </c>
      <c r="K98" t="s">
        <v>467</v>
      </c>
    </row>
    <row r="99" spans="1:11">
      <c r="A99" t="s">
        <v>319</v>
      </c>
      <c r="B99" s="8">
        <v>252603966</v>
      </c>
      <c r="C99" s="9">
        <v>46051</v>
      </c>
      <c r="D99" s="8" t="s">
        <v>29</v>
      </c>
      <c r="E99" s="10">
        <v>100000</v>
      </c>
      <c r="F99" s="8">
        <v>0.0216</v>
      </c>
      <c r="G99" s="11">
        <v>46147</v>
      </c>
      <c r="H99" s="12">
        <f t="shared" si="2"/>
        <v>2160</v>
      </c>
      <c r="I99" s="10" t="s">
        <v>10</v>
      </c>
      <c r="J99" s="13">
        <v>46119</v>
      </c>
      <c r="K99" t="s">
        <v>467</v>
      </c>
    </row>
    <row r="100" spans="1:11">
      <c r="A100" t="s">
        <v>319</v>
      </c>
      <c r="B100" s="8">
        <v>252603967</v>
      </c>
      <c r="C100" s="9">
        <v>46051</v>
      </c>
      <c r="D100" s="8" t="s">
        <v>58</v>
      </c>
      <c r="E100" s="10">
        <v>200000</v>
      </c>
      <c r="F100" s="8">
        <v>0.014</v>
      </c>
      <c r="G100" s="11">
        <v>46178</v>
      </c>
      <c r="H100" s="12">
        <f t="shared" si="2"/>
        <v>2800</v>
      </c>
      <c r="I100" s="10" t="s">
        <v>10</v>
      </c>
      <c r="J100" s="13">
        <v>46129</v>
      </c>
      <c r="K100" t="s">
        <v>467</v>
      </c>
    </row>
    <row r="101" spans="1:11">
      <c r="A101" t="s">
        <v>319</v>
      </c>
      <c r="B101" s="8">
        <v>252603967</v>
      </c>
      <c r="C101" s="9">
        <v>46051</v>
      </c>
      <c r="D101" s="8" t="s">
        <v>58</v>
      </c>
      <c r="E101" s="10">
        <v>200000</v>
      </c>
      <c r="F101" s="8">
        <v>0.014</v>
      </c>
      <c r="G101" s="11">
        <v>46178</v>
      </c>
      <c r="H101" s="12">
        <f t="shared" si="2"/>
        <v>2800</v>
      </c>
      <c r="I101" s="10" t="s">
        <v>10</v>
      </c>
      <c r="J101" s="13">
        <v>46129</v>
      </c>
      <c r="K101" t="s">
        <v>467</v>
      </c>
    </row>
    <row r="102" spans="1:11">
      <c r="A102" t="s">
        <v>319</v>
      </c>
      <c r="B102" s="8">
        <v>252603967</v>
      </c>
      <c r="C102" s="9">
        <v>46051</v>
      </c>
      <c r="D102" s="8" t="s">
        <v>58</v>
      </c>
      <c r="E102" s="10">
        <v>100000</v>
      </c>
      <c r="F102" s="8">
        <v>0.014</v>
      </c>
      <c r="G102" s="11">
        <v>46178</v>
      </c>
      <c r="H102" s="12">
        <f t="shared" si="2"/>
        <v>1400</v>
      </c>
      <c r="I102" s="10" t="s">
        <v>10</v>
      </c>
      <c r="J102" s="13">
        <v>46129</v>
      </c>
      <c r="K102" t="s">
        <v>467</v>
      </c>
    </row>
    <row r="103" spans="1:11">
      <c r="A103" t="s">
        <v>319</v>
      </c>
      <c r="B103" s="8">
        <v>252603967</v>
      </c>
      <c r="C103" s="9">
        <v>46051</v>
      </c>
      <c r="D103" s="8" t="s">
        <v>58</v>
      </c>
      <c r="E103" s="10">
        <v>200000</v>
      </c>
      <c r="F103" s="8">
        <v>0.014</v>
      </c>
      <c r="G103" s="11">
        <v>46208</v>
      </c>
      <c r="H103" s="12">
        <f t="shared" si="2"/>
        <v>2800</v>
      </c>
      <c r="I103" s="10" t="s">
        <v>10</v>
      </c>
      <c r="J103" s="13">
        <v>46129</v>
      </c>
      <c r="K103" t="s">
        <v>467</v>
      </c>
    </row>
    <row r="104" spans="1:11">
      <c r="A104" t="s">
        <v>319</v>
      </c>
      <c r="B104" s="8">
        <v>252603967</v>
      </c>
      <c r="C104" s="9">
        <v>46051</v>
      </c>
      <c r="D104" s="8" t="s">
        <v>58</v>
      </c>
      <c r="E104" s="10">
        <v>200000</v>
      </c>
      <c r="F104" s="8">
        <v>0.014</v>
      </c>
      <c r="G104" s="11">
        <v>46208</v>
      </c>
      <c r="H104" s="12">
        <f t="shared" si="2"/>
        <v>2800</v>
      </c>
      <c r="I104" s="10" t="s">
        <v>10</v>
      </c>
      <c r="J104" s="13">
        <v>46129</v>
      </c>
      <c r="K104" t="s">
        <v>467</v>
      </c>
    </row>
    <row r="105" spans="1:11">
      <c r="A105" t="s">
        <v>319</v>
      </c>
      <c r="B105" s="8">
        <v>252603967</v>
      </c>
      <c r="C105" s="9">
        <v>46051</v>
      </c>
      <c r="D105" s="8" t="s">
        <v>58</v>
      </c>
      <c r="E105" s="10">
        <v>100000</v>
      </c>
      <c r="F105" s="8">
        <v>0.014</v>
      </c>
      <c r="G105" s="11">
        <v>46208</v>
      </c>
      <c r="H105" s="12">
        <f t="shared" si="2"/>
        <v>1400</v>
      </c>
      <c r="I105" s="10" t="s">
        <v>10</v>
      </c>
      <c r="J105" s="13">
        <v>46129</v>
      </c>
      <c r="K105" t="s">
        <v>467</v>
      </c>
    </row>
    <row r="106" spans="1:11">
      <c r="A106" t="s">
        <v>319</v>
      </c>
      <c r="B106" s="8">
        <v>252603967</v>
      </c>
      <c r="C106" s="9">
        <v>46051</v>
      </c>
      <c r="D106" s="8" t="s">
        <v>181</v>
      </c>
      <c r="E106" s="10">
        <v>100000</v>
      </c>
      <c r="F106" s="8">
        <v>0.0243</v>
      </c>
      <c r="G106" s="11">
        <v>46178</v>
      </c>
      <c r="H106" s="12">
        <f t="shared" si="2"/>
        <v>2430</v>
      </c>
      <c r="I106" s="10" t="s">
        <v>10</v>
      </c>
      <c r="J106" s="13">
        <v>46129</v>
      </c>
      <c r="K106" t="s">
        <v>467</v>
      </c>
    </row>
    <row r="107" spans="1:11">
      <c r="A107" t="s">
        <v>319</v>
      </c>
      <c r="B107" s="8">
        <v>252603967</v>
      </c>
      <c r="C107" s="9">
        <v>46051</v>
      </c>
      <c r="D107" s="8" t="s">
        <v>181</v>
      </c>
      <c r="E107" s="10">
        <v>100000</v>
      </c>
      <c r="F107" s="8">
        <v>0.0243</v>
      </c>
      <c r="G107" s="11">
        <v>46208</v>
      </c>
      <c r="H107" s="12">
        <f t="shared" si="2"/>
        <v>2430</v>
      </c>
      <c r="I107" s="10" t="s">
        <v>10</v>
      </c>
      <c r="J107" s="13">
        <v>46129</v>
      </c>
      <c r="K107" t="s">
        <v>467</v>
      </c>
    </row>
    <row r="108" spans="1:11">
      <c r="A108" t="s">
        <v>319</v>
      </c>
      <c r="B108" s="8">
        <v>252603967</v>
      </c>
      <c r="C108" s="9">
        <v>46051</v>
      </c>
      <c r="D108" s="8" t="s">
        <v>11</v>
      </c>
      <c r="E108" s="10">
        <v>140000</v>
      </c>
      <c r="F108" s="8">
        <v>0.032</v>
      </c>
      <c r="G108" s="11">
        <v>46178</v>
      </c>
      <c r="H108" s="12">
        <f t="shared" si="2"/>
        <v>4480</v>
      </c>
      <c r="I108" s="10" t="s">
        <v>10</v>
      </c>
      <c r="J108" s="13">
        <v>46129</v>
      </c>
      <c r="K108" t="s">
        <v>467</v>
      </c>
    </row>
    <row r="109" spans="1:11">
      <c r="A109" t="s">
        <v>319</v>
      </c>
      <c r="B109" s="8">
        <v>252603967</v>
      </c>
      <c r="C109" s="9">
        <v>46051</v>
      </c>
      <c r="D109" s="8" t="s">
        <v>11</v>
      </c>
      <c r="E109" s="10">
        <v>140000</v>
      </c>
      <c r="F109" s="8">
        <v>0.032</v>
      </c>
      <c r="G109" s="11">
        <v>46208</v>
      </c>
      <c r="H109" s="12">
        <f t="shared" si="2"/>
        <v>4480</v>
      </c>
      <c r="I109" s="10" t="s">
        <v>10</v>
      </c>
      <c r="J109" s="13">
        <v>46129</v>
      </c>
      <c r="K109" t="s">
        <v>467</v>
      </c>
    </row>
    <row r="110" spans="1:11">
      <c r="A110" t="s">
        <v>319</v>
      </c>
      <c r="B110" s="8">
        <v>252603967</v>
      </c>
      <c r="C110" s="9">
        <v>46051</v>
      </c>
      <c r="D110" s="8" t="s">
        <v>31</v>
      </c>
      <c r="E110" s="10">
        <v>200000</v>
      </c>
      <c r="F110" s="8">
        <v>0.024</v>
      </c>
      <c r="G110" s="11">
        <v>46178</v>
      </c>
      <c r="H110" s="12">
        <f t="shared" si="2"/>
        <v>4800</v>
      </c>
      <c r="I110" s="10" t="s">
        <v>10</v>
      </c>
      <c r="J110" s="13">
        <v>46129</v>
      </c>
      <c r="K110" t="s">
        <v>467</v>
      </c>
    </row>
    <row r="111" spans="1:11">
      <c r="A111" t="s">
        <v>319</v>
      </c>
      <c r="B111" s="8">
        <v>252603967</v>
      </c>
      <c r="C111" s="9">
        <v>46051</v>
      </c>
      <c r="D111" s="8" t="s">
        <v>31</v>
      </c>
      <c r="E111" s="10">
        <v>200000</v>
      </c>
      <c r="F111" s="8">
        <v>0.024</v>
      </c>
      <c r="G111" s="11">
        <v>46178</v>
      </c>
      <c r="H111" s="12">
        <f t="shared" si="2"/>
        <v>4800</v>
      </c>
      <c r="I111" s="10" t="s">
        <v>10</v>
      </c>
      <c r="J111" s="13">
        <v>46129</v>
      </c>
      <c r="K111" t="s">
        <v>467</v>
      </c>
    </row>
    <row r="112" spans="1:11">
      <c r="A112" t="s">
        <v>319</v>
      </c>
      <c r="B112" s="8">
        <v>252603967</v>
      </c>
      <c r="C112" s="9">
        <v>46051</v>
      </c>
      <c r="D112" s="8" t="s">
        <v>31</v>
      </c>
      <c r="E112" s="10">
        <v>200000</v>
      </c>
      <c r="F112" s="8">
        <v>0.024</v>
      </c>
      <c r="G112" s="11">
        <v>46178</v>
      </c>
      <c r="H112" s="12">
        <f t="shared" si="2"/>
        <v>4800</v>
      </c>
      <c r="I112" s="10" t="s">
        <v>10</v>
      </c>
      <c r="J112" s="13">
        <v>46129</v>
      </c>
      <c r="K112" t="s">
        <v>467</v>
      </c>
    </row>
    <row r="113" spans="1:11">
      <c r="A113" t="s">
        <v>319</v>
      </c>
      <c r="B113" s="8">
        <v>252603967</v>
      </c>
      <c r="C113" s="9">
        <v>46051</v>
      </c>
      <c r="D113" s="8" t="s">
        <v>31</v>
      </c>
      <c r="E113" s="10">
        <v>200000</v>
      </c>
      <c r="F113" s="8">
        <v>0.024</v>
      </c>
      <c r="G113" s="11">
        <v>46178</v>
      </c>
      <c r="H113" s="12">
        <f t="shared" si="2"/>
        <v>4800</v>
      </c>
      <c r="I113" s="10" t="s">
        <v>10</v>
      </c>
      <c r="J113" s="13">
        <v>46129</v>
      </c>
      <c r="K113" t="s">
        <v>467</v>
      </c>
    </row>
    <row r="114" spans="1:11">
      <c r="A114" t="s">
        <v>319</v>
      </c>
      <c r="B114" s="8">
        <v>252603967</v>
      </c>
      <c r="C114" s="9">
        <v>46051</v>
      </c>
      <c r="D114" s="8" t="s">
        <v>31</v>
      </c>
      <c r="E114" s="10">
        <v>200000</v>
      </c>
      <c r="F114" s="8">
        <v>0.024</v>
      </c>
      <c r="G114" s="11">
        <v>46208</v>
      </c>
      <c r="H114" s="12">
        <f t="shared" si="2"/>
        <v>4800</v>
      </c>
      <c r="I114" s="10" t="s">
        <v>10</v>
      </c>
      <c r="J114" s="13">
        <v>46129</v>
      </c>
      <c r="K114" t="s">
        <v>467</v>
      </c>
    </row>
    <row r="115" spans="1:11">
      <c r="A115" t="s">
        <v>319</v>
      </c>
      <c r="B115" s="8">
        <v>252603967</v>
      </c>
      <c r="C115" s="9">
        <v>46051</v>
      </c>
      <c r="D115" s="8" t="s">
        <v>31</v>
      </c>
      <c r="E115" s="10">
        <v>200000</v>
      </c>
      <c r="F115" s="8">
        <v>0.024</v>
      </c>
      <c r="G115" s="11">
        <v>46208</v>
      </c>
      <c r="H115" s="12">
        <f t="shared" si="2"/>
        <v>4800</v>
      </c>
      <c r="I115" s="10" t="s">
        <v>10</v>
      </c>
      <c r="J115" s="13">
        <v>46129</v>
      </c>
      <c r="K115" t="s">
        <v>467</v>
      </c>
    </row>
    <row r="116" spans="1:11">
      <c r="A116" t="s">
        <v>319</v>
      </c>
      <c r="B116" s="8">
        <v>252603968</v>
      </c>
      <c r="C116" s="9">
        <v>46051</v>
      </c>
      <c r="D116" s="8" t="s">
        <v>31</v>
      </c>
      <c r="E116" s="10">
        <v>200000</v>
      </c>
      <c r="F116" s="8">
        <v>0.024</v>
      </c>
      <c r="G116" s="11">
        <v>46208</v>
      </c>
      <c r="H116" s="12">
        <f t="shared" si="2"/>
        <v>4800</v>
      </c>
      <c r="I116" s="10" t="s">
        <v>10</v>
      </c>
      <c r="J116" s="13">
        <v>46101</v>
      </c>
      <c r="K116" t="s">
        <v>467</v>
      </c>
    </row>
    <row r="117" spans="1:11">
      <c r="A117" t="s">
        <v>319</v>
      </c>
      <c r="B117" s="8">
        <v>252603968</v>
      </c>
      <c r="C117" s="9">
        <v>46051</v>
      </c>
      <c r="D117" s="8" t="s">
        <v>31</v>
      </c>
      <c r="E117" s="10">
        <v>200000</v>
      </c>
      <c r="F117" s="8">
        <v>0.024</v>
      </c>
      <c r="G117" s="11">
        <v>46208</v>
      </c>
      <c r="H117" s="12">
        <f t="shared" si="2"/>
        <v>4800</v>
      </c>
      <c r="I117" s="10" t="s">
        <v>10</v>
      </c>
      <c r="J117" s="13">
        <v>46101</v>
      </c>
      <c r="K117" t="s">
        <v>467</v>
      </c>
    </row>
    <row r="118" spans="1:11">
      <c r="A118" t="s">
        <v>319</v>
      </c>
      <c r="B118" s="8">
        <v>252603968</v>
      </c>
      <c r="C118" s="9">
        <v>46051</v>
      </c>
      <c r="D118" s="8" t="s">
        <v>33</v>
      </c>
      <c r="E118" s="10">
        <v>200000</v>
      </c>
      <c r="F118" s="8">
        <v>0.018</v>
      </c>
      <c r="G118" s="11">
        <v>46178</v>
      </c>
      <c r="H118" s="12">
        <f t="shared" si="2"/>
        <v>3600</v>
      </c>
      <c r="I118" s="10" t="s">
        <v>10</v>
      </c>
      <c r="J118" s="13">
        <v>46101</v>
      </c>
      <c r="K118" t="s">
        <v>467</v>
      </c>
    </row>
    <row r="119" spans="1:11">
      <c r="A119" t="s">
        <v>319</v>
      </c>
      <c r="B119" s="8">
        <v>252603968</v>
      </c>
      <c r="C119" s="9">
        <v>46051</v>
      </c>
      <c r="D119" s="8" t="s">
        <v>33</v>
      </c>
      <c r="E119" s="10">
        <v>200000</v>
      </c>
      <c r="F119" s="8">
        <v>0.018</v>
      </c>
      <c r="G119" s="11">
        <v>46178</v>
      </c>
      <c r="H119" s="12">
        <f t="shared" si="2"/>
        <v>3600</v>
      </c>
      <c r="I119" s="10" t="s">
        <v>10</v>
      </c>
      <c r="J119" s="13">
        <v>46101</v>
      </c>
      <c r="K119" t="s">
        <v>467</v>
      </c>
    </row>
    <row r="120" spans="1:11">
      <c r="A120" t="s">
        <v>319</v>
      </c>
      <c r="B120" s="8">
        <v>252603968</v>
      </c>
      <c r="C120" s="9">
        <v>46051</v>
      </c>
      <c r="D120" s="8" t="s">
        <v>33</v>
      </c>
      <c r="E120" s="10">
        <v>200000</v>
      </c>
      <c r="F120" s="8">
        <v>0.018</v>
      </c>
      <c r="G120" s="11">
        <v>46178</v>
      </c>
      <c r="H120" s="12">
        <f t="shared" si="2"/>
        <v>3600</v>
      </c>
      <c r="I120" s="10" t="s">
        <v>10</v>
      </c>
      <c r="J120" s="13">
        <v>46101</v>
      </c>
      <c r="K120" t="s">
        <v>467</v>
      </c>
    </row>
    <row r="121" spans="1:11">
      <c r="A121" t="s">
        <v>319</v>
      </c>
      <c r="B121" s="8">
        <v>252603968</v>
      </c>
      <c r="C121" s="9">
        <v>46051</v>
      </c>
      <c r="D121" s="8" t="s">
        <v>33</v>
      </c>
      <c r="E121" s="10">
        <v>100000</v>
      </c>
      <c r="F121" s="8">
        <v>0.018</v>
      </c>
      <c r="G121" s="11">
        <v>46178</v>
      </c>
      <c r="H121" s="12">
        <f t="shared" si="2"/>
        <v>1800</v>
      </c>
      <c r="I121" s="10" t="s">
        <v>10</v>
      </c>
      <c r="J121" s="13">
        <v>46101</v>
      </c>
      <c r="K121" t="s">
        <v>467</v>
      </c>
    </row>
    <row r="122" spans="1:11">
      <c r="A122" t="s">
        <v>319</v>
      </c>
      <c r="B122" s="8">
        <v>252603968</v>
      </c>
      <c r="C122" s="9">
        <v>46051</v>
      </c>
      <c r="D122" s="8" t="s">
        <v>33</v>
      </c>
      <c r="E122" s="10">
        <v>200000</v>
      </c>
      <c r="F122" s="8">
        <v>0.018</v>
      </c>
      <c r="G122" s="11">
        <v>46208</v>
      </c>
      <c r="H122" s="12">
        <f t="shared" si="2"/>
        <v>3600</v>
      </c>
      <c r="I122" s="10" t="s">
        <v>10</v>
      </c>
      <c r="J122" s="13">
        <v>46101</v>
      </c>
      <c r="K122" t="s">
        <v>467</v>
      </c>
    </row>
    <row r="123" spans="1:11">
      <c r="A123" t="s">
        <v>319</v>
      </c>
      <c r="B123" s="8">
        <v>252603968</v>
      </c>
      <c r="C123" s="9">
        <v>46051</v>
      </c>
      <c r="D123" s="8" t="s">
        <v>33</v>
      </c>
      <c r="E123" s="10">
        <v>200000</v>
      </c>
      <c r="F123" s="8">
        <v>0.018</v>
      </c>
      <c r="G123" s="11">
        <v>46208</v>
      </c>
      <c r="H123" s="12">
        <f t="shared" si="2"/>
        <v>3600</v>
      </c>
      <c r="I123" s="10" t="s">
        <v>10</v>
      </c>
      <c r="J123" s="13">
        <v>46101</v>
      </c>
      <c r="K123" t="s">
        <v>467</v>
      </c>
    </row>
    <row r="124" spans="1:11">
      <c r="A124" t="s">
        <v>319</v>
      </c>
      <c r="B124" s="8">
        <v>252603968</v>
      </c>
      <c r="C124" s="9">
        <v>46051</v>
      </c>
      <c r="D124" s="8" t="s">
        <v>33</v>
      </c>
      <c r="E124" s="10">
        <v>200000</v>
      </c>
      <c r="F124" s="8">
        <v>0.018</v>
      </c>
      <c r="G124" s="11">
        <v>46208</v>
      </c>
      <c r="H124" s="12">
        <f t="shared" si="2"/>
        <v>3600</v>
      </c>
      <c r="I124" s="10" t="s">
        <v>10</v>
      </c>
      <c r="J124" s="13">
        <v>46101</v>
      </c>
      <c r="K124" t="s">
        <v>467</v>
      </c>
    </row>
    <row r="125" spans="1:11">
      <c r="A125" t="s">
        <v>319</v>
      </c>
      <c r="B125" s="8">
        <v>252603968</v>
      </c>
      <c r="C125" s="9">
        <v>46051</v>
      </c>
      <c r="D125" s="8" t="s">
        <v>33</v>
      </c>
      <c r="E125" s="10">
        <v>100000</v>
      </c>
      <c r="F125" s="8">
        <v>0.018</v>
      </c>
      <c r="G125" s="11">
        <v>46208</v>
      </c>
      <c r="H125" s="12">
        <f t="shared" si="2"/>
        <v>1800</v>
      </c>
      <c r="I125" s="10" t="s">
        <v>10</v>
      </c>
      <c r="J125" s="13">
        <v>46101</v>
      </c>
      <c r="K125" t="s">
        <v>467</v>
      </c>
    </row>
    <row r="126" spans="1:11">
      <c r="A126" t="s">
        <v>319</v>
      </c>
      <c r="B126" s="8">
        <v>252603968</v>
      </c>
      <c r="C126" s="9">
        <v>46051</v>
      </c>
      <c r="D126" s="8" t="s">
        <v>32</v>
      </c>
      <c r="E126" s="10">
        <v>200000</v>
      </c>
      <c r="F126" s="8">
        <v>0.014</v>
      </c>
      <c r="G126" s="11">
        <v>46178</v>
      </c>
      <c r="H126" s="12">
        <f t="shared" si="2"/>
        <v>2800</v>
      </c>
      <c r="I126" s="10" t="s">
        <v>10</v>
      </c>
      <c r="J126" s="13">
        <v>46101</v>
      </c>
      <c r="K126" t="s">
        <v>467</v>
      </c>
    </row>
    <row r="127" spans="1:11">
      <c r="A127" t="s">
        <v>319</v>
      </c>
      <c r="B127" s="8">
        <v>252603968</v>
      </c>
      <c r="C127" s="9">
        <v>46051</v>
      </c>
      <c r="D127" s="8" t="s">
        <v>32</v>
      </c>
      <c r="E127" s="10">
        <v>200000</v>
      </c>
      <c r="F127" s="8">
        <v>0.014</v>
      </c>
      <c r="G127" s="11">
        <v>46178</v>
      </c>
      <c r="H127" s="12">
        <f t="shared" si="2"/>
        <v>2800</v>
      </c>
      <c r="I127" s="10" t="s">
        <v>10</v>
      </c>
      <c r="J127" s="13">
        <v>46101</v>
      </c>
      <c r="K127" t="s">
        <v>467</v>
      </c>
    </row>
    <row r="128" spans="1:11">
      <c r="A128" t="s">
        <v>319</v>
      </c>
      <c r="B128" s="8">
        <v>252603968</v>
      </c>
      <c r="C128" s="9">
        <v>46051</v>
      </c>
      <c r="D128" s="8" t="s">
        <v>32</v>
      </c>
      <c r="E128" s="10">
        <v>200000</v>
      </c>
      <c r="F128" s="8">
        <v>0.014</v>
      </c>
      <c r="G128" s="11">
        <v>46178</v>
      </c>
      <c r="H128" s="12">
        <f t="shared" si="2"/>
        <v>2800</v>
      </c>
      <c r="I128" s="10" t="s">
        <v>10</v>
      </c>
      <c r="J128" s="13">
        <v>46101</v>
      </c>
      <c r="K128" t="s">
        <v>467</v>
      </c>
    </row>
    <row r="129" spans="1:11">
      <c r="A129" t="s">
        <v>319</v>
      </c>
      <c r="B129" s="8">
        <v>252603968</v>
      </c>
      <c r="C129" s="9">
        <v>46051</v>
      </c>
      <c r="D129" s="8" t="s">
        <v>32</v>
      </c>
      <c r="E129" s="10">
        <v>120000</v>
      </c>
      <c r="F129" s="8">
        <v>0.014</v>
      </c>
      <c r="G129" s="11">
        <v>46178</v>
      </c>
      <c r="H129" s="12">
        <f t="shared" si="2"/>
        <v>1680</v>
      </c>
      <c r="I129" s="10" t="s">
        <v>10</v>
      </c>
      <c r="J129" s="13">
        <v>46101</v>
      </c>
      <c r="K129" t="s">
        <v>467</v>
      </c>
    </row>
    <row r="130" spans="1:11">
      <c r="A130" t="s">
        <v>319</v>
      </c>
      <c r="B130" s="8">
        <v>252603968</v>
      </c>
      <c r="C130" s="9">
        <v>46051</v>
      </c>
      <c r="D130" s="8" t="s">
        <v>32</v>
      </c>
      <c r="E130" s="10">
        <v>200000</v>
      </c>
      <c r="F130" s="8">
        <v>0.014</v>
      </c>
      <c r="G130" s="11">
        <v>46208</v>
      </c>
      <c r="H130" s="12">
        <f t="shared" si="2"/>
        <v>2800</v>
      </c>
      <c r="I130" s="10" t="s">
        <v>10</v>
      </c>
      <c r="J130" s="13">
        <v>46101</v>
      </c>
      <c r="K130" t="s">
        <v>467</v>
      </c>
    </row>
    <row r="131" spans="1:11">
      <c r="A131" t="s">
        <v>319</v>
      </c>
      <c r="B131" s="8">
        <v>252603968</v>
      </c>
      <c r="C131" s="9">
        <v>46051</v>
      </c>
      <c r="D131" s="8" t="s">
        <v>32</v>
      </c>
      <c r="E131" s="10">
        <v>200000</v>
      </c>
      <c r="F131" s="8">
        <v>0.014</v>
      </c>
      <c r="G131" s="11">
        <v>46208</v>
      </c>
      <c r="H131" s="12">
        <f t="shared" si="2"/>
        <v>2800</v>
      </c>
      <c r="I131" s="10" t="s">
        <v>10</v>
      </c>
      <c r="J131" s="13">
        <v>46101</v>
      </c>
      <c r="K131" t="s">
        <v>467</v>
      </c>
    </row>
    <row r="132" spans="1:11">
      <c r="A132" t="s">
        <v>319</v>
      </c>
      <c r="B132" s="8">
        <v>252603968</v>
      </c>
      <c r="C132" s="9">
        <v>46051</v>
      </c>
      <c r="D132" s="8" t="s">
        <v>32</v>
      </c>
      <c r="E132" s="10">
        <v>200000</v>
      </c>
      <c r="F132" s="8">
        <v>0.014</v>
      </c>
      <c r="G132" s="11">
        <v>46208</v>
      </c>
      <c r="H132" s="12">
        <f t="shared" si="2"/>
        <v>2800</v>
      </c>
      <c r="I132" s="10" t="s">
        <v>10</v>
      </c>
      <c r="J132" s="13">
        <v>46101</v>
      </c>
      <c r="K132" t="s">
        <v>467</v>
      </c>
    </row>
    <row r="133" spans="1:11">
      <c r="A133" t="s">
        <v>319</v>
      </c>
      <c r="B133" s="8">
        <v>252603968</v>
      </c>
      <c r="C133" s="9">
        <v>46051</v>
      </c>
      <c r="D133" s="8" t="s">
        <v>32</v>
      </c>
      <c r="E133" s="10">
        <v>120000</v>
      </c>
      <c r="F133" s="8">
        <v>0.014</v>
      </c>
      <c r="G133" s="11">
        <v>46208</v>
      </c>
      <c r="H133" s="12">
        <f t="shared" si="2"/>
        <v>1680</v>
      </c>
      <c r="I133" s="10" t="s">
        <v>10</v>
      </c>
      <c r="J133" s="13">
        <v>46101</v>
      </c>
      <c r="K133" t="s">
        <v>467</v>
      </c>
    </row>
    <row r="134" spans="1:11">
      <c r="A134" t="s">
        <v>319</v>
      </c>
      <c r="B134" s="8">
        <v>252603969</v>
      </c>
      <c r="C134" s="9">
        <v>46051</v>
      </c>
      <c r="D134" s="8" t="s">
        <v>29</v>
      </c>
      <c r="E134" s="10">
        <v>200000</v>
      </c>
      <c r="F134" s="8">
        <v>0.0216</v>
      </c>
      <c r="G134" s="11">
        <v>46178</v>
      </c>
      <c r="H134" s="12">
        <f t="shared" si="2"/>
        <v>4320</v>
      </c>
      <c r="I134" s="10" t="s">
        <v>10</v>
      </c>
      <c r="J134" s="13">
        <v>46132</v>
      </c>
      <c r="K134" t="s">
        <v>467</v>
      </c>
    </row>
    <row r="135" spans="1:11">
      <c r="A135" t="s">
        <v>319</v>
      </c>
      <c r="B135" s="8">
        <v>252603969</v>
      </c>
      <c r="C135" s="9">
        <v>46051</v>
      </c>
      <c r="D135" s="8" t="s">
        <v>29</v>
      </c>
      <c r="E135" s="10">
        <v>200000</v>
      </c>
      <c r="F135" s="8">
        <v>0.0216</v>
      </c>
      <c r="G135" s="11">
        <v>46178</v>
      </c>
      <c r="H135" s="12">
        <f t="shared" si="2"/>
        <v>4320</v>
      </c>
      <c r="I135" s="10" t="s">
        <v>10</v>
      </c>
      <c r="J135" s="13">
        <v>46132</v>
      </c>
      <c r="K135" t="s">
        <v>467</v>
      </c>
    </row>
    <row r="136" spans="1:11">
      <c r="A136" t="s">
        <v>319</v>
      </c>
      <c r="B136" s="8">
        <v>252603969</v>
      </c>
      <c r="C136" s="9">
        <v>46051</v>
      </c>
      <c r="D136" s="8" t="s">
        <v>29</v>
      </c>
      <c r="E136" s="10">
        <v>200000</v>
      </c>
      <c r="F136" s="8">
        <v>0.0216</v>
      </c>
      <c r="G136" s="11">
        <v>46178</v>
      </c>
      <c r="H136" s="12">
        <f t="shared" si="2"/>
        <v>4320</v>
      </c>
      <c r="I136" s="10" t="s">
        <v>10</v>
      </c>
      <c r="J136" s="13">
        <v>46132</v>
      </c>
      <c r="K136" t="s">
        <v>467</v>
      </c>
    </row>
    <row r="137" spans="1:11">
      <c r="A137" t="s">
        <v>319</v>
      </c>
      <c r="B137" s="8">
        <v>252603969</v>
      </c>
      <c r="C137" s="9">
        <v>46051</v>
      </c>
      <c r="D137" s="8" t="s">
        <v>29</v>
      </c>
      <c r="E137" s="10">
        <v>200000</v>
      </c>
      <c r="F137" s="8">
        <v>0.0216</v>
      </c>
      <c r="G137" s="11">
        <v>46178</v>
      </c>
      <c r="H137" s="12">
        <f t="shared" ref="H137:H197" si="3">E137*F137</f>
        <v>4320</v>
      </c>
      <c r="I137" s="10" t="s">
        <v>10</v>
      </c>
      <c r="J137" s="13">
        <v>46132</v>
      </c>
      <c r="K137" t="s">
        <v>467</v>
      </c>
    </row>
    <row r="138" spans="1:11">
      <c r="A138" t="s">
        <v>319</v>
      </c>
      <c r="B138" s="8">
        <v>252603969</v>
      </c>
      <c r="C138" s="9">
        <v>46051</v>
      </c>
      <c r="D138" s="8" t="s">
        <v>29</v>
      </c>
      <c r="E138" s="10">
        <v>200000</v>
      </c>
      <c r="F138" s="8">
        <v>0.0216</v>
      </c>
      <c r="G138" s="11">
        <v>46178</v>
      </c>
      <c r="H138" s="12">
        <f t="shared" si="3"/>
        <v>4320</v>
      </c>
      <c r="I138" s="10" t="s">
        <v>10</v>
      </c>
      <c r="J138" s="13">
        <v>46132</v>
      </c>
      <c r="K138" t="s">
        <v>467</v>
      </c>
    </row>
    <row r="139" spans="1:11">
      <c r="A139" t="s">
        <v>319</v>
      </c>
      <c r="B139" s="8">
        <v>252603969</v>
      </c>
      <c r="C139" s="9">
        <v>46051</v>
      </c>
      <c r="D139" s="8" t="s">
        <v>29</v>
      </c>
      <c r="E139" s="10">
        <v>200000</v>
      </c>
      <c r="F139" s="8">
        <v>0.0216</v>
      </c>
      <c r="G139" s="11">
        <v>46178</v>
      </c>
      <c r="H139" s="12">
        <f t="shared" si="3"/>
        <v>4320</v>
      </c>
      <c r="I139" s="10" t="s">
        <v>10</v>
      </c>
      <c r="J139" s="13">
        <v>46132</v>
      </c>
      <c r="K139" t="s">
        <v>467</v>
      </c>
    </row>
    <row r="140" spans="1:11">
      <c r="A140" t="s">
        <v>319</v>
      </c>
      <c r="B140" s="8">
        <v>252603969</v>
      </c>
      <c r="C140" s="9">
        <v>46051</v>
      </c>
      <c r="D140" s="8" t="s">
        <v>29</v>
      </c>
      <c r="E140" s="10">
        <v>200000</v>
      </c>
      <c r="F140" s="8">
        <v>0.0216</v>
      </c>
      <c r="G140" s="11">
        <v>46178</v>
      </c>
      <c r="H140" s="12">
        <f t="shared" si="3"/>
        <v>4320</v>
      </c>
      <c r="I140" s="10" t="s">
        <v>10</v>
      </c>
      <c r="J140" s="13">
        <v>46132</v>
      </c>
      <c r="K140" t="s">
        <v>467</v>
      </c>
    </row>
    <row r="141" spans="1:11">
      <c r="A141" t="s">
        <v>319</v>
      </c>
      <c r="B141" s="8">
        <v>252603969</v>
      </c>
      <c r="C141" s="9">
        <v>46051</v>
      </c>
      <c r="D141" s="8" t="s">
        <v>29</v>
      </c>
      <c r="E141" s="10">
        <v>200000</v>
      </c>
      <c r="F141" s="8">
        <v>0.0216</v>
      </c>
      <c r="G141" s="11">
        <v>46178</v>
      </c>
      <c r="H141" s="12">
        <f t="shared" si="3"/>
        <v>4320</v>
      </c>
      <c r="I141" s="10" t="s">
        <v>10</v>
      </c>
      <c r="J141" s="13">
        <v>46132</v>
      </c>
      <c r="K141" t="s">
        <v>467</v>
      </c>
    </row>
    <row r="142" spans="1:11">
      <c r="A142" t="s">
        <v>319</v>
      </c>
      <c r="B142" s="8">
        <v>252603969</v>
      </c>
      <c r="C142" s="9">
        <v>46051</v>
      </c>
      <c r="D142" s="8" t="s">
        <v>29</v>
      </c>
      <c r="E142" s="10">
        <v>200000</v>
      </c>
      <c r="F142" s="8">
        <v>0.0216</v>
      </c>
      <c r="G142" s="11">
        <v>46178</v>
      </c>
      <c r="H142" s="12">
        <f t="shared" si="3"/>
        <v>4320</v>
      </c>
      <c r="I142" s="10" t="s">
        <v>10</v>
      </c>
      <c r="J142" s="13">
        <v>46132</v>
      </c>
      <c r="K142" t="s">
        <v>467</v>
      </c>
    </row>
    <row r="143" spans="1:11">
      <c r="A143" t="s">
        <v>319</v>
      </c>
      <c r="B143" s="8">
        <v>252603969</v>
      </c>
      <c r="C143" s="9">
        <v>46051</v>
      </c>
      <c r="D143" s="8" t="s">
        <v>29</v>
      </c>
      <c r="E143" s="10">
        <v>200000</v>
      </c>
      <c r="F143" s="8">
        <v>0.0216</v>
      </c>
      <c r="G143" s="11">
        <v>46178</v>
      </c>
      <c r="H143" s="12">
        <f t="shared" si="3"/>
        <v>4320</v>
      </c>
      <c r="I143" s="10" t="s">
        <v>10</v>
      </c>
      <c r="J143" s="13">
        <v>46132</v>
      </c>
      <c r="K143" t="s">
        <v>467</v>
      </c>
    </row>
    <row r="144" spans="1:11">
      <c r="A144" t="s">
        <v>319</v>
      </c>
      <c r="B144" s="8">
        <v>252603969</v>
      </c>
      <c r="C144" s="9">
        <v>46051</v>
      </c>
      <c r="D144" s="8" t="s">
        <v>29</v>
      </c>
      <c r="E144" s="10">
        <v>200000</v>
      </c>
      <c r="F144" s="8">
        <v>0.0216</v>
      </c>
      <c r="G144" s="11">
        <v>46178</v>
      </c>
      <c r="H144" s="12">
        <f t="shared" si="3"/>
        <v>4320</v>
      </c>
      <c r="I144" s="10" t="s">
        <v>10</v>
      </c>
      <c r="J144" s="13">
        <v>46132</v>
      </c>
      <c r="K144" t="s">
        <v>467</v>
      </c>
    </row>
    <row r="145" spans="1:11">
      <c r="A145" t="s">
        <v>319</v>
      </c>
      <c r="B145" s="8">
        <v>252603969</v>
      </c>
      <c r="C145" s="9">
        <v>46051</v>
      </c>
      <c r="D145" s="8" t="s">
        <v>29</v>
      </c>
      <c r="E145" s="10">
        <v>200000</v>
      </c>
      <c r="F145" s="8">
        <v>0.0216</v>
      </c>
      <c r="G145" s="11">
        <v>46208</v>
      </c>
      <c r="H145" s="12">
        <f t="shared" si="3"/>
        <v>4320</v>
      </c>
      <c r="I145" s="10" t="s">
        <v>10</v>
      </c>
      <c r="J145" s="13">
        <v>46132</v>
      </c>
      <c r="K145" t="s">
        <v>467</v>
      </c>
    </row>
    <row r="146" spans="1:11">
      <c r="A146" t="s">
        <v>319</v>
      </c>
      <c r="B146" s="8">
        <v>252603969</v>
      </c>
      <c r="C146" s="9">
        <v>46051</v>
      </c>
      <c r="D146" s="8" t="s">
        <v>29</v>
      </c>
      <c r="E146" s="10">
        <v>200000</v>
      </c>
      <c r="F146" s="8">
        <v>0.0216</v>
      </c>
      <c r="G146" s="11">
        <v>46208</v>
      </c>
      <c r="H146" s="12">
        <f t="shared" si="3"/>
        <v>4320</v>
      </c>
      <c r="I146" s="10" t="s">
        <v>10</v>
      </c>
      <c r="J146" s="13">
        <v>46132</v>
      </c>
      <c r="K146" t="s">
        <v>467</v>
      </c>
    </row>
    <row r="147" spans="1:11">
      <c r="A147" t="s">
        <v>319</v>
      </c>
      <c r="B147" s="8">
        <v>252603970</v>
      </c>
      <c r="C147" s="9">
        <v>46051</v>
      </c>
      <c r="D147" s="8" t="s">
        <v>29</v>
      </c>
      <c r="E147" s="10">
        <v>200000</v>
      </c>
      <c r="F147" s="8">
        <v>0.0216</v>
      </c>
      <c r="G147" s="11">
        <v>46208</v>
      </c>
      <c r="H147" s="12">
        <f t="shared" si="3"/>
        <v>4320</v>
      </c>
      <c r="I147" s="10" t="s">
        <v>10</v>
      </c>
      <c r="J147" s="13">
        <v>46184</v>
      </c>
      <c r="K147" t="s">
        <v>467</v>
      </c>
    </row>
    <row r="148" spans="1:11">
      <c r="A148" t="s">
        <v>319</v>
      </c>
      <c r="B148" s="8">
        <v>252603970</v>
      </c>
      <c r="C148" s="9">
        <v>46051</v>
      </c>
      <c r="D148" s="8" t="s">
        <v>29</v>
      </c>
      <c r="E148" s="10">
        <v>200000</v>
      </c>
      <c r="F148" s="8">
        <v>0.0216</v>
      </c>
      <c r="G148" s="11">
        <v>46208</v>
      </c>
      <c r="H148" s="12">
        <f t="shared" si="3"/>
        <v>4320</v>
      </c>
      <c r="I148" s="10" t="s">
        <v>10</v>
      </c>
      <c r="J148" s="13">
        <v>46184</v>
      </c>
      <c r="K148" t="s">
        <v>467</v>
      </c>
    </row>
    <row r="149" spans="1:11">
      <c r="A149" t="s">
        <v>319</v>
      </c>
      <c r="B149" s="8">
        <v>252603970</v>
      </c>
      <c r="C149" s="9">
        <v>46051</v>
      </c>
      <c r="D149" s="8" t="s">
        <v>29</v>
      </c>
      <c r="E149" s="10">
        <v>200000</v>
      </c>
      <c r="F149" s="8">
        <v>0.0216</v>
      </c>
      <c r="G149" s="11">
        <v>46208</v>
      </c>
      <c r="H149" s="12">
        <f t="shared" si="3"/>
        <v>4320</v>
      </c>
      <c r="I149" s="10" t="s">
        <v>10</v>
      </c>
      <c r="J149" s="13">
        <v>46184</v>
      </c>
      <c r="K149" t="s">
        <v>467</v>
      </c>
    </row>
    <row r="150" spans="1:11">
      <c r="A150" t="s">
        <v>319</v>
      </c>
      <c r="B150" s="8">
        <v>252603970</v>
      </c>
      <c r="C150" s="9">
        <v>46051</v>
      </c>
      <c r="D150" s="8" t="s">
        <v>78</v>
      </c>
      <c r="E150" s="10">
        <v>40000</v>
      </c>
      <c r="F150" s="8">
        <v>0.016</v>
      </c>
      <c r="G150" s="11">
        <v>46178</v>
      </c>
      <c r="H150" s="12">
        <f t="shared" si="3"/>
        <v>640</v>
      </c>
      <c r="I150" s="10" t="s">
        <v>10</v>
      </c>
      <c r="J150" s="13">
        <v>46184</v>
      </c>
      <c r="K150" t="s">
        <v>467</v>
      </c>
    </row>
    <row r="151" spans="1:11">
      <c r="A151" t="s">
        <v>319</v>
      </c>
      <c r="B151" s="8">
        <v>252603970</v>
      </c>
      <c r="C151" s="9">
        <v>46051</v>
      </c>
      <c r="D151" s="8" t="s">
        <v>78</v>
      </c>
      <c r="E151" s="10">
        <v>40000</v>
      </c>
      <c r="F151" s="8">
        <v>0.016</v>
      </c>
      <c r="G151" s="11">
        <v>46208</v>
      </c>
      <c r="H151" s="12">
        <f t="shared" si="3"/>
        <v>640</v>
      </c>
      <c r="I151" s="10" t="s">
        <v>10</v>
      </c>
      <c r="J151" s="13">
        <v>46184</v>
      </c>
      <c r="K151" t="s">
        <v>467</v>
      </c>
    </row>
    <row r="152" spans="1:11">
      <c r="A152" t="s">
        <v>319</v>
      </c>
      <c r="B152" s="8">
        <v>252603977</v>
      </c>
      <c r="C152" s="9">
        <v>46055</v>
      </c>
      <c r="D152" s="8" t="s">
        <v>162</v>
      </c>
      <c r="E152" s="10">
        <v>200000</v>
      </c>
      <c r="F152" s="8">
        <v>0.05</v>
      </c>
      <c r="G152" s="11">
        <v>46086</v>
      </c>
      <c r="H152" s="12">
        <f t="shared" si="3"/>
        <v>10000</v>
      </c>
      <c r="I152" s="10" t="s">
        <v>10</v>
      </c>
      <c r="J152" s="13">
        <v>46057</v>
      </c>
      <c r="K152" t="s">
        <v>377</v>
      </c>
    </row>
    <row r="153" spans="1:11">
      <c r="A153" t="s">
        <v>319</v>
      </c>
      <c r="B153" s="8">
        <v>252603977</v>
      </c>
      <c r="C153" s="9">
        <v>46055</v>
      </c>
      <c r="D153" s="8" t="s">
        <v>50</v>
      </c>
      <c r="E153" s="10">
        <v>100000</v>
      </c>
      <c r="F153" s="8">
        <v>0.08</v>
      </c>
      <c r="G153" s="11">
        <v>46117</v>
      </c>
      <c r="H153" s="12">
        <f t="shared" si="3"/>
        <v>8000</v>
      </c>
      <c r="I153" s="10" t="s">
        <v>10</v>
      </c>
      <c r="J153" s="13">
        <v>46057</v>
      </c>
      <c r="K153" t="s">
        <v>377</v>
      </c>
    </row>
    <row r="154" spans="1:11">
      <c r="A154" t="s">
        <v>319</v>
      </c>
      <c r="B154" s="8">
        <v>252603977</v>
      </c>
      <c r="C154" s="9">
        <v>46055</v>
      </c>
      <c r="D154" s="8" t="s">
        <v>46</v>
      </c>
      <c r="E154" s="10">
        <v>48000</v>
      </c>
      <c r="F154" s="8">
        <v>0.02</v>
      </c>
      <c r="G154" s="11">
        <v>46117</v>
      </c>
      <c r="H154" s="12">
        <f t="shared" si="3"/>
        <v>960</v>
      </c>
      <c r="I154" s="10" t="s">
        <v>10</v>
      </c>
      <c r="J154" s="13">
        <v>46057</v>
      </c>
      <c r="K154" t="s">
        <v>377</v>
      </c>
    </row>
    <row r="155" spans="1:11">
      <c r="A155" t="s">
        <v>319</v>
      </c>
      <c r="B155" s="8">
        <v>252603977</v>
      </c>
      <c r="C155" s="9">
        <v>46055</v>
      </c>
      <c r="D155" s="8" t="s">
        <v>502</v>
      </c>
      <c r="E155" s="10">
        <v>100000</v>
      </c>
      <c r="F155" s="8">
        <v>0.1</v>
      </c>
      <c r="G155" s="11">
        <v>46117</v>
      </c>
      <c r="H155" s="12">
        <f t="shared" si="3"/>
        <v>10000</v>
      </c>
      <c r="I155" s="10" t="s">
        <v>10</v>
      </c>
      <c r="J155" s="13">
        <v>46057</v>
      </c>
      <c r="K155" t="s">
        <v>377</v>
      </c>
    </row>
    <row r="156" spans="1:11">
      <c r="A156" t="s">
        <v>319</v>
      </c>
      <c r="B156" s="8">
        <v>252603977</v>
      </c>
      <c r="C156" s="9">
        <v>46055</v>
      </c>
      <c r="D156" s="8" t="s">
        <v>558</v>
      </c>
      <c r="E156" s="10">
        <v>80000</v>
      </c>
      <c r="F156" s="8">
        <v>0.07</v>
      </c>
      <c r="G156" s="11">
        <v>46117</v>
      </c>
      <c r="H156" s="12">
        <f t="shared" si="3"/>
        <v>5600</v>
      </c>
      <c r="I156" s="10" t="s">
        <v>10</v>
      </c>
      <c r="J156" s="13">
        <v>46057</v>
      </c>
      <c r="K156" t="s">
        <v>377</v>
      </c>
    </row>
    <row r="157" spans="1:11">
      <c r="A157" t="s">
        <v>319</v>
      </c>
      <c r="B157" s="8">
        <v>252603977</v>
      </c>
      <c r="C157" s="9">
        <v>46055</v>
      </c>
      <c r="D157" s="8" t="s">
        <v>558</v>
      </c>
      <c r="E157" s="10">
        <v>80000</v>
      </c>
      <c r="F157" s="8">
        <v>0.07</v>
      </c>
      <c r="G157" s="11">
        <v>46117</v>
      </c>
      <c r="H157" s="12">
        <f t="shared" si="3"/>
        <v>5600</v>
      </c>
      <c r="I157" s="10" t="s">
        <v>10</v>
      </c>
      <c r="J157" s="13">
        <v>46057</v>
      </c>
      <c r="K157" t="s">
        <v>377</v>
      </c>
    </row>
    <row r="158" spans="1:11">
      <c r="A158" t="s">
        <v>319</v>
      </c>
      <c r="B158" s="8">
        <v>252603977</v>
      </c>
      <c r="C158" s="9">
        <v>46055</v>
      </c>
      <c r="D158" s="8" t="s">
        <v>557</v>
      </c>
      <c r="E158" s="10">
        <v>50000</v>
      </c>
      <c r="F158" s="8">
        <v>0.026</v>
      </c>
      <c r="G158" s="11">
        <v>46117</v>
      </c>
      <c r="H158" s="12">
        <f t="shared" si="3"/>
        <v>1300</v>
      </c>
      <c r="I158" s="10" t="s">
        <v>10</v>
      </c>
      <c r="J158" s="13">
        <v>46057</v>
      </c>
      <c r="K158" t="s">
        <v>377</v>
      </c>
    </row>
    <row r="159" spans="1:11">
      <c r="A159" t="s">
        <v>319</v>
      </c>
      <c r="B159" s="8">
        <v>252603977</v>
      </c>
      <c r="C159" s="9">
        <v>46055</v>
      </c>
      <c r="D159" s="8" t="s">
        <v>511</v>
      </c>
      <c r="E159" s="10">
        <v>32000</v>
      </c>
      <c r="F159" s="8">
        <v>0.041</v>
      </c>
      <c r="G159" s="11">
        <v>46117</v>
      </c>
      <c r="H159" s="12">
        <f t="shared" si="3"/>
        <v>1312</v>
      </c>
      <c r="I159" s="10" t="s">
        <v>10</v>
      </c>
      <c r="J159" s="13">
        <v>46057</v>
      </c>
      <c r="K159" t="s">
        <v>377</v>
      </c>
    </row>
    <row r="160" spans="1:11">
      <c r="A160" t="s">
        <v>319</v>
      </c>
      <c r="B160" s="8">
        <v>252603989</v>
      </c>
      <c r="C160" s="9">
        <v>46055</v>
      </c>
      <c r="D160" s="8" t="s">
        <v>30</v>
      </c>
      <c r="E160" s="10">
        <v>200000</v>
      </c>
      <c r="F160" s="8">
        <v>0.022</v>
      </c>
      <c r="G160" s="11">
        <v>46086</v>
      </c>
      <c r="H160" s="12">
        <f t="shared" si="3"/>
        <v>4400</v>
      </c>
      <c r="I160" s="10" t="s">
        <v>10</v>
      </c>
      <c r="J160" s="13">
        <v>46062</v>
      </c>
      <c r="K160" t="s">
        <v>445</v>
      </c>
    </row>
    <row r="161" spans="1:11">
      <c r="A161" t="s">
        <v>319</v>
      </c>
      <c r="B161" s="8">
        <v>252603989</v>
      </c>
      <c r="C161" s="9">
        <v>46055</v>
      </c>
      <c r="D161" s="8" t="s">
        <v>30</v>
      </c>
      <c r="E161" s="10">
        <v>200000</v>
      </c>
      <c r="F161" s="8">
        <v>0.022</v>
      </c>
      <c r="G161" s="11">
        <v>46086</v>
      </c>
      <c r="H161" s="12">
        <f t="shared" si="3"/>
        <v>4400</v>
      </c>
      <c r="I161" s="10" t="s">
        <v>10</v>
      </c>
      <c r="J161" s="13">
        <v>46062</v>
      </c>
      <c r="K161" t="s">
        <v>445</v>
      </c>
    </row>
    <row r="162" spans="1:11">
      <c r="A162" t="s">
        <v>319</v>
      </c>
      <c r="B162" s="8">
        <v>252603989</v>
      </c>
      <c r="C162" s="9">
        <v>46055</v>
      </c>
      <c r="D162" s="8" t="s">
        <v>30</v>
      </c>
      <c r="E162" s="10">
        <v>200000</v>
      </c>
      <c r="F162" s="8">
        <v>0.022</v>
      </c>
      <c r="G162" s="11">
        <v>46086</v>
      </c>
      <c r="H162" s="12">
        <f t="shared" si="3"/>
        <v>4400</v>
      </c>
      <c r="I162" s="10" t="s">
        <v>10</v>
      </c>
      <c r="J162" s="13">
        <v>46062</v>
      </c>
      <c r="K162" t="s">
        <v>445</v>
      </c>
    </row>
    <row r="163" spans="1:11">
      <c r="A163" t="s">
        <v>319</v>
      </c>
      <c r="B163" s="8">
        <v>252603989</v>
      </c>
      <c r="C163" s="9">
        <v>46055</v>
      </c>
      <c r="D163" s="8" t="s">
        <v>30</v>
      </c>
      <c r="E163" s="10">
        <v>200000</v>
      </c>
      <c r="F163" s="8">
        <v>0.022</v>
      </c>
      <c r="G163" s="11">
        <v>46086</v>
      </c>
      <c r="H163" s="12">
        <f t="shared" si="3"/>
        <v>4400</v>
      </c>
      <c r="I163" s="10" t="s">
        <v>10</v>
      </c>
      <c r="J163" s="13">
        <v>46062</v>
      </c>
      <c r="K163" t="s">
        <v>445</v>
      </c>
    </row>
    <row r="164" spans="1:11">
      <c r="A164" t="s">
        <v>319</v>
      </c>
      <c r="B164" s="8">
        <v>252603989</v>
      </c>
      <c r="C164" s="9">
        <v>46055</v>
      </c>
      <c r="D164" s="8" t="s">
        <v>30</v>
      </c>
      <c r="E164" s="10">
        <v>200000</v>
      </c>
      <c r="F164" s="8">
        <v>0.022</v>
      </c>
      <c r="G164" s="11">
        <v>46117</v>
      </c>
      <c r="H164" s="12">
        <f t="shared" si="3"/>
        <v>4400</v>
      </c>
      <c r="I164" s="10" t="s">
        <v>10</v>
      </c>
      <c r="J164" s="13">
        <v>46062</v>
      </c>
      <c r="K164" t="s">
        <v>445</v>
      </c>
    </row>
    <row r="165" spans="1:11">
      <c r="A165" t="s">
        <v>319</v>
      </c>
      <c r="B165" s="8">
        <v>252603989</v>
      </c>
      <c r="C165" s="9">
        <v>46055</v>
      </c>
      <c r="D165" s="8" t="s">
        <v>30</v>
      </c>
      <c r="E165" s="10">
        <v>200000</v>
      </c>
      <c r="F165" s="8">
        <v>0.022</v>
      </c>
      <c r="G165" s="11">
        <v>46117</v>
      </c>
      <c r="H165" s="12">
        <f t="shared" si="3"/>
        <v>4400</v>
      </c>
      <c r="I165" s="10" t="s">
        <v>10</v>
      </c>
      <c r="J165" s="13">
        <v>46062</v>
      </c>
      <c r="K165" t="s">
        <v>445</v>
      </c>
    </row>
    <row r="166" spans="1:11">
      <c r="A166" t="s">
        <v>319</v>
      </c>
      <c r="B166" s="8">
        <v>252603989</v>
      </c>
      <c r="C166" s="9">
        <v>46055</v>
      </c>
      <c r="D166" s="8" t="s">
        <v>30</v>
      </c>
      <c r="E166" s="10">
        <v>200000</v>
      </c>
      <c r="F166" s="8">
        <v>0.022</v>
      </c>
      <c r="G166" s="11">
        <v>46117</v>
      </c>
      <c r="H166" s="12">
        <f t="shared" si="3"/>
        <v>4400</v>
      </c>
      <c r="I166" s="10" t="s">
        <v>10</v>
      </c>
      <c r="J166" s="13">
        <v>46062</v>
      </c>
      <c r="K166" t="s">
        <v>445</v>
      </c>
    </row>
    <row r="167" spans="1:11">
      <c r="A167" t="s">
        <v>319</v>
      </c>
      <c r="B167" s="8">
        <v>252603989</v>
      </c>
      <c r="C167" s="9">
        <v>46055</v>
      </c>
      <c r="D167" s="8" t="s">
        <v>30</v>
      </c>
      <c r="E167" s="10">
        <v>200000</v>
      </c>
      <c r="F167" s="8">
        <v>0.022</v>
      </c>
      <c r="G167" s="11">
        <v>46117</v>
      </c>
      <c r="H167" s="12">
        <f t="shared" si="3"/>
        <v>4400</v>
      </c>
      <c r="I167" s="10" t="s">
        <v>10</v>
      </c>
      <c r="J167" s="13">
        <v>46062</v>
      </c>
      <c r="K167" t="s">
        <v>445</v>
      </c>
    </row>
    <row r="168" spans="1:11">
      <c r="A168" t="s">
        <v>319</v>
      </c>
      <c r="B168" s="8">
        <v>252603990</v>
      </c>
      <c r="C168" s="9">
        <v>46055</v>
      </c>
      <c r="D168" s="8" t="s">
        <v>30</v>
      </c>
      <c r="E168" s="10">
        <v>200000</v>
      </c>
      <c r="F168" s="8">
        <v>0.022</v>
      </c>
      <c r="G168" s="11">
        <v>46147</v>
      </c>
      <c r="H168" s="12">
        <f t="shared" si="3"/>
        <v>4400</v>
      </c>
      <c r="I168" s="10" t="s">
        <v>10</v>
      </c>
      <c r="J168" s="13">
        <v>46126</v>
      </c>
      <c r="K168" t="s">
        <v>445</v>
      </c>
    </row>
    <row r="169" spans="1:11">
      <c r="A169" t="s">
        <v>319</v>
      </c>
      <c r="B169" s="8">
        <v>252603990</v>
      </c>
      <c r="C169" s="9">
        <v>46055</v>
      </c>
      <c r="D169" s="8" t="s">
        <v>30</v>
      </c>
      <c r="E169" s="10">
        <v>200000</v>
      </c>
      <c r="F169" s="8">
        <v>0.022</v>
      </c>
      <c r="G169" s="11">
        <v>46147</v>
      </c>
      <c r="H169" s="12">
        <f t="shared" si="3"/>
        <v>4400</v>
      </c>
      <c r="I169" s="10" t="s">
        <v>10</v>
      </c>
      <c r="J169" s="13">
        <v>46126</v>
      </c>
      <c r="K169" t="s">
        <v>445</v>
      </c>
    </row>
    <row r="170" spans="1:11">
      <c r="A170" t="s">
        <v>319</v>
      </c>
      <c r="B170" s="8">
        <v>252603990</v>
      </c>
      <c r="C170" s="9">
        <v>46055</v>
      </c>
      <c r="D170" s="8" t="s">
        <v>30</v>
      </c>
      <c r="E170" s="10">
        <v>200000</v>
      </c>
      <c r="F170" s="8">
        <v>0.022</v>
      </c>
      <c r="G170" s="11">
        <v>46147</v>
      </c>
      <c r="H170" s="12">
        <f t="shared" si="3"/>
        <v>4400</v>
      </c>
      <c r="I170" s="10" t="s">
        <v>10</v>
      </c>
      <c r="J170" s="13">
        <v>46126</v>
      </c>
      <c r="K170" t="s">
        <v>445</v>
      </c>
    </row>
    <row r="171" spans="1:11">
      <c r="A171" t="s">
        <v>319</v>
      </c>
      <c r="B171" s="8">
        <v>252603990</v>
      </c>
      <c r="C171" s="9">
        <v>46055</v>
      </c>
      <c r="D171" s="8" t="s">
        <v>30</v>
      </c>
      <c r="E171" s="10">
        <v>200000</v>
      </c>
      <c r="F171" s="8">
        <v>0.022</v>
      </c>
      <c r="G171" s="11">
        <v>46147</v>
      </c>
      <c r="H171" s="12">
        <f t="shared" si="3"/>
        <v>4400</v>
      </c>
      <c r="I171" s="10" t="s">
        <v>10</v>
      </c>
      <c r="J171" s="13">
        <v>46126</v>
      </c>
      <c r="K171" t="s">
        <v>445</v>
      </c>
    </row>
    <row r="172" spans="1:11">
      <c r="A172" t="s">
        <v>319</v>
      </c>
      <c r="B172" s="8">
        <v>252603990</v>
      </c>
      <c r="C172" s="9">
        <v>46055</v>
      </c>
      <c r="D172" s="8" t="s">
        <v>30</v>
      </c>
      <c r="E172" s="10">
        <v>200000</v>
      </c>
      <c r="F172" s="8">
        <v>0.022</v>
      </c>
      <c r="G172" s="11">
        <v>46178</v>
      </c>
      <c r="H172" s="12">
        <f t="shared" si="3"/>
        <v>4400</v>
      </c>
      <c r="I172" s="10" t="s">
        <v>10</v>
      </c>
      <c r="J172" s="13">
        <v>46126</v>
      </c>
      <c r="K172" t="s">
        <v>445</v>
      </c>
    </row>
    <row r="173" spans="1:11">
      <c r="A173" t="s">
        <v>319</v>
      </c>
      <c r="B173" s="8">
        <v>252603990</v>
      </c>
      <c r="C173" s="9">
        <v>46055</v>
      </c>
      <c r="D173" s="8" t="s">
        <v>30</v>
      </c>
      <c r="E173" s="10">
        <v>200000</v>
      </c>
      <c r="F173" s="8">
        <v>0.022</v>
      </c>
      <c r="G173" s="11">
        <v>46178</v>
      </c>
      <c r="H173" s="12">
        <f t="shared" si="3"/>
        <v>4400</v>
      </c>
      <c r="I173" s="10" t="s">
        <v>10</v>
      </c>
      <c r="J173" s="13">
        <v>46126</v>
      </c>
      <c r="K173" t="s">
        <v>445</v>
      </c>
    </row>
    <row r="174" spans="1:11">
      <c r="A174" t="s">
        <v>319</v>
      </c>
      <c r="B174" s="8">
        <v>252603990</v>
      </c>
      <c r="C174" s="9">
        <v>46055</v>
      </c>
      <c r="D174" s="8" t="s">
        <v>30</v>
      </c>
      <c r="E174" s="10">
        <v>200000</v>
      </c>
      <c r="F174" s="8">
        <v>0.022</v>
      </c>
      <c r="G174" s="11">
        <v>46178</v>
      </c>
      <c r="H174" s="12">
        <f t="shared" si="3"/>
        <v>4400</v>
      </c>
      <c r="I174" s="10" t="s">
        <v>10</v>
      </c>
      <c r="J174" s="13">
        <v>46126</v>
      </c>
      <c r="K174" t="s">
        <v>445</v>
      </c>
    </row>
    <row r="175" spans="1:11">
      <c r="A175" t="s">
        <v>319</v>
      </c>
      <c r="B175" s="8">
        <v>252603990</v>
      </c>
      <c r="C175" s="9">
        <v>46055</v>
      </c>
      <c r="D175" s="8" t="s">
        <v>604</v>
      </c>
      <c r="E175" s="10">
        <v>200000</v>
      </c>
      <c r="F175" s="8">
        <v>0.015</v>
      </c>
      <c r="G175" s="11">
        <v>46147</v>
      </c>
      <c r="H175" s="12">
        <f t="shared" si="3"/>
        <v>3000</v>
      </c>
      <c r="I175" s="10" t="s">
        <v>10</v>
      </c>
      <c r="J175" s="13">
        <v>46113</v>
      </c>
      <c r="K175" t="s">
        <v>445</v>
      </c>
    </row>
    <row r="176" spans="1:11">
      <c r="A176" t="s">
        <v>319</v>
      </c>
      <c r="B176" s="8">
        <v>252603990</v>
      </c>
      <c r="C176" s="9">
        <v>46055</v>
      </c>
      <c r="D176" s="8" t="s">
        <v>604</v>
      </c>
      <c r="E176" s="10">
        <v>200000</v>
      </c>
      <c r="F176" s="8">
        <v>0.015</v>
      </c>
      <c r="G176" s="11">
        <v>46178</v>
      </c>
      <c r="H176" s="12">
        <f t="shared" si="3"/>
        <v>3000</v>
      </c>
      <c r="I176" s="10" t="s">
        <v>10</v>
      </c>
      <c r="J176" s="13">
        <v>46113</v>
      </c>
      <c r="K176" t="s">
        <v>445</v>
      </c>
    </row>
    <row r="177" spans="1:11">
      <c r="A177" t="s">
        <v>319</v>
      </c>
      <c r="B177" s="8">
        <v>252604067</v>
      </c>
      <c r="C177" s="9">
        <v>46057</v>
      </c>
      <c r="D177" s="8" t="s">
        <v>127</v>
      </c>
      <c r="E177" s="10">
        <v>200000</v>
      </c>
      <c r="F177" s="8">
        <v>0.03</v>
      </c>
      <c r="G177" s="11">
        <v>46117</v>
      </c>
      <c r="H177" s="12">
        <f t="shared" si="3"/>
        <v>6000</v>
      </c>
      <c r="I177" s="10" t="s">
        <v>10</v>
      </c>
      <c r="J177" s="13">
        <v>46063</v>
      </c>
      <c r="K177" t="s">
        <v>615</v>
      </c>
    </row>
    <row r="178" spans="1:11">
      <c r="A178" t="s">
        <v>319</v>
      </c>
      <c r="B178" s="8">
        <v>252604067</v>
      </c>
      <c r="C178" s="9">
        <v>46057</v>
      </c>
      <c r="D178" s="8" t="s">
        <v>127</v>
      </c>
      <c r="E178" s="10">
        <v>100000</v>
      </c>
      <c r="F178" s="8">
        <v>0.03</v>
      </c>
      <c r="G178" s="11">
        <v>46117</v>
      </c>
      <c r="H178" s="12">
        <f t="shared" si="3"/>
        <v>3000</v>
      </c>
      <c r="I178" s="10" t="s">
        <v>10</v>
      </c>
      <c r="J178" s="13">
        <v>46063</v>
      </c>
      <c r="K178" t="s">
        <v>615</v>
      </c>
    </row>
    <row r="179" spans="1:11">
      <c r="A179" t="s">
        <v>319</v>
      </c>
      <c r="B179" s="8">
        <v>252604067</v>
      </c>
      <c r="C179" s="9">
        <v>46057</v>
      </c>
      <c r="D179" s="8" t="s">
        <v>128</v>
      </c>
      <c r="E179" s="10">
        <v>110000</v>
      </c>
      <c r="F179" s="8">
        <v>0.025</v>
      </c>
      <c r="G179" s="11">
        <v>46117</v>
      </c>
      <c r="H179" s="12">
        <f t="shared" si="3"/>
        <v>2750</v>
      </c>
      <c r="I179" s="10" t="s">
        <v>10</v>
      </c>
      <c r="J179" s="13">
        <v>46063</v>
      </c>
      <c r="K179" t="s">
        <v>615</v>
      </c>
    </row>
    <row r="180" spans="1:11">
      <c r="A180" t="s">
        <v>319</v>
      </c>
      <c r="B180" s="8">
        <v>252604067</v>
      </c>
      <c r="C180" s="9">
        <v>46057</v>
      </c>
      <c r="D180" s="8" t="s">
        <v>128</v>
      </c>
      <c r="E180" s="10">
        <v>110000</v>
      </c>
      <c r="F180" s="8">
        <v>0.025</v>
      </c>
      <c r="G180" s="11">
        <v>46117</v>
      </c>
      <c r="H180" s="12">
        <f t="shared" si="3"/>
        <v>2750</v>
      </c>
      <c r="I180" s="10" t="s">
        <v>10</v>
      </c>
      <c r="J180" s="13">
        <v>46063</v>
      </c>
      <c r="K180" t="s">
        <v>615</v>
      </c>
    </row>
    <row r="181" spans="1:11">
      <c r="A181" t="s">
        <v>319</v>
      </c>
      <c r="B181" s="8">
        <v>252604067</v>
      </c>
      <c r="C181" s="9">
        <v>46057</v>
      </c>
      <c r="D181" s="8" t="s">
        <v>32</v>
      </c>
      <c r="E181" s="10">
        <v>100000</v>
      </c>
      <c r="F181" s="8">
        <v>0.014</v>
      </c>
      <c r="G181" s="11">
        <v>46086</v>
      </c>
      <c r="H181" s="12">
        <f t="shared" si="3"/>
        <v>1400</v>
      </c>
      <c r="I181" s="10" t="s">
        <v>10</v>
      </c>
      <c r="J181" s="13">
        <v>46063</v>
      </c>
      <c r="K181" t="s">
        <v>615</v>
      </c>
    </row>
    <row r="182" spans="1:11">
      <c r="A182" t="s">
        <v>319</v>
      </c>
      <c r="B182" s="8">
        <v>252604067</v>
      </c>
      <c r="C182" s="9">
        <v>46057</v>
      </c>
      <c r="D182" s="8" t="s">
        <v>32</v>
      </c>
      <c r="E182" s="10">
        <v>100000</v>
      </c>
      <c r="F182" s="8">
        <v>0.014</v>
      </c>
      <c r="G182" s="11">
        <v>46117</v>
      </c>
      <c r="H182" s="12">
        <f t="shared" si="3"/>
        <v>1400</v>
      </c>
      <c r="I182" s="10" t="s">
        <v>10</v>
      </c>
      <c r="J182" s="13">
        <v>46063</v>
      </c>
      <c r="K182" t="s">
        <v>615</v>
      </c>
    </row>
    <row r="183" spans="1:11">
      <c r="A183" t="s">
        <v>319</v>
      </c>
      <c r="B183" s="8">
        <v>252604067</v>
      </c>
      <c r="C183" s="9">
        <v>46057</v>
      </c>
      <c r="D183" s="8" t="s">
        <v>58</v>
      </c>
      <c r="E183" s="10">
        <v>40000</v>
      </c>
      <c r="F183" s="8">
        <v>0.014</v>
      </c>
      <c r="G183" s="11">
        <v>46117</v>
      </c>
      <c r="H183" s="12">
        <f t="shared" si="3"/>
        <v>560</v>
      </c>
      <c r="I183" s="10" t="s">
        <v>10</v>
      </c>
      <c r="J183" s="13">
        <v>46063</v>
      </c>
      <c r="K183" t="s">
        <v>615</v>
      </c>
    </row>
    <row r="184" spans="1:11">
      <c r="A184" t="s">
        <v>319</v>
      </c>
      <c r="B184" s="8">
        <v>252604067</v>
      </c>
      <c r="C184" s="9">
        <v>46057</v>
      </c>
      <c r="D184" s="8" t="s">
        <v>387</v>
      </c>
      <c r="E184" s="10">
        <v>100000</v>
      </c>
      <c r="F184" s="8">
        <v>0.025</v>
      </c>
      <c r="G184" s="11">
        <v>46117</v>
      </c>
      <c r="H184" s="12">
        <f t="shared" si="3"/>
        <v>2500</v>
      </c>
      <c r="I184" s="10" t="s">
        <v>10</v>
      </c>
      <c r="J184" s="13">
        <v>46063</v>
      </c>
      <c r="K184" t="s">
        <v>615</v>
      </c>
    </row>
    <row r="185" spans="1:11">
      <c r="A185" t="s">
        <v>319</v>
      </c>
      <c r="B185" s="8">
        <v>252604067</v>
      </c>
      <c r="C185" s="9">
        <v>46057</v>
      </c>
      <c r="D185" s="8" t="s">
        <v>516</v>
      </c>
      <c r="E185" s="10">
        <v>130000</v>
      </c>
      <c r="F185" s="8">
        <v>0.032</v>
      </c>
      <c r="G185" s="11">
        <v>46117</v>
      </c>
      <c r="H185" s="12">
        <f t="shared" si="3"/>
        <v>4160</v>
      </c>
      <c r="I185" s="10" t="s">
        <v>10</v>
      </c>
      <c r="J185" s="13">
        <v>46059</v>
      </c>
      <c r="K185" t="s">
        <v>615</v>
      </c>
    </row>
    <row r="186" spans="1:11">
      <c r="A186" t="s">
        <v>319</v>
      </c>
      <c r="B186" s="8">
        <v>252604067</v>
      </c>
      <c r="C186" s="9">
        <v>46057</v>
      </c>
      <c r="D186" s="8" t="s">
        <v>515</v>
      </c>
      <c r="E186" s="10">
        <v>150000</v>
      </c>
      <c r="F186" s="8">
        <v>0.0238</v>
      </c>
      <c r="G186" s="11">
        <v>46117</v>
      </c>
      <c r="H186" s="12">
        <f t="shared" si="3"/>
        <v>3570</v>
      </c>
      <c r="I186" s="10" t="s">
        <v>10</v>
      </c>
      <c r="J186" s="13">
        <v>46059</v>
      </c>
      <c r="K186" t="s">
        <v>615</v>
      </c>
    </row>
    <row r="187" spans="1:11">
      <c r="A187" t="s">
        <v>319</v>
      </c>
      <c r="B187" s="8">
        <v>252604067</v>
      </c>
      <c r="C187" s="9">
        <v>46057</v>
      </c>
      <c r="D187" s="8" t="s">
        <v>515</v>
      </c>
      <c r="E187" s="10">
        <v>100000</v>
      </c>
      <c r="F187" s="8">
        <v>0.0238</v>
      </c>
      <c r="G187" s="11">
        <v>46117</v>
      </c>
      <c r="H187" s="12">
        <f t="shared" si="3"/>
        <v>2380</v>
      </c>
      <c r="I187" s="10" t="s">
        <v>10</v>
      </c>
      <c r="J187" s="13">
        <v>46059</v>
      </c>
      <c r="K187" t="s">
        <v>615</v>
      </c>
    </row>
    <row r="188" spans="1:11">
      <c r="A188" t="s">
        <v>319</v>
      </c>
      <c r="B188" s="8">
        <v>252604068</v>
      </c>
      <c r="C188" s="9">
        <v>46057</v>
      </c>
      <c r="D188" s="8" t="s">
        <v>127</v>
      </c>
      <c r="E188" s="10">
        <v>200000</v>
      </c>
      <c r="F188" s="8">
        <v>0.03</v>
      </c>
      <c r="G188" s="11">
        <v>46147</v>
      </c>
      <c r="H188" s="12">
        <f t="shared" si="3"/>
        <v>6000</v>
      </c>
      <c r="I188" s="10" t="s">
        <v>10</v>
      </c>
      <c r="J188" s="13">
        <v>46101</v>
      </c>
      <c r="K188" t="s">
        <v>615</v>
      </c>
    </row>
    <row r="189" spans="1:11">
      <c r="A189" t="s">
        <v>319</v>
      </c>
      <c r="B189" s="8">
        <v>252604068</v>
      </c>
      <c r="C189" s="9">
        <v>46057</v>
      </c>
      <c r="D189" s="8" t="s">
        <v>127</v>
      </c>
      <c r="E189" s="10">
        <v>100000</v>
      </c>
      <c r="F189" s="8">
        <v>0.03</v>
      </c>
      <c r="G189" s="11">
        <v>46147</v>
      </c>
      <c r="H189" s="12">
        <f t="shared" si="3"/>
        <v>3000</v>
      </c>
      <c r="I189" s="10" t="s">
        <v>10</v>
      </c>
      <c r="J189" s="13">
        <v>46101</v>
      </c>
      <c r="K189" t="s">
        <v>615</v>
      </c>
    </row>
    <row r="190" spans="1:11">
      <c r="A190" t="s">
        <v>319</v>
      </c>
      <c r="B190" s="8">
        <v>252604068</v>
      </c>
      <c r="C190" s="9">
        <v>46057</v>
      </c>
      <c r="D190" s="8" t="s">
        <v>127</v>
      </c>
      <c r="E190" s="10">
        <v>200000</v>
      </c>
      <c r="F190" s="8">
        <v>0.03</v>
      </c>
      <c r="G190" s="11">
        <v>46178</v>
      </c>
      <c r="H190" s="12">
        <f t="shared" si="3"/>
        <v>6000</v>
      </c>
      <c r="I190" s="10" t="s">
        <v>10</v>
      </c>
      <c r="J190" s="13">
        <v>46101</v>
      </c>
      <c r="K190" t="s">
        <v>615</v>
      </c>
    </row>
    <row r="191" spans="1:11">
      <c r="A191" t="s">
        <v>319</v>
      </c>
      <c r="B191" s="8">
        <v>252604068</v>
      </c>
      <c r="C191" s="9">
        <v>46057</v>
      </c>
      <c r="D191" s="8" t="s">
        <v>127</v>
      </c>
      <c r="E191" s="10">
        <v>100000</v>
      </c>
      <c r="F191" s="8">
        <v>0.03</v>
      </c>
      <c r="G191" s="11">
        <v>46178</v>
      </c>
      <c r="H191" s="12">
        <f t="shared" si="3"/>
        <v>3000</v>
      </c>
      <c r="I191" s="10" t="s">
        <v>10</v>
      </c>
      <c r="J191" s="13">
        <v>46101</v>
      </c>
      <c r="K191" t="s">
        <v>615</v>
      </c>
    </row>
    <row r="192" spans="1:11">
      <c r="A192" t="s">
        <v>319</v>
      </c>
      <c r="B192" s="8">
        <v>252604068</v>
      </c>
      <c r="C192" s="9">
        <v>46057</v>
      </c>
      <c r="D192" s="8" t="s">
        <v>129</v>
      </c>
      <c r="E192" s="10">
        <v>200000</v>
      </c>
      <c r="F192" s="8">
        <v>0.025</v>
      </c>
      <c r="G192" s="11">
        <v>46147</v>
      </c>
      <c r="H192" s="12">
        <f t="shared" si="3"/>
        <v>5000</v>
      </c>
      <c r="I192" s="10" t="s">
        <v>10</v>
      </c>
      <c r="J192" s="13">
        <v>46101</v>
      </c>
      <c r="K192" t="s">
        <v>615</v>
      </c>
    </row>
    <row r="193" spans="1:11">
      <c r="A193" t="s">
        <v>319</v>
      </c>
      <c r="B193" s="8">
        <v>252604068</v>
      </c>
      <c r="C193" s="9">
        <v>46057</v>
      </c>
      <c r="D193" s="8" t="s">
        <v>129</v>
      </c>
      <c r="E193" s="10">
        <v>200000</v>
      </c>
      <c r="F193" s="8">
        <v>0.025</v>
      </c>
      <c r="G193" s="11">
        <v>46178</v>
      </c>
      <c r="H193" s="12">
        <f t="shared" si="3"/>
        <v>5000</v>
      </c>
      <c r="I193" s="10" t="s">
        <v>10</v>
      </c>
      <c r="J193" s="13">
        <v>46101</v>
      </c>
      <c r="K193" t="s">
        <v>615</v>
      </c>
    </row>
    <row r="194" spans="1:11">
      <c r="A194" t="s">
        <v>319</v>
      </c>
      <c r="B194" s="8">
        <v>252604068</v>
      </c>
      <c r="C194" s="9">
        <v>46057</v>
      </c>
      <c r="D194" s="8" t="s">
        <v>128</v>
      </c>
      <c r="E194" s="10">
        <v>110000</v>
      </c>
      <c r="F194" s="8">
        <v>0.025</v>
      </c>
      <c r="G194" s="11">
        <v>46147</v>
      </c>
      <c r="H194" s="12">
        <f t="shared" si="3"/>
        <v>2750</v>
      </c>
      <c r="I194" s="10" t="s">
        <v>10</v>
      </c>
      <c r="J194" s="13">
        <v>46101</v>
      </c>
      <c r="K194" t="s">
        <v>615</v>
      </c>
    </row>
    <row r="195" spans="1:11">
      <c r="A195" t="s">
        <v>319</v>
      </c>
      <c r="B195" s="8">
        <v>252604068</v>
      </c>
      <c r="C195" s="9">
        <v>46057</v>
      </c>
      <c r="D195" s="8" t="s">
        <v>128</v>
      </c>
      <c r="E195" s="10">
        <v>110000</v>
      </c>
      <c r="F195" s="8">
        <v>0.025</v>
      </c>
      <c r="G195" s="11">
        <v>46147</v>
      </c>
      <c r="H195" s="12">
        <f t="shared" si="3"/>
        <v>2750</v>
      </c>
      <c r="I195" s="10" t="s">
        <v>10</v>
      </c>
      <c r="J195" s="13">
        <v>46101</v>
      </c>
      <c r="K195" t="s">
        <v>615</v>
      </c>
    </row>
    <row r="196" spans="1:11">
      <c r="A196" t="s">
        <v>319</v>
      </c>
      <c r="B196" s="8">
        <v>252604068</v>
      </c>
      <c r="C196" s="9">
        <v>46057</v>
      </c>
      <c r="D196" s="8" t="s">
        <v>128</v>
      </c>
      <c r="E196" s="10">
        <v>110000</v>
      </c>
      <c r="F196" s="8">
        <v>0.025</v>
      </c>
      <c r="G196" s="11">
        <v>46178</v>
      </c>
      <c r="H196" s="12">
        <f t="shared" si="3"/>
        <v>2750</v>
      </c>
      <c r="I196" s="10" t="s">
        <v>10</v>
      </c>
      <c r="J196" s="13">
        <v>46101</v>
      </c>
      <c r="K196" t="s">
        <v>615</v>
      </c>
    </row>
    <row r="197" spans="1:11">
      <c r="A197" t="s">
        <v>319</v>
      </c>
      <c r="B197" s="8">
        <v>252604068</v>
      </c>
      <c r="C197" s="9">
        <v>46057</v>
      </c>
      <c r="D197" s="8" t="s">
        <v>128</v>
      </c>
      <c r="E197" s="10">
        <v>110000</v>
      </c>
      <c r="F197" s="8">
        <v>0.025</v>
      </c>
      <c r="G197" s="11">
        <v>46178</v>
      </c>
      <c r="H197" s="12">
        <f t="shared" si="3"/>
        <v>2750</v>
      </c>
      <c r="I197" s="10" t="s">
        <v>10</v>
      </c>
      <c r="J197" s="13">
        <v>46101</v>
      </c>
      <c r="K197" t="s">
        <v>615</v>
      </c>
    </row>
    <row r="198" spans="1:11">
      <c r="A198" t="s">
        <v>319</v>
      </c>
      <c r="B198" s="8">
        <v>252604069</v>
      </c>
      <c r="C198" s="9">
        <v>46057</v>
      </c>
      <c r="D198" s="8" t="s">
        <v>636</v>
      </c>
      <c r="E198" s="10">
        <v>140000</v>
      </c>
      <c r="F198" s="8">
        <v>0.026</v>
      </c>
      <c r="G198" s="11">
        <v>46147</v>
      </c>
      <c r="H198" s="12">
        <f t="shared" ref="H198:H217" si="4">E198*F198</f>
        <v>3640</v>
      </c>
      <c r="I198" s="10" t="s">
        <v>10</v>
      </c>
      <c r="J198" s="13">
        <v>46127</v>
      </c>
      <c r="K198" t="s">
        <v>615</v>
      </c>
    </row>
    <row r="199" spans="1:11">
      <c r="A199" t="s">
        <v>319</v>
      </c>
      <c r="B199" s="8">
        <v>252604069</v>
      </c>
      <c r="C199" s="9">
        <v>46057</v>
      </c>
      <c r="D199" s="8" t="s">
        <v>636</v>
      </c>
      <c r="E199" s="10">
        <v>140000</v>
      </c>
      <c r="F199" s="8">
        <v>0.026</v>
      </c>
      <c r="G199" s="11">
        <v>46178</v>
      </c>
      <c r="H199" s="12">
        <f t="shared" si="4"/>
        <v>3640</v>
      </c>
      <c r="I199" s="10" t="s">
        <v>10</v>
      </c>
      <c r="J199" s="13">
        <v>46127</v>
      </c>
      <c r="K199" t="s">
        <v>615</v>
      </c>
    </row>
    <row r="200" spans="1:11">
      <c r="A200" t="s">
        <v>319</v>
      </c>
      <c r="B200" s="8">
        <v>252604069</v>
      </c>
      <c r="C200" s="9">
        <v>46057</v>
      </c>
      <c r="D200" s="8" t="s">
        <v>58</v>
      </c>
      <c r="E200" s="10">
        <v>40000</v>
      </c>
      <c r="F200" s="8">
        <v>0.014</v>
      </c>
      <c r="G200" s="11">
        <v>46147</v>
      </c>
      <c r="H200" s="12">
        <f t="shared" si="4"/>
        <v>560</v>
      </c>
      <c r="I200" s="10" t="s">
        <v>10</v>
      </c>
      <c r="J200" s="13">
        <v>46129</v>
      </c>
      <c r="K200" t="s">
        <v>615</v>
      </c>
    </row>
    <row r="201" spans="1:11">
      <c r="A201" t="s">
        <v>319</v>
      </c>
      <c r="B201" s="8">
        <v>252604069</v>
      </c>
      <c r="C201" s="9">
        <v>46057</v>
      </c>
      <c r="D201" s="8" t="s">
        <v>58</v>
      </c>
      <c r="E201" s="10">
        <v>40000</v>
      </c>
      <c r="F201" s="8">
        <v>0.014</v>
      </c>
      <c r="G201" s="11">
        <v>46178</v>
      </c>
      <c r="H201" s="12">
        <f t="shared" si="4"/>
        <v>560</v>
      </c>
      <c r="I201" s="10" t="s">
        <v>10</v>
      </c>
      <c r="J201" s="13">
        <v>46129</v>
      </c>
      <c r="K201" t="s">
        <v>615</v>
      </c>
    </row>
    <row r="202" spans="1:11">
      <c r="A202" t="s">
        <v>319</v>
      </c>
      <c r="B202" s="8">
        <v>252604069</v>
      </c>
      <c r="C202" s="9">
        <v>46057</v>
      </c>
      <c r="D202" s="8" t="s">
        <v>108</v>
      </c>
      <c r="E202" s="10">
        <v>20000</v>
      </c>
      <c r="F202" s="8">
        <v>0.04</v>
      </c>
      <c r="G202" s="11">
        <v>46178</v>
      </c>
      <c r="H202" s="12">
        <f t="shared" si="4"/>
        <v>800</v>
      </c>
      <c r="I202" s="10" t="s">
        <v>10</v>
      </c>
      <c r="J202" s="13">
        <v>46127</v>
      </c>
      <c r="K202" t="s">
        <v>615</v>
      </c>
    </row>
    <row r="203" spans="1:11">
      <c r="A203" t="s">
        <v>319</v>
      </c>
      <c r="B203" s="8">
        <v>252604069</v>
      </c>
      <c r="C203" s="9">
        <v>46057</v>
      </c>
      <c r="D203" s="8" t="s">
        <v>386</v>
      </c>
      <c r="E203" s="10">
        <v>80000</v>
      </c>
      <c r="F203" s="8">
        <v>0.03</v>
      </c>
      <c r="G203" s="11">
        <v>46147</v>
      </c>
      <c r="H203" s="12">
        <f t="shared" si="4"/>
        <v>2400</v>
      </c>
      <c r="I203" s="10" t="s">
        <v>10</v>
      </c>
      <c r="J203" s="13">
        <v>46129</v>
      </c>
      <c r="K203" t="s">
        <v>615</v>
      </c>
    </row>
    <row r="204" spans="1:11">
      <c r="A204" t="s">
        <v>319</v>
      </c>
      <c r="B204" s="8">
        <v>252604069</v>
      </c>
      <c r="C204" s="9">
        <v>46057</v>
      </c>
      <c r="D204" s="8" t="s">
        <v>386</v>
      </c>
      <c r="E204" s="10">
        <v>80000</v>
      </c>
      <c r="F204" s="8">
        <v>0.03</v>
      </c>
      <c r="G204" s="11">
        <v>46178</v>
      </c>
      <c r="H204" s="12">
        <f t="shared" si="4"/>
        <v>2400</v>
      </c>
      <c r="I204" s="10" t="s">
        <v>10</v>
      </c>
      <c r="J204" s="13">
        <v>46129</v>
      </c>
      <c r="K204" t="s">
        <v>615</v>
      </c>
    </row>
    <row r="205" spans="1:11">
      <c r="A205" t="s">
        <v>319</v>
      </c>
      <c r="B205" s="8">
        <v>252604069</v>
      </c>
      <c r="C205" s="9">
        <v>46057</v>
      </c>
      <c r="D205" s="8" t="s">
        <v>387</v>
      </c>
      <c r="E205" s="10">
        <v>100000</v>
      </c>
      <c r="F205" s="8">
        <v>0.025</v>
      </c>
      <c r="G205" s="11">
        <v>46147</v>
      </c>
      <c r="H205" s="12">
        <f t="shared" si="4"/>
        <v>2500</v>
      </c>
      <c r="I205" s="10" t="s">
        <v>10</v>
      </c>
      <c r="J205" s="13">
        <v>46129</v>
      </c>
      <c r="K205" t="s">
        <v>615</v>
      </c>
    </row>
    <row r="206" spans="1:11">
      <c r="A206" t="s">
        <v>319</v>
      </c>
      <c r="B206" s="8">
        <v>252604069</v>
      </c>
      <c r="C206" s="9">
        <v>46057</v>
      </c>
      <c r="D206" s="8" t="s">
        <v>387</v>
      </c>
      <c r="E206" s="10">
        <v>100000</v>
      </c>
      <c r="F206" s="8">
        <v>0.025</v>
      </c>
      <c r="G206" s="11">
        <v>46178</v>
      </c>
      <c r="H206" s="12">
        <f t="shared" si="4"/>
        <v>2500</v>
      </c>
      <c r="I206" s="10" t="s">
        <v>10</v>
      </c>
      <c r="J206" s="13">
        <v>46129</v>
      </c>
      <c r="K206" t="s">
        <v>615</v>
      </c>
    </row>
    <row r="207" spans="1:11">
      <c r="A207" t="s">
        <v>319</v>
      </c>
      <c r="B207" s="8">
        <v>252604069</v>
      </c>
      <c r="C207" s="9">
        <v>46057</v>
      </c>
      <c r="D207" s="8" t="s">
        <v>282</v>
      </c>
      <c r="E207" s="10">
        <v>30000</v>
      </c>
      <c r="F207" s="8">
        <v>0.0304</v>
      </c>
      <c r="G207" s="11">
        <v>46147</v>
      </c>
      <c r="H207" s="12">
        <f t="shared" si="4"/>
        <v>912</v>
      </c>
      <c r="I207" s="10" t="s">
        <v>10</v>
      </c>
      <c r="J207" s="13">
        <v>46129</v>
      </c>
      <c r="K207" t="s">
        <v>615</v>
      </c>
    </row>
    <row r="208" spans="1:11">
      <c r="A208" t="s">
        <v>319</v>
      </c>
      <c r="B208" s="8">
        <v>252604069</v>
      </c>
      <c r="C208" s="9">
        <v>46057</v>
      </c>
      <c r="D208" s="8" t="s">
        <v>282</v>
      </c>
      <c r="E208" s="10">
        <v>30000</v>
      </c>
      <c r="F208" s="8">
        <v>0.0304</v>
      </c>
      <c r="G208" s="11">
        <v>46178</v>
      </c>
      <c r="H208" s="12">
        <f t="shared" si="4"/>
        <v>912</v>
      </c>
      <c r="I208" s="10" t="s">
        <v>10</v>
      </c>
      <c r="J208" s="13">
        <v>46129</v>
      </c>
      <c r="K208" t="s">
        <v>615</v>
      </c>
    </row>
    <row r="209" spans="1:11">
      <c r="A209" t="s">
        <v>319</v>
      </c>
      <c r="B209" s="8">
        <v>252604069</v>
      </c>
      <c r="C209" s="9">
        <v>46057</v>
      </c>
      <c r="D209" s="8" t="s">
        <v>626</v>
      </c>
      <c r="E209" s="10">
        <v>30000</v>
      </c>
      <c r="F209" s="8">
        <v>0.0224</v>
      </c>
      <c r="G209" s="11">
        <v>46147</v>
      </c>
      <c r="H209" s="12">
        <f t="shared" si="4"/>
        <v>672</v>
      </c>
      <c r="I209" s="10" t="s">
        <v>10</v>
      </c>
      <c r="J209" s="13">
        <v>46129</v>
      </c>
      <c r="K209" t="s">
        <v>615</v>
      </c>
    </row>
    <row r="210" spans="1:11">
      <c r="A210" t="s">
        <v>319</v>
      </c>
      <c r="B210" s="8">
        <v>252604069</v>
      </c>
      <c r="C210" s="9">
        <v>46057</v>
      </c>
      <c r="D210" s="8" t="s">
        <v>626</v>
      </c>
      <c r="E210" s="10">
        <v>30000</v>
      </c>
      <c r="F210" s="8">
        <v>0.0224</v>
      </c>
      <c r="G210" s="11">
        <v>46178</v>
      </c>
      <c r="H210" s="12">
        <f t="shared" si="4"/>
        <v>672</v>
      </c>
      <c r="I210" s="10" t="s">
        <v>10</v>
      </c>
      <c r="J210" s="13">
        <v>46129</v>
      </c>
      <c r="K210" t="s">
        <v>615</v>
      </c>
    </row>
    <row r="211" spans="1:11">
      <c r="A211" t="s">
        <v>319</v>
      </c>
      <c r="B211" s="8">
        <v>252604069</v>
      </c>
      <c r="C211" s="9">
        <v>46057</v>
      </c>
      <c r="D211" s="8" t="s">
        <v>515</v>
      </c>
      <c r="E211" s="10">
        <v>150000</v>
      </c>
      <c r="F211" s="8">
        <v>0.0238</v>
      </c>
      <c r="G211" s="11">
        <v>46147</v>
      </c>
      <c r="H211" s="12">
        <f t="shared" si="4"/>
        <v>3570</v>
      </c>
      <c r="I211" s="10" t="s">
        <v>10</v>
      </c>
      <c r="J211" s="13">
        <v>46127</v>
      </c>
      <c r="K211" t="s">
        <v>615</v>
      </c>
    </row>
    <row r="212" spans="1:11">
      <c r="A212" t="s">
        <v>319</v>
      </c>
      <c r="B212" s="8">
        <v>252604069</v>
      </c>
      <c r="C212" s="9">
        <v>46057</v>
      </c>
      <c r="D212" s="8" t="s">
        <v>515</v>
      </c>
      <c r="E212" s="10">
        <v>100000</v>
      </c>
      <c r="F212" s="8">
        <v>0.0238</v>
      </c>
      <c r="G212" s="11">
        <v>46147</v>
      </c>
      <c r="H212" s="12">
        <f t="shared" si="4"/>
        <v>2380</v>
      </c>
      <c r="I212" s="10" t="s">
        <v>10</v>
      </c>
      <c r="J212" s="13">
        <v>46127</v>
      </c>
      <c r="K212" t="s">
        <v>615</v>
      </c>
    </row>
    <row r="213" spans="1:11">
      <c r="A213" t="s">
        <v>319</v>
      </c>
      <c r="B213" s="8">
        <v>252604069</v>
      </c>
      <c r="C213" s="9">
        <v>46057</v>
      </c>
      <c r="D213" s="8" t="s">
        <v>515</v>
      </c>
      <c r="E213" s="10">
        <v>150000</v>
      </c>
      <c r="F213" s="8">
        <v>0.0238</v>
      </c>
      <c r="G213" s="11">
        <v>46178</v>
      </c>
      <c r="H213" s="12">
        <f t="shared" si="4"/>
        <v>3570</v>
      </c>
      <c r="I213" s="10" t="s">
        <v>10</v>
      </c>
      <c r="J213" s="13">
        <v>46127</v>
      </c>
      <c r="K213" t="s">
        <v>615</v>
      </c>
    </row>
    <row r="214" spans="1:11">
      <c r="A214" t="s">
        <v>319</v>
      </c>
      <c r="B214" s="8">
        <v>252604069</v>
      </c>
      <c r="C214" s="9">
        <v>46057</v>
      </c>
      <c r="D214" s="8" t="s">
        <v>515</v>
      </c>
      <c r="E214" s="10">
        <v>100000</v>
      </c>
      <c r="F214" s="8">
        <v>0.0238</v>
      </c>
      <c r="G214" s="11">
        <v>46178</v>
      </c>
      <c r="H214" s="12">
        <f t="shared" si="4"/>
        <v>2380</v>
      </c>
      <c r="I214" s="10" t="s">
        <v>10</v>
      </c>
      <c r="J214" s="13">
        <v>46127</v>
      </c>
      <c r="K214" t="s">
        <v>615</v>
      </c>
    </row>
    <row r="215" spans="1:11">
      <c r="A215" t="s">
        <v>319</v>
      </c>
      <c r="B215" s="8">
        <v>252604071</v>
      </c>
      <c r="C215" s="9">
        <v>46057</v>
      </c>
      <c r="D215" s="8" t="s">
        <v>213</v>
      </c>
      <c r="E215" s="10">
        <v>180000</v>
      </c>
      <c r="F215" s="8">
        <v>0.042</v>
      </c>
      <c r="G215" s="11">
        <v>46147</v>
      </c>
      <c r="H215" s="12">
        <f t="shared" si="4"/>
        <v>7560</v>
      </c>
      <c r="I215" s="10" t="s">
        <v>10</v>
      </c>
      <c r="J215" s="13">
        <v>46101</v>
      </c>
      <c r="K215" t="s">
        <v>615</v>
      </c>
    </row>
    <row r="216" spans="1:11">
      <c r="A216" t="s">
        <v>319</v>
      </c>
      <c r="B216" s="8">
        <v>252604071</v>
      </c>
      <c r="C216" s="9">
        <v>46057</v>
      </c>
      <c r="D216" s="8" t="s">
        <v>213</v>
      </c>
      <c r="E216" s="10">
        <v>180000</v>
      </c>
      <c r="F216" s="8">
        <v>0.042</v>
      </c>
      <c r="G216" s="11">
        <v>46178</v>
      </c>
      <c r="H216" s="12">
        <f t="shared" si="4"/>
        <v>7560</v>
      </c>
      <c r="I216" s="10" t="s">
        <v>10</v>
      </c>
      <c r="J216" s="13">
        <v>46101</v>
      </c>
      <c r="K216" t="s">
        <v>615</v>
      </c>
    </row>
    <row r="217" spans="1:11">
      <c r="A217" t="s">
        <v>319</v>
      </c>
      <c r="B217" s="8">
        <v>252604071</v>
      </c>
      <c r="C217" s="9">
        <v>46057</v>
      </c>
      <c r="D217" s="8" t="s">
        <v>106</v>
      </c>
      <c r="E217" s="10">
        <v>200000</v>
      </c>
      <c r="F217" s="8">
        <v>0.033</v>
      </c>
      <c r="G217" s="11">
        <v>46178</v>
      </c>
      <c r="H217" s="12">
        <f t="shared" si="4"/>
        <v>6600</v>
      </c>
      <c r="I217" s="10" t="s">
        <v>10</v>
      </c>
      <c r="J217" s="13">
        <v>46101</v>
      </c>
      <c r="K217" t="s">
        <v>615</v>
      </c>
    </row>
    <row r="218" spans="1:11">
      <c r="A218" t="s">
        <v>319</v>
      </c>
      <c r="B218" s="8">
        <v>252604071</v>
      </c>
      <c r="C218" s="9">
        <v>46057</v>
      </c>
      <c r="D218" s="8" t="s">
        <v>609</v>
      </c>
      <c r="E218" s="10">
        <v>140000</v>
      </c>
      <c r="F218" s="8">
        <v>0.03</v>
      </c>
      <c r="G218" s="11">
        <v>46147</v>
      </c>
      <c r="H218" s="12">
        <f t="shared" ref="H218:H250" si="5">E218*F218</f>
        <v>4200</v>
      </c>
      <c r="I218" s="10" t="s">
        <v>10</v>
      </c>
      <c r="J218" s="13">
        <v>46098</v>
      </c>
      <c r="K218" t="s">
        <v>615</v>
      </c>
    </row>
    <row r="219" spans="1:11">
      <c r="A219" t="s">
        <v>319</v>
      </c>
      <c r="B219" s="8">
        <v>252604071</v>
      </c>
      <c r="C219" s="9">
        <v>46057</v>
      </c>
      <c r="D219" s="8" t="s">
        <v>609</v>
      </c>
      <c r="E219" s="10">
        <v>140000</v>
      </c>
      <c r="F219" s="8">
        <v>0.03</v>
      </c>
      <c r="G219" s="11">
        <v>46178</v>
      </c>
      <c r="H219" s="12">
        <f t="shared" si="5"/>
        <v>4200</v>
      </c>
      <c r="I219" s="10" t="s">
        <v>10</v>
      </c>
      <c r="J219" s="13">
        <v>46098</v>
      </c>
      <c r="K219" t="s">
        <v>615</v>
      </c>
    </row>
    <row r="220" spans="1:11">
      <c r="A220" t="s">
        <v>319</v>
      </c>
      <c r="B220" s="8">
        <v>252604076</v>
      </c>
      <c r="C220" s="9">
        <v>46057</v>
      </c>
      <c r="D220" s="8" t="s">
        <v>388</v>
      </c>
      <c r="E220" s="10">
        <v>110000</v>
      </c>
      <c r="F220" s="8">
        <v>0.035</v>
      </c>
      <c r="G220" s="11">
        <v>46147</v>
      </c>
      <c r="H220" s="12">
        <f t="shared" si="5"/>
        <v>3850</v>
      </c>
      <c r="I220" s="10" t="s">
        <v>10</v>
      </c>
      <c r="J220" s="13">
        <v>46059</v>
      </c>
      <c r="K220" t="s">
        <v>615</v>
      </c>
    </row>
    <row r="221" spans="1:11">
      <c r="A221" t="s">
        <v>319</v>
      </c>
      <c r="B221" s="8">
        <v>252604076</v>
      </c>
      <c r="C221" s="9">
        <v>46057</v>
      </c>
      <c r="D221" s="8" t="s">
        <v>388</v>
      </c>
      <c r="E221" s="10">
        <v>110000</v>
      </c>
      <c r="F221" s="8">
        <v>0.035</v>
      </c>
      <c r="G221" s="11">
        <v>46147</v>
      </c>
      <c r="H221" s="12">
        <f t="shared" si="5"/>
        <v>3850</v>
      </c>
      <c r="I221" s="10" t="s">
        <v>10</v>
      </c>
      <c r="J221" s="13">
        <v>46059</v>
      </c>
      <c r="K221" t="s">
        <v>615</v>
      </c>
    </row>
    <row r="222" spans="1:11">
      <c r="A222" t="s">
        <v>319</v>
      </c>
      <c r="B222" s="8">
        <v>252604076</v>
      </c>
      <c r="C222" s="9">
        <v>46057</v>
      </c>
      <c r="D222" s="8" t="s">
        <v>70</v>
      </c>
      <c r="E222" s="10">
        <v>20000</v>
      </c>
      <c r="F222" s="8">
        <v>0.028</v>
      </c>
      <c r="G222" s="11">
        <v>46086</v>
      </c>
      <c r="H222" s="12">
        <f t="shared" si="5"/>
        <v>560</v>
      </c>
      <c r="I222" s="10" t="s">
        <v>10</v>
      </c>
      <c r="J222" s="13">
        <v>46059</v>
      </c>
      <c r="K222" t="s">
        <v>615</v>
      </c>
    </row>
    <row r="223" spans="1:11">
      <c r="A223" t="s">
        <v>319</v>
      </c>
      <c r="B223" s="8">
        <v>252604076</v>
      </c>
      <c r="C223" s="9">
        <v>46057</v>
      </c>
      <c r="D223" s="8" t="s">
        <v>540</v>
      </c>
      <c r="E223" s="10">
        <v>20000</v>
      </c>
      <c r="F223" s="8">
        <v>0.0297</v>
      </c>
      <c r="G223" s="11">
        <v>46086</v>
      </c>
      <c r="H223" s="12">
        <f t="shared" si="5"/>
        <v>594</v>
      </c>
      <c r="I223" s="10" t="s">
        <v>10</v>
      </c>
      <c r="J223" s="13">
        <v>46059</v>
      </c>
      <c r="K223" t="s">
        <v>615</v>
      </c>
    </row>
    <row r="224" spans="1:11">
      <c r="A224" t="s">
        <v>319</v>
      </c>
      <c r="B224" s="8">
        <v>252604077</v>
      </c>
      <c r="C224" s="9">
        <v>46058</v>
      </c>
      <c r="D224" s="8" t="s">
        <v>388</v>
      </c>
      <c r="E224" s="10">
        <v>110000</v>
      </c>
      <c r="F224" s="8">
        <v>0.035</v>
      </c>
      <c r="G224" s="11">
        <v>46178</v>
      </c>
      <c r="H224" s="12">
        <f t="shared" si="5"/>
        <v>3850</v>
      </c>
      <c r="I224" s="10" t="s">
        <v>10</v>
      </c>
      <c r="J224" s="13">
        <v>46157</v>
      </c>
      <c r="K224" t="s">
        <v>615</v>
      </c>
    </row>
    <row r="225" spans="1:11">
      <c r="A225" t="s">
        <v>319</v>
      </c>
      <c r="B225" s="8">
        <v>252604077</v>
      </c>
      <c r="C225" s="9">
        <v>46058</v>
      </c>
      <c r="D225" s="8" t="s">
        <v>388</v>
      </c>
      <c r="E225" s="10">
        <v>110000</v>
      </c>
      <c r="F225" s="8">
        <v>0.035</v>
      </c>
      <c r="G225" s="11">
        <v>46178</v>
      </c>
      <c r="H225" s="12">
        <f t="shared" si="5"/>
        <v>3850</v>
      </c>
      <c r="I225" s="10" t="s">
        <v>10</v>
      </c>
      <c r="J225" s="13">
        <v>46157</v>
      </c>
      <c r="K225" t="s">
        <v>615</v>
      </c>
    </row>
    <row r="226" spans="1:11">
      <c r="A226" t="s">
        <v>319</v>
      </c>
      <c r="B226" s="8">
        <v>252604078</v>
      </c>
      <c r="C226" s="9">
        <v>46057</v>
      </c>
      <c r="D226" s="8" t="s">
        <v>30</v>
      </c>
      <c r="E226" s="10">
        <v>80000</v>
      </c>
      <c r="F226" s="8">
        <v>0.022</v>
      </c>
      <c r="G226" s="11">
        <v>46075</v>
      </c>
      <c r="H226" s="12">
        <f t="shared" si="5"/>
        <v>1760</v>
      </c>
      <c r="I226" s="10" t="s">
        <v>10</v>
      </c>
      <c r="J226" s="13">
        <v>46076</v>
      </c>
      <c r="K226" t="s">
        <v>378</v>
      </c>
    </row>
    <row r="227" spans="1:11">
      <c r="A227" t="s">
        <v>319</v>
      </c>
      <c r="B227" s="8">
        <v>252604081</v>
      </c>
      <c r="C227" s="9">
        <v>46056</v>
      </c>
      <c r="D227" s="8" t="s">
        <v>289</v>
      </c>
      <c r="E227" s="10">
        <v>200000</v>
      </c>
      <c r="F227" s="8">
        <v>0.033</v>
      </c>
      <c r="G227" s="11">
        <v>46117</v>
      </c>
      <c r="H227" s="12">
        <f t="shared" si="5"/>
        <v>6600</v>
      </c>
      <c r="I227" s="10" t="s">
        <v>10</v>
      </c>
      <c r="J227" s="13">
        <v>46059</v>
      </c>
      <c r="K227" t="s">
        <v>435</v>
      </c>
    </row>
    <row r="228" spans="1:11">
      <c r="A228" t="s">
        <v>319</v>
      </c>
      <c r="B228" s="8">
        <v>252604081</v>
      </c>
      <c r="C228" s="9">
        <v>46056</v>
      </c>
      <c r="D228" s="8" t="s">
        <v>289</v>
      </c>
      <c r="E228" s="10">
        <v>200000</v>
      </c>
      <c r="F228" s="8">
        <v>0.033</v>
      </c>
      <c r="G228" s="11">
        <v>46117</v>
      </c>
      <c r="H228" s="12">
        <f t="shared" si="5"/>
        <v>6600</v>
      </c>
      <c r="I228" s="10" t="s">
        <v>10</v>
      </c>
      <c r="J228" s="13">
        <v>46059</v>
      </c>
      <c r="K228" t="s">
        <v>435</v>
      </c>
    </row>
    <row r="229" spans="1:11">
      <c r="A229" t="s">
        <v>319</v>
      </c>
      <c r="B229" s="8">
        <v>252604081</v>
      </c>
      <c r="C229" s="9">
        <v>46056</v>
      </c>
      <c r="D229" s="8" t="s">
        <v>289</v>
      </c>
      <c r="E229" s="10">
        <v>20000</v>
      </c>
      <c r="F229" s="8">
        <v>0.033</v>
      </c>
      <c r="G229" s="11">
        <v>46117</v>
      </c>
      <c r="H229" s="12">
        <f t="shared" si="5"/>
        <v>660</v>
      </c>
      <c r="I229" s="10" t="s">
        <v>10</v>
      </c>
      <c r="J229" s="13">
        <v>46059</v>
      </c>
      <c r="K229" t="s">
        <v>435</v>
      </c>
    </row>
    <row r="230" spans="1:11">
      <c r="A230" t="s">
        <v>319</v>
      </c>
      <c r="B230" s="8">
        <v>252604081</v>
      </c>
      <c r="C230" s="9">
        <v>46056</v>
      </c>
      <c r="D230" s="8" t="s">
        <v>289</v>
      </c>
      <c r="E230" s="10">
        <v>200000</v>
      </c>
      <c r="F230" s="8">
        <v>0.033</v>
      </c>
      <c r="G230" s="11">
        <v>46147</v>
      </c>
      <c r="H230" s="12">
        <f t="shared" si="5"/>
        <v>6600</v>
      </c>
      <c r="I230" s="10" t="s">
        <v>10</v>
      </c>
      <c r="J230" s="13">
        <v>46059</v>
      </c>
      <c r="K230" t="s">
        <v>435</v>
      </c>
    </row>
    <row r="231" spans="1:11">
      <c r="A231" t="s">
        <v>319</v>
      </c>
      <c r="B231" s="8">
        <v>252604081</v>
      </c>
      <c r="C231" s="9">
        <v>46056</v>
      </c>
      <c r="D231" s="8" t="s">
        <v>289</v>
      </c>
      <c r="E231" s="10">
        <v>200000</v>
      </c>
      <c r="F231" s="8">
        <v>0.033</v>
      </c>
      <c r="G231" s="11">
        <v>46147</v>
      </c>
      <c r="H231" s="12">
        <f t="shared" si="5"/>
        <v>6600</v>
      </c>
      <c r="I231" s="10" t="s">
        <v>10</v>
      </c>
      <c r="J231" s="13">
        <v>46059</v>
      </c>
      <c r="K231" t="s">
        <v>435</v>
      </c>
    </row>
    <row r="232" spans="1:11">
      <c r="A232" t="s">
        <v>319</v>
      </c>
      <c r="B232" s="8">
        <v>252604081</v>
      </c>
      <c r="C232" s="9">
        <v>46056</v>
      </c>
      <c r="D232" s="8" t="s">
        <v>289</v>
      </c>
      <c r="E232" s="10">
        <v>20000</v>
      </c>
      <c r="F232" s="8">
        <v>0.033</v>
      </c>
      <c r="G232" s="11">
        <v>46147</v>
      </c>
      <c r="H232" s="12">
        <f t="shared" si="5"/>
        <v>660</v>
      </c>
      <c r="I232" s="10" t="s">
        <v>10</v>
      </c>
      <c r="J232" s="13">
        <v>46059</v>
      </c>
      <c r="K232" t="s">
        <v>435</v>
      </c>
    </row>
    <row r="233" spans="1:11">
      <c r="A233" t="s">
        <v>319</v>
      </c>
      <c r="B233" s="8">
        <v>252604081</v>
      </c>
      <c r="C233" s="9">
        <v>46056</v>
      </c>
      <c r="D233" s="8" t="s">
        <v>136</v>
      </c>
      <c r="E233" s="10">
        <v>200000</v>
      </c>
      <c r="F233" s="8">
        <v>0.028</v>
      </c>
      <c r="G233" s="11">
        <v>46117</v>
      </c>
      <c r="H233" s="12">
        <f t="shared" si="5"/>
        <v>5600</v>
      </c>
      <c r="I233" s="10" t="s">
        <v>10</v>
      </c>
      <c r="J233" s="13">
        <v>46059</v>
      </c>
      <c r="K233" t="s">
        <v>435</v>
      </c>
    </row>
    <row r="234" spans="1:11">
      <c r="A234" t="s">
        <v>319</v>
      </c>
      <c r="B234" s="8">
        <v>252604081</v>
      </c>
      <c r="C234" s="9">
        <v>46056</v>
      </c>
      <c r="D234" s="8" t="s">
        <v>136</v>
      </c>
      <c r="E234" s="10">
        <v>100000</v>
      </c>
      <c r="F234" s="8">
        <v>0.028</v>
      </c>
      <c r="G234" s="11">
        <v>46117</v>
      </c>
      <c r="H234" s="12">
        <f t="shared" si="5"/>
        <v>2800</v>
      </c>
      <c r="I234" s="10" t="s">
        <v>10</v>
      </c>
      <c r="J234" s="13">
        <v>46059</v>
      </c>
      <c r="K234" t="s">
        <v>435</v>
      </c>
    </row>
    <row r="235" spans="1:11">
      <c r="A235" t="s">
        <v>319</v>
      </c>
      <c r="B235" s="8">
        <v>252604081</v>
      </c>
      <c r="C235" s="9">
        <v>46056</v>
      </c>
      <c r="D235" s="8" t="s">
        <v>136</v>
      </c>
      <c r="E235" s="10">
        <v>200000</v>
      </c>
      <c r="F235" s="8">
        <v>0.028</v>
      </c>
      <c r="G235" s="11">
        <v>46147</v>
      </c>
      <c r="H235" s="12">
        <f t="shared" si="5"/>
        <v>5600</v>
      </c>
      <c r="I235" s="10" t="s">
        <v>10</v>
      </c>
      <c r="J235" s="13">
        <v>46059</v>
      </c>
      <c r="K235" t="s">
        <v>435</v>
      </c>
    </row>
    <row r="236" spans="1:11">
      <c r="A236" t="s">
        <v>319</v>
      </c>
      <c r="B236" s="8">
        <v>252604081</v>
      </c>
      <c r="C236" s="9">
        <v>46056</v>
      </c>
      <c r="D236" s="8" t="s">
        <v>136</v>
      </c>
      <c r="E236" s="10">
        <v>100000</v>
      </c>
      <c r="F236" s="8">
        <v>0.028</v>
      </c>
      <c r="G236" s="11">
        <v>46147</v>
      </c>
      <c r="H236" s="12">
        <f t="shared" si="5"/>
        <v>2800</v>
      </c>
      <c r="I236" s="10" t="s">
        <v>10</v>
      </c>
      <c r="J236" s="13">
        <v>46059</v>
      </c>
      <c r="K236" t="s">
        <v>435</v>
      </c>
    </row>
    <row r="237" spans="1:11">
      <c r="A237" t="s">
        <v>319</v>
      </c>
      <c r="B237" s="8">
        <v>252604081</v>
      </c>
      <c r="C237" s="9">
        <v>46056</v>
      </c>
      <c r="D237" s="8" t="s">
        <v>181</v>
      </c>
      <c r="E237" s="10">
        <v>200000</v>
      </c>
      <c r="F237" s="8">
        <v>0.0243</v>
      </c>
      <c r="G237" s="11">
        <v>46147</v>
      </c>
      <c r="H237" s="12">
        <f t="shared" si="5"/>
        <v>4860</v>
      </c>
      <c r="I237" s="10" t="s">
        <v>10</v>
      </c>
      <c r="J237" s="13">
        <v>46063</v>
      </c>
      <c r="K237" t="s">
        <v>435</v>
      </c>
    </row>
    <row r="238" spans="1:11">
      <c r="A238" t="s">
        <v>319</v>
      </c>
      <c r="B238" s="8">
        <v>252604081</v>
      </c>
      <c r="C238" s="9">
        <v>46056</v>
      </c>
      <c r="D238" s="8" t="s">
        <v>181</v>
      </c>
      <c r="E238" s="10">
        <v>200000</v>
      </c>
      <c r="F238" s="8">
        <v>0.0243</v>
      </c>
      <c r="G238" s="11">
        <v>46147</v>
      </c>
      <c r="H238" s="12">
        <f t="shared" si="5"/>
        <v>4860</v>
      </c>
      <c r="I238" s="10" t="s">
        <v>10</v>
      </c>
      <c r="J238" s="13">
        <v>46063</v>
      </c>
      <c r="K238" t="s">
        <v>435</v>
      </c>
    </row>
    <row r="239" spans="1:11">
      <c r="A239" t="s">
        <v>319</v>
      </c>
      <c r="B239" s="8">
        <v>252604081</v>
      </c>
      <c r="C239" s="9">
        <v>46056</v>
      </c>
      <c r="D239" s="8" t="s">
        <v>181</v>
      </c>
      <c r="E239" s="10">
        <v>200000</v>
      </c>
      <c r="F239" s="8">
        <v>0.0243</v>
      </c>
      <c r="G239" s="11">
        <v>46147</v>
      </c>
      <c r="H239" s="12">
        <f t="shared" si="5"/>
        <v>4860</v>
      </c>
      <c r="I239" s="10" t="s">
        <v>10</v>
      </c>
      <c r="J239" s="13">
        <v>46063</v>
      </c>
      <c r="K239" t="s">
        <v>435</v>
      </c>
    </row>
    <row r="240" spans="1:11">
      <c r="A240" t="s">
        <v>319</v>
      </c>
      <c r="B240" s="8">
        <v>252604082</v>
      </c>
      <c r="C240" s="9">
        <v>46056</v>
      </c>
      <c r="D240" s="8" t="s">
        <v>289</v>
      </c>
      <c r="E240" s="10">
        <v>200000</v>
      </c>
      <c r="F240" s="8">
        <v>0.033</v>
      </c>
      <c r="G240" s="11">
        <v>46178</v>
      </c>
      <c r="H240" s="12">
        <f t="shared" si="5"/>
        <v>6600</v>
      </c>
      <c r="I240" s="10" t="s">
        <v>10</v>
      </c>
      <c r="J240" s="13">
        <v>46126</v>
      </c>
      <c r="K240" t="s">
        <v>435</v>
      </c>
    </row>
    <row r="241" spans="1:11">
      <c r="A241" t="s">
        <v>319</v>
      </c>
      <c r="B241" s="8">
        <v>252604082</v>
      </c>
      <c r="C241" s="9">
        <v>46056</v>
      </c>
      <c r="D241" s="8" t="s">
        <v>289</v>
      </c>
      <c r="E241" s="10">
        <v>200000</v>
      </c>
      <c r="F241" s="8">
        <v>0.033</v>
      </c>
      <c r="G241" s="11">
        <v>46178</v>
      </c>
      <c r="H241" s="12">
        <f t="shared" si="5"/>
        <v>6600</v>
      </c>
      <c r="I241" s="10" t="s">
        <v>10</v>
      </c>
      <c r="J241" s="13">
        <v>46126</v>
      </c>
      <c r="K241" t="s">
        <v>435</v>
      </c>
    </row>
    <row r="242" spans="1:11">
      <c r="A242" t="s">
        <v>319</v>
      </c>
      <c r="B242" s="8">
        <v>252604082</v>
      </c>
      <c r="C242" s="9">
        <v>46056</v>
      </c>
      <c r="D242" s="8" t="s">
        <v>289</v>
      </c>
      <c r="E242" s="10">
        <v>20000</v>
      </c>
      <c r="F242" s="8">
        <v>0.033</v>
      </c>
      <c r="G242" s="11">
        <v>46178</v>
      </c>
      <c r="H242" s="12">
        <f t="shared" si="5"/>
        <v>660</v>
      </c>
      <c r="I242" s="10" t="s">
        <v>10</v>
      </c>
      <c r="J242" s="13">
        <v>46126</v>
      </c>
      <c r="K242" t="s">
        <v>435</v>
      </c>
    </row>
    <row r="243" spans="1:11">
      <c r="A243" t="s">
        <v>319</v>
      </c>
      <c r="B243" s="8">
        <v>252604082</v>
      </c>
      <c r="C243" s="9">
        <v>46056</v>
      </c>
      <c r="D243" s="8" t="s">
        <v>136</v>
      </c>
      <c r="E243" s="10">
        <v>200000</v>
      </c>
      <c r="F243" s="8">
        <v>0.028</v>
      </c>
      <c r="G243" s="11">
        <v>46178</v>
      </c>
      <c r="H243" s="12">
        <f t="shared" si="5"/>
        <v>5600</v>
      </c>
      <c r="I243" s="10" t="s">
        <v>10</v>
      </c>
      <c r="J243" s="13">
        <v>46126</v>
      </c>
      <c r="K243" t="s">
        <v>435</v>
      </c>
    </row>
    <row r="244" spans="1:11">
      <c r="A244" t="s">
        <v>319</v>
      </c>
      <c r="B244" s="8">
        <v>252604082</v>
      </c>
      <c r="C244" s="9">
        <v>46056</v>
      </c>
      <c r="D244" s="8" t="s">
        <v>136</v>
      </c>
      <c r="E244" s="10">
        <v>100000</v>
      </c>
      <c r="F244" s="8">
        <v>0.028</v>
      </c>
      <c r="G244" s="11">
        <v>46178</v>
      </c>
      <c r="H244" s="12">
        <f t="shared" si="5"/>
        <v>2800</v>
      </c>
      <c r="I244" s="10" t="s">
        <v>10</v>
      </c>
      <c r="J244" s="13">
        <v>46126</v>
      </c>
      <c r="K244" t="s">
        <v>435</v>
      </c>
    </row>
    <row r="245" spans="1:11">
      <c r="A245" t="s">
        <v>319</v>
      </c>
      <c r="B245" s="8">
        <v>252604082</v>
      </c>
      <c r="C245" s="9">
        <v>46056</v>
      </c>
      <c r="D245" s="8" t="s">
        <v>181</v>
      </c>
      <c r="E245" s="10">
        <v>200000</v>
      </c>
      <c r="F245" s="8">
        <v>0.0243</v>
      </c>
      <c r="G245" s="11">
        <v>46178</v>
      </c>
      <c r="H245" s="12">
        <f t="shared" si="5"/>
        <v>4860</v>
      </c>
      <c r="I245" s="10" t="s">
        <v>10</v>
      </c>
      <c r="J245" s="13">
        <v>46129</v>
      </c>
      <c r="K245" t="s">
        <v>435</v>
      </c>
    </row>
    <row r="246" spans="1:11">
      <c r="A246" t="s">
        <v>319</v>
      </c>
      <c r="B246" s="8">
        <v>252604082</v>
      </c>
      <c r="C246" s="9">
        <v>46056</v>
      </c>
      <c r="D246" s="8" t="s">
        <v>181</v>
      </c>
      <c r="E246" s="10">
        <v>200000</v>
      </c>
      <c r="F246" s="8">
        <v>0.0243</v>
      </c>
      <c r="G246" s="11">
        <v>46178</v>
      </c>
      <c r="H246" s="12">
        <f t="shared" si="5"/>
        <v>4860</v>
      </c>
      <c r="I246" s="10" t="s">
        <v>10</v>
      </c>
      <c r="J246" s="13">
        <v>46129</v>
      </c>
      <c r="K246" t="s">
        <v>435</v>
      </c>
    </row>
    <row r="247" spans="1:11">
      <c r="A247" t="s">
        <v>319</v>
      </c>
      <c r="B247" s="8">
        <v>252604082</v>
      </c>
      <c r="C247" s="9">
        <v>46056</v>
      </c>
      <c r="D247" s="8" t="s">
        <v>181</v>
      </c>
      <c r="E247" s="10">
        <v>200000</v>
      </c>
      <c r="F247" s="8">
        <v>0.0243</v>
      </c>
      <c r="G247" s="11">
        <v>46178</v>
      </c>
      <c r="H247" s="12">
        <f t="shared" si="5"/>
        <v>4860</v>
      </c>
      <c r="I247" s="10" t="s">
        <v>10</v>
      </c>
      <c r="J247" s="13">
        <v>46129</v>
      </c>
      <c r="K247" t="s">
        <v>435</v>
      </c>
    </row>
    <row r="248" spans="1:11">
      <c r="A248" t="s">
        <v>319</v>
      </c>
      <c r="B248" s="8">
        <v>252604082</v>
      </c>
      <c r="C248" s="9">
        <v>46056</v>
      </c>
      <c r="D248" s="8" t="s">
        <v>603</v>
      </c>
      <c r="E248" s="10">
        <v>200000</v>
      </c>
      <c r="F248" s="8">
        <v>0.027</v>
      </c>
      <c r="G248" s="11">
        <v>46178</v>
      </c>
      <c r="H248" s="12">
        <f t="shared" si="5"/>
        <v>5400</v>
      </c>
      <c r="I248" s="10" t="s">
        <v>10</v>
      </c>
      <c r="J248" s="13">
        <v>46129</v>
      </c>
      <c r="K248" t="s">
        <v>435</v>
      </c>
    </row>
    <row r="249" spans="1:11">
      <c r="A249" t="s">
        <v>319</v>
      </c>
      <c r="B249" s="8">
        <v>252604082</v>
      </c>
      <c r="C249" s="9">
        <v>46056</v>
      </c>
      <c r="D249" s="8" t="s">
        <v>603</v>
      </c>
      <c r="E249" s="10">
        <v>20000</v>
      </c>
      <c r="F249" s="8">
        <v>0.027</v>
      </c>
      <c r="G249" s="11">
        <v>46178</v>
      </c>
      <c r="H249" s="12">
        <f t="shared" si="5"/>
        <v>540</v>
      </c>
      <c r="I249" s="10" t="s">
        <v>10</v>
      </c>
      <c r="J249" s="13">
        <v>46129</v>
      </c>
      <c r="K249" t="s">
        <v>435</v>
      </c>
    </row>
    <row r="250" spans="1:11">
      <c r="A250" t="s">
        <v>319</v>
      </c>
      <c r="B250" s="8">
        <v>252604082</v>
      </c>
      <c r="C250" s="9">
        <v>46056</v>
      </c>
      <c r="D250" s="8" t="s">
        <v>602</v>
      </c>
      <c r="E250" s="10">
        <v>130000</v>
      </c>
      <c r="F250" s="8">
        <v>0.022</v>
      </c>
      <c r="G250" s="11">
        <v>46178</v>
      </c>
      <c r="H250" s="12">
        <f t="shared" si="5"/>
        <v>2860</v>
      </c>
      <c r="I250" s="10" t="s">
        <v>10</v>
      </c>
      <c r="J250" s="13">
        <v>46126</v>
      </c>
      <c r="K250" t="s">
        <v>435</v>
      </c>
    </row>
    <row r="251" spans="1:11">
      <c r="A251" t="s">
        <v>319</v>
      </c>
      <c r="B251" s="8">
        <v>252604083</v>
      </c>
      <c r="C251" s="9">
        <v>46056</v>
      </c>
      <c r="D251" s="8" t="s">
        <v>603</v>
      </c>
      <c r="E251" s="10">
        <v>200000</v>
      </c>
      <c r="F251" s="8">
        <v>0.027</v>
      </c>
      <c r="G251" s="11">
        <v>46117</v>
      </c>
      <c r="H251" s="12">
        <f t="shared" ref="H251:H314" si="6">E251*F251</f>
        <v>5400</v>
      </c>
      <c r="I251" s="10" t="s">
        <v>10</v>
      </c>
      <c r="J251" s="13">
        <v>46063</v>
      </c>
      <c r="K251" t="s">
        <v>435</v>
      </c>
    </row>
    <row r="252" spans="1:11">
      <c r="A252" t="s">
        <v>319</v>
      </c>
      <c r="B252" s="8">
        <v>252604083</v>
      </c>
      <c r="C252" s="9">
        <v>46056</v>
      </c>
      <c r="D252" s="8" t="s">
        <v>603</v>
      </c>
      <c r="E252" s="10">
        <v>20000</v>
      </c>
      <c r="F252" s="8">
        <v>0.027</v>
      </c>
      <c r="G252" s="11">
        <v>46117</v>
      </c>
      <c r="H252" s="12">
        <f t="shared" si="6"/>
        <v>540</v>
      </c>
      <c r="I252" s="10" t="s">
        <v>10</v>
      </c>
      <c r="J252" s="13">
        <v>46063</v>
      </c>
      <c r="K252" t="s">
        <v>435</v>
      </c>
    </row>
    <row r="253" spans="1:11">
      <c r="A253" t="s">
        <v>319</v>
      </c>
      <c r="B253" s="8">
        <v>252604083</v>
      </c>
      <c r="C253" s="9">
        <v>46056</v>
      </c>
      <c r="D253" s="8" t="s">
        <v>603</v>
      </c>
      <c r="E253" s="10">
        <v>200000</v>
      </c>
      <c r="F253" s="8">
        <v>0.027</v>
      </c>
      <c r="G253" s="11">
        <v>46147</v>
      </c>
      <c r="H253" s="12">
        <f t="shared" si="6"/>
        <v>5400</v>
      </c>
      <c r="I253" s="10" t="s">
        <v>10</v>
      </c>
      <c r="J253" s="13">
        <v>46063</v>
      </c>
      <c r="K253" t="s">
        <v>435</v>
      </c>
    </row>
    <row r="254" spans="1:11">
      <c r="A254" t="s">
        <v>319</v>
      </c>
      <c r="B254" s="8">
        <v>252604083</v>
      </c>
      <c r="C254" s="9">
        <v>46056</v>
      </c>
      <c r="D254" s="8" t="s">
        <v>603</v>
      </c>
      <c r="E254" s="10">
        <v>20000</v>
      </c>
      <c r="F254" s="8">
        <v>0.027</v>
      </c>
      <c r="G254" s="11">
        <v>46147</v>
      </c>
      <c r="H254" s="12">
        <f t="shared" si="6"/>
        <v>540</v>
      </c>
      <c r="I254" s="10" t="s">
        <v>10</v>
      </c>
      <c r="J254" s="13">
        <v>46063</v>
      </c>
      <c r="K254" t="s">
        <v>435</v>
      </c>
    </row>
    <row r="255" spans="1:11">
      <c r="A255" t="s">
        <v>319</v>
      </c>
      <c r="B255" s="8">
        <v>252604083</v>
      </c>
      <c r="C255" s="9">
        <v>46056</v>
      </c>
      <c r="D255" s="8" t="s">
        <v>602</v>
      </c>
      <c r="E255" s="10">
        <v>130000</v>
      </c>
      <c r="F255" s="8">
        <v>0.022</v>
      </c>
      <c r="G255" s="11">
        <v>46147</v>
      </c>
      <c r="H255" s="12">
        <f t="shared" si="6"/>
        <v>2860</v>
      </c>
      <c r="I255" s="10" t="s">
        <v>10</v>
      </c>
      <c r="J255" s="13">
        <v>46059</v>
      </c>
      <c r="K255" t="s">
        <v>435</v>
      </c>
    </row>
    <row r="256" spans="1:11">
      <c r="A256" t="s">
        <v>319</v>
      </c>
      <c r="B256" s="8">
        <v>252604089</v>
      </c>
      <c r="C256" s="9">
        <v>46058</v>
      </c>
      <c r="D256" s="8" t="s">
        <v>625</v>
      </c>
      <c r="E256" s="10">
        <v>200000</v>
      </c>
      <c r="F256" s="8">
        <v>0.032</v>
      </c>
      <c r="G256" s="11">
        <v>46147</v>
      </c>
      <c r="H256" s="12">
        <f t="shared" si="6"/>
        <v>6400</v>
      </c>
      <c r="I256" s="10" t="s">
        <v>10</v>
      </c>
      <c r="J256" s="13">
        <v>46147</v>
      </c>
      <c r="K256" t="s">
        <v>489</v>
      </c>
    </row>
    <row r="257" spans="1:11">
      <c r="A257" t="s">
        <v>319</v>
      </c>
      <c r="B257" s="8">
        <v>252604089</v>
      </c>
      <c r="C257" s="9">
        <v>46058</v>
      </c>
      <c r="D257" s="8" t="s">
        <v>625</v>
      </c>
      <c r="E257" s="10">
        <v>200000</v>
      </c>
      <c r="F257" s="8">
        <v>0.032</v>
      </c>
      <c r="G257" s="11">
        <v>46147</v>
      </c>
      <c r="H257" s="12">
        <f t="shared" si="6"/>
        <v>6400</v>
      </c>
      <c r="I257" s="10" t="s">
        <v>10</v>
      </c>
      <c r="J257" s="13">
        <v>46147</v>
      </c>
      <c r="K257" t="s">
        <v>489</v>
      </c>
    </row>
    <row r="258" spans="1:11">
      <c r="A258" t="s">
        <v>319</v>
      </c>
      <c r="B258" s="8">
        <v>252604089</v>
      </c>
      <c r="C258" s="9">
        <v>46058</v>
      </c>
      <c r="D258" s="8" t="s">
        <v>625</v>
      </c>
      <c r="E258" s="10">
        <v>100000</v>
      </c>
      <c r="F258" s="8">
        <v>0.032</v>
      </c>
      <c r="G258" s="11">
        <v>46147</v>
      </c>
      <c r="H258" s="12">
        <f t="shared" si="6"/>
        <v>3200</v>
      </c>
      <c r="I258" s="10" t="s">
        <v>10</v>
      </c>
      <c r="J258" s="13">
        <v>46147</v>
      </c>
      <c r="K258" t="s">
        <v>489</v>
      </c>
    </row>
    <row r="259" spans="1:11">
      <c r="A259" t="s">
        <v>319</v>
      </c>
      <c r="B259" s="8">
        <v>252604089</v>
      </c>
      <c r="C259" s="9">
        <v>46058</v>
      </c>
      <c r="D259" s="8" t="s">
        <v>625</v>
      </c>
      <c r="E259" s="10">
        <v>200000</v>
      </c>
      <c r="F259" s="8">
        <v>0.032</v>
      </c>
      <c r="G259" s="11">
        <v>46178</v>
      </c>
      <c r="H259" s="12">
        <f t="shared" si="6"/>
        <v>6400</v>
      </c>
      <c r="I259" s="10" t="s">
        <v>10</v>
      </c>
      <c r="J259" s="13">
        <v>46147</v>
      </c>
      <c r="K259" t="s">
        <v>489</v>
      </c>
    </row>
    <row r="260" spans="1:11">
      <c r="A260" t="s">
        <v>319</v>
      </c>
      <c r="B260" s="8">
        <v>252604089</v>
      </c>
      <c r="C260" s="9">
        <v>46058</v>
      </c>
      <c r="D260" s="8" t="s">
        <v>625</v>
      </c>
      <c r="E260" s="10">
        <v>200000</v>
      </c>
      <c r="F260" s="8">
        <v>0.032</v>
      </c>
      <c r="G260" s="11">
        <v>46178</v>
      </c>
      <c r="H260" s="12">
        <f t="shared" si="6"/>
        <v>6400</v>
      </c>
      <c r="I260" s="10" t="s">
        <v>10</v>
      </c>
      <c r="J260" s="13">
        <v>46147</v>
      </c>
      <c r="K260" t="s">
        <v>489</v>
      </c>
    </row>
    <row r="261" spans="1:11">
      <c r="A261" t="s">
        <v>319</v>
      </c>
      <c r="B261" s="8">
        <v>252604089</v>
      </c>
      <c r="C261" s="9">
        <v>46058</v>
      </c>
      <c r="D261" s="8" t="s">
        <v>625</v>
      </c>
      <c r="E261" s="10">
        <v>100000</v>
      </c>
      <c r="F261" s="8">
        <v>0.032</v>
      </c>
      <c r="G261" s="11">
        <v>46178</v>
      </c>
      <c r="H261" s="12">
        <f t="shared" si="6"/>
        <v>3200</v>
      </c>
      <c r="I261" s="10" t="s">
        <v>10</v>
      </c>
      <c r="J261" s="13">
        <v>46147</v>
      </c>
      <c r="K261" t="s">
        <v>489</v>
      </c>
    </row>
    <row r="262" spans="1:11">
      <c r="A262" t="s">
        <v>319</v>
      </c>
      <c r="B262" s="8">
        <v>252604089</v>
      </c>
      <c r="C262" s="9">
        <v>46058</v>
      </c>
      <c r="D262" s="8" t="s">
        <v>425</v>
      </c>
      <c r="E262" s="10">
        <v>80000</v>
      </c>
      <c r="F262" s="8">
        <v>0.07</v>
      </c>
      <c r="G262" s="11">
        <v>46147</v>
      </c>
      <c r="H262" s="12">
        <f t="shared" si="6"/>
        <v>5600</v>
      </c>
      <c r="I262" s="10" t="s">
        <v>10</v>
      </c>
      <c r="J262" s="13">
        <v>46147</v>
      </c>
      <c r="K262" t="s">
        <v>489</v>
      </c>
    </row>
    <row r="263" spans="1:11">
      <c r="A263" t="s">
        <v>319</v>
      </c>
      <c r="B263" s="8">
        <v>252604089</v>
      </c>
      <c r="C263" s="9">
        <v>46058</v>
      </c>
      <c r="D263" s="8" t="s">
        <v>425</v>
      </c>
      <c r="E263" s="10">
        <v>80000</v>
      </c>
      <c r="F263" s="8">
        <v>0.07</v>
      </c>
      <c r="G263" s="11">
        <v>46178</v>
      </c>
      <c r="H263" s="12">
        <f t="shared" si="6"/>
        <v>5600</v>
      </c>
      <c r="I263" s="10" t="s">
        <v>10</v>
      </c>
      <c r="J263" s="13">
        <v>46147</v>
      </c>
      <c r="K263" t="s">
        <v>489</v>
      </c>
    </row>
    <row r="264" spans="1:11">
      <c r="A264" t="s">
        <v>319</v>
      </c>
      <c r="B264" s="8">
        <v>252604093</v>
      </c>
      <c r="C264" s="9">
        <v>46058</v>
      </c>
      <c r="D264" s="8" t="s">
        <v>625</v>
      </c>
      <c r="E264" s="10">
        <v>200000</v>
      </c>
      <c r="F264" s="8">
        <v>0.032</v>
      </c>
      <c r="G264" s="11">
        <v>46208</v>
      </c>
      <c r="H264" s="12">
        <f t="shared" si="6"/>
        <v>6400</v>
      </c>
      <c r="I264" s="10" t="s">
        <v>10</v>
      </c>
      <c r="J264" s="13">
        <v>46168</v>
      </c>
      <c r="K264" t="s">
        <v>489</v>
      </c>
    </row>
    <row r="265" spans="1:11">
      <c r="A265" t="s">
        <v>319</v>
      </c>
      <c r="B265" s="8">
        <v>252604093</v>
      </c>
      <c r="C265" s="9">
        <v>46058</v>
      </c>
      <c r="D265" s="8" t="s">
        <v>625</v>
      </c>
      <c r="E265" s="10">
        <v>200000</v>
      </c>
      <c r="F265" s="8">
        <v>0.032</v>
      </c>
      <c r="G265" s="11">
        <v>46208</v>
      </c>
      <c r="H265" s="12">
        <f t="shared" si="6"/>
        <v>6400</v>
      </c>
      <c r="I265" s="10" t="s">
        <v>10</v>
      </c>
      <c r="J265" s="13">
        <v>46168</v>
      </c>
      <c r="K265" t="s">
        <v>489</v>
      </c>
    </row>
    <row r="266" spans="1:11">
      <c r="A266" t="s">
        <v>319</v>
      </c>
      <c r="B266" s="8">
        <v>252604093</v>
      </c>
      <c r="C266" s="9">
        <v>46058</v>
      </c>
      <c r="D266" s="8" t="s">
        <v>625</v>
      </c>
      <c r="E266" s="10">
        <v>100000</v>
      </c>
      <c r="F266" s="8">
        <v>0.032</v>
      </c>
      <c r="G266" s="11">
        <v>46208</v>
      </c>
      <c r="H266" s="12">
        <f t="shared" si="6"/>
        <v>3200</v>
      </c>
      <c r="I266" s="10" t="s">
        <v>10</v>
      </c>
      <c r="J266" s="13">
        <v>46168</v>
      </c>
      <c r="K266" t="s">
        <v>489</v>
      </c>
    </row>
    <row r="267" spans="1:11">
      <c r="A267" t="s">
        <v>319</v>
      </c>
      <c r="B267" s="8">
        <v>252604093</v>
      </c>
      <c r="C267" s="9">
        <v>46058</v>
      </c>
      <c r="D267" s="8" t="s">
        <v>425</v>
      </c>
      <c r="E267" s="10">
        <v>80000</v>
      </c>
      <c r="F267" s="8">
        <v>0.07</v>
      </c>
      <c r="G267" s="11">
        <v>46208</v>
      </c>
      <c r="H267" s="12">
        <f t="shared" si="6"/>
        <v>5600</v>
      </c>
      <c r="I267" s="10" t="s">
        <v>10</v>
      </c>
      <c r="J267" s="13">
        <v>46168</v>
      </c>
      <c r="K267" t="s">
        <v>489</v>
      </c>
    </row>
    <row r="268" spans="1:11">
      <c r="A268" t="s">
        <v>319</v>
      </c>
      <c r="B268" s="8">
        <v>252604103</v>
      </c>
      <c r="C268" s="9">
        <v>46058</v>
      </c>
      <c r="D268" s="8" t="s">
        <v>39</v>
      </c>
      <c r="E268" s="10">
        <v>200000</v>
      </c>
      <c r="F268" s="8">
        <v>0.022</v>
      </c>
      <c r="G268" s="11">
        <v>46117</v>
      </c>
      <c r="H268" s="12">
        <f t="shared" si="6"/>
        <v>4400</v>
      </c>
      <c r="I268" s="10" t="s">
        <v>10</v>
      </c>
      <c r="J268" s="13">
        <v>46083</v>
      </c>
      <c r="K268" t="s">
        <v>431</v>
      </c>
    </row>
    <row r="269" spans="1:11">
      <c r="A269" t="s">
        <v>319</v>
      </c>
      <c r="B269" s="8">
        <v>252604103</v>
      </c>
      <c r="C269" s="9">
        <v>46058</v>
      </c>
      <c r="D269" s="8" t="s">
        <v>39</v>
      </c>
      <c r="E269" s="10">
        <v>200000</v>
      </c>
      <c r="F269" s="8">
        <v>0.022</v>
      </c>
      <c r="G269" s="11">
        <v>46117</v>
      </c>
      <c r="H269" s="12">
        <f t="shared" si="6"/>
        <v>4400</v>
      </c>
      <c r="I269" s="10" t="s">
        <v>10</v>
      </c>
      <c r="J269" s="13">
        <v>46083</v>
      </c>
      <c r="K269" t="s">
        <v>431</v>
      </c>
    </row>
    <row r="270" spans="1:11">
      <c r="A270" t="s">
        <v>319</v>
      </c>
      <c r="B270" s="8">
        <v>252604103</v>
      </c>
      <c r="C270" s="9">
        <v>46058</v>
      </c>
      <c r="D270" s="8" t="s">
        <v>39</v>
      </c>
      <c r="E270" s="10">
        <v>200000</v>
      </c>
      <c r="F270" s="8">
        <v>0.022</v>
      </c>
      <c r="G270" s="11">
        <v>46117</v>
      </c>
      <c r="H270" s="12">
        <f t="shared" si="6"/>
        <v>4400</v>
      </c>
      <c r="I270" s="10" t="s">
        <v>10</v>
      </c>
      <c r="J270" s="13">
        <v>46083</v>
      </c>
      <c r="K270" t="s">
        <v>431</v>
      </c>
    </row>
    <row r="271" spans="1:11">
      <c r="A271" t="s">
        <v>319</v>
      </c>
      <c r="B271" s="8">
        <v>252604103</v>
      </c>
      <c r="C271" s="9">
        <v>46058</v>
      </c>
      <c r="D271" s="8" t="s">
        <v>39</v>
      </c>
      <c r="E271" s="10">
        <v>200000</v>
      </c>
      <c r="F271" s="8">
        <v>0.022</v>
      </c>
      <c r="G271" s="11">
        <v>46117</v>
      </c>
      <c r="H271" s="12">
        <f t="shared" si="6"/>
        <v>4400</v>
      </c>
      <c r="I271" s="10" t="s">
        <v>10</v>
      </c>
      <c r="J271" s="13">
        <v>46083</v>
      </c>
      <c r="K271" t="s">
        <v>431</v>
      </c>
    </row>
    <row r="272" spans="1:11">
      <c r="A272" t="s">
        <v>319</v>
      </c>
      <c r="B272" s="8">
        <v>252604103</v>
      </c>
      <c r="C272" s="9">
        <v>46058</v>
      </c>
      <c r="D272" s="8" t="s">
        <v>39</v>
      </c>
      <c r="E272" s="10">
        <v>200000</v>
      </c>
      <c r="F272" s="8">
        <v>0.022</v>
      </c>
      <c r="G272" s="11">
        <v>46117</v>
      </c>
      <c r="H272" s="12">
        <f t="shared" si="6"/>
        <v>4400</v>
      </c>
      <c r="I272" s="10" t="s">
        <v>10</v>
      </c>
      <c r="J272" s="13">
        <v>46083</v>
      </c>
      <c r="K272" t="s">
        <v>431</v>
      </c>
    </row>
    <row r="273" spans="1:11">
      <c r="A273" t="s">
        <v>319</v>
      </c>
      <c r="B273" s="8">
        <v>252604103</v>
      </c>
      <c r="C273" s="9">
        <v>46058</v>
      </c>
      <c r="D273" s="8" t="s">
        <v>39</v>
      </c>
      <c r="E273" s="10">
        <v>200000</v>
      </c>
      <c r="F273" s="8">
        <v>0.022</v>
      </c>
      <c r="G273" s="11">
        <v>46117</v>
      </c>
      <c r="H273" s="12">
        <f t="shared" si="6"/>
        <v>4400</v>
      </c>
      <c r="I273" s="10" t="s">
        <v>10</v>
      </c>
      <c r="J273" s="13">
        <v>46083</v>
      </c>
      <c r="K273" t="s">
        <v>431</v>
      </c>
    </row>
    <row r="274" spans="1:11">
      <c r="A274" t="s">
        <v>319</v>
      </c>
      <c r="B274" s="8">
        <v>252604103</v>
      </c>
      <c r="C274" s="9">
        <v>46058</v>
      </c>
      <c r="D274" s="8" t="s">
        <v>39</v>
      </c>
      <c r="E274" s="10">
        <v>200000</v>
      </c>
      <c r="F274" s="8">
        <v>0.022</v>
      </c>
      <c r="G274" s="11">
        <v>46147</v>
      </c>
      <c r="H274" s="12">
        <f t="shared" si="6"/>
        <v>4400</v>
      </c>
      <c r="I274" s="10" t="s">
        <v>10</v>
      </c>
      <c r="J274" s="13">
        <v>46083</v>
      </c>
      <c r="K274" t="s">
        <v>431</v>
      </c>
    </row>
    <row r="275" spans="1:11">
      <c r="A275" t="s">
        <v>319</v>
      </c>
      <c r="B275" s="8">
        <v>252604103</v>
      </c>
      <c r="C275" s="9">
        <v>46058</v>
      </c>
      <c r="D275" s="8" t="s">
        <v>39</v>
      </c>
      <c r="E275" s="10">
        <v>200000</v>
      </c>
      <c r="F275" s="8">
        <v>0.022</v>
      </c>
      <c r="G275" s="11">
        <v>46147</v>
      </c>
      <c r="H275" s="12">
        <f t="shared" si="6"/>
        <v>4400</v>
      </c>
      <c r="I275" s="10" t="s">
        <v>10</v>
      </c>
      <c r="J275" s="13">
        <v>46083</v>
      </c>
      <c r="K275" t="s">
        <v>431</v>
      </c>
    </row>
    <row r="276" spans="1:11">
      <c r="A276" t="s">
        <v>319</v>
      </c>
      <c r="B276" s="8">
        <v>252604103</v>
      </c>
      <c r="C276" s="9">
        <v>46058</v>
      </c>
      <c r="D276" s="8" t="s">
        <v>39</v>
      </c>
      <c r="E276" s="10">
        <v>200000</v>
      </c>
      <c r="F276" s="8">
        <v>0.022</v>
      </c>
      <c r="G276" s="11">
        <v>46147</v>
      </c>
      <c r="H276" s="12">
        <f t="shared" si="6"/>
        <v>4400</v>
      </c>
      <c r="I276" s="10" t="s">
        <v>10</v>
      </c>
      <c r="J276" s="13">
        <v>46083</v>
      </c>
      <c r="K276" t="s">
        <v>431</v>
      </c>
    </row>
    <row r="277" spans="1:11">
      <c r="A277" t="s">
        <v>319</v>
      </c>
      <c r="B277" s="8">
        <v>252604103</v>
      </c>
      <c r="C277" s="9">
        <v>46058</v>
      </c>
      <c r="D277" s="8" t="s">
        <v>39</v>
      </c>
      <c r="E277" s="10">
        <v>200000</v>
      </c>
      <c r="F277" s="8">
        <v>0.022</v>
      </c>
      <c r="G277" s="11">
        <v>46147</v>
      </c>
      <c r="H277" s="12">
        <f t="shared" si="6"/>
        <v>4400</v>
      </c>
      <c r="I277" s="10" t="s">
        <v>10</v>
      </c>
      <c r="J277" s="13">
        <v>46083</v>
      </c>
      <c r="K277" t="s">
        <v>431</v>
      </c>
    </row>
    <row r="278" spans="1:11">
      <c r="A278" t="s">
        <v>319</v>
      </c>
      <c r="B278" s="8">
        <v>252604103</v>
      </c>
      <c r="C278" s="9">
        <v>46058</v>
      </c>
      <c r="D278" s="8" t="s">
        <v>39</v>
      </c>
      <c r="E278" s="10">
        <v>200000</v>
      </c>
      <c r="F278" s="8">
        <v>0.022</v>
      </c>
      <c r="G278" s="11">
        <v>46147</v>
      </c>
      <c r="H278" s="12">
        <f t="shared" si="6"/>
        <v>4400</v>
      </c>
      <c r="I278" s="10" t="s">
        <v>10</v>
      </c>
      <c r="J278" s="13">
        <v>46083</v>
      </c>
      <c r="K278" t="s">
        <v>431</v>
      </c>
    </row>
    <row r="279" spans="1:11">
      <c r="A279" t="s">
        <v>319</v>
      </c>
      <c r="B279" s="8">
        <v>252604103</v>
      </c>
      <c r="C279" s="9">
        <v>46058</v>
      </c>
      <c r="D279" s="8" t="s">
        <v>39</v>
      </c>
      <c r="E279" s="10">
        <v>200000</v>
      </c>
      <c r="F279" s="8">
        <v>0.022</v>
      </c>
      <c r="G279" s="11">
        <v>46147</v>
      </c>
      <c r="H279" s="12">
        <f t="shared" si="6"/>
        <v>4400</v>
      </c>
      <c r="I279" s="10" t="s">
        <v>10</v>
      </c>
      <c r="J279" s="13">
        <v>46083</v>
      </c>
      <c r="K279" t="s">
        <v>431</v>
      </c>
    </row>
    <row r="280" spans="1:11">
      <c r="A280" t="s">
        <v>319</v>
      </c>
      <c r="B280" s="8">
        <v>252604103</v>
      </c>
      <c r="C280" s="9">
        <v>46058</v>
      </c>
      <c r="D280" s="8" t="s">
        <v>425</v>
      </c>
      <c r="E280" s="10">
        <v>30000</v>
      </c>
      <c r="F280" s="8">
        <v>0.07</v>
      </c>
      <c r="G280" s="11">
        <v>46117</v>
      </c>
      <c r="H280" s="12">
        <f t="shared" si="6"/>
        <v>2100</v>
      </c>
      <c r="I280" s="10" t="s">
        <v>10</v>
      </c>
      <c r="J280" s="13">
        <v>46083</v>
      </c>
      <c r="K280" t="s">
        <v>431</v>
      </c>
    </row>
    <row r="281" spans="1:11">
      <c r="A281" t="s">
        <v>319</v>
      </c>
      <c r="B281" s="8">
        <v>252604125</v>
      </c>
      <c r="C281" s="9">
        <v>46059</v>
      </c>
      <c r="D281" s="8" t="s">
        <v>32</v>
      </c>
      <c r="E281" s="10">
        <v>100000</v>
      </c>
      <c r="F281" s="8">
        <v>0.014</v>
      </c>
      <c r="G281" s="11">
        <v>46117</v>
      </c>
      <c r="H281" s="12">
        <f t="shared" si="6"/>
        <v>1400</v>
      </c>
      <c r="I281" s="10" t="s">
        <v>10</v>
      </c>
      <c r="J281" s="13">
        <v>46076</v>
      </c>
      <c r="K281" t="s">
        <v>467</v>
      </c>
    </row>
    <row r="282" spans="1:11">
      <c r="A282" t="s">
        <v>319</v>
      </c>
      <c r="B282" s="8">
        <v>252604125</v>
      </c>
      <c r="C282" s="9">
        <v>46059</v>
      </c>
      <c r="D282" s="8" t="s">
        <v>32</v>
      </c>
      <c r="E282" s="10">
        <v>100000</v>
      </c>
      <c r="F282" s="8">
        <v>0.014</v>
      </c>
      <c r="G282" s="11">
        <v>46147</v>
      </c>
      <c r="H282" s="12">
        <f t="shared" si="6"/>
        <v>1400</v>
      </c>
      <c r="I282" s="10" t="s">
        <v>10</v>
      </c>
      <c r="J282" s="13">
        <v>46076</v>
      </c>
      <c r="K282" t="s">
        <v>467</v>
      </c>
    </row>
    <row r="283" spans="1:11">
      <c r="A283" t="s">
        <v>319</v>
      </c>
      <c r="B283" s="8">
        <v>252604126</v>
      </c>
      <c r="C283" s="9">
        <v>46059</v>
      </c>
      <c r="D283" s="8" t="s">
        <v>32</v>
      </c>
      <c r="E283" s="10">
        <v>100000</v>
      </c>
      <c r="F283" s="8">
        <v>0.014</v>
      </c>
      <c r="G283" s="11">
        <v>46178</v>
      </c>
      <c r="H283" s="12">
        <f t="shared" si="6"/>
        <v>1400</v>
      </c>
      <c r="I283" s="10" t="s">
        <v>10</v>
      </c>
      <c r="J283" s="13">
        <v>46076</v>
      </c>
      <c r="K283" t="s">
        <v>467</v>
      </c>
    </row>
    <row r="284" spans="1:11">
      <c r="A284" t="s">
        <v>319</v>
      </c>
      <c r="B284" s="8">
        <v>252604179</v>
      </c>
      <c r="C284" s="9">
        <v>46063</v>
      </c>
      <c r="D284" s="8" t="s">
        <v>30</v>
      </c>
      <c r="E284" s="10">
        <v>70000</v>
      </c>
      <c r="F284" s="8">
        <v>0.022</v>
      </c>
      <c r="G284" s="11">
        <v>46075</v>
      </c>
      <c r="H284" s="12">
        <f t="shared" si="6"/>
        <v>1540</v>
      </c>
      <c r="I284" s="10" t="s">
        <v>10</v>
      </c>
      <c r="J284" s="13">
        <v>46076</v>
      </c>
      <c r="K284" t="s">
        <v>365</v>
      </c>
    </row>
    <row r="285" spans="1:11">
      <c r="A285" t="s">
        <v>319</v>
      </c>
      <c r="B285" s="8">
        <v>252604179</v>
      </c>
      <c r="C285" s="9">
        <v>46063</v>
      </c>
      <c r="D285" s="8" t="s">
        <v>30</v>
      </c>
      <c r="E285" s="10">
        <v>70000</v>
      </c>
      <c r="F285" s="8">
        <v>0.022</v>
      </c>
      <c r="G285" s="11">
        <v>46086</v>
      </c>
      <c r="H285" s="12">
        <f t="shared" si="6"/>
        <v>1540</v>
      </c>
      <c r="I285" s="10" t="s">
        <v>10</v>
      </c>
      <c r="J285" s="13">
        <v>46076</v>
      </c>
      <c r="K285" t="s">
        <v>365</v>
      </c>
    </row>
    <row r="286" spans="1:11">
      <c r="A286" t="s">
        <v>319</v>
      </c>
      <c r="B286" s="8">
        <v>252604181</v>
      </c>
      <c r="C286" s="9">
        <v>46063</v>
      </c>
      <c r="D286" s="8" t="s">
        <v>30</v>
      </c>
      <c r="E286" s="10">
        <v>200000</v>
      </c>
      <c r="F286" s="8">
        <v>0.022</v>
      </c>
      <c r="G286" s="11">
        <v>46075</v>
      </c>
      <c r="H286" s="12">
        <f t="shared" si="6"/>
        <v>4400</v>
      </c>
      <c r="I286" s="10" t="s">
        <v>10</v>
      </c>
      <c r="J286" s="13">
        <v>46076</v>
      </c>
      <c r="K286" t="s">
        <v>369</v>
      </c>
    </row>
    <row r="287" spans="1:11">
      <c r="A287" t="s">
        <v>319</v>
      </c>
      <c r="B287" s="8">
        <v>252604182</v>
      </c>
      <c r="C287" s="9">
        <v>46064</v>
      </c>
      <c r="D287" s="8" t="s">
        <v>557</v>
      </c>
      <c r="E287" s="10">
        <v>100000</v>
      </c>
      <c r="F287" s="8">
        <v>0.026</v>
      </c>
      <c r="G287" s="11">
        <v>46117</v>
      </c>
      <c r="H287" s="12">
        <f t="shared" si="6"/>
        <v>2600</v>
      </c>
      <c r="I287" s="10" t="s">
        <v>10</v>
      </c>
      <c r="J287" s="13">
        <v>46083</v>
      </c>
      <c r="K287" t="s">
        <v>377</v>
      </c>
    </row>
    <row r="288" spans="1:11">
      <c r="A288" t="s">
        <v>319</v>
      </c>
      <c r="B288" s="8">
        <v>252604182</v>
      </c>
      <c r="C288" s="9">
        <v>46064</v>
      </c>
      <c r="D288" s="8" t="s">
        <v>502</v>
      </c>
      <c r="E288" s="10">
        <v>100000</v>
      </c>
      <c r="F288" s="8">
        <v>0.1</v>
      </c>
      <c r="G288" s="11">
        <v>46147</v>
      </c>
      <c r="H288" s="12">
        <f t="shared" si="6"/>
        <v>10000</v>
      </c>
      <c r="I288" s="10" t="s">
        <v>10</v>
      </c>
      <c r="J288" s="13">
        <v>46083</v>
      </c>
      <c r="K288" t="s">
        <v>377</v>
      </c>
    </row>
    <row r="289" spans="1:11">
      <c r="A289" t="s">
        <v>319</v>
      </c>
      <c r="B289" s="8">
        <v>252604182</v>
      </c>
      <c r="C289" s="9">
        <v>46064</v>
      </c>
      <c r="D289" s="8" t="s">
        <v>509</v>
      </c>
      <c r="E289" s="10">
        <v>20000</v>
      </c>
      <c r="F289" s="8">
        <v>0.16</v>
      </c>
      <c r="G289" s="11">
        <v>46117</v>
      </c>
      <c r="H289" s="12">
        <f t="shared" si="6"/>
        <v>3200</v>
      </c>
      <c r="I289" s="10" t="s">
        <v>10</v>
      </c>
      <c r="J289" s="13">
        <v>46087</v>
      </c>
      <c r="K289" t="s">
        <v>377</v>
      </c>
    </row>
    <row r="290" spans="1:11">
      <c r="A290" t="s">
        <v>319</v>
      </c>
      <c r="B290" s="8">
        <v>252604182</v>
      </c>
      <c r="C290" s="9">
        <v>46064</v>
      </c>
      <c r="D290" s="8" t="s">
        <v>50</v>
      </c>
      <c r="E290" s="10">
        <v>150000</v>
      </c>
      <c r="F290" s="8">
        <v>0.08</v>
      </c>
      <c r="G290" s="11">
        <v>46117</v>
      </c>
      <c r="H290" s="12">
        <f t="shared" si="6"/>
        <v>12000</v>
      </c>
      <c r="I290" s="10" t="s">
        <v>10</v>
      </c>
      <c r="J290" s="13">
        <v>46083</v>
      </c>
      <c r="K290" t="s">
        <v>377</v>
      </c>
    </row>
    <row r="291" spans="1:11">
      <c r="A291" t="s">
        <v>319</v>
      </c>
      <c r="B291" s="8">
        <v>252604182</v>
      </c>
      <c r="C291" s="9">
        <v>46064</v>
      </c>
      <c r="D291" s="8" t="s">
        <v>50</v>
      </c>
      <c r="E291" s="10">
        <v>150000</v>
      </c>
      <c r="F291" s="8">
        <v>0.08</v>
      </c>
      <c r="G291" s="11">
        <v>46147</v>
      </c>
      <c r="H291" s="12">
        <f t="shared" si="6"/>
        <v>12000</v>
      </c>
      <c r="I291" s="10" t="s">
        <v>10</v>
      </c>
      <c r="J291" s="13">
        <v>46083</v>
      </c>
      <c r="K291" t="s">
        <v>377</v>
      </c>
    </row>
    <row r="292" spans="1:11">
      <c r="A292" t="s">
        <v>319</v>
      </c>
      <c r="B292" s="8">
        <v>252604182</v>
      </c>
      <c r="C292" s="9">
        <v>46064</v>
      </c>
      <c r="D292" s="8" t="s">
        <v>46</v>
      </c>
      <c r="E292" s="10">
        <v>100000</v>
      </c>
      <c r="F292" s="8">
        <v>0.02</v>
      </c>
      <c r="G292" s="11">
        <v>46117</v>
      </c>
      <c r="H292" s="12">
        <f t="shared" si="6"/>
        <v>2000</v>
      </c>
      <c r="I292" s="10" t="s">
        <v>10</v>
      </c>
      <c r="J292" s="13">
        <v>46083</v>
      </c>
      <c r="K292" t="s">
        <v>377</v>
      </c>
    </row>
    <row r="293" spans="1:11">
      <c r="A293" t="s">
        <v>319</v>
      </c>
      <c r="B293" s="8">
        <v>252604182</v>
      </c>
      <c r="C293" s="9">
        <v>46064</v>
      </c>
      <c r="D293" s="8" t="s">
        <v>40</v>
      </c>
      <c r="E293" s="10">
        <v>80000</v>
      </c>
      <c r="F293" s="8">
        <v>0.035</v>
      </c>
      <c r="G293" s="11">
        <v>46117</v>
      </c>
      <c r="H293" s="12">
        <f t="shared" si="6"/>
        <v>2800</v>
      </c>
      <c r="I293" s="10" t="s">
        <v>10</v>
      </c>
      <c r="J293" s="13">
        <v>46087</v>
      </c>
      <c r="K293" t="s">
        <v>377</v>
      </c>
    </row>
    <row r="294" spans="1:11">
      <c r="A294" t="s">
        <v>319</v>
      </c>
      <c r="B294" s="8">
        <v>252604182</v>
      </c>
      <c r="C294" s="9">
        <v>46064</v>
      </c>
      <c r="D294" s="8" t="s">
        <v>511</v>
      </c>
      <c r="E294" s="10">
        <v>40000</v>
      </c>
      <c r="F294" s="8">
        <v>0.041</v>
      </c>
      <c r="G294" s="11">
        <v>46147</v>
      </c>
      <c r="H294" s="12">
        <f t="shared" si="6"/>
        <v>1640</v>
      </c>
      <c r="I294" s="10" t="s">
        <v>10</v>
      </c>
      <c r="J294" s="13">
        <v>46083</v>
      </c>
      <c r="K294" t="s">
        <v>377</v>
      </c>
    </row>
    <row r="295" spans="1:11">
      <c r="A295" t="s">
        <v>319</v>
      </c>
      <c r="B295" s="8">
        <v>252604184</v>
      </c>
      <c r="C295" s="9">
        <v>46063</v>
      </c>
      <c r="D295" s="8" t="s">
        <v>30</v>
      </c>
      <c r="E295" s="10">
        <v>60000</v>
      </c>
      <c r="F295" s="8">
        <v>0.022</v>
      </c>
      <c r="G295" s="11">
        <v>46075</v>
      </c>
      <c r="H295" s="12">
        <f t="shared" si="6"/>
        <v>1320</v>
      </c>
      <c r="I295" s="10" t="s">
        <v>10</v>
      </c>
      <c r="J295" s="13">
        <v>46076</v>
      </c>
      <c r="K295" t="s">
        <v>382</v>
      </c>
    </row>
    <row r="296" spans="1:11">
      <c r="A296" t="s">
        <v>319</v>
      </c>
      <c r="B296" s="8">
        <v>252604184</v>
      </c>
      <c r="C296" s="9">
        <v>46063</v>
      </c>
      <c r="D296" s="8" t="s">
        <v>30</v>
      </c>
      <c r="E296" s="10">
        <v>60000</v>
      </c>
      <c r="F296" s="8">
        <v>0.022</v>
      </c>
      <c r="G296" s="11">
        <v>46086</v>
      </c>
      <c r="H296" s="12">
        <f t="shared" si="6"/>
        <v>1320</v>
      </c>
      <c r="I296" s="10" t="s">
        <v>10</v>
      </c>
      <c r="J296" s="13">
        <v>46076</v>
      </c>
      <c r="K296" t="s">
        <v>382</v>
      </c>
    </row>
    <row r="297" spans="1:11">
      <c r="A297" t="s">
        <v>319</v>
      </c>
      <c r="B297" s="8">
        <v>252604200</v>
      </c>
      <c r="C297" s="9">
        <v>46064</v>
      </c>
      <c r="D297" s="8" t="s">
        <v>179</v>
      </c>
      <c r="E297" s="10">
        <v>300000</v>
      </c>
      <c r="F297" s="8">
        <v>0.065</v>
      </c>
      <c r="G297" s="11">
        <v>46086</v>
      </c>
      <c r="H297" s="12">
        <f t="shared" si="6"/>
        <v>19500</v>
      </c>
      <c r="I297" s="10" t="s">
        <v>10</v>
      </c>
      <c r="J297" s="13">
        <v>46077</v>
      </c>
      <c r="K297" t="s">
        <v>486</v>
      </c>
    </row>
    <row r="298" spans="1:11">
      <c r="A298" t="s">
        <v>319</v>
      </c>
      <c r="B298" s="8">
        <v>252604200</v>
      </c>
      <c r="C298" s="9">
        <v>46064</v>
      </c>
      <c r="D298" s="8" t="s">
        <v>179</v>
      </c>
      <c r="E298" s="10">
        <v>300000</v>
      </c>
      <c r="F298" s="8">
        <v>0.065</v>
      </c>
      <c r="G298" s="11">
        <v>46117</v>
      </c>
      <c r="H298" s="12">
        <f t="shared" si="6"/>
        <v>19500</v>
      </c>
      <c r="I298" s="10" t="s">
        <v>10</v>
      </c>
      <c r="J298" s="13">
        <v>46077</v>
      </c>
      <c r="K298" t="s">
        <v>486</v>
      </c>
    </row>
    <row r="299" spans="1:11">
      <c r="A299" t="s">
        <v>319</v>
      </c>
      <c r="B299" s="14">
        <v>252604205</v>
      </c>
      <c r="C299" s="13">
        <v>46065</v>
      </c>
      <c r="D299" s="14" t="s">
        <v>637</v>
      </c>
      <c r="E299" s="15">
        <v>4000</v>
      </c>
      <c r="F299" s="14">
        <v>0.032</v>
      </c>
      <c r="G299" s="16">
        <v>46075</v>
      </c>
      <c r="H299" s="17">
        <f t="shared" si="6"/>
        <v>128</v>
      </c>
      <c r="I299" s="15" t="s">
        <v>51</v>
      </c>
      <c r="J299" s="15"/>
      <c r="K299" t="s">
        <v>638</v>
      </c>
    </row>
    <row r="300" spans="1:11">
      <c r="A300" t="s">
        <v>319</v>
      </c>
      <c r="B300" s="8">
        <v>252604207</v>
      </c>
      <c r="C300" s="9">
        <v>46065</v>
      </c>
      <c r="D300" s="8" t="s">
        <v>181</v>
      </c>
      <c r="E300" s="10">
        <v>100000</v>
      </c>
      <c r="F300" s="8">
        <v>0.0243</v>
      </c>
      <c r="G300" s="11">
        <v>46178</v>
      </c>
      <c r="H300" s="12">
        <f t="shared" si="6"/>
        <v>2430</v>
      </c>
      <c r="I300" s="10" t="s">
        <v>10</v>
      </c>
      <c r="J300" s="13">
        <v>46184</v>
      </c>
      <c r="K300" t="s">
        <v>439</v>
      </c>
    </row>
    <row r="301" spans="1:11">
      <c r="A301" t="s">
        <v>319</v>
      </c>
      <c r="B301" s="8">
        <v>252604207</v>
      </c>
      <c r="C301" s="9">
        <v>46065</v>
      </c>
      <c r="D301" s="8" t="s">
        <v>181</v>
      </c>
      <c r="E301" s="10">
        <v>100000</v>
      </c>
      <c r="F301" s="8">
        <v>0.0243</v>
      </c>
      <c r="G301" s="11">
        <v>46208</v>
      </c>
      <c r="H301" s="12">
        <f t="shared" si="6"/>
        <v>2430</v>
      </c>
      <c r="I301" s="10" t="s">
        <v>10</v>
      </c>
      <c r="J301" s="13">
        <v>46184</v>
      </c>
      <c r="K301" t="s">
        <v>439</v>
      </c>
    </row>
    <row r="302" spans="1:11">
      <c r="A302" t="s">
        <v>319</v>
      </c>
      <c r="B302" s="8">
        <v>252604207</v>
      </c>
      <c r="C302" s="9">
        <v>46065</v>
      </c>
      <c r="D302" s="8" t="s">
        <v>181</v>
      </c>
      <c r="E302" s="10">
        <v>100000</v>
      </c>
      <c r="F302" s="8">
        <v>0.0243</v>
      </c>
      <c r="G302" s="11">
        <v>46239</v>
      </c>
      <c r="H302" s="12">
        <f t="shared" si="6"/>
        <v>2430</v>
      </c>
      <c r="I302" s="10" t="s">
        <v>10</v>
      </c>
      <c r="J302" s="13">
        <v>46184</v>
      </c>
      <c r="K302" t="s">
        <v>439</v>
      </c>
    </row>
    <row r="303" spans="1:11">
      <c r="A303" t="s">
        <v>319</v>
      </c>
      <c r="B303" s="8">
        <v>252604207</v>
      </c>
      <c r="C303" s="9">
        <v>46065</v>
      </c>
      <c r="D303" s="8" t="s">
        <v>181</v>
      </c>
      <c r="E303" s="10">
        <v>100000</v>
      </c>
      <c r="F303" s="8">
        <v>0.0243</v>
      </c>
      <c r="G303" s="11">
        <v>46270</v>
      </c>
      <c r="H303" s="12">
        <f t="shared" si="6"/>
        <v>2430</v>
      </c>
      <c r="I303" s="10" t="s">
        <v>10</v>
      </c>
      <c r="J303" s="13">
        <v>46184</v>
      </c>
      <c r="K303" t="s">
        <v>439</v>
      </c>
    </row>
    <row r="304" spans="1:11">
      <c r="A304" t="s">
        <v>319</v>
      </c>
      <c r="B304" s="8">
        <v>252604235</v>
      </c>
      <c r="C304" s="9">
        <v>46069</v>
      </c>
      <c r="D304" s="8" t="s">
        <v>516</v>
      </c>
      <c r="E304" s="10">
        <v>130000</v>
      </c>
      <c r="F304" s="8">
        <v>0.032</v>
      </c>
      <c r="G304" s="11">
        <v>46317</v>
      </c>
      <c r="H304" s="12">
        <f t="shared" si="6"/>
        <v>4160</v>
      </c>
      <c r="I304" s="10" t="s">
        <v>10</v>
      </c>
      <c r="J304" s="13">
        <v>46100</v>
      </c>
      <c r="K304" t="s">
        <v>615</v>
      </c>
    </row>
    <row r="305" spans="1:11">
      <c r="A305" t="s">
        <v>319</v>
      </c>
      <c r="B305" s="8">
        <v>252604235</v>
      </c>
      <c r="C305" s="9">
        <v>46069</v>
      </c>
      <c r="D305" s="8" t="s">
        <v>516</v>
      </c>
      <c r="E305" s="10">
        <v>130000</v>
      </c>
      <c r="F305" s="8">
        <v>0.032</v>
      </c>
      <c r="G305" s="11">
        <v>46348</v>
      </c>
      <c r="H305" s="12">
        <f t="shared" si="6"/>
        <v>4160</v>
      </c>
      <c r="I305" s="10" t="s">
        <v>10</v>
      </c>
      <c r="J305" s="13">
        <v>46100</v>
      </c>
      <c r="K305" t="s">
        <v>615</v>
      </c>
    </row>
    <row r="306" spans="1:11">
      <c r="A306" t="s">
        <v>319</v>
      </c>
      <c r="B306" s="8">
        <v>252604235</v>
      </c>
      <c r="C306" s="9">
        <v>46069</v>
      </c>
      <c r="D306" s="8" t="s">
        <v>516</v>
      </c>
      <c r="E306" s="10">
        <v>130000</v>
      </c>
      <c r="F306" s="8">
        <v>0.032</v>
      </c>
      <c r="G306" s="11">
        <v>46147</v>
      </c>
      <c r="H306" s="12">
        <f t="shared" si="6"/>
        <v>4160</v>
      </c>
      <c r="I306" s="10" t="s">
        <v>10</v>
      </c>
      <c r="J306" s="13">
        <v>46077</v>
      </c>
      <c r="K306" t="s">
        <v>615</v>
      </c>
    </row>
    <row r="307" spans="1:11">
      <c r="A307" t="s">
        <v>319</v>
      </c>
      <c r="B307" s="8">
        <v>252604235</v>
      </c>
      <c r="C307" s="9">
        <v>46069</v>
      </c>
      <c r="D307" s="8" t="s">
        <v>516</v>
      </c>
      <c r="E307" s="10">
        <v>130000</v>
      </c>
      <c r="F307" s="8">
        <v>0.032</v>
      </c>
      <c r="G307" s="11">
        <v>46178</v>
      </c>
      <c r="H307" s="12">
        <f t="shared" si="6"/>
        <v>4160</v>
      </c>
      <c r="I307" s="10" t="s">
        <v>10</v>
      </c>
      <c r="J307" s="13">
        <v>46077</v>
      </c>
      <c r="K307" t="s">
        <v>615</v>
      </c>
    </row>
    <row r="308" spans="1:11">
      <c r="A308" t="s">
        <v>319</v>
      </c>
      <c r="B308" s="8">
        <v>252604236</v>
      </c>
      <c r="C308" s="9">
        <v>46069</v>
      </c>
      <c r="D308" s="8" t="s">
        <v>479</v>
      </c>
      <c r="E308" s="10">
        <v>20000</v>
      </c>
      <c r="F308" s="8">
        <v>0.0315</v>
      </c>
      <c r="G308" s="11">
        <v>46086</v>
      </c>
      <c r="H308" s="12">
        <f t="shared" si="6"/>
        <v>630</v>
      </c>
      <c r="I308" s="10" t="s">
        <v>10</v>
      </c>
      <c r="J308" s="13">
        <v>46076</v>
      </c>
      <c r="K308" t="s">
        <v>519</v>
      </c>
    </row>
    <row r="309" spans="1:11">
      <c r="A309" t="s">
        <v>319</v>
      </c>
      <c r="B309" s="8">
        <v>252604236</v>
      </c>
      <c r="C309" s="9">
        <v>46069</v>
      </c>
      <c r="D309" s="8" t="s">
        <v>479</v>
      </c>
      <c r="E309" s="10">
        <v>20000</v>
      </c>
      <c r="F309" s="8">
        <v>0.0315</v>
      </c>
      <c r="G309" s="11">
        <v>46117</v>
      </c>
      <c r="H309" s="12">
        <f t="shared" si="6"/>
        <v>630</v>
      </c>
      <c r="I309" s="10" t="s">
        <v>10</v>
      </c>
      <c r="J309" s="13">
        <v>46076</v>
      </c>
      <c r="K309" t="s">
        <v>519</v>
      </c>
    </row>
    <row r="310" spans="1:11">
      <c r="A310" t="s">
        <v>319</v>
      </c>
      <c r="B310" s="8">
        <v>252604236</v>
      </c>
      <c r="C310" s="9">
        <v>46069</v>
      </c>
      <c r="D310" s="8" t="s">
        <v>498</v>
      </c>
      <c r="E310" s="10">
        <v>20000</v>
      </c>
      <c r="F310" s="8">
        <v>0.06</v>
      </c>
      <c r="G310" s="11">
        <v>46086</v>
      </c>
      <c r="H310" s="12">
        <f t="shared" si="6"/>
        <v>1200</v>
      </c>
      <c r="I310" s="10" t="s">
        <v>10</v>
      </c>
      <c r="J310" s="13">
        <v>46076</v>
      </c>
      <c r="K310" t="s">
        <v>519</v>
      </c>
    </row>
    <row r="311" spans="1:11">
      <c r="A311" t="s">
        <v>319</v>
      </c>
      <c r="B311" s="8">
        <v>252604236</v>
      </c>
      <c r="C311" s="9">
        <v>46069</v>
      </c>
      <c r="D311" s="8" t="s">
        <v>498</v>
      </c>
      <c r="E311" s="10">
        <v>20000</v>
      </c>
      <c r="F311" s="8">
        <v>0.06</v>
      </c>
      <c r="G311" s="11">
        <v>46117</v>
      </c>
      <c r="H311" s="12">
        <f t="shared" si="6"/>
        <v>1200</v>
      </c>
      <c r="I311" s="10" t="s">
        <v>10</v>
      </c>
      <c r="J311" s="13">
        <v>46076</v>
      </c>
      <c r="K311" t="s">
        <v>519</v>
      </c>
    </row>
    <row r="312" spans="1:11">
      <c r="A312" t="s">
        <v>319</v>
      </c>
      <c r="B312" s="8">
        <v>252604238</v>
      </c>
      <c r="C312" s="9">
        <v>46069</v>
      </c>
      <c r="D312" s="8" t="s">
        <v>479</v>
      </c>
      <c r="E312" s="10">
        <v>20000</v>
      </c>
      <c r="F312" s="8">
        <v>0.0315</v>
      </c>
      <c r="G312" s="11">
        <v>46178</v>
      </c>
      <c r="H312" s="12">
        <f t="shared" si="6"/>
        <v>630</v>
      </c>
      <c r="I312" s="10" t="s">
        <v>10</v>
      </c>
      <c r="J312" s="13">
        <v>46157</v>
      </c>
      <c r="K312" t="s">
        <v>519</v>
      </c>
    </row>
    <row r="313" spans="1:11">
      <c r="A313" t="s">
        <v>319</v>
      </c>
      <c r="B313" s="8">
        <v>252604250</v>
      </c>
      <c r="C313" s="9">
        <v>46069</v>
      </c>
      <c r="D313" s="8" t="s">
        <v>285</v>
      </c>
      <c r="E313" s="10">
        <v>24000</v>
      </c>
      <c r="F313" s="8">
        <v>0.02</v>
      </c>
      <c r="G313" s="11">
        <v>46178</v>
      </c>
      <c r="H313" s="12">
        <f t="shared" si="6"/>
        <v>480</v>
      </c>
      <c r="I313" s="10" t="s">
        <v>10</v>
      </c>
      <c r="J313" s="13">
        <v>46076</v>
      </c>
      <c r="K313" t="s">
        <v>469</v>
      </c>
    </row>
    <row r="314" spans="1:11">
      <c r="A314" t="s">
        <v>319</v>
      </c>
      <c r="B314" s="8">
        <v>252604250</v>
      </c>
      <c r="C314" s="9">
        <v>46069</v>
      </c>
      <c r="D314" s="8" t="s">
        <v>286</v>
      </c>
      <c r="E314" s="10">
        <v>24000</v>
      </c>
      <c r="F314" s="8">
        <v>0.0235</v>
      </c>
      <c r="G314" s="11">
        <v>46178</v>
      </c>
      <c r="H314" s="12">
        <f t="shared" si="6"/>
        <v>564</v>
      </c>
      <c r="I314" s="10" t="s">
        <v>10</v>
      </c>
      <c r="J314" s="13">
        <v>46076</v>
      </c>
      <c r="K314" t="s">
        <v>469</v>
      </c>
    </row>
    <row r="315" spans="1:11">
      <c r="A315" t="s">
        <v>319</v>
      </c>
      <c r="B315" s="8">
        <v>252604250</v>
      </c>
      <c r="C315" s="9">
        <v>46069</v>
      </c>
      <c r="D315" s="8" t="s">
        <v>465</v>
      </c>
      <c r="E315" s="10">
        <v>24000</v>
      </c>
      <c r="F315" s="8">
        <v>0.018</v>
      </c>
      <c r="G315" s="11">
        <v>46178</v>
      </c>
      <c r="H315" s="12">
        <f t="shared" ref="H315:H378" si="7">E315*F315</f>
        <v>432</v>
      </c>
      <c r="I315" s="10" t="s">
        <v>10</v>
      </c>
      <c r="J315" s="13">
        <v>46076</v>
      </c>
      <c r="K315" t="s">
        <v>469</v>
      </c>
    </row>
    <row r="316" spans="1:11">
      <c r="A316" t="s">
        <v>319</v>
      </c>
      <c r="B316" s="8">
        <v>252604250</v>
      </c>
      <c r="C316" s="9">
        <v>46069</v>
      </c>
      <c r="D316" s="8" t="s">
        <v>288</v>
      </c>
      <c r="E316" s="10">
        <v>24000</v>
      </c>
      <c r="F316" s="8">
        <v>0.022</v>
      </c>
      <c r="G316" s="11">
        <v>46178</v>
      </c>
      <c r="H316" s="12">
        <f t="shared" si="7"/>
        <v>528</v>
      </c>
      <c r="I316" s="10" t="s">
        <v>10</v>
      </c>
      <c r="J316" s="13">
        <v>46076</v>
      </c>
      <c r="K316" t="s">
        <v>469</v>
      </c>
    </row>
    <row r="317" spans="1:11">
      <c r="A317" t="s">
        <v>319</v>
      </c>
      <c r="B317" s="8">
        <v>252604279</v>
      </c>
      <c r="C317" s="9">
        <v>46070</v>
      </c>
      <c r="D317" s="8" t="s">
        <v>40</v>
      </c>
      <c r="E317" s="10">
        <v>400000</v>
      </c>
      <c r="F317" s="8">
        <v>0.035</v>
      </c>
      <c r="G317" s="11">
        <v>46086</v>
      </c>
      <c r="H317" s="12">
        <f t="shared" si="7"/>
        <v>14000</v>
      </c>
      <c r="I317" s="10" t="s">
        <v>10</v>
      </c>
      <c r="J317" s="13">
        <v>46077</v>
      </c>
      <c r="K317" t="s">
        <v>365</v>
      </c>
    </row>
    <row r="318" spans="1:11">
      <c r="A318" t="s">
        <v>319</v>
      </c>
      <c r="B318" s="8">
        <v>252604282</v>
      </c>
      <c r="C318" s="9">
        <v>46070</v>
      </c>
      <c r="D318" s="8" t="s">
        <v>30</v>
      </c>
      <c r="E318" s="10">
        <v>100000</v>
      </c>
      <c r="F318" s="8">
        <v>0.022</v>
      </c>
      <c r="G318" s="11">
        <v>46075</v>
      </c>
      <c r="H318" s="12">
        <f t="shared" si="7"/>
        <v>2200</v>
      </c>
      <c r="I318" s="10" t="s">
        <v>10</v>
      </c>
      <c r="J318" s="13">
        <v>46077</v>
      </c>
      <c r="K318" t="s">
        <v>378</v>
      </c>
    </row>
    <row r="319" spans="1:11">
      <c r="A319" t="s">
        <v>319</v>
      </c>
      <c r="B319" s="8">
        <v>252604313</v>
      </c>
      <c r="C319" s="9">
        <v>46071</v>
      </c>
      <c r="D319" s="8" t="s">
        <v>35</v>
      </c>
      <c r="E319" s="10">
        <v>112000</v>
      </c>
      <c r="F319" s="8">
        <v>0.05</v>
      </c>
      <c r="G319" s="11">
        <v>46147</v>
      </c>
      <c r="H319" s="12">
        <f t="shared" si="7"/>
        <v>5600</v>
      </c>
      <c r="I319" s="10" t="s">
        <v>10</v>
      </c>
      <c r="J319" s="13">
        <v>46147</v>
      </c>
      <c r="K319" t="s">
        <v>486</v>
      </c>
    </row>
    <row r="320" spans="1:11">
      <c r="A320" t="s">
        <v>319</v>
      </c>
      <c r="B320" s="8">
        <v>252604341</v>
      </c>
      <c r="C320" s="9">
        <v>46073</v>
      </c>
      <c r="D320" s="8" t="s">
        <v>30</v>
      </c>
      <c r="E320" s="10">
        <v>300000</v>
      </c>
      <c r="F320" s="8">
        <v>0.022</v>
      </c>
      <c r="G320" s="11">
        <v>46075</v>
      </c>
      <c r="H320" s="12">
        <f t="shared" si="7"/>
        <v>6600</v>
      </c>
      <c r="I320" s="10" t="s">
        <v>10</v>
      </c>
      <c r="J320" s="13">
        <v>46077</v>
      </c>
      <c r="K320" t="s">
        <v>365</v>
      </c>
    </row>
    <row r="321" spans="1:11">
      <c r="A321" t="s">
        <v>319</v>
      </c>
      <c r="B321" s="8">
        <v>252604341</v>
      </c>
      <c r="C321" s="9">
        <v>46073</v>
      </c>
      <c r="D321" s="8" t="s">
        <v>30</v>
      </c>
      <c r="E321" s="10">
        <v>300000</v>
      </c>
      <c r="F321" s="8">
        <v>0.022</v>
      </c>
      <c r="G321" s="11">
        <v>46086</v>
      </c>
      <c r="H321" s="12">
        <f t="shared" si="7"/>
        <v>6600</v>
      </c>
      <c r="I321" s="10" t="s">
        <v>10</v>
      </c>
      <c r="J321" s="13">
        <v>46077</v>
      </c>
      <c r="K321" t="s">
        <v>365</v>
      </c>
    </row>
    <row r="322" spans="1:11">
      <c r="A322" t="s">
        <v>319</v>
      </c>
      <c r="B322" s="14">
        <v>252604367</v>
      </c>
      <c r="C322" s="13">
        <v>46076</v>
      </c>
      <c r="D322" s="14" t="s">
        <v>639</v>
      </c>
      <c r="E322" s="15">
        <v>2000</v>
      </c>
      <c r="F322" s="14">
        <v>0.03</v>
      </c>
      <c r="G322" s="16">
        <v>46086</v>
      </c>
      <c r="H322" s="17">
        <f t="shared" si="7"/>
        <v>60</v>
      </c>
      <c r="I322" s="15" t="s">
        <v>51</v>
      </c>
      <c r="J322" s="15"/>
      <c r="K322" t="s">
        <v>486</v>
      </c>
    </row>
    <row r="323" spans="1:11">
      <c r="A323" t="s">
        <v>319</v>
      </c>
      <c r="B323" s="14">
        <v>252604380</v>
      </c>
      <c r="C323" s="13">
        <v>46076</v>
      </c>
      <c r="D323" s="14" t="s">
        <v>640</v>
      </c>
      <c r="E323" s="15">
        <v>2000</v>
      </c>
      <c r="F323" s="14">
        <v>0.04</v>
      </c>
      <c r="G323" s="16">
        <v>46086</v>
      </c>
      <c r="H323" s="17">
        <f t="shared" si="7"/>
        <v>80</v>
      </c>
      <c r="I323" s="15" t="s">
        <v>51</v>
      </c>
      <c r="J323" s="15"/>
      <c r="K323" t="s">
        <v>377</v>
      </c>
    </row>
    <row r="324" spans="1:11">
      <c r="A324" t="s">
        <v>319</v>
      </c>
      <c r="B324" s="8">
        <v>252604404</v>
      </c>
      <c r="C324" s="9">
        <v>46077</v>
      </c>
      <c r="D324" s="8" t="s">
        <v>226</v>
      </c>
      <c r="E324" s="10">
        <v>250000</v>
      </c>
      <c r="F324" s="8">
        <v>0.065</v>
      </c>
      <c r="G324" s="11">
        <v>46086</v>
      </c>
      <c r="H324" s="12">
        <f t="shared" si="7"/>
        <v>16250</v>
      </c>
      <c r="I324" s="10" t="s">
        <v>10</v>
      </c>
      <c r="J324" s="13">
        <v>46087</v>
      </c>
      <c r="K324" t="s">
        <v>337</v>
      </c>
    </row>
    <row r="325" spans="1:11">
      <c r="A325" t="s">
        <v>319</v>
      </c>
      <c r="B325" s="8">
        <v>252604404</v>
      </c>
      <c r="C325" s="9">
        <v>46077</v>
      </c>
      <c r="D325" s="8" t="s">
        <v>226</v>
      </c>
      <c r="E325" s="10">
        <v>250000</v>
      </c>
      <c r="F325" s="8">
        <v>0.065</v>
      </c>
      <c r="G325" s="11">
        <v>46117</v>
      </c>
      <c r="H325" s="12">
        <f t="shared" si="7"/>
        <v>16250</v>
      </c>
      <c r="I325" s="10" t="s">
        <v>10</v>
      </c>
      <c r="J325" s="13">
        <v>46087</v>
      </c>
      <c r="K325" t="s">
        <v>337</v>
      </c>
    </row>
    <row r="326" spans="1:11">
      <c r="A326" t="s">
        <v>319</v>
      </c>
      <c r="B326" s="8">
        <v>252604404</v>
      </c>
      <c r="C326" s="9">
        <v>46077</v>
      </c>
      <c r="D326" s="8" t="s">
        <v>40</v>
      </c>
      <c r="E326" s="10">
        <v>200000</v>
      </c>
      <c r="F326" s="8">
        <v>0.035</v>
      </c>
      <c r="G326" s="11">
        <v>46086</v>
      </c>
      <c r="H326" s="12">
        <f t="shared" si="7"/>
        <v>7000</v>
      </c>
      <c r="I326" s="10" t="s">
        <v>10</v>
      </c>
      <c r="J326" s="13">
        <v>46087</v>
      </c>
      <c r="K326" t="s">
        <v>337</v>
      </c>
    </row>
    <row r="327" spans="1:11">
      <c r="A327" t="s">
        <v>319</v>
      </c>
      <c r="B327" s="8">
        <v>252604404</v>
      </c>
      <c r="C327" s="9">
        <v>46077</v>
      </c>
      <c r="D327" s="8" t="s">
        <v>40</v>
      </c>
      <c r="E327" s="10">
        <v>200000</v>
      </c>
      <c r="F327" s="8">
        <v>0.035</v>
      </c>
      <c r="G327" s="11">
        <v>46117</v>
      </c>
      <c r="H327" s="12">
        <f t="shared" si="7"/>
        <v>7000</v>
      </c>
      <c r="I327" s="10" t="s">
        <v>10</v>
      </c>
      <c r="J327" s="13">
        <v>46087</v>
      </c>
      <c r="K327" t="s">
        <v>337</v>
      </c>
    </row>
    <row r="328" spans="1:11">
      <c r="A328" t="s">
        <v>319</v>
      </c>
      <c r="B328" s="8">
        <v>252604411</v>
      </c>
      <c r="C328" s="9">
        <v>46076</v>
      </c>
      <c r="D328" s="8" t="s">
        <v>577</v>
      </c>
      <c r="E328" s="10">
        <v>20000</v>
      </c>
      <c r="F328" s="8">
        <v>0.055</v>
      </c>
      <c r="G328" s="11">
        <v>46178</v>
      </c>
      <c r="H328" s="12">
        <f t="shared" si="7"/>
        <v>1100</v>
      </c>
      <c r="I328" s="10" t="s">
        <v>10</v>
      </c>
      <c r="J328" s="13">
        <v>46147</v>
      </c>
      <c r="K328" t="s">
        <v>615</v>
      </c>
    </row>
    <row r="329" spans="1:11">
      <c r="A329" t="s">
        <v>319</v>
      </c>
      <c r="B329" s="8">
        <v>252604411</v>
      </c>
      <c r="C329" s="9">
        <v>46076</v>
      </c>
      <c r="D329" s="8" t="s">
        <v>577</v>
      </c>
      <c r="E329" s="10">
        <v>30000</v>
      </c>
      <c r="F329" s="8">
        <v>0.055</v>
      </c>
      <c r="G329" s="11">
        <v>46208</v>
      </c>
      <c r="H329" s="12">
        <f t="shared" si="7"/>
        <v>1650</v>
      </c>
      <c r="I329" s="10" t="s">
        <v>10</v>
      </c>
      <c r="J329" s="13">
        <v>46147</v>
      </c>
      <c r="K329" t="s">
        <v>615</v>
      </c>
    </row>
    <row r="330" spans="1:11">
      <c r="A330" t="s">
        <v>319</v>
      </c>
      <c r="B330" s="8">
        <v>252604412</v>
      </c>
      <c r="C330" s="9">
        <v>46076</v>
      </c>
      <c r="D330" s="8" t="s">
        <v>540</v>
      </c>
      <c r="E330" s="10">
        <v>40000</v>
      </c>
      <c r="F330" s="8">
        <v>0.0297</v>
      </c>
      <c r="G330" s="11">
        <v>46147</v>
      </c>
      <c r="H330" s="12">
        <f t="shared" si="7"/>
        <v>1188</v>
      </c>
      <c r="I330" s="10" t="s">
        <v>10</v>
      </c>
      <c r="J330" s="13">
        <v>46147</v>
      </c>
      <c r="K330" t="s">
        <v>615</v>
      </c>
    </row>
    <row r="331" spans="1:11">
      <c r="A331" t="s">
        <v>319</v>
      </c>
      <c r="B331" s="8">
        <v>252604440</v>
      </c>
      <c r="C331" s="9">
        <v>46078</v>
      </c>
      <c r="D331" s="8" t="s">
        <v>40</v>
      </c>
      <c r="E331" s="10">
        <v>26000</v>
      </c>
      <c r="F331" s="8">
        <v>0.035</v>
      </c>
      <c r="G331" s="11">
        <v>46086</v>
      </c>
      <c r="H331" s="12">
        <f t="shared" si="7"/>
        <v>910</v>
      </c>
      <c r="I331" s="10" t="s">
        <v>10</v>
      </c>
      <c r="J331" s="13">
        <v>46094</v>
      </c>
      <c r="K331" t="s">
        <v>460</v>
      </c>
    </row>
    <row r="332" spans="1:11">
      <c r="A332" t="s">
        <v>319</v>
      </c>
      <c r="B332" s="8">
        <v>252604440</v>
      </c>
      <c r="C332" s="9">
        <v>46078</v>
      </c>
      <c r="D332" s="8" t="s">
        <v>40</v>
      </c>
      <c r="E332" s="10">
        <v>24000</v>
      </c>
      <c r="F332" s="8">
        <v>0.035</v>
      </c>
      <c r="G332" s="11">
        <v>46117</v>
      </c>
      <c r="H332" s="12">
        <f t="shared" si="7"/>
        <v>840</v>
      </c>
      <c r="I332" s="10" t="s">
        <v>10</v>
      </c>
      <c r="J332" s="13">
        <v>46094</v>
      </c>
      <c r="K332" t="s">
        <v>460</v>
      </c>
    </row>
    <row r="333" spans="1:11">
      <c r="A333" t="s">
        <v>319</v>
      </c>
      <c r="B333" s="8">
        <v>252604440</v>
      </c>
      <c r="C333" s="9">
        <v>46078</v>
      </c>
      <c r="D333" s="8" t="s">
        <v>45</v>
      </c>
      <c r="E333" s="10">
        <v>52000</v>
      </c>
      <c r="F333" s="8">
        <v>0.024</v>
      </c>
      <c r="G333" s="11">
        <v>46086</v>
      </c>
      <c r="H333" s="12">
        <f t="shared" si="7"/>
        <v>1248</v>
      </c>
      <c r="I333" s="10" t="s">
        <v>10</v>
      </c>
      <c r="J333" s="13">
        <v>46086</v>
      </c>
      <c r="K333" t="s">
        <v>460</v>
      </c>
    </row>
    <row r="334" spans="1:11">
      <c r="A334" t="s">
        <v>319</v>
      </c>
      <c r="B334" s="8">
        <v>252604440</v>
      </c>
      <c r="C334" s="9">
        <v>46078</v>
      </c>
      <c r="D334" s="8" t="s">
        <v>45</v>
      </c>
      <c r="E334" s="10">
        <v>52000</v>
      </c>
      <c r="F334" s="8">
        <v>0.024</v>
      </c>
      <c r="G334" s="11">
        <v>46117</v>
      </c>
      <c r="H334" s="12">
        <f t="shared" si="7"/>
        <v>1248</v>
      </c>
      <c r="I334" s="10" t="s">
        <v>10</v>
      </c>
      <c r="J334" s="13">
        <v>46086</v>
      </c>
      <c r="K334" t="s">
        <v>460</v>
      </c>
    </row>
    <row r="335" spans="1:11">
      <c r="A335" t="s">
        <v>319</v>
      </c>
      <c r="B335" s="8">
        <v>252604444</v>
      </c>
      <c r="C335" s="9">
        <v>46079</v>
      </c>
      <c r="D335" s="8" t="s">
        <v>30</v>
      </c>
      <c r="E335" s="10">
        <v>200000</v>
      </c>
      <c r="F335" s="8">
        <v>0.022</v>
      </c>
      <c r="G335" s="11">
        <v>46147</v>
      </c>
      <c r="H335" s="12">
        <f t="shared" si="7"/>
        <v>4400</v>
      </c>
      <c r="I335" s="10" t="s">
        <v>10</v>
      </c>
      <c r="J335" s="13">
        <v>46094</v>
      </c>
      <c r="K335" t="s">
        <v>445</v>
      </c>
    </row>
    <row r="336" spans="1:11">
      <c r="A336" t="s">
        <v>319</v>
      </c>
      <c r="B336" s="8">
        <v>252604444</v>
      </c>
      <c r="C336" s="9">
        <v>46079</v>
      </c>
      <c r="D336" s="8" t="s">
        <v>30</v>
      </c>
      <c r="E336" s="10">
        <v>200000</v>
      </c>
      <c r="F336" s="8">
        <v>0.022</v>
      </c>
      <c r="G336" s="11">
        <v>46147</v>
      </c>
      <c r="H336" s="12">
        <f t="shared" si="7"/>
        <v>4400</v>
      </c>
      <c r="I336" s="10" t="s">
        <v>10</v>
      </c>
      <c r="J336" s="13">
        <v>46094</v>
      </c>
      <c r="K336" t="s">
        <v>445</v>
      </c>
    </row>
    <row r="337" spans="1:11">
      <c r="A337" t="s">
        <v>319</v>
      </c>
      <c r="B337" s="8">
        <v>252604444</v>
      </c>
      <c r="C337" s="9">
        <v>46079</v>
      </c>
      <c r="D337" s="8" t="s">
        <v>30</v>
      </c>
      <c r="E337" s="10">
        <v>200000</v>
      </c>
      <c r="F337" s="8">
        <v>0.022</v>
      </c>
      <c r="G337" s="11">
        <v>46147</v>
      </c>
      <c r="H337" s="12">
        <f t="shared" si="7"/>
        <v>4400</v>
      </c>
      <c r="I337" s="10" t="s">
        <v>10</v>
      </c>
      <c r="J337" s="13">
        <v>46094</v>
      </c>
      <c r="K337" t="s">
        <v>445</v>
      </c>
    </row>
    <row r="338" spans="1:11">
      <c r="A338" t="s">
        <v>319</v>
      </c>
      <c r="B338" s="8">
        <v>252604444</v>
      </c>
      <c r="C338" s="9">
        <v>46079</v>
      </c>
      <c r="D338" s="8" t="s">
        <v>30</v>
      </c>
      <c r="E338" s="10">
        <v>200000</v>
      </c>
      <c r="F338" s="8">
        <v>0.022</v>
      </c>
      <c r="G338" s="11">
        <v>46147</v>
      </c>
      <c r="H338" s="12">
        <f t="shared" si="7"/>
        <v>4400</v>
      </c>
      <c r="I338" s="10" t="s">
        <v>10</v>
      </c>
      <c r="J338" s="13">
        <v>46094</v>
      </c>
      <c r="K338" t="s">
        <v>445</v>
      </c>
    </row>
    <row r="339" spans="1:11">
      <c r="A339" t="s">
        <v>319</v>
      </c>
      <c r="B339" s="8">
        <v>252604444</v>
      </c>
      <c r="C339" s="9">
        <v>46079</v>
      </c>
      <c r="D339" s="8" t="s">
        <v>30</v>
      </c>
      <c r="E339" s="10">
        <v>200000</v>
      </c>
      <c r="F339" s="8">
        <v>0.022</v>
      </c>
      <c r="G339" s="11">
        <v>46147</v>
      </c>
      <c r="H339" s="12">
        <f t="shared" si="7"/>
        <v>4400</v>
      </c>
      <c r="I339" s="10" t="s">
        <v>10</v>
      </c>
      <c r="J339" s="13">
        <v>46094</v>
      </c>
      <c r="K339" t="s">
        <v>445</v>
      </c>
    </row>
    <row r="340" spans="1:11">
      <c r="A340" t="s">
        <v>319</v>
      </c>
      <c r="B340" s="8">
        <v>252604444</v>
      </c>
      <c r="C340" s="9">
        <v>46079</v>
      </c>
      <c r="D340" s="8" t="s">
        <v>30</v>
      </c>
      <c r="E340" s="10">
        <v>200000</v>
      </c>
      <c r="F340" s="8">
        <v>0.022</v>
      </c>
      <c r="G340" s="11">
        <v>46147</v>
      </c>
      <c r="H340" s="12">
        <f t="shared" si="7"/>
        <v>4400</v>
      </c>
      <c r="I340" s="10" t="s">
        <v>10</v>
      </c>
      <c r="J340" s="13">
        <v>46094</v>
      </c>
      <c r="K340" t="s">
        <v>445</v>
      </c>
    </row>
    <row r="341" spans="1:11">
      <c r="A341" t="s">
        <v>319</v>
      </c>
      <c r="B341" s="8">
        <v>252604444</v>
      </c>
      <c r="C341" s="9">
        <v>46079</v>
      </c>
      <c r="D341" s="8" t="s">
        <v>604</v>
      </c>
      <c r="E341" s="10">
        <v>200000</v>
      </c>
      <c r="F341" s="8">
        <v>0.015</v>
      </c>
      <c r="G341" s="11">
        <v>46147</v>
      </c>
      <c r="H341" s="12">
        <f t="shared" si="7"/>
        <v>3000</v>
      </c>
      <c r="I341" s="10" t="s">
        <v>10</v>
      </c>
      <c r="J341" s="13">
        <v>46086</v>
      </c>
      <c r="K341" t="s">
        <v>445</v>
      </c>
    </row>
    <row r="342" spans="1:11">
      <c r="A342" t="s">
        <v>319</v>
      </c>
      <c r="B342" s="8">
        <v>252604444</v>
      </c>
      <c r="C342" s="9">
        <v>46079</v>
      </c>
      <c r="D342" s="8" t="s">
        <v>604</v>
      </c>
      <c r="E342" s="10">
        <v>60000</v>
      </c>
      <c r="F342" s="8">
        <v>0.015</v>
      </c>
      <c r="G342" s="11">
        <v>46147</v>
      </c>
      <c r="H342" s="12">
        <f t="shared" si="7"/>
        <v>900</v>
      </c>
      <c r="I342" s="10" t="s">
        <v>10</v>
      </c>
      <c r="J342" s="13">
        <v>46086</v>
      </c>
      <c r="K342" t="s">
        <v>445</v>
      </c>
    </row>
    <row r="343" spans="1:11">
      <c r="A343" t="s">
        <v>319</v>
      </c>
      <c r="B343" s="8">
        <v>252604445</v>
      </c>
      <c r="C343" s="9">
        <v>46079</v>
      </c>
      <c r="D343" s="8" t="s">
        <v>30</v>
      </c>
      <c r="E343" s="10">
        <v>200000</v>
      </c>
      <c r="F343" s="8">
        <v>0.022</v>
      </c>
      <c r="G343" s="11">
        <v>46178</v>
      </c>
      <c r="H343" s="12">
        <f t="shared" si="7"/>
        <v>4400</v>
      </c>
      <c r="I343" s="10" t="s">
        <v>10</v>
      </c>
      <c r="J343" s="13">
        <v>46132</v>
      </c>
      <c r="K343" t="s">
        <v>445</v>
      </c>
    </row>
    <row r="344" spans="1:11">
      <c r="A344" t="s">
        <v>319</v>
      </c>
      <c r="B344" s="8">
        <v>252604445</v>
      </c>
      <c r="C344" s="9">
        <v>46079</v>
      </c>
      <c r="D344" s="8" t="s">
        <v>30</v>
      </c>
      <c r="E344" s="10">
        <v>200000</v>
      </c>
      <c r="F344" s="8">
        <v>0.022</v>
      </c>
      <c r="G344" s="11">
        <v>46178</v>
      </c>
      <c r="H344" s="12">
        <f t="shared" si="7"/>
        <v>4400</v>
      </c>
      <c r="I344" s="10" t="s">
        <v>10</v>
      </c>
      <c r="J344" s="13">
        <v>46132</v>
      </c>
      <c r="K344" t="s">
        <v>445</v>
      </c>
    </row>
    <row r="345" spans="1:11">
      <c r="A345" t="s">
        <v>319</v>
      </c>
      <c r="B345" s="8">
        <v>252604445</v>
      </c>
      <c r="C345" s="9">
        <v>46079</v>
      </c>
      <c r="D345" s="8" t="s">
        <v>30</v>
      </c>
      <c r="E345" s="10">
        <v>200000</v>
      </c>
      <c r="F345" s="8">
        <v>0.022</v>
      </c>
      <c r="G345" s="11">
        <v>46178</v>
      </c>
      <c r="H345" s="12">
        <f t="shared" si="7"/>
        <v>4400</v>
      </c>
      <c r="I345" s="10" t="s">
        <v>10</v>
      </c>
      <c r="J345" s="13">
        <v>46132</v>
      </c>
      <c r="K345" t="s">
        <v>445</v>
      </c>
    </row>
    <row r="346" spans="1:11">
      <c r="A346" t="s">
        <v>319</v>
      </c>
      <c r="B346" s="8">
        <v>252604445</v>
      </c>
      <c r="C346" s="9">
        <v>46079</v>
      </c>
      <c r="D346" s="8" t="s">
        <v>30</v>
      </c>
      <c r="E346" s="10">
        <v>200000</v>
      </c>
      <c r="F346" s="8">
        <v>0.022</v>
      </c>
      <c r="G346" s="11">
        <v>46178</v>
      </c>
      <c r="H346" s="12">
        <f t="shared" si="7"/>
        <v>4400</v>
      </c>
      <c r="I346" s="10" t="s">
        <v>10</v>
      </c>
      <c r="J346" s="13">
        <v>46132</v>
      </c>
      <c r="K346" t="s">
        <v>445</v>
      </c>
    </row>
    <row r="347" spans="1:11">
      <c r="A347" t="s">
        <v>319</v>
      </c>
      <c r="B347" s="8">
        <v>252604445</v>
      </c>
      <c r="C347" s="9">
        <v>46079</v>
      </c>
      <c r="D347" s="8" t="s">
        <v>30</v>
      </c>
      <c r="E347" s="10">
        <v>200000</v>
      </c>
      <c r="F347" s="8">
        <v>0.022</v>
      </c>
      <c r="G347" s="11">
        <v>46178</v>
      </c>
      <c r="H347" s="12">
        <f t="shared" si="7"/>
        <v>4400</v>
      </c>
      <c r="I347" s="10" t="s">
        <v>10</v>
      </c>
      <c r="J347" s="13">
        <v>46132</v>
      </c>
      <c r="K347" t="s">
        <v>445</v>
      </c>
    </row>
    <row r="348" spans="1:11">
      <c r="A348" t="s">
        <v>319</v>
      </c>
      <c r="B348" s="8">
        <v>252604445</v>
      </c>
      <c r="C348" s="9">
        <v>46079</v>
      </c>
      <c r="D348" s="8" t="s">
        <v>30</v>
      </c>
      <c r="E348" s="10">
        <v>200000</v>
      </c>
      <c r="F348" s="8">
        <v>0.022</v>
      </c>
      <c r="G348" s="11">
        <v>46178</v>
      </c>
      <c r="H348" s="12">
        <f t="shared" si="7"/>
        <v>4400</v>
      </c>
      <c r="I348" s="10" t="s">
        <v>10</v>
      </c>
      <c r="J348" s="13">
        <v>46132</v>
      </c>
      <c r="K348" t="s">
        <v>445</v>
      </c>
    </row>
    <row r="349" spans="1:11">
      <c r="A349" t="s">
        <v>319</v>
      </c>
      <c r="B349" s="8">
        <v>252604445</v>
      </c>
      <c r="C349" s="9">
        <v>46079</v>
      </c>
      <c r="D349" s="8" t="s">
        <v>604</v>
      </c>
      <c r="E349" s="10">
        <v>200000</v>
      </c>
      <c r="F349" s="8">
        <v>0.015</v>
      </c>
      <c r="G349" s="11">
        <v>46178</v>
      </c>
      <c r="H349" s="12">
        <f t="shared" si="7"/>
        <v>3000</v>
      </c>
      <c r="I349" s="10" t="s">
        <v>10</v>
      </c>
      <c r="J349" s="13">
        <v>46126</v>
      </c>
      <c r="K349" t="s">
        <v>445</v>
      </c>
    </row>
    <row r="350" spans="1:11">
      <c r="A350" t="s">
        <v>319</v>
      </c>
      <c r="B350" s="8">
        <v>252604445</v>
      </c>
      <c r="C350" s="9">
        <v>46079</v>
      </c>
      <c r="D350" s="8" t="s">
        <v>604</v>
      </c>
      <c r="E350" s="10">
        <v>60000</v>
      </c>
      <c r="F350" s="8">
        <v>0.015</v>
      </c>
      <c r="G350" s="11">
        <v>46178</v>
      </c>
      <c r="H350" s="12">
        <f t="shared" si="7"/>
        <v>900</v>
      </c>
      <c r="I350" s="10" t="s">
        <v>10</v>
      </c>
      <c r="J350" s="13">
        <v>46126</v>
      </c>
      <c r="K350" t="s">
        <v>445</v>
      </c>
    </row>
    <row r="351" spans="1:11">
      <c r="A351" t="s">
        <v>319</v>
      </c>
      <c r="B351" s="8">
        <v>252604446</v>
      </c>
      <c r="C351" s="9">
        <v>46079</v>
      </c>
      <c r="D351" s="8" t="s">
        <v>30</v>
      </c>
      <c r="E351" s="10">
        <v>200000</v>
      </c>
      <c r="F351" s="8">
        <v>0.022</v>
      </c>
      <c r="G351" s="11">
        <v>46208</v>
      </c>
      <c r="H351" s="12">
        <f t="shared" si="7"/>
        <v>4400</v>
      </c>
      <c r="I351" s="10" t="s">
        <v>10</v>
      </c>
      <c r="J351" s="13">
        <v>46184</v>
      </c>
      <c r="K351" t="s">
        <v>445</v>
      </c>
    </row>
    <row r="352" spans="1:11">
      <c r="A352" t="s">
        <v>319</v>
      </c>
      <c r="B352" s="8">
        <v>252604446</v>
      </c>
      <c r="C352" s="9">
        <v>46079</v>
      </c>
      <c r="D352" s="8" t="s">
        <v>30</v>
      </c>
      <c r="E352" s="10">
        <v>200000</v>
      </c>
      <c r="F352" s="8">
        <v>0.022</v>
      </c>
      <c r="G352" s="11">
        <v>46208</v>
      </c>
      <c r="H352" s="12">
        <f t="shared" si="7"/>
        <v>4400</v>
      </c>
      <c r="I352" s="10" t="s">
        <v>10</v>
      </c>
      <c r="J352" s="13">
        <v>46184</v>
      </c>
      <c r="K352" t="s">
        <v>445</v>
      </c>
    </row>
    <row r="353" spans="1:11">
      <c r="A353" t="s">
        <v>319</v>
      </c>
      <c r="B353" s="8">
        <v>252604446</v>
      </c>
      <c r="C353" s="9">
        <v>46079</v>
      </c>
      <c r="D353" s="8" t="s">
        <v>30</v>
      </c>
      <c r="E353" s="10">
        <v>200000</v>
      </c>
      <c r="F353" s="8">
        <v>0.022</v>
      </c>
      <c r="G353" s="11">
        <v>46208</v>
      </c>
      <c r="H353" s="12">
        <f t="shared" si="7"/>
        <v>4400</v>
      </c>
      <c r="I353" s="10" t="s">
        <v>10</v>
      </c>
      <c r="J353" s="13">
        <v>46184</v>
      </c>
      <c r="K353" t="s">
        <v>445</v>
      </c>
    </row>
    <row r="354" spans="1:11">
      <c r="A354" t="s">
        <v>319</v>
      </c>
      <c r="B354" s="8">
        <v>252604446</v>
      </c>
      <c r="C354" s="9">
        <v>46079</v>
      </c>
      <c r="D354" s="8" t="s">
        <v>30</v>
      </c>
      <c r="E354" s="10">
        <v>200000</v>
      </c>
      <c r="F354" s="8">
        <v>0.022</v>
      </c>
      <c r="G354" s="11">
        <v>46208</v>
      </c>
      <c r="H354" s="12">
        <f t="shared" si="7"/>
        <v>4400</v>
      </c>
      <c r="I354" s="10" t="s">
        <v>10</v>
      </c>
      <c r="J354" s="13">
        <v>46184</v>
      </c>
      <c r="K354" t="s">
        <v>445</v>
      </c>
    </row>
    <row r="355" spans="1:11">
      <c r="A355" t="s">
        <v>319</v>
      </c>
      <c r="B355" s="8">
        <v>252604446</v>
      </c>
      <c r="C355" s="9">
        <v>46079</v>
      </c>
      <c r="D355" s="8" t="s">
        <v>30</v>
      </c>
      <c r="E355" s="10">
        <v>200000</v>
      </c>
      <c r="F355" s="8">
        <v>0.022</v>
      </c>
      <c r="G355" s="11">
        <v>46208</v>
      </c>
      <c r="H355" s="12">
        <f t="shared" si="7"/>
        <v>4400</v>
      </c>
      <c r="I355" s="10" t="s">
        <v>10</v>
      </c>
      <c r="J355" s="13">
        <v>46184</v>
      </c>
      <c r="K355" t="s">
        <v>445</v>
      </c>
    </row>
    <row r="356" spans="1:11">
      <c r="A356" t="s">
        <v>319</v>
      </c>
      <c r="B356" s="8">
        <v>252604446</v>
      </c>
      <c r="C356" s="9">
        <v>46079</v>
      </c>
      <c r="D356" s="8" t="s">
        <v>30</v>
      </c>
      <c r="E356" s="10">
        <v>200000</v>
      </c>
      <c r="F356" s="8">
        <v>0.022</v>
      </c>
      <c r="G356" s="11">
        <v>46208</v>
      </c>
      <c r="H356" s="12">
        <f t="shared" si="7"/>
        <v>4400</v>
      </c>
      <c r="I356" s="10" t="s">
        <v>10</v>
      </c>
      <c r="J356" s="13">
        <v>46184</v>
      </c>
      <c r="K356" t="s">
        <v>445</v>
      </c>
    </row>
    <row r="357" spans="1:11">
      <c r="A357" t="s">
        <v>319</v>
      </c>
      <c r="B357" s="8">
        <v>252604446</v>
      </c>
      <c r="C357" s="9">
        <v>46079</v>
      </c>
      <c r="D357" s="8" t="s">
        <v>604</v>
      </c>
      <c r="E357" s="10">
        <v>200000</v>
      </c>
      <c r="F357" s="8">
        <v>0.015</v>
      </c>
      <c r="G357" s="11">
        <v>46208</v>
      </c>
      <c r="H357" s="12">
        <f t="shared" si="7"/>
        <v>3000</v>
      </c>
      <c r="I357" s="10" t="s">
        <v>10</v>
      </c>
      <c r="J357" s="13">
        <v>46169</v>
      </c>
      <c r="K357" t="s">
        <v>445</v>
      </c>
    </row>
    <row r="358" spans="1:11">
      <c r="A358" t="s">
        <v>319</v>
      </c>
      <c r="B358" s="8">
        <v>252604446</v>
      </c>
      <c r="C358" s="9">
        <v>46079</v>
      </c>
      <c r="D358" s="8" t="s">
        <v>604</v>
      </c>
      <c r="E358" s="10">
        <v>60000</v>
      </c>
      <c r="F358" s="8">
        <v>0.015</v>
      </c>
      <c r="G358" s="11">
        <v>46208</v>
      </c>
      <c r="H358" s="12">
        <f t="shared" si="7"/>
        <v>900</v>
      </c>
      <c r="I358" s="10" t="s">
        <v>10</v>
      </c>
      <c r="J358" s="13">
        <v>46169</v>
      </c>
      <c r="K358" t="s">
        <v>445</v>
      </c>
    </row>
    <row r="359" spans="1:11">
      <c r="A359" t="s">
        <v>319</v>
      </c>
      <c r="B359" s="8">
        <v>252604496</v>
      </c>
      <c r="C359" s="9">
        <v>46081</v>
      </c>
      <c r="D359" s="8" t="s">
        <v>242</v>
      </c>
      <c r="E359" s="10">
        <v>20000</v>
      </c>
      <c r="F359" s="8">
        <v>0.043</v>
      </c>
      <c r="G359" s="11">
        <v>46117</v>
      </c>
      <c r="H359" s="12">
        <f t="shared" si="7"/>
        <v>860</v>
      </c>
      <c r="I359" s="10" t="s">
        <v>10</v>
      </c>
      <c r="J359" s="13">
        <v>46083</v>
      </c>
      <c r="K359" t="s">
        <v>491</v>
      </c>
    </row>
    <row r="360" spans="1:11">
      <c r="A360" t="s">
        <v>319</v>
      </c>
      <c r="B360" s="8">
        <v>252604496</v>
      </c>
      <c r="C360" s="9">
        <v>46081</v>
      </c>
      <c r="D360" s="8" t="s">
        <v>512</v>
      </c>
      <c r="E360" s="10">
        <v>60000</v>
      </c>
      <c r="F360" s="8">
        <v>0.031</v>
      </c>
      <c r="G360" s="11">
        <v>46117</v>
      </c>
      <c r="H360" s="12">
        <f t="shared" si="7"/>
        <v>1860</v>
      </c>
      <c r="I360" s="10" t="s">
        <v>10</v>
      </c>
      <c r="J360" s="13">
        <v>46083</v>
      </c>
      <c r="K360" t="s">
        <v>491</v>
      </c>
    </row>
    <row r="361" spans="1:11">
      <c r="A361" t="s">
        <v>319</v>
      </c>
      <c r="B361" s="8">
        <v>252604504</v>
      </c>
      <c r="C361" s="9">
        <v>46081</v>
      </c>
      <c r="D361" s="8" t="s">
        <v>30</v>
      </c>
      <c r="E361" s="10">
        <v>200000</v>
      </c>
      <c r="F361" s="8">
        <v>0.022</v>
      </c>
      <c r="G361" s="11">
        <v>46086</v>
      </c>
      <c r="H361" s="12">
        <f t="shared" si="7"/>
        <v>4400</v>
      </c>
      <c r="I361" s="10" t="s">
        <v>10</v>
      </c>
      <c r="J361" s="13">
        <v>46087</v>
      </c>
      <c r="K361" t="s">
        <v>369</v>
      </c>
    </row>
    <row r="362" spans="1:11">
      <c r="A362" t="s">
        <v>319</v>
      </c>
      <c r="B362" s="8">
        <v>252604504</v>
      </c>
      <c r="C362" s="9">
        <v>46081</v>
      </c>
      <c r="D362" s="8" t="s">
        <v>30</v>
      </c>
      <c r="E362" s="10">
        <v>200000</v>
      </c>
      <c r="F362" s="8">
        <v>0.022</v>
      </c>
      <c r="G362" s="11">
        <v>46117</v>
      </c>
      <c r="H362" s="12">
        <f t="shared" si="7"/>
        <v>4400</v>
      </c>
      <c r="I362" s="10" t="s">
        <v>10</v>
      </c>
      <c r="J362" s="13">
        <v>46087</v>
      </c>
      <c r="K362" t="s">
        <v>369</v>
      </c>
    </row>
    <row r="363" spans="1:11">
      <c r="A363" t="s">
        <v>319</v>
      </c>
      <c r="B363" s="8">
        <v>252604519</v>
      </c>
      <c r="C363" s="9">
        <v>46083</v>
      </c>
      <c r="D363" s="8" t="s">
        <v>31</v>
      </c>
      <c r="E363" s="10">
        <v>60000</v>
      </c>
      <c r="F363" s="8">
        <v>0.024</v>
      </c>
      <c r="G363" s="11">
        <v>46117</v>
      </c>
      <c r="H363" s="12">
        <f t="shared" si="7"/>
        <v>1440</v>
      </c>
      <c r="I363" s="10" t="s">
        <v>10</v>
      </c>
      <c r="J363" s="13">
        <v>46094</v>
      </c>
      <c r="K363" t="s">
        <v>535</v>
      </c>
    </row>
    <row r="364" spans="1:11">
      <c r="A364" t="s">
        <v>319</v>
      </c>
      <c r="B364" s="8">
        <v>252604519</v>
      </c>
      <c r="C364" s="9">
        <v>46083</v>
      </c>
      <c r="D364" s="8" t="s">
        <v>163</v>
      </c>
      <c r="E364" s="10">
        <v>192000</v>
      </c>
      <c r="F364" s="8">
        <v>0.0025</v>
      </c>
      <c r="G364" s="11">
        <v>46086</v>
      </c>
      <c r="H364" s="12">
        <f t="shared" si="7"/>
        <v>480</v>
      </c>
      <c r="I364" s="10" t="s">
        <v>10</v>
      </c>
      <c r="J364" s="13">
        <v>46086</v>
      </c>
      <c r="K364" t="s">
        <v>535</v>
      </c>
    </row>
    <row r="365" spans="1:11">
      <c r="A365" t="s">
        <v>319</v>
      </c>
      <c r="B365" s="8">
        <v>252604519</v>
      </c>
      <c r="C365" s="9">
        <v>46083</v>
      </c>
      <c r="D365" s="8" t="s">
        <v>163</v>
      </c>
      <c r="E365" s="10">
        <v>192000</v>
      </c>
      <c r="F365" s="8">
        <v>0.0025</v>
      </c>
      <c r="G365" s="11">
        <v>46086</v>
      </c>
      <c r="H365" s="12">
        <f t="shared" si="7"/>
        <v>480</v>
      </c>
      <c r="I365" s="10" t="s">
        <v>10</v>
      </c>
      <c r="J365" s="13">
        <v>46086</v>
      </c>
      <c r="K365" t="s">
        <v>535</v>
      </c>
    </row>
    <row r="366" spans="1:11">
      <c r="A366" t="s">
        <v>319</v>
      </c>
      <c r="B366" s="8">
        <v>252604519</v>
      </c>
      <c r="C366" s="9">
        <v>46083</v>
      </c>
      <c r="D366" s="8" t="s">
        <v>163</v>
      </c>
      <c r="E366" s="10">
        <v>192000</v>
      </c>
      <c r="F366" s="8">
        <v>0.0025</v>
      </c>
      <c r="G366" s="11">
        <v>46086</v>
      </c>
      <c r="H366" s="12">
        <f t="shared" si="7"/>
        <v>480</v>
      </c>
      <c r="I366" s="10" t="s">
        <v>10</v>
      </c>
      <c r="J366" s="13">
        <v>46086</v>
      </c>
      <c r="K366" t="s">
        <v>535</v>
      </c>
    </row>
    <row r="367" spans="1:11">
      <c r="A367" t="s">
        <v>319</v>
      </c>
      <c r="B367" s="8">
        <v>252604519</v>
      </c>
      <c r="C367" s="9">
        <v>46083</v>
      </c>
      <c r="D367" s="8" t="s">
        <v>163</v>
      </c>
      <c r="E367" s="10">
        <v>192000</v>
      </c>
      <c r="F367" s="8">
        <v>0.0025</v>
      </c>
      <c r="G367" s="11">
        <v>46086</v>
      </c>
      <c r="H367" s="12">
        <f t="shared" si="7"/>
        <v>480</v>
      </c>
      <c r="I367" s="10" t="s">
        <v>10</v>
      </c>
      <c r="J367" s="13">
        <v>46086</v>
      </c>
      <c r="K367" t="s">
        <v>535</v>
      </c>
    </row>
    <row r="368" spans="1:11">
      <c r="A368" t="s">
        <v>319</v>
      </c>
      <c r="B368" s="8">
        <v>252604519</v>
      </c>
      <c r="C368" s="9">
        <v>46083</v>
      </c>
      <c r="D368" s="8" t="s">
        <v>163</v>
      </c>
      <c r="E368" s="10">
        <v>192000</v>
      </c>
      <c r="F368" s="8">
        <v>0.0025</v>
      </c>
      <c r="G368" s="11">
        <v>46086</v>
      </c>
      <c r="H368" s="12">
        <f t="shared" si="7"/>
        <v>480</v>
      </c>
      <c r="I368" s="10" t="s">
        <v>10</v>
      </c>
      <c r="J368" s="13">
        <v>46086</v>
      </c>
      <c r="K368" t="s">
        <v>535</v>
      </c>
    </row>
    <row r="369" spans="1:11">
      <c r="A369" t="s">
        <v>319</v>
      </c>
      <c r="B369" s="8">
        <v>252604519</v>
      </c>
      <c r="C369" s="9">
        <v>46083</v>
      </c>
      <c r="D369" s="8" t="s">
        <v>163</v>
      </c>
      <c r="E369" s="10">
        <v>192000</v>
      </c>
      <c r="F369" s="8">
        <v>0.0025</v>
      </c>
      <c r="G369" s="11">
        <v>46086</v>
      </c>
      <c r="H369" s="12">
        <f t="shared" si="7"/>
        <v>480</v>
      </c>
      <c r="I369" s="10" t="s">
        <v>10</v>
      </c>
      <c r="J369" s="13">
        <v>46086</v>
      </c>
      <c r="K369" t="s">
        <v>535</v>
      </c>
    </row>
    <row r="370" spans="1:11">
      <c r="A370" t="s">
        <v>319</v>
      </c>
      <c r="B370" s="8">
        <v>252604519</v>
      </c>
      <c r="C370" s="9">
        <v>46083</v>
      </c>
      <c r="D370" s="8" t="s">
        <v>163</v>
      </c>
      <c r="E370" s="10">
        <v>192000</v>
      </c>
      <c r="F370" s="8">
        <v>0.0025</v>
      </c>
      <c r="G370" s="11">
        <v>46086</v>
      </c>
      <c r="H370" s="12">
        <f t="shared" si="7"/>
        <v>480</v>
      </c>
      <c r="I370" s="10" t="s">
        <v>10</v>
      </c>
      <c r="J370" s="13">
        <v>46086</v>
      </c>
      <c r="K370" t="s">
        <v>535</v>
      </c>
    </row>
    <row r="371" spans="1:11">
      <c r="A371" t="s">
        <v>319</v>
      </c>
      <c r="B371" s="8">
        <v>252604519</v>
      </c>
      <c r="C371" s="9">
        <v>46083</v>
      </c>
      <c r="D371" s="8" t="s">
        <v>163</v>
      </c>
      <c r="E371" s="10">
        <v>160000</v>
      </c>
      <c r="F371" s="8">
        <v>0.0025</v>
      </c>
      <c r="G371" s="11">
        <v>46086</v>
      </c>
      <c r="H371" s="12">
        <f t="shared" si="7"/>
        <v>400</v>
      </c>
      <c r="I371" s="10" t="s">
        <v>10</v>
      </c>
      <c r="J371" s="13">
        <v>46086</v>
      </c>
      <c r="K371" t="s">
        <v>535</v>
      </c>
    </row>
    <row r="372" spans="1:11">
      <c r="A372" t="s">
        <v>319</v>
      </c>
      <c r="B372" s="8">
        <v>252604519</v>
      </c>
      <c r="C372" s="9">
        <v>46083</v>
      </c>
      <c r="D372" s="8" t="s">
        <v>163</v>
      </c>
      <c r="E372" s="10">
        <v>192000</v>
      </c>
      <c r="F372" s="8">
        <v>0.0025</v>
      </c>
      <c r="G372" s="11">
        <v>46117</v>
      </c>
      <c r="H372" s="12">
        <f t="shared" si="7"/>
        <v>480</v>
      </c>
      <c r="I372" s="10" t="s">
        <v>10</v>
      </c>
      <c r="J372" s="13">
        <v>46086</v>
      </c>
      <c r="K372" t="s">
        <v>535</v>
      </c>
    </row>
    <row r="373" spans="1:11">
      <c r="A373" t="s">
        <v>319</v>
      </c>
      <c r="B373" s="8">
        <v>252604519</v>
      </c>
      <c r="C373" s="9">
        <v>46083</v>
      </c>
      <c r="D373" s="8" t="s">
        <v>163</v>
      </c>
      <c r="E373" s="10">
        <v>112000</v>
      </c>
      <c r="F373" s="8">
        <v>0.0025</v>
      </c>
      <c r="G373" s="11">
        <v>46117</v>
      </c>
      <c r="H373" s="12">
        <f t="shared" si="7"/>
        <v>280</v>
      </c>
      <c r="I373" s="10" t="s">
        <v>10</v>
      </c>
      <c r="J373" s="13">
        <v>46086</v>
      </c>
      <c r="K373" t="s">
        <v>535</v>
      </c>
    </row>
    <row r="374" spans="1:11">
      <c r="A374" t="s">
        <v>319</v>
      </c>
      <c r="B374" s="8">
        <v>252604520</v>
      </c>
      <c r="C374" s="9">
        <v>46083</v>
      </c>
      <c r="D374" s="8" t="s">
        <v>31</v>
      </c>
      <c r="E374" s="10">
        <v>60000</v>
      </c>
      <c r="F374" s="8">
        <v>0.024</v>
      </c>
      <c r="G374" s="11">
        <v>46147</v>
      </c>
      <c r="H374" s="12">
        <f t="shared" si="7"/>
        <v>1440</v>
      </c>
      <c r="I374" s="10" t="s">
        <v>10</v>
      </c>
      <c r="J374" s="13">
        <v>46119</v>
      </c>
      <c r="K374" t="s">
        <v>535</v>
      </c>
    </row>
    <row r="375" spans="1:11">
      <c r="A375" t="s">
        <v>319</v>
      </c>
      <c r="B375" s="8">
        <v>252604520</v>
      </c>
      <c r="C375" s="9">
        <v>46083</v>
      </c>
      <c r="D375" s="8" t="s">
        <v>163</v>
      </c>
      <c r="E375" s="10">
        <v>192000</v>
      </c>
      <c r="F375" s="8">
        <v>0.0025</v>
      </c>
      <c r="G375" s="11">
        <v>46147</v>
      </c>
      <c r="H375" s="12">
        <f t="shared" si="7"/>
        <v>480</v>
      </c>
      <c r="I375" s="10" t="s">
        <v>10</v>
      </c>
      <c r="J375" s="13">
        <v>46108</v>
      </c>
      <c r="K375" t="s">
        <v>535</v>
      </c>
    </row>
    <row r="376" spans="1:11">
      <c r="A376" t="s">
        <v>319</v>
      </c>
      <c r="B376" s="8">
        <v>252604520</v>
      </c>
      <c r="C376" s="9">
        <v>46083</v>
      </c>
      <c r="D376" s="8" t="s">
        <v>163</v>
      </c>
      <c r="E376" s="10">
        <v>112000</v>
      </c>
      <c r="F376" s="8">
        <v>0.0025</v>
      </c>
      <c r="G376" s="11">
        <v>46147</v>
      </c>
      <c r="H376" s="12">
        <f t="shared" si="7"/>
        <v>280</v>
      </c>
      <c r="I376" s="10" t="s">
        <v>10</v>
      </c>
      <c r="J376" s="13">
        <v>46108</v>
      </c>
      <c r="K376" t="s">
        <v>535</v>
      </c>
    </row>
    <row r="377" spans="1:11">
      <c r="A377" t="s">
        <v>319</v>
      </c>
      <c r="B377" s="8">
        <v>252604521</v>
      </c>
      <c r="C377" s="9">
        <v>46083</v>
      </c>
      <c r="D377" s="8" t="s">
        <v>40</v>
      </c>
      <c r="E377" s="10">
        <v>26000</v>
      </c>
      <c r="F377" s="8">
        <v>0.035</v>
      </c>
      <c r="G377" s="11">
        <v>46147</v>
      </c>
      <c r="H377" s="12">
        <f t="shared" si="7"/>
        <v>910</v>
      </c>
      <c r="I377" s="10" t="s">
        <v>10</v>
      </c>
      <c r="J377" s="13">
        <v>46132</v>
      </c>
      <c r="K377" t="s">
        <v>460</v>
      </c>
    </row>
    <row r="378" spans="1:11">
      <c r="A378" t="s">
        <v>319</v>
      </c>
      <c r="B378" s="8">
        <v>252604521</v>
      </c>
      <c r="C378" s="9">
        <v>46083</v>
      </c>
      <c r="D378" s="8" t="s">
        <v>40</v>
      </c>
      <c r="E378" s="10">
        <v>24000</v>
      </c>
      <c r="F378" s="8">
        <v>0.035</v>
      </c>
      <c r="G378" s="11">
        <v>46178</v>
      </c>
      <c r="H378" s="12">
        <f t="shared" si="7"/>
        <v>840</v>
      </c>
      <c r="I378" s="10" t="s">
        <v>10</v>
      </c>
      <c r="J378" s="13">
        <v>46132</v>
      </c>
      <c r="K378" t="s">
        <v>460</v>
      </c>
    </row>
    <row r="379" spans="1:11">
      <c r="A379" t="s">
        <v>319</v>
      </c>
      <c r="B379" s="8">
        <v>252604521</v>
      </c>
      <c r="C379" s="9">
        <v>46083</v>
      </c>
      <c r="D379" s="8" t="s">
        <v>45</v>
      </c>
      <c r="E379" s="10">
        <v>48000</v>
      </c>
      <c r="F379" s="8">
        <v>0.024</v>
      </c>
      <c r="G379" s="11">
        <v>46147</v>
      </c>
      <c r="H379" s="12">
        <f t="shared" ref="H379:H384" si="8">E379*F379</f>
        <v>1152</v>
      </c>
      <c r="I379" s="10" t="s">
        <v>10</v>
      </c>
      <c r="J379" s="13">
        <v>46126</v>
      </c>
      <c r="K379" t="s">
        <v>460</v>
      </c>
    </row>
    <row r="380" spans="1:11">
      <c r="A380" t="s">
        <v>319</v>
      </c>
      <c r="B380" s="14">
        <v>252604522</v>
      </c>
      <c r="C380" s="13">
        <v>46083</v>
      </c>
      <c r="D380" s="14" t="s">
        <v>46</v>
      </c>
      <c r="E380" s="15">
        <v>52000</v>
      </c>
      <c r="F380" s="14">
        <v>0.02</v>
      </c>
      <c r="G380" s="18">
        <v>46239</v>
      </c>
      <c r="H380" s="17">
        <f t="shared" si="8"/>
        <v>1040</v>
      </c>
      <c r="I380" s="15" t="s">
        <v>317</v>
      </c>
      <c r="J380" s="15" t="s">
        <v>666</v>
      </c>
      <c r="K380" t="s">
        <v>460</v>
      </c>
    </row>
    <row r="381" spans="1:11">
      <c r="A381" t="s">
        <v>319</v>
      </c>
      <c r="B381" s="8">
        <v>252604523</v>
      </c>
      <c r="C381" s="9">
        <v>46083</v>
      </c>
      <c r="D381" s="8" t="s">
        <v>9</v>
      </c>
      <c r="E381" s="10">
        <v>20000</v>
      </c>
      <c r="F381" s="8">
        <v>0.0254</v>
      </c>
      <c r="G381" s="11">
        <v>46086</v>
      </c>
      <c r="H381" s="12">
        <f t="shared" si="8"/>
        <v>508</v>
      </c>
      <c r="I381" s="10" t="s">
        <v>10</v>
      </c>
      <c r="J381" s="13">
        <v>46086</v>
      </c>
      <c r="K381" t="s">
        <v>486</v>
      </c>
    </row>
    <row r="382" spans="1:11">
      <c r="A382" t="s">
        <v>319</v>
      </c>
      <c r="B382" s="8">
        <v>252604523</v>
      </c>
      <c r="C382" s="9">
        <v>46083</v>
      </c>
      <c r="D382" s="8" t="s">
        <v>9</v>
      </c>
      <c r="E382" s="10">
        <v>40000</v>
      </c>
      <c r="F382" s="8">
        <v>0.0254</v>
      </c>
      <c r="G382" s="11">
        <v>46117</v>
      </c>
      <c r="H382" s="12">
        <f t="shared" si="8"/>
        <v>1016</v>
      </c>
      <c r="I382" s="10" t="s">
        <v>10</v>
      </c>
      <c r="J382" s="13">
        <v>46086</v>
      </c>
      <c r="K382" t="s">
        <v>486</v>
      </c>
    </row>
    <row r="383" spans="1:11">
      <c r="A383" t="s">
        <v>319</v>
      </c>
      <c r="B383" s="8">
        <v>252604524</v>
      </c>
      <c r="C383" s="9">
        <v>46083</v>
      </c>
      <c r="D383" s="8" t="s">
        <v>9</v>
      </c>
      <c r="E383" s="10">
        <v>40000</v>
      </c>
      <c r="F383" s="8">
        <v>0.0254</v>
      </c>
      <c r="G383" s="11">
        <v>46157</v>
      </c>
      <c r="H383" s="12">
        <f t="shared" si="8"/>
        <v>1016</v>
      </c>
      <c r="I383" s="10" t="s">
        <v>10</v>
      </c>
      <c r="J383" s="13">
        <v>46142</v>
      </c>
      <c r="K383" t="s">
        <v>486</v>
      </c>
    </row>
    <row r="384" spans="1:11">
      <c r="A384" t="s">
        <v>319</v>
      </c>
      <c r="B384" s="8">
        <v>252604553</v>
      </c>
      <c r="C384" s="9">
        <v>46085</v>
      </c>
      <c r="D384" s="8" t="s">
        <v>30</v>
      </c>
      <c r="E384" s="10">
        <v>100000</v>
      </c>
      <c r="F384" s="8">
        <v>0.022</v>
      </c>
      <c r="G384" s="11">
        <v>46086</v>
      </c>
      <c r="H384" s="12">
        <f t="shared" si="8"/>
        <v>2200</v>
      </c>
      <c r="I384" s="10" t="s">
        <v>10</v>
      </c>
      <c r="J384" s="13">
        <v>46094</v>
      </c>
      <c r="K384" t="s">
        <v>382</v>
      </c>
    </row>
    <row r="385" spans="1:11">
      <c r="A385" t="s">
        <v>319</v>
      </c>
      <c r="B385" s="8">
        <v>252604631</v>
      </c>
      <c r="C385" s="9">
        <v>46087</v>
      </c>
      <c r="D385" s="8" t="s">
        <v>35</v>
      </c>
      <c r="E385" s="10">
        <v>100000</v>
      </c>
      <c r="F385" s="8">
        <v>0.05</v>
      </c>
      <c r="G385" s="11">
        <v>46178</v>
      </c>
      <c r="H385" s="12">
        <f t="shared" ref="H385:H425" si="9">E385*F385</f>
        <v>5000</v>
      </c>
      <c r="I385" s="10" t="s">
        <v>10</v>
      </c>
      <c r="J385" s="13">
        <v>46147</v>
      </c>
      <c r="K385" t="s">
        <v>486</v>
      </c>
    </row>
    <row r="386" spans="1:11">
      <c r="A386" t="s">
        <v>319</v>
      </c>
      <c r="B386" s="8">
        <v>252604631</v>
      </c>
      <c r="C386" s="9">
        <v>46087</v>
      </c>
      <c r="D386" s="8" t="s">
        <v>35</v>
      </c>
      <c r="E386" s="10">
        <v>100000</v>
      </c>
      <c r="F386" s="8">
        <v>0.05</v>
      </c>
      <c r="G386" s="11">
        <v>46208</v>
      </c>
      <c r="H386" s="12">
        <f t="shared" si="9"/>
        <v>5000</v>
      </c>
      <c r="I386" s="10" t="s">
        <v>10</v>
      </c>
      <c r="J386" s="13">
        <v>46147</v>
      </c>
      <c r="K386" t="s">
        <v>486</v>
      </c>
    </row>
    <row r="387" spans="1:11">
      <c r="A387" t="s">
        <v>319</v>
      </c>
      <c r="B387" s="8">
        <v>252604644</v>
      </c>
      <c r="C387" s="9">
        <v>46087</v>
      </c>
      <c r="D387" s="8" t="s">
        <v>625</v>
      </c>
      <c r="E387" s="10">
        <v>200000</v>
      </c>
      <c r="F387" s="8">
        <v>0.032</v>
      </c>
      <c r="G387" s="11">
        <v>46147</v>
      </c>
      <c r="H387" s="12">
        <f t="shared" si="9"/>
        <v>6400</v>
      </c>
      <c r="I387" s="10" t="s">
        <v>10</v>
      </c>
      <c r="J387" s="13">
        <v>46142</v>
      </c>
      <c r="K387" t="s">
        <v>642</v>
      </c>
    </row>
    <row r="388" spans="1:11">
      <c r="A388" t="s">
        <v>319</v>
      </c>
      <c r="B388" s="8">
        <v>252604644</v>
      </c>
      <c r="C388" s="9">
        <v>46087</v>
      </c>
      <c r="D388" s="8" t="s">
        <v>625</v>
      </c>
      <c r="E388" s="10">
        <v>200000</v>
      </c>
      <c r="F388" s="8">
        <v>0.032</v>
      </c>
      <c r="G388" s="11">
        <v>46147</v>
      </c>
      <c r="H388" s="12">
        <f t="shared" si="9"/>
        <v>6400</v>
      </c>
      <c r="I388" s="10" t="s">
        <v>10</v>
      </c>
      <c r="J388" s="13">
        <v>46142</v>
      </c>
      <c r="K388" t="s">
        <v>642</v>
      </c>
    </row>
    <row r="389" spans="1:11">
      <c r="A389" t="s">
        <v>319</v>
      </c>
      <c r="B389" s="8">
        <v>252604644</v>
      </c>
      <c r="C389" s="9">
        <v>46087</v>
      </c>
      <c r="D389" s="8" t="s">
        <v>625</v>
      </c>
      <c r="E389" s="10">
        <v>200000</v>
      </c>
      <c r="F389" s="8">
        <v>0.032</v>
      </c>
      <c r="G389" s="11">
        <v>46147</v>
      </c>
      <c r="H389" s="12">
        <f t="shared" si="9"/>
        <v>6400</v>
      </c>
      <c r="I389" s="10" t="s">
        <v>10</v>
      </c>
      <c r="J389" s="13">
        <v>46142</v>
      </c>
      <c r="K389" t="s">
        <v>642</v>
      </c>
    </row>
    <row r="390" spans="1:11">
      <c r="A390" t="s">
        <v>319</v>
      </c>
      <c r="B390" s="8">
        <v>252604644</v>
      </c>
      <c r="C390" s="9">
        <v>46087</v>
      </c>
      <c r="D390" s="8" t="s">
        <v>625</v>
      </c>
      <c r="E390" s="10">
        <v>150000</v>
      </c>
      <c r="F390" s="8">
        <v>0.032</v>
      </c>
      <c r="G390" s="11">
        <v>46147</v>
      </c>
      <c r="H390" s="12">
        <f t="shared" si="9"/>
        <v>4800</v>
      </c>
      <c r="I390" s="10" t="s">
        <v>10</v>
      </c>
      <c r="J390" s="13">
        <v>46142</v>
      </c>
      <c r="K390" t="s">
        <v>642</v>
      </c>
    </row>
    <row r="391" spans="1:11">
      <c r="A391" t="s">
        <v>319</v>
      </c>
      <c r="B391" s="8">
        <v>252604644</v>
      </c>
      <c r="C391" s="9">
        <v>46087</v>
      </c>
      <c r="D391" s="8" t="s">
        <v>625</v>
      </c>
      <c r="E391" s="10">
        <v>200000</v>
      </c>
      <c r="F391" s="8">
        <v>0.032</v>
      </c>
      <c r="G391" s="11">
        <v>46178</v>
      </c>
      <c r="H391" s="12">
        <f t="shared" si="9"/>
        <v>6400</v>
      </c>
      <c r="I391" s="10" t="s">
        <v>10</v>
      </c>
      <c r="J391" s="13">
        <v>46142</v>
      </c>
      <c r="K391" t="s">
        <v>642</v>
      </c>
    </row>
    <row r="392" spans="1:11">
      <c r="A392" t="s">
        <v>319</v>
      </c>
      <c r="B392" s="8">
        <v>252604644</v>
      </c>
      <c r="C392" s="9">
        <v>46087</v>
      </c>
      <c r="D392" s="8" t="s">
        <v>625</v>
      </c>
      <c r="E392" s="10">
        <v>200000</v>
      </c>
      <c r="F392" s="8">
        <v>0.032</v>
      </c>
      <c r="G392" s="11">
        <v>46178</v>
      </c>
      <c r="H392" s="12">
        <f t="shared" si="9"/>
        <v>6400</v>
      </c>
      <c r="I392" s="10" t="s">
        <v>10</v>
      </c>
      <c r="J392" s="13">
        <v>46142</v>
      </c>
      <c r="K392" t="s">
        <v>642</v>
      </c>
    </row>
    <row r="393" spans="1:11">
      <c r="A393" t="s">
        <v>319</v>
      </c>
      <c r="B393" s="8">
        <v>252604644</v>
      </c>
      <c r="C393" s="9">
        <v>46087</v>
      </c>
      <c r="D393" s="8" t="s">
        <v>625</v>
      </c>
      <c r="E393" s="10">
        <v>200000</v>
      </c>
      <c r="F393" s="8">
        <v>0.032</v>
      </c>
      <c r="G393" s="11">
        <v>46178</v>
      </c>
      <c r="H393" s="12">
        <f t="shared" si="9"/>
        <v>6400</v>
      </c>
      <c r="I393" s="10" t="s">
        <v>10</v>
      </c>
      <c r="J393" s="13">
        <v>46142</v>
      </c>
      <c r="K393" t="s">
        <v>642</v>
      </c>
    </row>
    <row r="394" spans="1:11">
      <c r="A394" t="s">
        <v>319</v>
      </c>
      <c r="B394" s="8">
        <v>252604644</v>
      </c>
      <c r="C394" s="9">
        <v>46087</v>
      </c>
      <c r="D394" s="8" t="s">
        <v>625</v>
      </c>
      <c r="E394" s="10">
        <v>150000</v>
      </c>
      <c r="F394" s="8">
        <v>0.032</v>
      </c>
      <c r="G394" s="11">
        <v>46178</v>
      </c>
      <c r="H394" s="12">
        <f t="shared" si="9"/>
        <v>4800</v>
      </c>
      <c r="I394" s="10" t="s">
        <v>10</v>
      </c>
      <c r="J394" s="13">
        <v>46142</v>
      </c>
      <c r="K394" t="s">
        <v>642</v>
      </c>
    </row>
    <row r="395" spans="1:11">
      <c r="A395" t="s">
        <v>319</v>
      </c>
      <c r="B395" s="8">
        <v>252604669</v>
      </c>
      <c r="C395" s="9">
        <v>46090</v>
      </c>
      <c r="D395" s="8" t="s">
        <v>30</v>
      </c>
      <c r="E395" s="10">
        <v>20000</v>
      </c>
      <c r="F395" s="8">
        <v>0.022</v>
      </c>
      <c r="G395" s="11">
        <v>46103</v>
      </c>
      <c r="H395" s="12">
        <f t="shared" si="9"/>
        <v>440</v>
      </c>
      <c r="I395" s="10" t="s">
        <v>10</v>
      </c>
      <c r="J395" s="15" t="s">
        <v>643</v>
      </c>
      <c r="K395" t="s">
        <v>628</v>
      </c>
    </row>
    <row r="396" spans="1:11">
      <c r="A396" t="s">
        <v>319</v>
      </c>
      <c r="B396" s="8">
        <v>252604669</v>
      </c>
      <c r="C396" s="9">
        <v>46090</v>
      </c>
      <c r="D396" s="8" t="s">
        <v>30</v>
      </c>
      <c r="E396" s="10">
        <v>20000</v>
      </c>
      <c r="F396" s="8">
        <v>0.022</v>
      </c>
      <c r="G396" s="11">
        <v>46103</v>
      </c>
      <c r="H396" s="12">
        <f t="shared" si="9"/>
        <v>440</v>
      </c>
      <c r="I396" s="10" t="s">
        <v>10</v>
      </c>
      <c r="J396" s="15" t="s">
        <v>643</v>
      </c>
      <c r="K396" t="s">
        <v>628</v>
      </c>
    </row>
    <row r="397" spans="1:11">
      <c r="A397" t="s">
        <v>319</v>
      </c>
      <c r="B397" s="8">
        <v>252604676</v>
      </c>
      <c r="C397" s="9">
        <v>46091</v>
      </c>
      <c r="D397" s="8" t="s">
        <v>30</v>
      </c>
      <c r="E397" s="10">
        <v>90000</v>
      </c>
      <c r="F397" s="8">
        <v>0.022</v>
      </c>
      <c r="G397" s="11">
        <v>46103</v>
      </c>
      <c r="H397" s="12">
        <f t="shared" si="9"/>
        <v>1980</v>
      </c>
      <c r="I397" s="10" t="s">
        <v>10</v>
      </c>
      <c r="J397" s="13">
        <v>46119</v>
      </c>
      <c r="K397" t="s">
        <v>378</v>
      </c>
    </row>
    <row r="398" spans="1:11">
      <c r="A398" t="s">
        <v>319</v>
      </c>
      <c r="B398" s="8">
        <v>252604678</v>
      </c>
      <c r="C398" s="9">
        <v>46090</v>
      </c>
      <c r="D398" s="8" t="s">
        <v>511</v>
      </c>
      <c r="E398" s="10">
        <v>40000</v>
      </c>
      <c r="F398" s="8">
        <v>0.041</v>
      </c>
      <c r="G398" s="11">
        <v>46178</v>
      </c>
      <c r="H398" s="12">
        <f t="shared" si="9"/>
        <v>1640</v>
      </c>
      <c r="I398" s="10" t="s">
        <v>10</v>
      </c>
      <c r="J398" s="13">
        <v>46147</v>
      </c>
      <c r="K398" t="s">
        <v>377</v>
      </c>
    </row>
    <row r="399" spans="1:11">
      <c r="A399" t="s">
        <v>319</v>
      </c>
      <c r="B399" s="8">
        <v>252604678</v>
      </c>
      <c r="C399" s="9">
        <v>46090</v>
      </c>
      <c r="D399" s="8" t="s">
        <v>38</v>
      </c>
      <c r="E399" s="10">
        <v>60000</v>
      </c>
      <c r="F399" s="8">
        <v>0.01</v>
      </c>
      <c r="G399" s="11">
        <v>46178</v>
      </c>
      <c r="H399" s="12">
        <f t="shared" si="9"/>
        <v>600</v>
      </c>
      <c r="I399" s="10" t="s">
        <v>10</v>
      </c>
      <c r="J399" s="13">
        <v>46147</v>
      </c>
      <c r="K399" t="s">
        <v>377</v>
      </c>
    </row>
    <row r="400" spans="1:11">
      <c r="A400" t="s">
        <v>319</v>
      </c>
      <c r="B400" s="8">
        <v>252604678</v>
      </c>
      <c r="C400" s="9">
        <v>46090</v>
      </c>
      <c r="D400" s="8" t="s">
        <v>38</v>
      </c>
      <c r="E400" s="10">
        <v>40000</v>
      </c>
      <c r="F400" s="8">
        <v>0.01</v>
      </c>
      <c r="G400" s="11">
        <v>46208</v>
      </c>
      <c r="H400" s="12">
        <f t="shared" si="9"/>
        <v>400</v>
      </c>
      <c r="I400" s="10" t="s">
        <v>10</v>
      </c>
      <c r="J400" s="13">
        <v>46147</v>
      </c>
      <c r="K400" t="s">
        <v>377</v>
      </c>
    </row>
    <row r="401" spans="1:11">
      <c r="A401" t="s">
        <v>319</v>
      </c>
      <c r="B401" s="8">
        <v>252604678</v>
      </c>
      <c r="C401" s="9">
        <v>46090</v>
      </c>
      <c r="D401" s="8" t="s">
        <v>46</v>
      </c>
      <c r="E401" s="10">
        <v>60000</v>
      </c>
      <c r="F401" s="8">
        <v>0.02</v>
      </c>
      <c r="G401" s="11">
        <v>46178</v>
      </c>
      <c r="H401" s="12">
        <f t="shared" si="9"/>
        <v>1200</v>
      </c>
      <c r="I401" s="10" t="s">
        <v>10</v>
      </c>
      <c r="J401" s="13">
        <v>46147</v>
      </c>
      <c r="K401" t="s">
        <v>377</v>
      </c>
    </row>
    <row r="402" spans="1:11">
      <c r="A402" t="s">
        <v>319</v>
      </c>
      <c r="B402" s="8">
        <v>252604678</v>
      </c>
      <c r="C402" s="9">
        <v>46090</v>
      </c>
      <c r="D402" s="8" t="s">
        <v>509</v>
      </c>
      <c r="E402" s="10">
        <v>40000</v>
      </c>
      <c r="F402" s="8">
        <v>0.16</v>
      </c>
      <c r="G402" s="11">
        <v>46178</v>
      </c>
      <c r="H402" s="12">
        <f t="shared" si="9"/>
        <v>6400</v>
      </c>
      <c r="I402" s="10" t="s">
        <v>10</v>
      </c>
      <c r="J402" s="13">
        <v>46162</v>
      </c>
      <c r="K402" t="s">
        <v>377</v>
      </c>
    </row>
    <row r="403" spans="1:11">
      <c r="A403" t="s">
        <v>319</v>
      </c>
      <c r="B403" s="8">
        <v>252604678</v>
      </c>
      <c r="C403" s="9">
        <v>46090</v>
      </c>
      <c r="D403" s="8" t="s">
        <v>502</v>
      </c>
      <c r="E403" s="10">
        <v>120000</v>
      </c>
      <c r="F403" s="8">
        <v>0.1</v>
      </c>
      <c r="G403" s="11">
        <v>46178</v>
      </c>
      <c r="H403" s="12">
        <f t="shared" si="9"/>
        <v>12000</v>
      </c>
      <c r="I403" s="10" t="s">
        <v>10</v>
      </c>
      <c r="J403" s="13">
        <v>46147</v>
      </c>
      <c r="K403" t="s">
        <v>377</v>
      </c>
    </row>
    <row r="404" spans="1:11">
      <c r="A404" t="s">
        <v>319</v>
      </c>
      <c r="B404" s="8">
        <v>252604680</v>
      </c>
      <c r="C404" s="9">
        <v>46090</v>
      </c>
      <c r="D404" s="8" t="s">
        <v>285</v>
      </c>
      <c r="E404" s="10">
        <v>24000</v>
      </c>
      <c r="F404" s="8">
        <v>0.02</v>
      </c>
      <c r="G404" s="11">
        <v>46147</v>
      </c>
      <c r="H404" s="12">
        <f t="shared" si="9"/>
        <v>480</v>
      </c>
      <c r="I404" s="10" t="s">
        <v>10</v>
      </c>
      <c r="J404" s="13">
        <v>46108</v>
      </c>
      <c r="K404" t="s">
        <v>469</v>
      </c>
    </row>
    <row r="405" spans="1:11">
      <c r="A405" t="s">
        <v>319</v>
      </c>
      <c r="B405" s="8">
        <v>252604680</v>
      </c>
      <c r="C405" s="9">
        <v>46090</v>
      </c>
      <c r="D405" s="8" t="s">
        <v>465</v>
      </c>
      <c r="E405" s="10">
        <v>42000</v>
      </c>
      <c r="F405" s="8">
        <v>0.018</v>
      </c>
      <c r="G405" s="11">
        <v>46147</v>
      </c>
      <c r="H405" s="12">
        <f t="shared" si="9"/>
        <v>756</v>
      </c>
      <c r="I405" s="10" t="s">
        <v>10</v>
      </c>
      <c r="J405" s="13">
        <v>46108</v>
      </c>
      <c r="K405" t="s">
        <v>469</v>
      </c>
    </row>
    <row r="406" spans="1:11">
      <c r="A406" t="s">
        <v>319</v>
      </c>
      <c r="B406" s="8">
        <v>252604687</v>
      </c>
      <c r="C406" s="9">
        <v>46091</v>
      </c>
      <c r="D406" s="8" t="s">
        <v>11</v>
      </c>
      <c r="E406" s="10">
        <v>344000</v>
      </c>
      <c r="F406" s="8">
        <v>0.032</v>
      </c>
      <c r="G406" s="11">
        <v>46103</v>
      </c>
      <c r="H406" s="12">
        <f t="shared" si="9"/>
        <v>11008</v>
      </c>
      <c r="I406" s="10" t="s">
        <v>10</v>
      </c>
      <c r="J406" s="13">
        <v>46098</v>
      </c>
      <c r="K406" t="s">
        <v>378</v>
      </c>
    </row>
    <row r="407" spans="1:11">
      <c r="A407" t="s">
        <v>319</v>
      </c>
      <c r="B407" s="8">
        <v>252604687</v>
      </c>
      <c r="C407" s="9">
        <v>46091</v>
      </c>
      <c r="D407" s="8" t="s">
        <v>11</v>
      </c>
      <c r="E407" s="10">
        <v>76000</v>
      </c>
      <c r="F407" s="8">
        <v>0.032</v>
      </c>
      <c r="G407" s="11">
        <v>46103</v>
      </c>
      <c r="H407" s="12">
        <f t="shared" si="9"/>
        <v>2432</v>
      </c>
      <c r="I407" s="10" t="s">
        <v>10</v>
      </c>
      <c r="J407" s="13">
        <v>46098</v>
      </c>
      <c r="K407" t="s">
        <v>378</v>
      </c>
    </row>
    <row r="408" spans="1:11">
      <c r="A408" t="s">
        <v>319</v>
      </c>
      <c r="B408" s="8">
        <v>252604687</v>
      </c>
      <c r="C408" s="9">
        <v>46091</v>
      </c>
      <c r="D408" s="8" t="s">
        <v>11</v>
      </c>
      <c r="E408" s="10">
        <v>56000</v>
      </c>
      <c r="F408" s="8">
        <v>0.032</v>
      </c>
      <c r="G408" s="11">
        <v>46103</v>
      </c>
      <c r="H408" s="12">
        <f t="shared" si="9"/>
        <v>1792</v>
      </c>
      <c r="I408" s="10" t="s">
        <v>10</v>
      </c>
      <c r="J408" s="13">
        <v>46098</v>
      </c>
      <c r="K408" t="s">
        <v>378</v>
      </c>
    </row>
    <row r="409" spans="1:11">
      <c r="A409" t="s">
        <v>319</v>
      </c>
      <c r="B409" s="8">
        <v>252604687</v>
      </c>
      <c r="C409" s="9">
        <v>46091</v>
      </c>
      <c r="D409" s="8" t="s">
        <v>11</v>
      </c>
      <c r="E409" s="10">
        <v>60000</v>
      </c>
      <c r="F409" s="8">
        <v>0.032</v>
      </c>
      <c r="G409" s="11">
        <v>46117</v>
      </c>
      <c r="H409" s="12">
        <f t="shared" si="9"/>
        <v>1920</v>
      </c>
      <c r="I409" s="10" t="s">
        <v>10</v>
      </c>
      <c r="J409" s="13">
        <v>46098</v>
      </c>
      <c r="K409" t="s">
        <v>378</v>
      </c>
    </row>
    <row r="410" spans="1:11">
      <c r="A410" t="s">
        <v>319</v>
      </c>
      <c r="B410" s="8">
        <v>252604687</v>
      </c>
      <c r="C410" s="9">
        <v>46091</v>
      </c>
      <c r="D410" s="8" t="s">
        <v>11</v>
      </c>
      <c r="E410" s="10">
        <v>58000</v>
      </c>
      <c r="F410" s="8">
        <v>0.032</v>
      </c>
      <c r="G410" s="11">
        <v>46117</v>
      </c>
      <c r="H410" s="12">
        <f t="shared" si="9"/>
        <v>1856</v>
      </c>
      <c r="I410" s="10" t="s">
        <v>10</v>
      </c>
      <c r="J410" s="13">
        <v>46098</v>
      </c>
      <c r="K410" t="s">
        <v>378</v>
      </c>
    </row>
    <row r="411" spans="1:11">
      <c r="A411" t="s">
        <v>319</v>
      </c>
      <c r="B411" s="8">
        <v>252604687</v>
      </c>
      <c r="C411" s="9">
        <v>46091</v>
      </c>
      <c r="D411" s="8" t="s">
        <v>11</v>
      </c>
      <c r="E411" s="10">
        <v>70000</v>
      </c>
      <c r="F411" s="8">
        <v>0.032</v>
      </c>
      <c r="G411" s="11">
        <v>46147</v>
      </c>
      <c r="H411" s="12">
        <f t="shared" si="9"/>
        <v>2240</v>
      </c>
      <c r="I411" s="10" t="s">
        <v>10</v>
      </c>
      <c r="J411" s="13">
        <v>46098</v>
      </c>
      <c r="K411" t="s">
        <v>378</v>
      </c>
    </row>
    <row r="412" spans="1:11">
      <c r="A412" t="s">
        <v>319</v>
      </c>
      <c r="B412" s="8">
        <v>252604687</v>
      </c>
      <c r="C412" s="9">
        <v>46091</v>
      </c>
      <c r="D412" s="8" t="s">
        <v>30</v>
      </c>
      <c r="E412" s="10">
        <v>50000</v>
      </c>
      <c r="F412" s="8">
        <v>0.022</v>
      </c>
      <c r="G412" s="11">
        <v>46103</v>
      </c>
      <c r="H412" s="12">
        <f t="shared" si="9"/>
        <v>1100</v>
      </c>
      <c r="I412" s="10" t="s">
        <v>10</v>
      </c>
      <c r="J412" s="13">
        <v>46098</v>
      </c>
      <c r="K412" t="s">
        <v>378</v>
      </c>
    </row>
    <row r="413" spans="1:11">
      <c r="A413" t="s">
        <v>319</v>
      </c>
      <c r="B413" s="8">
        <v>252604719</v>
      </c>
      <c r="C413" s="9">
        <v>46092</v>
      </c>
      <c r="D413" s="8" t="s">
        <v>30</v>
      </c>
      <c r="E413" s="10">
        <v>100000</v>
      </c>
      <c r="F413" s="8">
        <v>0.022</v>
      </c>
      <c r="G413" s="11">
        <v>46117</v>
      </c>
      <c r="H413" s="12">
        <f t="shared" si="9"/>
        <v>2200</v>
      </c>
      <c r="I413" s="10" t="s">
        <v>10</v>
      </c>
      <c r="J413" s="13">
        <v>46119</v>
      </c>
      <c r="K413" t="s">
        <v>378</v>
      </c>
    </row>
    <row r="414" spans="1:11">
      <c r="A414" t="s">
        <v>319</v>
      </c>
      <c r="B414" s="8">
        <v>252604781</v>
      </c>
      <c r="C414" s="9">
        <v>46094</v>
      </c>
      <c r="D414" s="8" t="s">
        <v>522</v>
      </c>
      <c r="E414" s="10">
        <v>32000</v>
      </c>
      <c r="F414" s="8">
        <v>0.03</v>
      </c>
      <c r="G414" s="11">
        <v>46103</v>
      </c>
      <c r="H414" s="12">
        <f t="shared" si="9"/>
        <v>960</v>
      </c>
      <c r="I414" s="10" t="s">
        <v>10</v>
      </c>
      <c r="J414" s="13">
        <v>46098</v>
      </c>
      <c r="K414" t="s">
        <v>378</v>
      </c>
    </row>
    <row r="415" spans="1:11">
      <c r="A415" t="s">
        <v>319</v>
      </c>
      <c r="B415" s="8">
        <v>252604793</v>
      </c>
      <c r="C415" s="9">
        <v>46094</v>
      </c>
      <c r="D415" s="8" t="s">
        <v>162</v>
      </c>
      <c r="E415" s="10">
        <v>200000</v>
      </c>
      <c r="F415" s="8">
        <v>0.05</v>
      </c>
      <c r="G415" s="11">
        <v>46208</v>
      </c>
      <c r="H415" s="12">
        <f t="shared" si="9"/>
        <v>10000</v>
      </c>
      <c r="I415" s="10" t="s">
        <v>10</v>
      </c>
      <c r="J415" s="13">
        <v>46139</v>
      </c>
      <c r="K415" t="s">
        <v>377</v>
      </c>
    </row>
    <row r="416" spans="1:11">
      <c r="A416" t="s">
        <v>319</v>
      </c>
      <c r="B416" s="8">
        <v>252604793</v>
      </c>
      <c r="C416" s="9">
        <v>46094</v>
      </c>
      <c r="D416" s="8" t="s">
        <v>111</v>
      </c>
      <c r="E416" s="10">
        <v>70000</v>
      </c>
      <c r="F416" s="8">
        <v>0.045</v>
      </c>
      <c r="G416" s="11">
        <v>46208</v>
      </c>
      <c r="H416" s="12">
        <f t="shared" si="9"/>
        <v>3150</v>
      </c>
      <c r="I416" s="10" t="s">
        <v>10</v>
      </c>
      <c r="J416" s="13">
        <v>46139</v>
      </c>
      <c r="K416" t="s">
        <v>377</v>
      </c>
    </row>
    <row r="417" spans="1:11">
      <c r="A417" t="s">
        <v>319</v>
      </c>
      <c r="B417" s="8">
        <v>252604793</v>
      </c>
      <c r="C417" s="9">
        <v>46094</v>
      </c>
      <c r="D417" s="8" t="s">
        <v>50</v>
      </c>
      <c r="E417" s="10">
        <v>160000</v>
      </c>
      <c r="F417" s="8">
        <v>0.08</v>
      </c>
      <c r="G417" s="11">
        <v>46208</v>
      </c>
      <c r="H417" s="12">
        <f t="shared" si="9"/>
        <v>12800</v>
      </c>
      <c r="I417" s="10" t="s">
        <v>10</v>
      </c>
      <c r="J417" s="13">
        <v>46139</v>
      </c>
      <c r="K417" t="s">
        <v>377</v>
      </c>
    </row>
    <row r="418" spans="1:11">
      <c r="A418" t="s">
        <v>319</v>
      </c>
      <c r="B418" s="8">
        <v>252604793</v>
      </c>
      <c r="C418" s="9">
        <v>46094</v>
      </c>
      <c r="D418" s="8" t="s">
        <v>183</v>
      </c>
      <c r="E418" s="10">
        <v>15000</v>
      </c>
      <c r="F418" s="8">
        <v>0.5</v>
      </c>
      <c r="G418" s="11">
        <v>46208</v>
      </c>
      <c r="H418" s="12">
        <f t="shared" si="9"/>
        <v>7500</v>
      </c>
      <c r="I418" s="10" t="s">
        <v>10</v>
      </c>
      <c r="J418" s="13">
        <v>46139</v>
      </c>
      <c r="K418" t="s">
        <v>377</v>
      </c>
    </row>
    <row r="419" spans="1:11">
      <c r="A419" t="s">
        <v>319</v>
      </c>
      <c r="B419" s="8">
        <v>252604793</v>
      </c>
      <c r="C419" s="9">
        <v>46094</v>
      </c>
      <c r="D419" s="8" t="s">
        <v>626</v>
      </c>
      <c r="E419" s="10">
        <v>20000</v>
      </c>
      <c r="F419" s="8">
        <v>0.0224</v>
      </c>
      <c r="G419" s="11">
        <v>46208</v>
      </c>
      <c r="H419" s="12">
        <f t="shared" si="9"/>
        <v>448</v>
      </c>
      <c r="I419" s="10" t="s">
        <v>10</v>
      </c>
      <c r="J419" s="13">
        <v>46157</v>
      </c>
      <c r="K419" t="s">
        <v>377</v>
      </c>
    </row>
    <row r="420" spans="1:11">
      <c r="A420" t="s">
        <v>319</v>
      </c>
      <c r="B420" s="8">
        <v>252604794</v>
      </c>
      <c r="C420" s="9">
        <v>46093</v>
      </c>
      <c r="D420" s="8" t="s">
        <v>97</v>
      </c>
      <c r="E420" s="10">
        <v>20000</v>
      </c>
      <c r="F420" s="8">
        <v>0.065</v>
      </c>
      <c r="G420" s="11">
        <v>46106</v>
      </c>
      <c r="H420" s="12">
        <f t="shared" si="9"/>
        <v>1300</v>
      </c>
      <c r="I420" s="10" t="s">
        <v>10</v>
      </c>
      <c r="J420" s="13">
        <v>46119</v>
      </c>
      <c r="K420" t="s">
        <v>378</v>
      </c>
    </row>
    <row r="421" spans="1:11">
      <c r="A421" t="s">
        <v>319</v>
      </c>
      <c r="B421" s="8">
        <v>252604795</v>
      </c>
      <c r="C421" s="9">
        <v>46094</v>
      </c>
      <c r="D421" s="8" t="s">
        <v>162</v>
      </c>
      <c r="E421" s="10">
        <v>200000</v>
      </c>
      <c r="F421" s="8">
        <v>0.05</v>
      </c>
      <c r="G421" s="11">
        <v>46178</v>
      </c>
      <c r="H421" s="12">
        <f t="shared" si="9"/>
        <v>10000</v>
      </c>
      <c r="I421" s="10" t="s">
        <v>10</v>
      </c>
      <c r="J421" s="13">
        <v>46099</v>
      </c>
      <c r="K421" t="s">
        <v>377</v>
      </c>
    </row>
    <row r="422" spans="1:11">
      <c r="A422" t="s">
        <v>319</v>
      </c>
      <c r="B422" s="8">
        <v>252604795</v>
      </c>
      <c r="C422" s="9">
        <v>46094</v>
      </c>
      <c r="D422" s="8" t="s">
        <v>111</v>
      </c>
      <c r="E422" s="10">
        <v>70000</v>
      </c>
      <c r="F422" s="8">
        <v>0.045</v>
      </c>
      <c r="G422" s="11">
        <v>46147</v>
      </c>
      <c r="H422" s="12">
        <f t="shared" si="9"/>
        <v>3150</v>
      </c>
      <c r="I422" s="10" t="s">
        <v>10</v>
      </c>
      <c r="J422" s="13">
        <v>46099</v>
      </c>
      <c r="K422" t="s">
        <v>377</v>
      </c>
    </row>
    <row r="423" spans="1:11">
      <c r="A423" t="s">
        <v>319</v>
      </c>
      <c r="B423" s="8">
        <v>252604795</v>
      </c>
      <c r="C423" s="9">
        <v>46094</v>
      </c>
      <c r="D423" s="8" t="s">
        <v>111</v>
      </c>
      <c r="E423" s="10">
        <v>70000</v>
      </c>
      <c r="F423" s="8">
        <v>0.045</v>
      </c>
      <c r="G423" s="11">
        <v>46178</v>
      </c>
      <c r="H423" s="12">
        <f t="shared" si="9"/>
        <v>3150</v>
      </c>
      <c r="I423" s="10" t="s">
        <v>10</v>
      </c>
      <c r="J423" s="13">
        <v>46099</v>
      </c>
      <c r="K423" t="s">
        <v>377</v>
      </c>
    </row>
    <row r="424" spans="1:11">
      <c r="A424" t="s">
        <v>319</v>
      </c>
      <c r="B424" s="8">
        <v>252604795</v>
      </c>
      <c r="C424" s="9">
        <v>46094</v>
      </c>
      <c r="D424" s="8" t="s">
        <v>558</v>
      </c>
      <c r="E424" s="10">
        <v>100000</v>
      </c>
      <c r="F424" s="8">
        <v>0.07</v>
      </c>
      <c r="G424" s="11">
        <v>46178</v>
      </c>
      <c r="H424" s="12">
        <f t="shared" si="9"/>
        <v>7000</v>
      </c>
      <c r="I424" s="10" t="s">
        <v>10</v>
      </c>
      <c r="J424" s="13">
        <v>46099</v>
      </c>
      <c r="K424" t="s">
        <v>377</v>
      </c>
    </row>
    <row r="425" spans="1:11">
      <c r="A425" t="s">
        <v>319</v>
      </c>
      <c r="B425" s="8">
        <v>252604795</v>
      </c>
      <c r="C425" s="9">
        <v>46094</v>
      </c>
      <c r="D425" s="8" t="s">
        <v>50</v>
      </c>
      <c r="E425" s="10">
        <v>160000</v>
      </c>
      <c r="F425" s="8">
        <v>0.08</v>
      </c>
      <c r="G425" s="11">
        <v>46178</v>
      </c>
      <c r="H425" s="12">
        <f t="shared" si="9"/>
        <v>12800</v>
      </c>
      <c r="I425" s="10" t="s">
        <v>10</v>
      </c>
      <c r="J425" s="13">
        <v>46099</v>
      </c>
      <c r="K425" t="s">
        <v>377</v>
      </c>
    </row>
    <row r="426" spans="1:11">
      <c r="A426" s="19" t="s">
        <v>319</v>
      </c>
      <c r="B426" s="20">
        <v>252604798</v>
      </c>
      <c r="C426" s="21">
        <v>46094</v>
      </c>
      <c r="D426" s="20" t="s">
        <v>162</v>
      </c>
      <c r="E426" s="22">
        <v>200000</v>
      </c>
      <c r="F426" s="20">
        <v>0.05</v>
      </c>
      <c r="G426" s="23">
        <v>46239</v>
      </c>
      <c r="H426" s="24">
        <f t="shared" ref="H426:H452" si="10">E426*F426</f>
        <v>10000</v>
      </c>
      <c r="I426" s="22" t="s">
        <v>10</v>
      </c>
      <c r="J426" s="25">
        <v>46088</v>
      </c>
      <c r="K426" t="s">
        <v>377</v>
      </c>
    </row>
    <row r="427" spans="1:11">
      <c r="A427" s="19" t="s">
        <v>319</v>
      </c>
      <c r="B427" s="20">
        <v>252604798</v>
      </c>
      <c r="C427" s="21">
        <v>46094</v>
      </c>
      <c r="D427" s="20" t="s">
        <v>111</v>
      </c>
      <c r="E427" s="22">
        <v>70000</v>
      </c>
      <c r="F427" s="20">
        <v>0.045</v>
      </c>
      <c r="G427" s="23">
        <v>46239</v>
      </c>
      <c r="H427" s="24">
        <f t="shared" si="10"/>
        <v>3150</v>
      </c>
      <c r="I427" s="22" t="s">
        <v>10</v>
      </c>
      <c r="J427" s="25">
        <v>46088</v>
      </c>
      <c r="K427" t="s">
        <v>377</v>
      </c>
    </row>
    <row r="428" spans="1:11">
      <c r="A428" s="19" t="s">
        <v>319</v>
      </c>
      <c r="B428" s="20">
        <v>252604798</v>
      </c>
      <c r="C428" s="21">
        <v>46094</v>
      </c>
      <c r="D428" s="20" t="s">
        <v>50</v>
      </c>
      <c r="E428" s="22">
        <v>160000</v>
      </c>
      <c r="F428" s="20">
        <v>0.08</v>
      </c>
      <c r="G428" s="23">
        <v>46239</v>
      </c>
      <c r="H428" s="24">
        <f t="shared" si="10"/>
        <v>12800</v>
      </c>
      <c r="I428" s="22" t="s">
        <v>10</v>
      </c>
      <c r="J428" s="25">
        <v>46088</v>
      </c>
      <c r="K428" t="s">
        <v>377</v>
      </c>
    </row>
    <row r="429" spans="1:11">
      <c r="A429" s="19" t="s">
        <v>319</v>
      </c>
      <c r="B429" s="14">
        <v>252604798</v>
      </c>
      <c r="C429" s="13">
        <v>46094</v>
      </c>
      <c r="D429" s="14" t="s">
        <v>626</v>
      </c>
      <c r="E429" s="15">
        <v>20000</v>
      </c>
      <c r="F429" s="14">
        <v>0.0224</v>
      </c>
      <c r="G429" s="18">
        <v>46239</v>
      </c>
      <c r="H429" s="17">
        <f t="shared" si="10"/>
        <v>448</v>
      </c>
      <c r="I429" s="15" t="s">
        <v>317</v>
      </c>
      <c r="J429" s="15" t="s">
        <v>666</v>
      </c>
      <c r="K429" t="s">
        <v>377</v>
      </c>
    </row>
    <row r="430" spans="1:11">
      <c r="B430" s="14">
        <v>252604809</v>
      </c>
      <c r="C430" s="13">
        <v>46094</v>
      </c>
      <c r="D430" s="14" t="s">
        <v>639</v>
      </c>
      <c r="E430" s="15">
        <v>20000</v>
      </c>
      <c r="F430" s="14">
        <v>0.03</v>
      </c>
      <c r="G430" s="18">
        <v>46285</v>
      </c>
      <c r="H430" s="17">
        <f t="shared" si="10"/>
        <v>600</v>
      </c>
      <c r="I430" s="15" t="s">
        <v>317</v>
      </c>
      <c r="J430" s="15"/>
      <c r="K430" t="s">
        <v>486</v>
      </c>
    </row>
    <row r="431" spans="1:11">
      <c r="A431" t="s">
        <v>319</v>
      </c>
      <c r="B431" s="8">
        <v>252604814</v>
      </c>
      <c r="C431" s="9">
        <v>46094</v>
      </c>
      <c r="D431" s="8" t="s">
        <v>165</v>
      </c>
      <c r="E431" s="10">
        <v>42000</v>
      </c>
      <c r="F431" s="8">
        <v>0.018</v>
      </c>
      <c r="G431" s="11">
        <v>46117</v>
      </c>
      <c r="H431" s="12">
        <f t="shared" si="10"/>
        <v>756</v>
      </c>
      <c r="I431" s="10" t="s">
        <v>10</v>
      </c>
      <c r="J431" s="13">
        <v>46121</v>
      </c>
      <c r="K431" t="s">
        <v>469</v>
      </c>
    </row>
    <row r="432" spans="1:11">
      <c r="A432" t="s">
        <v>319</v>
      </c>
      <c r="B432" s="8">
        <v>252604814</v>
      </c>
      <c r="C432" s="9">
        <v>46094</v>
      </c>
      <c r="D432" s="8" t="s">
        <v>165</v>
      </c>
      <c r="E432" s="10">
        <v>42000</v>
      </c>
      <c r="F432" s="8">
        <v>0.018</v>
      </c>
      <c r="G432" s="11">
        <v>46208</v>
      </c>
      <c r="H432" s="12">
        <f t="shared" si="10"/>
        <v>756</v>
      </c>
      <c r="I432" s="10" t="s">
        <v>10</v>
      </c>
      <c r="J432" s="13">
        <v>46121</v>
      </c>
      <c r="K432" t="s">
        <v>469</v>
      </c>
    </row>
    <row r="433" spans="1:11">
      <c r="A433" t="s">
        <v>319</v>
      </c>
      <c r="B433" s="8">
        <v>252604814</v>
      </c>
      <c r="C433" s="9">
        <v>46094</v>
      </c>
      <c r="D433" s="8" t="s">
        <v>164</v>
      </c>
      <c r="E433" s="10">
        <v>42000</v>
      </c>
      <c r="F433" s="8">
        <v>0.0106</v>
      </c>
      <c r="G433" s="11">
        <v>46117</v>
      </c>
      <c r="H433" s="12">
        <f t="shared" si="10"/>
        <v>445.2</v>
      </c>
      <c r="I433" s="10" t="s">
        <v>10</v>
      </c>
      <c r="J433" s="13">
        <v>46121</v>
      </c>
      <c r="K433" t="s">
        <v>469</v>
      </c>
    </row>
    <row r="434" spans="1:11">
      <c r="A434" t="s">
        <v>319</v>
      </c>
      <c r="B434" s="8">
        <v>252604814</v>
      </c>
      <c r="C434" s="9">
        <v>46094</v>
      </c>
      <c r="D434" s="8" t="s">
        <v>164</v>
      </c>
      <c r="E434" s="10">
        <v>42000</v>
      </c>
      <c r="F434" s="8">
        <v>0.0106</v>
      </c>
      <c r="G434" s="11">
        <v>46208</v>
      </c>
      <c r="H434" s="12">
        <f t="shared" si="10"/>
        <v>445.2</v>
      </c>
      <c r="I434" s="10" t="s">
        <v>10</v>
      </c>
      <c r="J434" s="13">
        <v>46121</v>
      </c>
      <c r="K434" t="s">
        <v>469</v>
      </c>
    </row>
    <row r="435" spans="1:11">
      <c r="A435" t="s">
        <v>319</v>
      </c>
      <c r="B435" s="8">
        <v>252604814</v>
      </c>
      <c r="C435" s="9">
        <v>46094</v>
      </c>
      <c r="D435" s="8" t="s">
        <v>622</v>
      </c>
      <c r="E435" s="10">
        <v>42000</v>
      </c>
      <c r="F435" s="8">
        <v>0.018</v>
      </c>
      <c r="G435" s="11">
        <v>46117</v>
      </c>
      <c r="H435" s="12">
        <f t="shared" si="10"/>
        <v>756</v>
      </c>
      <c r="I435" s="10" t="s">
        <v>10</v>
      </c>
      <c r="J435" s="13">
        <v>46121</v>
      </c>
      <c r="K435" t="s">
        <v>469</v>
      </c>
    </row>
    <row r="436" spans="1:11">
      <c r="A436" t="s">
        <v>319</v>
      </c>
      <c r="B436" s="8">
        <v>252604814</v>
      </c>
      <c r="C436" s="9">
        <v>46094</v>
      </c>
      <c r="D436" s="8" t="s">
        <v>622</v>
      </c>
      <c r="E436" s="10">
        <v>42000</v>
      </c>
      <c r="F436" s="8">
        <v>0.018</v>
      </c>
      <c r="G436" s="11">
        <v>46208</v>
      </c>
      <c r="H436" s="12">
        <f t="shared" si="10"/>
        <v>756</v>
      </c>
      <c r="I436" s="10" t="s">
        <v>10</v>
      </c>
      <c r="J436" s="13">
        <v>46121</v>
      </c>
      <c r="K436" t="s">
        <v>469</v>
      </c>
    </row>
    <row r="437" spans="1:11">
      <c r="A437" t="s">
        <v>319</v>
      </c>
      <c r="B437" s="8">
        <v>252604818</v>
      </c>
      <c r="C437" s="9">
        <v>46097</v>
      </c>
      <c r="D437" s="8" t="s">
        <v>39</v>
      </c>
      <c r="E437" s="10">
        <v>200000</v>
      </c>
      <c r="F437" s="8">
        <v>0.022</v>
      </c>
      <c r="G437" s="11">
        <v>46106</v>
      </c>
      <c r="H437" s="12">
        <f t="shared" si="10"/>
        <v>4400</v>
      </c>
      <c r="I437" s="10" t="s">
        <v>10</v>
      </c>
      <c r="J437" s="13">
        <v>46098</v>
      </c>
      <c r="K437" t="s">
        <v>431</v>
      </c>
    </row>
    <row r="438" spans="1:11">
      <c r="A438" t="s">
        <v>319</v>
      </c>
      <c r="B438" s="8">
        <v>252604818</v>
      </c>
      <c r="C438" s="9">
        <v>46097</v>
      </c>
      <c r="D438" s="8" t="s">
        <v>39</v>
      </c>
      <c r="E438" s="10">
        <v>200000</v>
      </c>
      <c r="F438" s="8">
        <v>0.022</v>
      </c>
      <c r="G438" s="11">
        <v>46106</v>
      </c>
      <c r="H438" s="12">
        <f t="shared" si="10"/>
        <v>4400</v>
      </c>
      <c r="I438" s="10" t="s">
        <v>10</v>
      </c>
      <c r="J438" s="13">
        <v>46098</v>
      </c>
      <c r="K438" t="s">
        <v>431</v>
      </c>
    </row>
    <row r="439" spans="1:11">
      <c r="A439" t="s">
        <v>319</v>
      </c>
      <c r="B439" s="8">
        <v>252604818</v>
      </c>
      <c r="C439" s="9">
        <v>46097</v>
      </c>
      <c r="D439" s="8" t="s">
        <v>39</v>
      </c>
      <c r="E439" s="10">
        <v>200000</v>
      </c>
      <c r="F439" s="8">
        <v>0.022</v>
      </c>
      <c r="G439" s="11">
        <v>46106</v>
      </c>
      <c r="H439" s="12">
        <f t="shared" si="10"/>
        <v>4400</v>
      </c>
      <c r="I439" s="10" t="s">
        <v>10</v>
      </c>
      <c r="J439" s="13">
        <v>46098</v>
      </c>
      <c r="K439" t="s">
        <v>431</v>
      </c>
    </row>
    <row r="440" spans="1:11">
      <c r="A440" t="s">
        <v>319</v>
      </c>
      <c r="B440" s="8">
        <v>252604818</v>
      </c>
      <c r="C440" s="9">
        <v>46097</v>
      </c>
      <c r="D440" s="8" t="s">
        <v>39</v>
      </c>
      <c r="E440" s="10">
        <v>200000</v>
      </c>
      <c r="F440" s="8">
        <v>0.022</v>
      </c>
      <c r="G440" s="11">
        <v>46106</v>
      </c>
      <c r="H440" s="12">
        <f t="shared" si="10"/>
        <v>4400</v>
      </c>
      <c r="I440" s="10" t="s">
        <v>10</v>
      </c>
      <c r="J440" s="13">
        <v>46098</v>
      </c>
      <c r="K440" t="s">
        <v>431</v>
      </c>
    </row>
    <row r="441" spans="1:11">
      <c r="A441" t="s">
        <v>319</v>
      </c>
      <c r="B441" s="8">
        <v>252604818</v>
      </c>
      <c r="C441" s="9">
        <v>46097</v>
      </c>
      <c r="D441" s="8" t="s">
        <v>39</v>
      </c>
      <c r="E441" s="10">
        <v>200000</v>
      </c>
      <c r="F441" s="8">
        <v>0.022</v>
      </c>
      <c r="G441" s="11">
        <v>46106</v>
      </c>
      <c r="H441" s="12">
        <f t="shared" si="10"/>
        <v>4400</v>
      </c>
      <c r="I441" s="10" t="s">
        <v>10</v>
      </c>
      <c r="J441" s="13">
        <v>46098</v>
      </c>
      <c r="K441" t="s">
        <v>431</v>
      </c>
    </row>
    <row r="442" spans="1:11">
      <c r="A442" t="s">
        <v>319</v>
      </c>
      <c r="B442" s="8">
        <v>252604818</v>
      </c>
      <c r="C442" s="9">
        <v>46097</v>
      </c>
      <c r="D442" s="8" t="s">
        <v>39</v>
      </c>
      <c r="E442" s="10">
        <v>200000</v>
      </c>
      <c r="F442" s="8">
        <v>0.022</v>
      </c>
      <c r="G442" s="11">
        <v>46106</v>
      </c>
      <c r="H442" s="12">
        <f t="shared" si="10"/>
        <v>4400</v>
      </c>
      <c r="I442" s="10" t="s">
        <v>10</v>
      </c>
      <c r="J442" s="13">
        <v>46098</v>
      </c>
      <c r="K442" t="s">
        <v>431</v>
      </c>
    </row>
    <row r="443" spans="1:11">
      <c r="A443" t="s">
        <v>319</v>
      </c>
      <c r="B443" s="8">
        <v>252604818</v>
      </c>
      <c r="C443" s="9">
        <v>46097</v>
      </c>
      <c r="D443" s="8" t="s">
        <v>39</v>
      </c>
      <c r="E443" s="10">
        <v>200000</v>
      </c>
      <c r="F443" s="8">
        <v>0.022</v>
      </c>
      <c r="G443" s="11">
        <v>46106</v>
      </c>
      <c r="H443" s="12">
        <f t="shared" si="10"/>
        <v>4400</v>
      </c>
      <c r="I443" s="10" t="s">
        <v>10</v>
      </c>
      <c r="J443" s="13">
        <v>46098</v>
      </c>
      <c r="K443" t="s">
        <v>431</v>
      </c>
    </row>
    <row r="444" spans="1:11">
      <c r="A444" t="s">
        <v>319</v>
      </c>
      <c r="B444" s="8">
        <v>252604818</v>
      </c>
      <c r="C444" s="9">
        <v>46097</v>
      </c>
      <c r="D444" s="8" t="s">
        <v>39</v>
      </c>
      <c r="E444" s="10">
        <v>200000</v>
      </c>
      <c r="F444" s="8">
        <v>0.022</v>
      </c>
      <c r="G444" s="11">
        <v>46106</v>
      </c>
      <c r="H444" s="12">
        <f t="shared" si="10"/>
        <v>4400</v>
      </c>
      <c r="I444" s="10" t="s">
        <v>10</v>
      </c>
      <c r="J444" s="13">
        <v>46098</v>
      </c>
      <c r="K444" t="s">
        <v>431</v>
      </c>
    </row>
    <row r="445" spans="1:11">
      <c r="A445" t="s">
        <v>319</v>
      </c>
      <c r="B445" s="8">
        <v>252604818</v>
      </c>
      <c r="C445" s="9">
        <v>46097</v>
      </c>
      <c r="D445" s="8" t="s">
        <v>39</v>
      </c>
      <c r="E445" s="10">
        <v>200000</v>
      </c>
      <c r="F445" s="8">
        <v>0.022</v>
      </c>
      <c r="G445" s="11">
        <v>46106</v>
      </c>
      <c r="H445" s="12">
        <f t="shared" si="10"/>
        <v>4400</v>
      </c>
      <c r="I445" s="10" t="s">
        <v>10</v>
      </c>
      <c r="J445" s="13">
        <v>46098</v>
      </c>
      <c r="K445" t="s">
        <v>431</v>
      </c>
    </row>
    <row r="446" spans="1:11">
      <c r="A446" t="s">
        <v>319</v>
      </c>
      <c r="B446" s="8">
        <v>252604818</v>
      </c>
      <c r="C446" s="9">
        <v>46097</v>
      </c>
      <c r="D446" s="8" t="s">
        <v>39</v>
      </c>
      <c r="E446" s="10">
        <v>200000</v>
      </c>
      <c r="F446" s="8">
        <v>0.022</v>
      </c>
      <c r="G446" s="11">
        <v>46106</v>
      </c>
      <c r="H446" s="12">
        <f t="shared" si="10"/>
        <v>4400</v>
      </c>
      <c r="I446" s="10" t="s">
        <v>10</v>
      </c>
      <c r="J446" s="13">
        <v>46098</v>
      </c>
      <c r="K446" t="s">
        <v>431</v>
      </c>
    </row>
    <row r="447" spans="1:11">
      <c r="A447" t="s">
        <v>319</v>
      </c>
      <c r="B447" s="8">
        <v>252604818</v>
      </c>
      <c r="C447" s="9">
        <v>46097</v>
      </c>
      <c r="D447" s="8" t="s">
        <v>39</v>
      </c>
      <c r="E447" s="10">
        <v>200000</v>
      </c>
      <c r="F447" s="8">
        <v>0.022</v>
      </c>
      <c r="G447" s="11">
        <v>46106</v>
      </c>
      <c r="H447" s="12">
        <f t="shared" si="10"/>
        <v>4400</v>
      </c>
      <c r="I447" s="10" t="s">
        <v>10</v>
      </c>
      <c r="J447" s="13">
        <v>46098</v>
      </c>
      <c r="K447" t="s">
        <v>431</v>
      </c>
    </row>
    <row r="448" spans="1:11">
      <c r="A448" t="s">
        <v>319</v>
      </c>
      <c r="B448" s="8">
        <v>252604818</v>
      </c>
      <c r="C448" s="9">
        <v>46097</v>
      </c>
      <c r="D448" s="8" t="s">
        <v>39</v>
      </c>
      <c r="E448" s="10">
        <v>200000</v>
      </c>
      <c r="F448" s="8">
        <v>0.022</v>
      </c>
      <c r="G448" s="11">
        <v>46106</v>
      </c>
      <c r="H448" s="12">
        <f t="shared" si="10"/>
        <v>4400</v>
      </c>
      <c r="I448" s="10" t="s">
        <v>10</v>
      </c>
      <c r="J448" s="13">
        <v>46098</v>
      </c>
      <c r="K448" t="s">
        <v>431</v>
      </c>
    </row>
    <row r="449" spans="1:11">
      <c r="A449" t="s">
        <v>319</v>
      </c>
      <c r="B449" s="8">
        <v>252604818</v>
      </c>
      <c r="C449" s="9">
        <v>46097</v>
      </c>
      <c r="D449" s="8" t="s">
        <v>39</v>
      </c>
      <c r="E449" s="10">
        <v>124000</v>
      </c>
      <c r="F449" s="8">
        <v>0.022</v>
      </c>
      <c r="G449" s="11">
        <v>46106</v>
      </c>
      <c r="H449" s="12">
        <f t="shared" si="10"/>
        <v>2728</v>
      </c>
      <c r="I449" s="10" t="s">
        <v>10</v>
      </c>
      <c r="J449" s="13">
        <v>46098</v>
      </c>
      <c r="K449" t="s">
        <v>431</v>
      </c>
    </row>
    <row r="450" spans="1:11">
      <c r="A450" t="s">
        <v>319</v>
      </c>
      <c r="B450" s="8">
        <v>252604819</v>
      </c>
      <c r="C450" s="9">
        <v>46097</v>
      </c>
      <c r="D450" s="8" t="s">
        <v>39</v>
      </c>
      <c r="E450" s="10">
        <v>200000</v>
      </c>
      <c r="F450" s="8">
        <v>0.022</v>
      </c>
      <c r="G450" s="11">
        <v>46106</v>
      </c>
      <c r="H450" s="12">
        <f t="shared" si="10"/>
        <v>4400</v>
      </c>
      <c r="I450" s="10" t="s">
        <v>10</v>
      </c>
      <c r="J450" s="13">
        <v>46098</v>
      </c>
      <c r="K450" t="s">
        <v>337</v>
      </c>
    </row>
    <row r="451" spans="1:11">
      <c r="A451" t="s">
        <v>319</v>
      </c>
      <c r="B451" s="8">
        <v>252604819</v>
      </c>
      <c r="C451" s="9">
        <v>46097</v>
      </c>
      <c r="D451" s="8" t="s">
        <v>39</v>
      </c>
      <c r="E451" s="10">
        <v>50000</v>
      </c>
      <c r="F451" s="8">
        <v>0.022</v>
      </c>
      <c r="G451" s="11">
        <v>46106</v>
      </c>
      <c r="H451" s="12">
        <f t="shared" si="10"/>
        <v>1100</v>
      </c>
      <c r="I451" s="10" t="s">
        <v>10</v>
      </c>
      <c r="J451" s="13">
        <v>46098</v>
      </c>
      <c r="K451" t="s">
        <v>337</v>
      </c>
    </row>
    <row r="452" spans="1:11">
      <c r="A452" t="s">
        <v>319</v>
      </c>
      <c r="B452" s="8">
        <v>252604845</v>
      </c>
      <c r="C452" s="9">
        <v>46098</v>
      </c>
      <c r="D452" s="8" t="s">
        <v>179</v>
      </c>
      <c r="E452" s="10">
        <v>300000</v>
      </c>
      <c r="F452" s="8">
        <v>0.065</v>
      </c>
      <c r="G452" s="11">
        <v>46147</v>
      </c>
      <c r="H452" s="12">
        <f t="shared" si="10"/>
        <v>19500</v>
      </c>
      <c r="I452" s="10" t="s">
        <v>10</v>
      </c>
      <c r="J452" s="13">
        <v>46119</v>
      </c>
      <c r="K452" t="s">
        <v>486</v>
      </c>
    </row>
    <row r="453" spans="1:11">
      <c r="A453" t="s">
        <v>319</v>
      </c>
      <c r="B453" s="8">
        <v>252604865</v>
      </c>
      <c r="C453" s="9">
        <v>46099</v>
      </c>
      <c r="D453" s="8" t="s">
        <v>611</v>
      </c>
      <c r="E453" s="10">
        <v>30000</v>
      </c>
      <c r="F453" s="8">
        <v>0.062</v>
      </c>
      <c r="G453" s="11">
        <v>46103</v>
      </c>
      <c r="H453" s="12">
        <f t="shared" ref="H453:H502" si="11">E453*F453</f>
        <v>1860</v>
      </c>
      <c r="I453" s="10" t="s">
        <v>10</v>
      </c>
      <c r="J453" s="13">
        <v>46104</v>
      </c>
      <c r="K453" t="s">
        <v>488</v>
      </c>
    </row>
    <row r="454" spans="1:11">
      <c r="A454" t="s">
        <v>319</v>
      </c>
      <c r="B454" s="8">
        <v>252604865</v>
      </c>
      <c r="C454" s="9">
        <v>46099</v>
      </c>
      <c r="D454" s="8" t="s">
        <v>611</v>
      </c>
      <c r="E454" s="10">
        <v>30000</v>
      </c>
      <c r="F454" s="8">
        <v>0.062</v>
      </c>
      <c r="G454" s="11">
        <v>46134</v>
      </c>
      <c r="H454" s="12">
        <f t="shared" si="11"/>
        <v>1860</v>
      </c>
      <c r="I454" s="10" t="s">
        <v>10</v>
      </c>
      <c r="J454" s="13">
        <v>46104</v>
      </c>
      <c r="K454" t="s">
        <v>488</v>
      </c>
    </row>
    <row r="455" spans="1:11">
      <c r="A455" t="s">
        <v>319</v>
      </c>
      <c r="B455" s="8">
        <v>252604866</v>
      </c>
      <c r="C455" s="9">
        <v>46099</v>
      </c>
      <c r="D455" s="8" t="s">
        <v>644</v>
      </c>
      <c r="E455" s="10">
        <v>20000</v>
      </c>
      <c r="F455" s="8">
        <v>0.031</v>
      </c>
      <c r="G455" s="11">
        <v>46103</v>
      </c>
      <c r="H455" s="12">
        <f t="shared" si="11"/>
        <v>620</v>
      </c>
      <c r="I455" s="10" t="s">
        <v>10</v>
      </c>
      <c r="J455" s="13">
        <v>46141</v>
      </c>
      <c r="K455" t="s">
        <v>645</v>
      </c>
    </row>
    <row r="456" spans="1:11">
      <c r="A456" t="s">
        <v>319</v>
      </c>
      <c r="B456" s="8">
        <v>252604877</v>
      </c>
      <c r="C456" s="9">
        <v>46101</v>
      </c>
      <c r="D456" s="8" t="s">
        <v>33</v>
      </c>
      <c r="E456" s="10">
        <v>200000</v>
      </c>
      <c r="F456" s="8">
        <v>0.018</v>
      </c>
      <c r="G456" s="11">
        <v>46147</v>
      </c>
      <c r="H456" s="12">
        <f t="shared" si="11"/>
        <v>3600</v>
      </c>
      <c r="I456" s="10" t="s">
        <v>10</v>
      </c>
      <c r="J456" s="13">
        <v>46119</v>
      </c>
      <c r="K456" t="s">
        <v>467</v>
      </c>
    </row>
    <row r="457" spans="1:11">
      <c r="A457" t="s">
        <v>319</v>
      </c>
      <c r="B457" s="8">
        <v>252604877</v>
      </c>
      <c r="C457" s="9">
        <v>46101</v>
      </c>
      <c r="D457" s="8" t="s">
        <v>33</v>
      </c>
      <c r="E457" s="10">
        <v>200000</v>
      </c>
      <c r="F457" s="8">
        <v>0.018</v>
      </c>
      <c r="G457" s="11">
        <v>46147</v>
      </c>
      <c r="H457" s="12">
        <f t="shared" si="11"/>
        <v>3600</v>
      </c>
      <c r="I457" s="10" t="s">
        <v>10</v>
      </c>
      <c r="J457" s="13">
        <v>46119</v>
      </c>
      <c r="K457" t="s">
        <v>467</v>
      </c>
    </row>
    <row r="458" spans="1:11">
      <c r="A458" t="s">
        <v>319</v>
      </c>
      <c r="B458" s="8">
        <v>252604877</v>
      </c>
      <c r="C458" s="9">
        <v>46101</v>
      </c>
      <c r="D458" s="8" t="s">
        <v>33</v>
      </c>
      <c r="E458" s="10">
        <v>200000</v>
      </c>
      <c r="F458" s="8">
        <v>0.018</v>
      </c>
      <c r="G458" s="11">
        <v>46147</v>
      </c>
      <c r="H458" s="12">
        <f t="shared" si="11"/>
        <v>3600</v>
      </c>
      <c r="I458" s="10" t="s">
        <v>10</v>
      </c>
      <c r="J458" s="13">
        <v>46119</v>
      </c>
      <c r="K458" t="s">
        <v>467</v>
      </c>
    </row>
    <row r="459" spans="1:11">
      <c r="A459" t="s">
        <v>319</v>
      </c>
      <c r="B459" s="8">
        <v>252604877</v>
      </c>
      <c r="C459" s="9">
        <v>46101</v>
      </c>
      <c r="D459" s="8" t="s">
        <v>78</v>
      </c>
      <c r="E459" s="10">
        <v>200000</v>
      </c>
      <c r="F459" s="8">
        <v>0.016</v>
      </c>
      <c r="G459" s="11">
        <v>46147</v>
      </c>
      <c r="H459" s="12">
        <f t="shared" si="11"/>
        <v>3200</v>
      </c>
      <c r="I459" s="10" t="s">
        <v>10</v>
      </c>
      <c r="J459" s="13">
        <v>46119</v>
      </c>
      <c r="K459" t="s">
        <v>467</v>
      </c>
    </row>
    <row r="460" spans="1:11">
      <c r="A460" t="s">
        <v>319</v>
      </c>
      <c r="B460" s="8">
        <v>252604877</v>
      </c>
      <c r="C460" s="9">
        <v>46101</v>
      </c>
      <c r="D460" s="8" t="s">
        <v>626</v>
      </c>
      <c r="E460" s="10">
        <v>50000</v>
      </c>
      <c r="F460" s="8">
        <v>0.0224</v>
      </c>
      <c r="G460" s="11">
        <v>46147</v>
      </c>
      <c r="H460" s="12">
        <f t="shared" si="11"/>
        <v>1120</v>
      </c>
      <c r="I460" s="10" t="s">
        <v>10</v>
      </c>
      <c r="J460" s="13">
        <v>46119</v>
      </c>
      <c r="K460" t="s">
        <v>467</v>
      </c>
    </row>
    <row r="461" spans="1:11">
      <c r="A461" t="s">
        <v>319</v>
      </c>
      <c r="B461" s="8">
        <v>252604878</v>
      </c>
      <c r="C461" s="9">
        <v>46101</v>
      </c>
      <c r="D461" s="8" t="s">
        <v>626</v>
      </c>
      <c r="E461" s="10">
        <v>50000</v>
      </c>
      <c r="F461" s="8">
        <v>0.0224</v>
      </c>
      <c r="G461" s="11">
        <v>46178</v>
      </c>
      <c r="H461" s="12">
        <f t="shared" si="11"/>
        <v>1120</v>
      </c>
      <c r="I461" s="10" t="s">
        <v>10</v>
      </c>
      <c r="J461" s="13">
        <v>46132</v>
      </c>
      <c r="K461" t="s">
        <v>467</v>
      </c>
    </row>
    <row r="462" spans="1:11">
      <c r="A462" t="s">
        <v>319</v>
      </c>
      <c r="B462" s="8">
        <v>252604878</v>
      </c>
      <c r="C462" s="9">
        <v>46101</v>
      </c>
      <c r="D462" s="8" t="s">
        <v>626</v>
      </c>
      <c r="E462" s="10">
        <v>50000</v>
      </c>
      <c r="F462" s="8">
        <v>0.0224</v>
      </c>
      <c r="G462" s="11">
        <v>46208</v>
      </c>
      <c r="H462" s="12">
        <f t="shared" si="11"/>
        <v>1120</v>
      </c>
      <c r="I462" s="10" t="s">
        <v>10</v>
      </c>
      <c r="J462" s="13">
        <v>46132</v>
      </c>
      <c r="K462" t="s">
        <v>467</v>
      </c>
    </row>
    <row r="463" spans="1:11">
      <c r="A463" t="s">
        <v>319</v>
      </c>
      <c r="B463" s="8">
        <v>252604887</v>
      </c>
      <c r="C463" s="9">
        <v>46104</v>
      </c>
      <c r="D463" s="8" t="s">
        <v>404</v>
      </c>
      <c r="E463" s="10">
        <v>102000</v>
      </c>
      <c r="F463" s="8">
        <v>0.06</v>
      </c>
      <c r="G463" s="11">
        <v>46147</v>
      </c>
      <c r="H463" s="12">
        <f t="shared" si="11"/>
        <v>6120</v>
      </c>
      <c r="I463" s="10" t="s">
        <v>10</v>
      </c>
      <c r="J463" s="13">
        <v>46108</v>
      </c>
      <c r="K463" t="s">
        <v>405</v>
      </c>
    </row>
    <row r="464" spans="1:11">
      <c r="A464" t="s">
        <v>319</v>
      </c>
      <c r="B464" s="8">
        <v>252604887</v>
      </c>
      <c r="C464" s="9">
        <v>46104</v>
      </c>
      <c r="D464" s="8" t="s">
        <v>404</v>
      </c>
      <c r="E464" s="10">
        <v>52000</v>
      </c>
      <c r="F464" s="8">
        <v>0.06</v>
      </c>
      <c r="G464" s="11">
        <v>46178</v>
      </c>
      <c r="H464" s="12">
        <f t="shared" si="11"/>
        <v>3120</v>
      </c>
      <c r="I464" s="10" t="s">
        <v>10</v>
      </c>
      <c r="J464" s="13">
        <v>46108</v>
      </c>
      <c r="K464" t="s">
        <v>405</v>
      </c>
    </row>
    <row r="465" spans="1:11">
      <c r="A465" t="s">
        <v>319</v>
      </c>
      <c r="B465" s="8">
        <v>252604892</v>
      </c>
      <c r="C465" s="9">
        <v>46104</v>
      </c>
      <c r="D465" s="8" t="s">
        <v>404</v>
      </c>
      <c r="E465" s="10">
        <v>52000</v>
      </c>
      <c r="F465" s="8">
        <v>0.06</v>
      </c>
      <c r="G465" s="11">
        <v>46208</v>
      </c>
      <c r="H465" s="12">
        <f t="shared" si="11"/>
        <v>3120</v>
      </c>
      <c r="I465" s="10" t="s">
        <v>10</v>
      </c>
      <c r="J465" s="13">
        <v>46119</v>
      </c>
      <c r="K465" t="s">
        <v>405</v>
      </c>
    </row>
    <row r="466" spans="1:11">
      <c r="A466" t="s">
        <v>319</v>
      </c>
      <c r="B466" s="8">
        <v>252604894</v>
      </c>
      <c r="C466" s="9">
        <v>46101</v>
      </c>
      <c r="D466" s="8" t="s">
        <v>40</v>
      </c>
      <c r="E466" s="10">
        <v>200000</v>
      </c>
      <c r="F466" s="8">
        <v>0.035</v>
      </c>
      <c r="G466" s="11">
        <v>46147</v>
      </c>
      <c r="H466" s="12">
        <f t="shared" si="11"/>
        <v>7000</v>
      </c>
      <c r="I466" s="10" t="s">
        <v>10</v>
      </c>
      <c r="J466" s="13">
        <v>46132</v>
      </c>
      <c r="K466" t="s">
        <v>365</v>
      </c>
    </row>
    <row r="467" spans="1:11">
      <c r="A467" t="s">
        <v>319</v>
      </c>
      <c r="B467" s="8">
        <v>252604894</v>
      </c>
      <c r="C467" s="9">
        <v>46101</v>
      </c>
      <c r="D467" s="8" t="s">
        <v>40</v>
      </c>
      <c r="E467" s="10">
        <v>200000</v>
      </c>
      <c r="F467" s="8">
        <v>0.035</v>
      </c>
      <c r="G467" s="11">
        <v>46178</v>
      </c>
      <c r="H467" s="12">
        <f t="shared" si="11"/>
        <v>7000</v>
      </c>
      <c r="I467" s="10" t="s">
        <v>10</v>
      </c>
      <c r="J467" s="13">
        <v>46132</v>
      </c>
      <c r="K467" t="s">
        <v>365</v>
      </c>
    </row>
    <row r="468" spans="1:11">
      <c r="A468" t="s">
        <v>319</v>
      </c>
      <c r="B468" s="8">
        <v>252604921</v>
      </c>
      <c r="C468" s="9">
        <v>46104</v>
      </c>
      <c r="D468" s="8" t="s">
        <v>47</v>
      </c>
      <c r="E468" s="10">
        <v>300000</v>
      </c>
      <c r="F468" s="8">
        <v>0.022</v>
      </c>
      <c r="G468" s="11">
        <v>46117</v>
      </c>
      <c r="H468" s="12">
        <f t="shared" si="11"/>
        <v>6600</v>
      </c>
      <c r="I468" s="10" t="s">
        <v>10</v>
      </c>
      <c r="J468" s="13">
        <v>46114</v>
      </c>
      <c r="K468" t="s">
        <v>499</v>
      </c>
    </row>
    <row r="469" spans="1:11">
      <c r="A469" t="s">
        <v>319</v>
      </c>
      <c r="B469" s="8">
        <v>252604921</v>
      </c>
      <c r="C469" s="9">
        <v>46104</v>
      </c>
      <c r="D469" s="8" t="s">
        <v>47</v>
      </c>
      <c r="E469" s="10">
        <v>300000</v>
      </c>
      <c r="F469" s="8">
        <v>0.022</v>
      </c>
      <c r="G469" s="11">
        <v>46117</v>
      </c>
      <c r="H469" s="12">
        <f t="shared" si="11"/>
        <v>6600</v>
      </c>
      <c r="I469" s="10" t="s">
        <v>10</v>
      </c>
      <c r="J469" s="13">
        <v>46114</v>
      </c>
      <c r="K469" t="s">
        <v>499</v>
      </c>
    </row>
    <row r="470" spans="1:11">
      <c r="A470" t="s">
        <v>319</v>
      </c>
      <c r="B470" s="8">
        <v>252604921</v>
      </c>
      <c r="C470" s="9">
        <v>46104</v>
      </c>
      <c r="D470" s="8" t="s">
        <v>47</v>
      </c>
      <c r="E470" s="10">
        <v>300000</v>
      </c>
      <c r="F470" s="8">
        <v>0.022</v>
      </c>
      <c r="G470" s="11">
        <v>46117</v>
      </c>
      <c r="H470" s="12">
        <f t="shared" si="11"/>
        <v>6600</v>
      </c>
      <c r="I470" s="10" t="s">
        <v>10</v>
      </c>
      <c r="J470" s="13">
        <v>46114</v>
      </c>
      <c r="K470" t="s">
        <v>499</v>
      </c>
    </row>
    <row r="471" spans="1:11">
      <c r="A471" t="s">
        <v>319</v>
      </c>
      <c r="B471" s="8">
        <v>252604921</v>
      </c>
      <c r="C471" s="9">
        <v>46104</v>
      </c>
      <c r="D471" s="8" t="s">
        <v>45</v>
      </c>
      <c r="E471" s="10">
        <v>200000</v>
      </c>
      <c r="F471" s="8">
        <v>0.024</v>
      </c>
      <c r="G471" s="11">
        <v>46147</v>
      </c>
      <c r="H471" s="12">
        <f t="shared" si="11"/>
        <v>4800</v>
      </c>
      <c r="I471" s="10" t="s">
        <v>10</v>
      </c>
      <c r="J471" s="13">
        <v>46107</v>
      </c>
      <c r="K471" t="s">
        <v>499</v>
      </c>
    </row>
    <row r="472" spans="1:11">
      <c r="A472" t="s">
        <v>319</v>
      </c>
      <c r="B472" s="8">
        <v>252604921</v>
      </c>
      <c r="C472" s="9">
        <v>46104</v>
      </c>
      <c r="D472" s="8" t="s">
        <v>38</v>
      </c>
      <c r="E472" s="10">
        <v>400000</v>
      </c>
      <c r="F472" s="8">
        <v>0.01</v>
      </c>
      <c r="G472" s="11">
        <v>46117</v>
      </c>
      <c r="H472" s="12">
        <f t="shared" si="11"/>
        <v>4000</v>
      </c>
      <c r="I472" s="10" t="s">
        <v>10</v>
      </c>
      <c r="J472" s="13">
        <v>46107</v>
      </c>
      <c r="K472" t="s">
        <v>499</v>
      </c>
    </row>
    <row r="473" spans="1:11">
      <c r="A473" t="s">
        <v>319</v>
      </c>
      <c r="B473" s="8">
        <v>252604921</v>
      </c>
      <c r="C473" s="9">
        <v>46104</v>
      </c>
      <c r="D473" s="8" t="s">
        <v>299</v>
      </c>
      <c r="E473" s="10">
        <v>64000</v>
      </c>
      <c r="F473" s="8">
        <v>0.003</v>
      </c>
      <c r="G473" s="11">
        <v>46117</v>
      </c>
      <c r="H473" s="12">
        <f t="shared" si="11"/>
        <v>192</v>
      </c>
      <c r="I473" s="10" t="s">
        <v>10</v>
      </c>
      <c r="J473" s="13">
        <v>46107</v>
      </c>
      <c r="K473" t="s">
        <v>499</v>
      </c>
    </row>
    <row r="474" spans="1:11">
      <c r="A474" t="s">
        <v>319</v>
      </c>
      <c r="B474" s="8">
        <v>252604922</v>
      </c>
      <c r="C474" s="9">
        <v>46105</v>
      </c>
      <c r="D474" s="8" t="s">
        <v>38</v>
      </c>
      <c r="E474" s="10">
        <v>400000</v>
      </c>
      <c r="F474" s="8">
        <v>0.01</v>
      </c>
      <c r="G474" s="11">
        <v>46147</v>
      </c>
      <c r="H474" s="12">
        <f t="shared" si="11"/>
        <v>4000</v>
      </c>
      <c r="I474" s="10" t="s">
        <v>10</v>
      </c>
      <c r="J474" s="13">
        <v>46107</v>
      </c>
      <c r="K474" t="s">
        <v>536</v>
      </c>
    </row>
    <row r="475" spans="1:11">
      <c r="A475" t="s">
        <v>319</v>
      </c>
      <c r="B475" s="8">
        <v>252604923</v>
      </c>
      <c r="C475" s="9">
        <v>46105</v>
      </c>
      <c r="D475" s="8" t="s">
        <v>45</v>
      </c>
      <c r="E475" s="10">
        <v>400000</v>
      </c>
      <c r="F475" s="8">
        <v>0.024</v>
      </c>
      <c r="G475" s="11">
        <v>46208</v>
      </c>
      <c r="H475" s="12">
        <f t="shared" si="11"/>
        <v>9600</v>
      </c>
      <c r="I475" s="10" t="s">
        <v>10</v>
      </c>
      <c r="J475" s="13">
        <v>46157</v>
      </c>
      <c r="K475" t="s">
        <v>534</v>
      </c>
    </row>
    <row r="476" spans="1:11">
      <c r="A476" t="s">
        <v>319</v>
      </c>
      <c r="B476" s="8">
        <v>252604923</v>
      </c>
      <c r="C476" s="9">
        <v>46105</v>
      </c>
      <c r="D476" s="8" t="s">
        <v>38</v>
      </c>
      <c r="E476" s="10">
        <v>400000</v>
      </c>
      <c r="F476" s="8">
        <v>0.01</v>
      </c>
      <c r="G476" s="11">
        <v>46178</v>
      </c>
      <c r="H476" s="12">
        <f t="shared" si="11"/>
        <v>4000</v>
      </c>
      <c r="I476" s="10" t="s">
        <v>10</v>
      </c>
      <c r="J476" s="13">
        <v>46157</v>
      </c>
      <c r="K476" t="s">
        <v>534</v>
      </c>
    </row>
    <row r="477" spans="1:11">
      <c r="A477" t="s">
        <v>319</v>
      </c>
      <c r="B477" s="8">
        <v>252604924</v>
      </c>
      <c r="C477" s="9">
        <v>46104</v>
      </c>
      <c r="D477" s="8" t="s">
        <v>611</v>
      </c>
      <c r="E477" s="10">
        <v>60000</v>
      </c>
      <c r="F477" s="8">
        <v>0.062</v>
      </c>
      <c r="G477" s="11">
        <v>46117</v>
      </c>
      <c r="H477" s="12">
        <f t="shared" si="11"/>
        <v>3720</v>
      </c>
      <c r="I477" s="10" t="s">
        <v>10</v>
      </c>
      <c r="J477" s="13">
        <v>46107</v>
      </c>
      <c r="K477" t="s">
        <v>488</v>
      </c>
    </row>
    <row r="478" spans="1:11">
      <c r="A478" t="s">
        <v>319</v>
      </c>
      <c r="B478" s="8">
        <v>252604925</v>
      </c>
      <c r="C478" s="9">
        <v>46105</v>
      </c>
      <c r="D478" s="8" t="s">
        <v>48</v>
      </c>
      <c r="E478" s="10">
        <v>100000</v>
      </c>
      <c r="F478" s="8">
        <v>0.017</v>
      </c>
      <c r="G478" s="11">
        <v>46117</v>
      </c>
      <c r="H478" s="12">
        <f t="shared" si="11"/>
        <v>1700</v>
      </c>
      <c r="I478" s="10" t="s">
        <v>10</v>
      </c>
      <c r="J478" s="13">
        <v>46114</v>
      </c>
      <c r="K478" t="s">
        <v>534</v>
      </c>
    </row>
    <row r="479" spans="1:11">
      <c r="A479" t="s">
        <v>319</v>
      </c>
      <c r="B479" s="8">
        <v>252604925</v>
      </c>
      <c r="C479" s="9">
        <v>46105</v>
      </c>
      <c r="D479" s="8" t="s">
        <v>48</v>
      </c>
      <c r="E479" s="10">
        <v>100000</v>
      </c>
      <c r="F479" s="8">
        <v>0.017</v>
      </c>
      <c r="G479" s="11">
        <v>46147</v>
      </c>
      <c r="H479" s="12">
        <f t="shared" si="11"/>
        <v>1700</v>
      </c>
      <c r="I479" s="10" t="s">
        <v>10</v>
      </c>
      <c r="J479" s="13">
        <v>46114</v>
      </c>
      <c r="K479" t="s">
        <v>534</v>
      </c>
    </row>
    <row r="480" spans="1:11">
      <c r="B480" s="14">
        <v>252604992</v>
      </c>
      <c r="C480" s="13">
        <v>46108</v>
      </c>
      <c r="D480" s="14" t="s">
        <v>646</v>
      </c>
      <c r="E480" s="15">
        <v>6000</v>
      </c>
      <c r="F480" s="14">
        <v>0.032</v>
      </c>
      <c r="G480" s="16">
        <v>46117</v>
      </c>
      <c r="H480" s="17">
        <f t="shared" si="11"/>
        <v>192</v>
      </c>
      <c r="I480" s="15" t="s">
        <v>51</v>
      </c>
      <c r="J480" s="15"/>
    </row>
    <row r="481" spans="1:11">
      <c r="A481" t="s">
        <v>319</v>
      </c>
      <c r="B481" s="8">
        <v>252605003</v>
      </c>
      <c r="C481" s="9">
        <v>46107</v>
      </c>
      <c r="D481" s="8" t="s">
        <v>33</v>
      </c>
      <c r="E481" s="10">
        <v>100000</v>
      </c>
      <c r="F481" s="8">
        <v>0.018</v>
      </c>
      <c r="G481" s="11">
        <v>46147</v>
      </c>
      <c r="H481" s="12">
        <f t="shared" si="11"/>
        <v>1800</v>
      </c>
      <c r="I481" s="10" t="s">
        <v>10</v>
      </c>
      <c r="J481" s="13">
        <v>46126</v>
      </c>
      <c r="K481" t="s">
        <v>467</v>
      </c>
    </row>
    <row r="482" spans="1:11">
      <c r="A482" t="s">
        <v>319</v>
      </c>
      <c r="B482" s="8">
        <v>252605003</v>
      </c>
      <c r="C482" s="9">
        <v>46107</v>
      </c>
      <c r="D482" s="8" t="s">
        <v>58</v>
      </c>
      <c r="E482" s="10">
        <v>200000</v>
      </c>
      <c r="F482" s="8">
        <v>0.014</v>
      </c>
      <c r="G482" s="11">
        <v>46147</v>
      </c>
      <c r="H482" s="12">
        <f t="shared" si="11"/>
        <v>2800</v>
      </c>
      <c r="I482" s="10" t="s">
        <v>10</v>
      </c>
      <c r="J482" s="13">
        <v>46126</v>
      </c>
      <c r="K482" t="s">
        <v>467</v>
      </c>
    </row>
    <row r="483" spans="1:11">
      <c r="A483" t="s">
        <v>319</v>
      </c>
      <c r="B483" s="8">
        <v>252605003</v>
      </c>
      <c r="C483" s="9">
        <v>46107</v>
      </c>
      <c r="D483" s="8" t="s">
        <v>315</v>
      </c>
      <c r="E483" s="10">
        <v>20000</v>
      </c>
      <c r="F483" s="8">
        <v>0.0522</v>
      </c>
      <c r="G483" s="11">
        <v>46147</v>
      </c>
      <c r="H483" s="12">
        <f t="shared" si="11"/>
        <v>1044</v>
      </c>
      <c r="I483" s="10" t="s">
        <v>10</v>
      </c>
      <c r="J483" s="13">
        <v>46126</v>
      </c>
      <c r="K483" t="s">
        <v>467</v>
      </c>
    </row>
    <row r="484" spans="1:11">
      <c r="A484" t="s">
        <v>319</v>
      </c>
      <c r="B484" s="8">
        <v>252605003</v>
      </c>
      <c r="C484" s="9">
        <v>46107</v>
      </c>
      <c r="D484" s="8" t="s">
        <v>31</v>
      </c>
      <c r="E484" s="10">
        <v>200000</v>
      </c>
      <c r="F484" s="8">
        <v>0.024</v>
      </c>
      <c r="G484" s="11">
        <v>46147</v>
      </c>
      <c r="H484" s="12">
        <f t="shared" si="11"/>
        <v>4800</v>
      </c>
      <c r="I484" s="10" t="s">
        <v>10</v>
      </c>
      <c r="J484" s="13">
        <v>46126</v>
      </c>
      <c r="K484" t="s">
        <v>467</v>
      </c>
    </row>
    <row r="485" spans="1:11">
      <c r="A485" t="s">
        <v>319</v>
      </c>
      <c r="B485" s="8">
        <v>252605003</v>
      </c>
      <c r="C485" s="9">
        <v>46107</v>
      </c>
      <c r="D485" s="8" t="s">
        <v>31</v>
      </c>
      <c r="E485" s="10">
        <v>200000</v>
      </c>
      <c r="F485" s="8">
        <v>0.024</v>
      </c>
      <c r="G485" s="11">
        <v>46147</v>
      </c>
      <c r="H485" s="12">
        <f t="shared" si="11"/>
        <v>4800</v>
      </c>
      <c r="I485" s="10" t="s">
        <v>10</v>
      </c>
      <c r="J485" s="13">
        <v>46126</v>
      </c>
      <c r="K485" t="s">
        <v>467</v>
      </c>
    </row>
    <row r="486" spans="1:11">
      <c r="A486" t="s">
        <v>319</v>
      </c>
      <c r="B486" s="8">
        <v>252605003</v>
      </c>
      <c r="C486" s="9">
        <v>46107</v>
      </c>
      <c r="D486" s="8" t="s">
        <v>31</v>
      </c>
      <c r="E486" s="10">
        <v>200000</v>
      </c>
      <c r="F486" s="8">
        <v>0.024</v>
      </c>
      <c r="G486" s="11">
        <v>46147</v>
      </c>
      <c r="H486" s="12">
        <f t="shared" si="11"/>
        <v>4800</v>
      </c>
      <c r="I486" s="10" t="s">
        <v>10</v>
      </c>
      <c r="J486" s="13">
        <v>46126</v>
      </c>
      <c r="K486" t="s">
        <v>467</v>
      </c>
    </row>
    <row r="487" spans="1:11">
      <c r="A487" t="s">
        <v>319</v>
      </c>
      <c r="B487" s="8">
        <v>252605003</v>
      </c>
      <c r="C487" s="9">
        <v>46107</v>
      </c>
      <c r="D487" s="8" t="s">
        <v>32</v>
      </c>
      <c r="E487" s="10">
        <v>50000</v>
      </c>
      <c r="F487" s="8">
        <v>0.014</v>
      </c>
      <c r="G487" s="11">
        <v>46147</v>
      </c>
      <c r="H487" s="12">
        <f t="shared" si="11"/>
        <v>700</v>
      </c>
      <c r="I487" s="10" t="s">
        <v>10</v>
      </c>
      <c r="J487" s="13">
        <v>46126</v>
      </c>
      <c r="K487" t="s">
        <v>467</v>
      </c>
    </row>
    <row r="488" spans="1:11">
      <c r="A488" t="s">
        <v>319</v>
      </c>
      <c r="B488" s="8">
        <v>252605003</v>
      </c>
      <c r="C488" s="9">
        <v>46107</v>
      </c>
      <c r="D488" s="8" t="s">
        <v>626</v>
      </c>
      <c r="E488" s="10">
        <v>120000</v>
      </c>
      <c r="F488" s="8">
        <v>0.0224</v>
      </c>
      <c r="G488" s="11">
        <v>46147</v>
      </c>
      <c r="H488" s="12">
        <f t="shared" si="11"/>
        <v>2688</v>
      </c>
      <c r="I488" s="10" t="s">
        <v>10</v>
      </c>
      <c r="J488" s="13">
        <v>46126</v>
      </c>
      <c r="K488" t="s">
        <v>467</v>
      </c>
    </row>
    <row r="489" spans="1:11">
      <c r="A489" t="s">
        <v>319</v>
      </c>
      <c r="B489" s="8">
        <v>252605003</v>
      </c>
      <c r="C489" s="9">
        <v>46107</v>
      </c>
      <c r="D489" s="8" t="s">
        <v>78</v>
      </c>
      <c r="E489" s="10">
        <v>200000</v>
      </c>
      <c r="F489" s="8">
        <v>0.016</v>
      </c>
      <c r="G489" s="11">
        <v>46117</v>
      </c>
      <c r="H489" s="12">
        <f t="shared" si="11"/>
        <v>3200</v>
      </c>
      <c r="I489" s="10" t="s">
        <v>10</v>
      </c>
      <c r="J489" s="13">
        <v>46126</v>
      </c>
      <c r="K489" t="s">
        <v>467</v>
      </c>
    </row>
    <row r="490" spans="1:11">
      <c r="A490" t="s">
        <v>319</v>
      </c>
      <c r="B490" s="8">
        <v>252605003</v>
      </c>
      <c r="C490" s="9">
        <v>46107</v>
      </c>
      <c r="D490" s="8" t="s">
        <v>78</v>
      </c>
      <c r="E490" s="10">
        <v>200000</v>
      </c>
      <c r="F490" s="8">
        <v>0.016</v>
      </c>
      <c r="G490" s="11">
        <v>46147</v>
      </c>
      <c r="H490" s="12">
        <f t="shared" si="11"/>
        <v>3200</v>
      </c>
      <c r="I490" s="10" t="s">
        <v>10</v>
      </c>
      <c r="J490" s="13">
        <v>46126</v>
      </c>
      <c r="K490" t="s">
        <v>467</v>
      </c>
    </row>
    <row r="491" spans="1:11">
      <c r="A491" t="s">
        <v>319</v>
      </c>
      <c r="B491" s="8">
        <v>252605003</v>
      </c>
      <c r="C491" s="9">
        <v>46107</v>
      </c>
      <c r="D491" s="8" t="s">
        <v>468</v>
      </c>
      <c r="E491" s="10">
        <v>50000</v>
      </c>
      <c r="F491" s="8">
        <v>0.028</v>
      </c>
      <c r="G491" s="11">
        <v>46147</v>
      </c>
      <c r="H491" s="12">
        <f t="shared" si="11"/>
        <v>1400</v>
      </c>
      <c r="I491" s="10" t="s">
        <v>10</v>
      </c>
      <c r="J491" s="13">
        <v>46126</v>
      </c>
      <c r="K491" t="s">
        <v>467</v>
      </c>
    </row>
    <row r="492" spans="1:11">
      <c r="A492" t="s">
        <v>319</v>
      </c>
      <c r="B492" s="8">
        <v>252605003</v>
      </c>
      <c r="C492" s="9">
        <v>46107</v>
      </c>
      <c r="D492" s="8" t="s">
        <v>181</v>
      </c>
      <c r="E492" s="10">
        <v>110000</v>
      </c>
      <c r="F492" s="8">
        <v>0.0243</v>
      </c>
      <c r="G492" s="11">
        <v>46147</v>
      </c>
      <c r="H492" s="12">
        <f t="shared" si="11"/>
        <v>2673</v>
      </c>
      <c r="I492" s="10" t="s">
        <v>10</v>
      </c>
      <c r="J492" s="13">
        <v>46126</v>
      </c>
      <c r="K492" t="s">
        <v>467</v>
      </c>
    </row>
    <row r="493" spans="1:11">
      <c r="A493" t="s">
        <v>319</v>
      </c>
      <c r="B493" s="8">
        <v>252605003</v>
      </c>
      <c r="C493" s="9">
        <v>46107</v>
      </c>
      <c r="D493" s="8" t="s">
        <v>181</v>
      </c>
      <c r="E493" s="10">
        <v>110000</v>
      </c>
      <c r="F493" s="8">
        <v>0.0243</v>
      </c>
      <c r="G493" s="11">
        <v>46147</v>
      </c>
      <c r="H493" s="12">
        <f t="shared" si="11"/>
        <v>2673</v>
      </c>
      <c r="I493" s="10" t="s">
        <v>10</v>
      </c>
      <c r="J493" s="13">
        <v>46126</v>
      </c>
      <c r="K493" t="s">
        <v>467</v>
      </c>
    </row>
    <row r="494" spans="1:11">
      <c r="A494" t="s">
        <v>319</v>
      </c>
      <c r="B494" s="8">
        <v>252605004</v>
      </c>
      <c r="C494" s="9">
        <v>46107</v>
      </c>
      <c r="D494" s="8" t="s">
        <v>33</v>
      </c>
      <c r="E494" s="10">
        <v>100000</v>
      </c>
      <c r="F494" s="8">
        <v>0.018</v>
      </c>
      <c r="G494" s="11">
        <v>46178</v>
      </c>
      <c r="H494" s="12">
        <f t="shared" si="11"/>
        <v>1800</v>
      </c>
      <c r="I494" s="10" t="s">
        <v>10</v>
      </c>
      <c r="J494" s="13">
        <v>46162</v>
      </c>
      <c r="K494" t="s">
        <v>467</v>
      </c>
    </row>
    <row r="495" spans="1:11">
      <c r="A495" t="s">
        <v>319</v>
      </c>
      <c r="B495" s="8">
        <v>252605004</v>
      </c>
      <c r="C495" s="9">
        <v>46107</v>
      </c>
      <c r="D495" s="8" t="s">
        <v>33</v>
      </c>
      <c r="E495" s="10">
        <v>100000</v>
      </c>
      <c r="F495" s="8">
        <v>0.018</v>
      </c>
      <c r="G495" s="11">
        <v>46208</v>
      </c>
      <c r="H495" s="12">
        <f t="shared" si="11"/>
        <v>1800</v>
      </c>
      <c r="I495" s="10" t="s">
        <v>10</v>
      </c>
      <c r="J495" s="13">
        <v>46162</v>
      </c>
      <c r="K495" t="s">
        <v>467</v>
      </c>
    </row>
    <row r="496" spans="1:11">
      <c r="A496" t="s">
        <v>319</v>
      </c>
      <c r="B496" s="8">
        <v>252605004</v>
      </c>
      <c r="C496" s="9">
        <v>46107</v>
      </c>
      <c r="D496" s="8" t="s">
        <v>58</v>
      </c>
      <c r="E496" s="10">
        <v>100000</v>
      </c>
      <c r="F496" s="8">
        <v>0.014</v>
      </c>
      <c r="G496" s="11">
        <v>46178</v>
      </c>
      <c r="H496" s="12">
        <f t="shared" si="11"/>
        <v>1400</v>
      </c>
      <c r="I496" s="10" t="s">
        <v>10</v>
      </c>
      <c r="J496" s="13">
        <v>46162</v>
      </c>
      <c r="K496" t="s">
        <v>467</v>
      </c>
    </row>
    <row r="497" spans="1:11">
      <c r="A497" t="s">
        <v>319</v>
      </c>
      <c r="B497" s="8">
        <v>252605004</v>
      </c>
      <c r="C497" s="9">
        <v>46107</v>
      </c>
      <c r="D497" s="8" t="s">
        <v>58</v>
      </c>
      <c r="E497" s="10">
        <v>100000</v>
      </c>
      <c r="F497" s="8">
        <v>0.014</v>
      </c>
      <c r="G497" s="11">
        <v>46208</v>
      </c>
      <c r="H497" s="12">
        <f t="shared" si="11"/>
        <v>1400</v>
      </c>
      <c r="I497" s="10" t="s">
        <v>10</v>
      </c>
      <c r="J497" s="13">
        <v>46162</v>
      </c>
      <c r="K497" t="s">
        <v>467</v>
      </c>
    </row>
    <row r="498" spans="1:11">
      <c r="A498" t="s">
        <v>319</v>
      </c>
      <c r="B498" s="8">
        <v>252605004</v>
      </c>
      <c r="C498" s="9">
        <v>46107</v>
      </c>
      <c r="D498" s="8" t="s">
        <v>315</v>
      </c>
      <c r="E498" s="10">
        <v>20000</v>
      </c>
      <c r="F498" s="8">
        <v>0.0522</v>
      </c>
      <c r="G498" s="11">
        <v>46178</v>
      </c>
      <c r="H498" s="12">
        <f t="shared" si="11"/>
        <v>1044</v>
      </c>
      <c r="I498" s="10" t="s">
        <v>10</v>
      </c>
      <c r="J498" s="13">
        <v>46162</v>
      </c>
      <c r="K498" t="s">
        <v>467</v>
      </c>
    </row>
    <row r="499" spans="1:11">
      <c r="A499" t="s">
        <v>319</v>
      </c>
      <c r="B499" s="8">
        <v>252605004</v>
      </c>
      <c r="C499" s="9">
        <v>46107</v>
      </c>
      <c r="D499" s="8" t="s">
        <v>31</v>
      </c>
      <c r="E499" s="10">
        <v>200000</v>
      </c>
      <c r="F499" s="8">
        <v>0.024</v>
      </c>
      <c r="G499" s="11">
        <v>46178</v>
      </c>
      <c r="H499" s="12">
        <f t="shared" si="11"/>
        <v>4800</v>
      </c>
      <c r="I499" s="10" t="s">
        <v>10</v>
      </c>
      <c r="J499" s="13">
        <v>46162</v>
      </c>
      <c r="K499" t="s">
        <v>467</v>
      </c>
    </row>
    <row r="500" spans="1:11">
      <c r="A500" t="s">
        <v>319</v>
      </c>
      <c r="B500" s="8">
        <v>252605004</v>
      </c>
      <c r="C500" s="9">
        <v>46107</v>
      </c>
      <c r="D500" s="8" t="s">
        <v>31</v>
      </c>
      <c r="E500" s="10">
        <v>200000</v>
      </c>
      <c r="F500" s="8">
        <v>0.024</v>
      </c>
      <c r="G500" s="11">
        <v>46178</v>
      </c>
      <c r="H500" s="12">
        <f t="shared" si="11"/>
        <v>4800</v>
      </c>
      <c r="I500" s="10" t="s">
        <v>10</v>
      </c>
      <c r="J500" s="13">
        <v>46162</v>
      </c>
      <c r="K500" t="s">
        <v>467</v>
      </c>
    </row>
    <row r="501" spans="1:11">
      <c r="A501" t="s">
        <v>319</v>
      </c>
      <c r="B501" s="8">
        <v>252605004</v>
      </c>
      <c r="C501" s="9">
        <v>46107</v>
      </c>
      <c r="D501" s="8" t="s">
        <v>31</v>
      </c>
      <c r="E501" s="10">
        <v>200000</v>
      </c>
      <c r="F501" s="8">
        <v>0.024</v>
      </c>
      <c r="G501" s="11">
        <v>46178</v>
      </c>
      <c r="H501" s="12">
        <f t="shared" si="11"/>
        <v>4800</v>
      </c>
      <c r="I501" s="10" t="s">
        <v>10</v>
      </c>
      <c r="J501" s="13">
        <v>46162</v>
      </c>
      <c r="K501" t="s">
        <v>467</v>
      </c>
    </row>
    <row r="502" spans="1:11">
      <c r="A502" t="s">
        <v>319</v>
      </c>
      <c r="B502" s="8">
        <v>252605004</v>
      </c>
      <c r="C502" s="9">
        <v>46107</v>
      </c>
      <c r="D502" s="8" t="s">
        <v>31</v>
      </c>
      <c r="E502" s="10">
        <v>200000</v>
      </c>
      <c r="F502" s="8">
        <v>0.024</v>
      </c>
      <c r="G502" s="11">
        <v>46208</v>
      </c>
      <c r="H502" s="12">
        <f t="shared" si="11"/>
        <v>4800</v>
      </c>
      <c r="I502" s="10" t="s">
        <v>10</v>
      </c>
      <c r="J502" s="13">
        <v>46162</v>
      </c>
      <c r="K502" t="s">
        <v>467</v>
      </c>
    </row>
    <row r="503" spans="1:11">
      <c r="A503" t="s">
        <v>319</v>
      </c>
      <c r="B503" s="8">
        <v>252605004</v>
      </c>
      <c r="C503" s="9">
        <v>46107</v>
      </c>
      <c r="D503" s="8" t="s">
        <v>31</v>
      </c>
      <c r="E503" s="10">
        <v>200000</v>
      </c>
      <c r="F503" s="8">
        <v>0.024</v>
      </c>
      <c r="G503" s="11">
        <v>46208</v>
      </c>
      <c r="H503" s="12">
        <f t="shared" ref="H503:H566" si="12">E503*F503</f>
        <v>4800</v>
      </c>
      <c r="I503" s="10" t="s">
        <v>10</v>
      </c>
      <c r="J503" s="13">
        <v>46162</v>
      </c>
      <c r="K503" t="s">
        <v>467</v>
      </c>
    </row>
    <row r="504" spans="1:11">
      <c r="A504" t="s">
        <v>319</v>
      </c>
      <c r="B504" s="8">
        <v>252605004</v>
      </c>
      <c r="C504" s="9">
        <v>46107</v>
      </c>
      <c r="D504" s="8" t="s">
        <v>31</v>
      </c>
      <c r="E504" s="10">
        <v>200000</v>
      </c>
      <c r="F504" s="8">
        <v>0.024</v>
      </c>
      <c r="G504" s="11">
        <v>46208</v>
      </c>
      <c r="H504" s="12">
        <f t="shared" si="12"/>
        <v>4800</v>
      </c>
      <c r="I504" s="10" t="s">
        <v>10</v>
      </c>
      <c r="J504" s="13">
        <v>46162</v>
      </c>
      <c r="K504" t="s">
        <v>467</v>
      </c>
    </row>
    <row r="505" spans="1:11">
      <c r="A505" t="s">
        <v>319</v>
      </c>
      <c r="B505" s="8">
        <v>252605004</v>
      </c>
      <c r="C505" s="9">
        <v>46107</v>
      </c>
      <c r="D505" s="8" t="s">
        <v>32</v>
      </c>
      <c r="E505" s="10">
        <v>50000</v>
      </c>
      <c r="F505" s="8">
        <v>0.014</v>
      </c>
      <c r="G505" s="11">
        <v>46178</v>
      </c>
      <c r="H505" s="12">
        <f t="shared" si="12"/>
        <v>700</v>
      </c>
      <c r="I505" s="10" t="s">
        <v>10</v>
      </c>
      <c r="J505" s="13">
        <v>46162</v>
      </c>
      <c r="K505" t="s">
        <v>467</v>
      </c>
    </row>
    <row r="506" spans="1:11">
      <c r="A506" t="s">
        <v>319</v>
      </c>
      <c r="B506" s="8">
        <v>252605004</v>
      </c>
      <c r="C506" s="9">
        <v>46107</v>
      </c>
      <c r="D506" s="8" t="s">
        <v>32</v>
      </c>
      <c r="E506" s="10">
        <v>50000</v>
      </c>
      <c r="F506" s="8">
        <v>0.014</v>
      </c>
      <c r="G506" s="11">
        <v>46208</v>
      </c>
      <c r="H506" s="12">
        <f t="shared" si="12"/>
        <v>700</v>
      </c>
      <c r="I506" s="10" t="s">
        <v>10</v>
      </c>
      <c r="J506" s="13">
        <v>46162</v>
      </c>
      <c r="K506" t="s">
        <v>467</v>
      </c>
    </row>
    <row r="507" spans="1:11">
      <c r="A507" t="s">
        <v>319</v>
      </c>
      <c r="B507" s="8">
        <v>252605004</v>
      </c>
      <c r="C507" s="9">
        <v>46107</v>
      </c>
      <c r="D507" s="8" t="s">
        <v>626</v>
      </c>
      <c r="E507" s="10">
        <v>120000</v>
      </c>
      <c r="F507" s="8">
        <v>0.0224</v>
      </c>
      <c r="G507" s="11">
        <v>46178</v>
      </c>
      <c r="H507" s="12">
        <f t="shared" si="12"/>
        <v>2688</v>
      </c>
      <c r="I507" s="10" t="s">
        <v>10</v>
      </c>
      <c r="J507" s="13">
        <v>46162</v>
      </c>
      <c r="K507" t="s">
        <v>467</v>
      </c>
    </row>
    <row r="508" spans="1:11">
      <c r="A508" t="s">
        <v>319</v>
      </c>
      <c r="B508" s="8">
        <v>252605004</v>
      </c>
      <c r="C508" s="9">
        <v>46107</v>
      </c>
      <c r="D508" s="8" t="s">
        <v>626</v>
      </c>
      <c r="E508" s="10">
        <v>120000</v>
      </c>
      <c r="F508" s="8">
        <v>0.0224</v>
      </c>
      <c r="G508" s="11">
        <v>46208</v>
      </c>
      <c r="H508" s="12">
        <f t="shared" si="12"/>
        <v>2688</v>
      </c>
      <c r="I508" s="10" t="s">
        <v>10</v>
      </c>
      <c r="J508" s="13">
        <v>46162</v>
      </c>
      <c r="K508" t="s">
        <v>467</v>
      </c>
    </row>
    <row r="509" spans="1:11">
      <c r="A509" t="s">
        <v>319</v>
      </c>
      <c r="B509" s="8">
        <v>252605004</v>
      </c>
      <c r="C509" s="9">
        <v>46107</v>
      </c>
      <c r="D509" s="8" t="s">
        <v>78</v>
      </c>
      <c r="E509" s="10">
        <v>200000</v>
      </c>
      <c r="F509" s="8">
        <v>0.016</v>
      </c>
      <c r="G509" s="11">
        <v>46178</v>
      </c>
      <c r="H509" s="12">
        <f t="shared" si="12"/>
        <v>3200</v>
      </c>
      <c r="I509" s="10" t="s">
        <v>10</v>
      </c>
      <c r="J509" s="13">
        <v>46162</v>
      </c>
      <c r="K509" t="s">
        <v>467</v>
      </c>
    </row>
    <row r="510" spans="1:11">
      <c r="A510" t="s">
        <v>319</v>
      </c>
      <c r="B510" s="8">
        <v>252605004</v>
      </c>
      <c r="C510" s="9">
        <v>46107</v>
      </c>
      <c r="D510" s="8" t="s">
        <v>78</v>
      </c>
      <c r="E510" s="10">
        <v>200000</v>
      </c>
      <c r="F510" s="8">
        <v>0.016</v>
      </c>
      <c r="G510" s="11">
        <v>46208</v>
      </c>
      <c r="H510" s="12">
        <f t="shared" si="12"/>
        <v>3200</v>
      </c>
      <c r="I510" s="10" t="s">
        <v>10</v>
      </c>
      <c r="J510" s="13">
        <v>46162</v>
      </c>
      <c r="K510" t="s">
        <v>467</v>
      </c>
    </row>
    <row r="511" spans="1:11">
      <c r="A511" t="s">
        <v>319</v>
      </c>
      <c r="B511" s="8">
        <v>252605004</v>
      </c>
      <c r="C511" s="9">
        <v>46107</v>
      </c>
      <c r="D511" s="8" t="s">
        <v>468</v>
      </c>
      <c r="E511" s="10">
        <v>50000</v>
      </c>
      <c r="F511" s="8">
        <v>0.028</v>
      </c>
      <c r="G511" s="11">
        <v>46178</v>
      </c>
      <c r="H511" s="12">
        <f t="shared" si="12"/>
        <v>1400</v>
      </c>
      <c r="I511" s="10" t="s">
        <v>10</v>
      </c>
      <c r="J511" s="13">
        <v>46162</v>
      </c>
      <c r="K511" t="s">
        <v>467</v>
      </c>
    </row>
    <row r="512" spans="1:11">
      <c r="A512" t="s">
        <v>319</v>
      </c>
      <c r="B512" s="8">
        <v>252605004</v>
      </c>
      <c r="C512" s="9">
        <v>46107</v>
      </c>
      <c r="D512" s="8" t="s">
        <v>468</v>
      </c>
      <c r="E512" s="10">
        <v>50000</v>
      </c>
      <c r="F512" s="8">
        <v>0.028</v>
      </c>
      <c r="G512" s="11">
        <v>46208</v>
      </c>
      <c r="H512" s="12">
        <f t="shared" si="12"/>
        <v>1400</v>
      </c>
      <c r="I512" s="10" t="s">
        <v>10</v>
      </c>
      <c r="J512" s="13">
        <v>46162</v>
      </c>
      <c r="K512" t="s">
        <v>467</v>
      </c>
    </row>
    <row r="513" spans="1:11">
      <c r="A513" t="s">
        <v>319</v>
      </c>
      <c r="B513" s="8">
        <v>252605005</v>
      </c>
      <c r="C513" s="9">
        <v>46108</v>
      </c>
      <c r="D513" s="8" t="s">
        <v>181</v>
      </c>
      <c r="E513" s="10">
        <v>110000</v>
      </c>
      <c r="F513" s="8">
        <v>0.0243</v>
      </c>
      <c r="G513" s="11">
        <v>46178</v>
      </c>
      <c r="H513" s="12">
        <f t="shared" si="12"/>
        <v>2673</v>
      </c>
      <c r="I513" s="10" t="s">
        <v>10</v>
      </c>
      <c r="J513" s="13">
        <v>46162</v>
      </c>
      <c r="K513" t="s">
        <v>467</v>
      </c>
    </row>
    <row r="514" spans="1:11">
      <c r="A514" t="s">
        <v>319</v>
      </c>
      <c r="B514" s="8">
        <v>252605005</v>
      </c>
      <c r="C514" s="9">
        <v>46108</v>
      </c>
      <c r="D514" s="8" t="s">
        <v>181</v>
      </c>
      <c r="E514" s="10">
        <v>110000</v>
      </c>
      <c r="F514" s="8">
        <v>0.0243</v>
      </c>
      <c r="G514" s="11">
        <v>46178</v>
      </c>
      <c r="H514" s="12">
        <f t="shared" si="12"/>
        <v>2673</v>
      </c>
      <c r="I514" s="10" t="s">
        <v>10</v>
      </c>
      <c r="J514" s="13">
        <v>46162</v>
      </c>
      <c r="K514" t="s">
        <v>467</v>
      </c>
    </row>
    <row r="515" spans="1:11">
      <c r="A515" t="s">
        <v>319</v>
      </c>
      <c r="B515" s="8">
        <v>252605005</v>
      </c>
      <c r="C515" s="9">
        <v>46108</v>
      </c>
      <c r="D515" s="8" t="s">
        <v>181</v>
      </c>
      <c r="E515" s="10">
        <v>110000</v>
      </c>
      <c r="F515" s="8">
        <v>0.0243</v>
      </c>
      <c r="G515" s="11">
        <v>46208</v>
      </c>
      <c r="H515" s="12">
        <f t="shared" si="12"/>
        <v>2673</v>
      </c>
      <c r="I515" s="10" t="s">
        <v>10</v>
      </c>
      <c r="J515" s="13">
        <v>46162</v>
      </c>
      <c r="K515" t="s">
        <v>467</v>
      </c>
    </row>
    <row r="516" spans="1:11">
      <c r="A516" t="s">
        <v>319</v>
      </c>
      <c r="B516" s="8">
        <v>252605005</v>
      </c>
      <c r="C516" s="9">
        <v>46108</v>
      </c>
      <c r="D516" s="8" t="s">
        <v>181</v>
      </c>
      <c r="E516" s="10">
        <v>110000</v>
      </c>
      <c r="F516" s="8">
        <v>0.0243</v>
      </c>
      <c r="G516" s="11">
        <v>46208</v>
      </c>
      <c r="H516" s="12">
        <f t="shared" si="12"/>
        <v>2673</v>
      </c>
      <c r="I516" s="10" t="s">
        <v>10</v>
      </c>
      <c r="J516" s="13">
        <v>46162</v>
      </c>
      <c r="K516" t="s">
        <v>467</v>
      </c>
    </row>
    <row r="517" spans="1:11">
      <c r="A517" t="s">
        <v>319</v>
      </c>
      <c r="B517" s="8">
        <v>252605005</v>
      </c>
      <c r="C517" s="9">
        <v>46108</v>
      </c>
      <c r="D517" s="8" t="s">
        <v>29</v>
      </c>
      <c r="E517" s="10">
        <v>50000</v>
      </c>
      <c r="F517" s="8">
        <v>0.0216</v>
      </c>
      <c r="G517" s="11">
        <v>46178</v>
      </c>
      <c r="H517" s="12">
        <f t="shared" si="12"/>
        <v>1080</v>
      </c>
      <c r="I517" s="10" t="s">
        <v>10</v>
      </c>
      <c r="J517" s="13">
        <v>46162</v>
      </c>
      <c r="K517" t="s">
        <v>467</v>
      </c>
    </row>
    <row r="518" spans="1:11">
      <c r="A518" s="19" t="s">
        <v>319</v>
      </c>
      <c r="B518" s="14">
        <v>252605008</v>
      </c>
      <c r="C518" s="13">
        <v>46108</v>
      </c>
      <c r="D518" s="14" t="s">
        <v>33</v>
      </c>
      <c r="E518" s="15">
        <v>100000</v>
      </c>
      <c r="F518" s="14">
        <v>0.018</v>
      </c>
      <c r="G518" s="18">
        <v>46239</v>
      </c>
      <c r="H518" s="17">
        <f t="shared" si="12"/>
        <v>1800</v>
      </c>
      <c r="I518" s="15" t="s">
        <v>317</v>
      </c>
      <c r="J518" s="15" t="s">
        <v>666</v>
      </c>
      <c r="K518" t="s">
        <v>467</v>
      </c>
    </row>
    <row r="519" spans="1:11">
      <c r="A519" s="19" t="s">
        <v>319</v>
      </c>
      <c r="B519" s="14">
        <v>252605008</v>
      </c>
      <c r="C519" s="13">
        <v>46108</v>
      </c>
      <c r="D519" s="14" t="s">
        <v>33</v>
      </c>
      <c r="E519" s="15">
        <v>100000</v>
      </c>
      <c r="F519" s="14">
        <v>0.018</v>
      </c>
      <c r="G519" s="18">
        <v>46270</v>
      </c>
      <c r="H519" s="17">
        <f t="shared" si="12"/>
        <v>1800</v>
      </c>
      <c r="I519" s="15" t="s">
        <v>317</v>
      </c>
      <c r="J519" s="15" t="s">
        <v>666</v>
      </c>
      <c r="K519" t="s">
        <v>467</v>
      </c>
    </row>
    <row r="520" spans="1:11">
      <c r="A520" s="19" t="s">
        <v>319</v>
      </c>
      <c r="B520" s="14">
        <v>252605008</v>
      </c>
      <c r="C520" s="13">
        <v>46108</v>
      </c>
      <c r="D520" s="14" t="s">
        <v>58</v>
      </c>
      <c r="E520" s="15">
        <v>100000</v>
      </c>
      <c r="F520" s="14">
        <v>0.014</v>
      </c>
      <c r="G520" s="18">
        <v>46239</v>
      </c>
      <c r="H520" s="17">
        <f t="shared" si="12"/>
        <v>1400</v>
      </c>
      <c r="I520" s="15" t="s">
        <v>317</v>
      </c>
      <c r="J520" s="15" t="s">
        <v>666</v>
      </c>
      <c r="K520" t="s">
        <v>467</v>
      </c>
    </row>
    <row r="521" spans="1:11">
      <c r="A521" s="19" t="s">
        <v>319</v>
      </c>
      <c r="B521" s="14">
        <v>252605008</v>
      </c>
      <c r="C521" s="13">
        <v>46108</v>
      </c>
      <c r="D521" s="14" t="s">
        <v>58</v>
      </c>
      <c r="E521" s="15">
        <v>100000</v>
      </c>
      <c r="F521" s="14">
        <v>0.014</v>
      </c>
      <c r="G521" s="18">
        <v>46270</v>
      </c>
      <c r="H521" s="17">
        <f t="shared" si="12"/>
        <v>1400</v>
      </c>
      <c r="I521" s="15" t="s">
        <v>317</v>
      </c>
      <c r="J521" s="15" t="s">
        <v>666</v>
      </c>
      <c r="K521" t="s">
        <v>467</v>
      </c>
    </row>
    <row r="522" spans="1:11">
      <c r="A522" s="19" t="s">
        <v>319</v>
      </c>
      <c r="B522" s="14">
        <v>252605008</v>
      </c>
      <c r="C522" s="13">
        <v>46108</v>
      </c>
      <c r="D522" s="14" t="s">
        <v>315</v>
      </c>
      <c r="E522" s="15">
        <v>20000</v>
      </c>
      <c r="F522" s="14">
        <v>0.0522</v>
      </c>
      <c r="G522" s="18">
        <v>46270</v>
      </c>
      <c r="H522" s="17">
        <f t="shared" si="12"/>
        <v>1044</v>
      </c>
      <c r="I522" s="15" t="s">
        <v>317</v>
      </c>
      <c r="J522" s="15" t="s">
        <v>666</v>
      </c>
      <c r="K522" t="s">
        <v>467</v>
      </c>
    </row>
    <row r="523" spans="1:11">
      <c r="A523" s="19" t="s">
        <v>319</v>
      </c>
      <c r="B523" s="14">
        <v>252605008</v>
      </c>
      <c r="C523" s="13">
        <v>46108</v>
      </c>
      <c r="D523" s="14" t="s">
        <v>31</v>
      </c>
      <c r="E523" s="15">
        <v>200000</v>
      </c>
      <c r="F523" s="14">
        <v>0.024</v>
      </c>
      <c r="G523" s="18">
        <v>46239</v>
      </c>
      <c r="H523" s="17">
        <f t="shared" si="12"/>
        <v>4800</v>
      </c>
      <c r="I523" s="15" t="s">
        <v>317</v>
      </c>
      <c r="J523" s="15" t="s">
        <v>666</v>
      </c>
      <c r="K523" t="s">
        <v>467</v>
      </c>
    </row>
    <row r="524" spans="1:11">
      <c r="A524" s="19" t="s">
        <v>319</v>
      </c>
      <c r="B524" s="14">
        <v>252605008</v>
      </c>
      <c r="C524" s="13">
        <v>46108</v>
      </c>
      <c r="D524" s="14" t="s">
        <v>31</v>
      </c>
      <c r="E524" s="15">
        <v>200000</v>
      </c>
      <c r="F524" s="14">
        <v>0.024</v>
      </c>
      <c r="G524" s="18">
        <v>46239</v>
      </c>
      <c r="H524" s="17">
        <f t="shared" si="12"/>
        <v>4800</v>
      </c>
      <c r="I524" s="15" t="s">
        <v>317</v>
      </c>
      <c r="J524" s="15" t="s">
        <v>666</v>
      </c>
      <c r="K524" t="s">
        <v>467</v>
      </c>
    </row>
    <row r="525" spans="1:11">
      <c r="A525" s="19" t="s">
        <v>319</v>
      </c>
      <c r="B525" s="14">
        <v>252605008</v>
      </c>
      <c r="C525" s="13">
        <v>46108</v>
      </c>
      <c r="D525" s="14" t="s">
        <v>31</v>
      </c>
      <c r="E525" s="15">
        <v>200000</v>
      </c>
      <c r="F525" s="14">
        <v>0.024</v>
      </c>
      <c r="G525" s="18">
        <v>46239</v>
      </c>
      <c r="H525" s="17">
        <f t="shared" si="12"/>
        <v>4800</v>
      </c>
      <c r="I525" s="15" t="s">
        <v>317</v>
      </c>
      <c r="J525" s="15" t="s">
        <v>666</v>
      </c>
      <c r="K525" t="s">
        <v>467</v>
      </c>
    </row>
    <row r="526" spans="1:11">
      <c r="A526" s="19" t="s">
        <v>319</v>
      </c>
      <c r="B526" s="14">
        <v>252605008</v>
      </c>
      <c r="C526" s="13">
        <v>46108</v>
      </c>
      <c r="D526" s="14" t="s">
        <v>31</v>
      </c>
      <c r="E526" s="15">
        <v>200000</v>
      </c>
      <c r="F526" s="14">
        <v>0.024</v>
      </c>
      <c r="G526" s="18">
        <v>46270</v>
      </c>
      <c r="H526" s="17">
        <f t="shared" si="12"/>
        <v>4800</v>
      </c>
      <c r="I526" s="15" t="s">
        <v>317</v>
      </c>
      <c r="J526" s="15" t="s">
        <v>666</v>
      </c>
      <c r="K526" t="s">
        <v>467</v>
      </c>
    </row>
    <row r="527" spans="1:11">
      <c r="A527" s="19" t="s">
        <v>319</v>
      </c>
      <c r="B527" s="14">
        <v>252605008</v>
      </c>
      <c r="C527" s="13">
        <v>46108</v>
      </c>
      <c r="D527" s="14" t="s">
        <v>31</v>
      </c>
      <c r="E527" s="15">
        <v>200000</v>
      </c>
      <c r="F527" s="14">
        <v>0.024</v>
      </c>
      <c r="G527" s="18">
        <v>46270</v>
      </c>
      <c r="H527" s="17">
        <f t="shared" si="12"/>
        <v>4800</v>
      </c>
      <c r="I527" s="15" t="s">
        <v>317</v>
      </c>
      <c r="J527" s="15" t="s">
        <v>666</v>
      </c>
      <c r="K527" t="s">
        <v>467</v>
      </c>
    </row>
    <row r="528" spans="1:11">
      <c r="A528" s="19" t="s">
        <v>319</v>
      </c>
      <c r="B528" s="14">
        <v>252605008</v>
      </c>
      <c r="C528" s="13">
        <v>46108</v>
      </c>
      <c r="D528" s="14" t="s">
        <v>32</v>
      </c>
      <c r="E528" s="15">
        <v>50000</v>
      </c>
      <c r="F528" s="14">
        <v>0.014</v>
      </c>
      <c r="G528" s="18">
        <v>46239</v>
      </c>
      <c r="H528" s="17">
        <f t="shared" si="12"/>
        <v>700</v>
      </c>
      <c r="I528" s="15" t="s">
        <v>317</v>
      </c>
      <c r="J528" s="15" t="s">
        <v>666</v>
      </c>
      <c r="K528" t="s">
        <v>467</v>
      </c>
    </row>
    <row r="529" spans="1:11">
      <c r="A529" s="19" t="s">
        <v>319</v>
      </c>
      <c r="B529" s="14">
        <v>252605008</v>
      </c>
      <c r="C529" s="13">
        <v>46108</v>
      </c>
      <c r="D529" s="14" t="s">
        <v>32</v>
      </c>
      <c r="E529" s="15">
        <v>50000</v>
      </c>
      <c r="F529" s="14">
        <v>0.014</v>
      </c>
      <c r="G529" s="18">
        <v>46270</v>
      </c>
      <c r="H529" s="17">
        <f t="shared" si="12"/>
        <v>700</v>
      </c>
      <c r="I529" s="15" t="s">
        <v>317</v>
      </c>
      <c r="J529" s="15" t="s">
        <v>666</v>
      </c>
      <c r="K529" t="s">
        <v>467</v>
      </c>
    </row>
    <row r="530" spans="1:11">
      <c r="A530" s="19" t="s">
        <v>319</v>
      </c>
      <c r="B530" s="14">
        <v>252605008</v>
      </c>
      <c r="C530" s="13">
        <v>46108</v>
      </c>
      <c r="D530" s="14" t="s">
        <v>626</v>
      </c>
      <c r="E530" s="15">
        <v>120000</v>
      </c>
      <c r="F530" s="14">
        <v>0.0224</v>
      </c>
      <c r="G530" s="18">
        <v>46239</v>
      </c>
      <c r="H530" s="17">
        <f t="shared" si="12"/>
        <v>2688</v>
      </c>
      <c r="I530" s="15" t="s">
        <v>317</v>
      </c>
      <c r="J530" s="15" t="s">
        <v>666</v>
      </c>
      <c r="K530" t="s">
        <v>467</v>
      </c>
    </row>
    <row r="531" spans="1:11">
      <c r="A531" s="19" t="s">
        <v>319</v>
      </c>
      <c r="B531" s="14">
        <v>252605008</v>
      </c>
      <c r="C531" s="13">
        <v>46108</v>
      </c>
      <c r="D531" s="14" t="s">
        <v>626</v>
      </c>
      <c r="E531" s="15">
        <v>120000</v>
      </c>
      <c r="F531" s="14">
        <v>0.0224</v>
      </c>
      <c r="G531" s="18">
        <v>46270</v>
      </c>
      <c r="H531" s="17">
        <f t="shared" si="12"/>
        <v>2688</v>
      </c>
      <c r="I531" s="15" t="s">
        <v>317</v>
      </c>
      <c r="J531" s="15" t="s">
        <v>666</v>
      </c>
      <c r="K531" t="s">
        <v>467</v>
      </c>
    </row>
    <row r="532" spans="1:11">
      <c r="A532" s="19" t="s">
        <v>319</v>
      </c>
      <c r="B532" s="14">
        <v>252605008</v>
      </c>
      <c r="C532" s="13">
        <v>46108</v>
      </c>
      <c r="D532" s="14" t="s">
        <v>78</v>
      </c>
      <c r="E532" s="15">
        <v>200000</v>
      </c>
      <c r="F532" s="14">
        <v>0.016</v>
      </c>
      <c r="G532" s="18">
        <v>46239</v>
      </c>
      <c r="H532" s="17">
        <f t="shared" si="12"/>
        <v>3200</v>
      </c>
      <c r="I532" s="15" t="s">
        <v>317</v>
      </c>
      <c r="J532" s="15" t="s">
        <v>666</v>
      </c>
      <c r="K532" t="s">
        <v>467</v>
      </c>
    </row>
    <row r="533" spans="1:11">
      <c r="A533" s="19" t="s">
        <v>319</v>
      </c>
      <c r="B533" s="14">
        <v>252605008</v>
      </c>
      <c r="C533" s="13">
        <v>46108</v>
      </c>
      <c r="D533" s="14" t="s">
        <v>78</v>
      </c>
      <c r="E533" s="15">
        <v>100000</v>
      </c>
      <c r="F533" s="14">
        <v>0.016</v>
      </c>
      <c r="G533" s="18">
        <v>46270</v>
      </c>
      <c r="H533" s="17">
        <f t="shared" si="12"/>
        <v>1600</v>
      </c>
      <c r="I533" s="15" t="s">
        <v>317</v>
      </c>
      <c r="J533" s="15" t="s">
        <v>666</v>
      </c>
      <c r="K533" t="s">
        <v>467</v>
      </c>
    </row>
    <row r="534" spans="1:11">
      <c r="A534" s="19" t="s">
        <v>319</v>
      </c>
      <c r="B534" s="14">
        <v>252605008</v>
      </c>
      <c r="C534" s="13">
        <v>46108</v>
      </c>
      <c r="D534" s="14" t="s">
        <v>468</v>
      </c>
      <c r="E534" s="15">
        <v>50000</v>
      </c>
      <c r="F534" s="14">
        <v>0.028</v>
      </c>
      <c r="G534" s="18">
        <v>46239</v>
      </c>
      <c r="H534" s="17">
        <f t="shared" si="12"/>
        <v>1400</v>
      </c>
      <c r="I534" s="15" t="s">
        <v>317</v>
      </c>
      <c r="J534" s="15" t="s">
        <v>666</v>
      </c>
      <c r="K534" t="s">
        <v>467</v>
      </c>
    </row>
    <row r="535" spans="1:11">
      <c r="A535" s="19" t="s">
        <v>319</v>
      </c>
      <c r="B535" s="14">
        <v>252605008</v>
      </c>
      <c r="C535" s="13">
        <v>46108</v>
      </c>
      <c r="D535" s="14" t="s">
        <v>468</v>
      </c>
      <c r="E535" s="15">
        <v>50000</v>
      </c>
      <c r="F535" s="14">
        <v>0.028</v>
      </c>
      <c r="G535" s="18">
        <v>46270</v>
      </c>
      <c r="H535" s="17">
        <f t="shared" si="12"/>
        <v>1400</v>
      </c>
      <c r="I535" s="15" t="s">
        <v>317</v>
      </c>
      <c r="J535" s="15" t="s">
        <v>666</v>
      </c>
      <c r="K535" t="s">
        <v>467</v>
      </c>
    </row>
    <row r="536" spans="1:11">
      <c r="A536" t="s">
        <v>319</v>
      </c>
      <c r="B536" s="14">
        <v>252605009</v>
      </c>
      <c r="C536" s="13">
        <v>46108</v>
      </c>
      <c r="D536" s="14" t="s">
        <v>181</v>
      </c>
      <c r="E536" s="15">
        <v>110000</v>
      </c>
      <c r="F536" s="14">
        <v>0.0243</v>
      </c>
      <c r="G536" s="18">
        <v>46239</v>
      </c>
      <c r="H536" s="17">
        <f t="shared" si="12"/>
        <v>2673</v>
      </c>
      <c r="I536" s="15" t="s">
        <v>317</v>
      </c>
      <c r="J536" s="15" t="s">
        <v>666</v>
      </c>
      <c r="K536" t="s">
        <v>467</v>
      </c>
    </row>
    <row r="537" spans="1:11">
      <c r="A537" t="s">
        <v>319</v>
      </c>
      <c r="B537" s="14">
        <v>252605009</v>
      </c>
      <c r="C537" s="13">
        <v>46108</v>
      </c>
      <c r="D537" s="14" t="s">
        <v>181</v>
      </c>
      <c r="E537" s="15">
        <v>110000</v>
      </c>
      <c r="F537" s="14">
        <v>0.0243</v>
      </c>
      <c r="G537" s="18">
        <v>46239</v>
      </c>
      <c r="H537" s="17">
        <f t="shared" si="12"/>
        <v>2673</v>
      </c>
      <c r="I537" s="15" t="s">
        <v>317</v>
      </c>
      <c r="J537" s="15" t="s">
        <v>666</v>
      </c>
      <c r="K537" t="s">
        <v>467</v>
      </c>
    </row>
    <row r="538" spans="1:11">
      <c r="A538" t="s">
        <v>319</v>
      </c>
      <c r="B538" s="14">
        <v>252605009</v>
      </c>
      <c r="C538" s="13">
        <v>46108</v>
      </c>
      <c r="D538" s="14" t="s">
        <v>181</v>
      </c>
      <c r="E538" s="15">
        <v>110000</v>
      </c>
      <c r="F538" s="14">
        <v>0.0243</v>
      </c>
      <c r="G538" s="18">
        <v>46270</v>
      </c>
      <c r="H538" s="17">
        <f t="shared" si="12"/>
        <v>2673</v>
      </c>
      <c r="I538" s="15" t="s">
        <v>317</v>
      </c>
      <c r="J538" s="15" t="s">
        <v>666</v>
      </c>
      <c r="K538" t="s">
        <v>467</v>
      </c>
    </row>
    <row r="539" spans="1:11">
      <c r="A539" t="s">
        <v>319</v>
      </c>
      <c r="B539" s="14">
        <v>252605009</v>
      </c>
      <c r="C539" s="13">
        <v>46108</v>
      </c>
      <c r="D539" s="14" t="s">
        <v>181</v>
      </c>
      <c r="E539" s="15">
        <v>110000</v>
      </c>
      <c r="F539" s="14">
        <v>0.0243</v>
      </c>
      <c r="G539" s="18">
        <v>46270</v>
      </c>
      <c r="H539" s="17">
        <f t="shared" si="12"/>
        <v>2673</v>
      </c>
      <c r="I539" s="15" t="s">
        <v>317</v>
      </c>
      <c r="J539" s="15" t="s">
        <v>666</v>
      </c>
      <c r="K539" t="s">
        <v>467</v>
      </c>
    </row>
    <row r="540" spans="1:11">
      <c r="A540" t="s">
        <v>319</v>
      </c>
      <c r="B540" s="8">
        <v>252605020</v>
      </c>
      <c r="C540" s="9">
        <v>46108</v>
      </c>
      <c r="D540" s="8" t="s">
        <v>282</v>
      </c>
      <c r="E540" s="10">
        <v>200000</v>
      </c>
      <c r="F540" s="8">
        <v>0.0304</v>
      </c>
      <c r="G540" s="11">
        <v>46117</v>
      </c>
      <c r="H540" s="12">
        <f t="shared" si="12"/>
        <v>6080</v>
      </c>
      <c r="I540" s="10" t="s">
        <v>10</v>
      </c>
      <c r="J540" s="13">
        <v>46126</v>
      </c>
      <c r="K540" t="s">
        <v>628</v>
      </c>
    </row>
    <row r="541" spans="1:11">
      <c r="A541" t="s">
        <v>319</v>
      </c>
      <c r="B541" s="8">
        <v>252605020</v>
      </c>
      <c r="C541" s="9">
        <v>46108</v>
      </c>
      <c r="D541" s="8" t="s">
        <v>282</v>
      </c>
      <c r="E541" s="10">
        <v>200000</v>
      </c>
      <c r="F541" s="8">
        <v>0.0304</v>
      </c>
      <c r="G541" s="11">
        <v>46147</v>
      </c>
      <c r="H541" s="12">
        <f t="shared" si="12"/>
        <v>6080</v>
      </c>
      <c r="I541" s="10" t="s">
        <v>10</v>
      </c>
      <c r="J541" s="13">
        <v>46126</v>
      </c>
      <c r="K541" t="s">
        <v>628</v>
      </c>
    </row>
    <row r="542" spans="1:11">
      <c r="A542" t="s">
        <v>319</v>
      </c>
      <c r="B542" s="8">
        <v>252605020</v>
      </c>
      <c r="C542" s="9">
        <v>46108</v>
      </c>
      <c r="D542" s="8" t="s">
        <v>11</v>
      </c>
      <c r="E542" s="10">
        <v>150000</v>
      </c>
      <c r="F542" s="8">
        <v>0.032</v>
      </c>
      <c r="G542" s="11">
        <v>46147</v>
      </c>
      <c r="H542" s="12">
        <f t="shared" si="12"/>
        <v>4800</v>
      </c>
      <c r="I542" s="10" t="s">
        <v>10</v>
      </c>
      <c r="J542" s="13">
        <v>46126</v>
      </c>
      <c r="K542" t="s">
        <v>628</v>
      </c>
    </row>
    <row r="543" spans="1:11">
      <c r="A543" t="s">
        <v>319</v>
      </c>
      <c r="B543" s="8">
        <v>252605020</v>
      </c>
      <c r="C543" s="9">
        <v>46108</v>
      </c>
      <c r="D543" s="8" t="s">
        <v>33</v>
      </c>
      <c r="E543" s="10">
        <v>120000</v>
      </c>
      <c r="F543" s="8">
        <v>0.018</v>
      </c>
      <c r="G543" s="11">
        <v>46147</v>
      </c>
      <c r="H543" s="12">
        <f t="shared" si="12"/>
        <v>2160</v>
      </c>
      <c r="I543" s="10" t="s">
        <v>10</v>
      </c>
      <c r="J543" s="13">
        <v>46126</v>
      </c>
      <c r="K543" t="s">
        <v>628</v>
      </c>
    </row>
    <row r="544" spans="1:11">
      <c r="A544" t="s">
        <v>319</v>
      </c>
      <c r="B544" s="8">
        <v>252605021</v>
      </c>
      <c r="C544" s="9">
        <v>46108</v>
      </c>
      <c r="D544" s="8" t="s">
        <v>282</v>
      </c>
      <c r="E544" s="10">
        <v>200000</v>
      </c>
      <c r="F544" s="8">
        <v>0.0304</v>
      </c>
      <c r="G544" s="11">
        <v>46178</v>
      </c>
      <c r="H544" s="12">
        <f t="shared" si="12"/>
        <v>6080</v>
      </c>
      <c r="I544" s="10" t="s">
        <v>10</v>
      </c>
      <c r="J544" s="13">
        <v>46132</v>
      </c>
      <c r="K544" t="s">
        <v>628</v>
      </c>
    </row>
    <row r="545" spans="1:11">
      <c r="A545" t="s">
        <v>319</v>
      </c>
      <c r="B545" s="8">
        <v>252605021</v>
      </c>
      <c r="C545" s="9">
        <v>46108</v>
      </c>
      <c r="D545" s="8" t="s">
        <v>31</v>
      </c>
      <c r="E545" s="10">
        <v>120000</v>
      </c>
      <c r="F545" s="8">
        <v>0.024</v>
      </c>
      <c r="G545" s="11">
        <v>46208</v>
      </c>
      <c r="H545" s="12">
        <f t="shared" si="12"/>
        <v>2880</v>
      </c>
      <c r="I545" s="10" t="s">
        <v>10</v>
      </c>
      <c r="J545" s="13">
        <v>46132</v>
      </c>
      <c r="K545" t="s">
        <v>628</v>
      </c>
    </row>
    <row r="546" spans="1:11">
      <c r="A546" t="s">
        <v>319</v>
      </c>
      <c r="B546" s="8">
        <v>252605021</v>
      </c>
      <c r="C546" s="9">
        <v>46108</v>
      </c>
      <c r="D546" s="8" t="s">
        <v>78</v>
      </c>
      <c r="E546" s="10">
        <v>120000</v>
      </c>
      <c r="F546" s="8">
        <v>0.016</v>
      </c>
      <c r="G546" s="11">
        <v>46178</v>
      </c>
      <c r="H546" s="12">
        <f t="shared" si="12"/>
        <v>1920</v>
      </c>
      <c r="I546" s="10" t="s">
        <v>10</v>
      </c>
      <c r="J546" s="13">
        <v>46132</v>
      </c>
      <c r="K546" t="s">
        <v>628</v>
      </c>
    </row>
    <row r="547" spans="1:11">
      <c r="A547" t="s">
        <v>319</v>
      </c>
      <c r="B547" s="8">
        <v>252605021</v>
      </c>
      <c r="C547" s="9">
        <v>46108</v>
      </c>
      <c r="D547" s="8" t="s">
        <v>78</v>
      </c>
      <c r="E547" s="10">
        <v>120000</v>
      </c>
      <c r="F547" s="8">
        <v>0.016</v>
      </c>
      <c r="G547" s="11">
        <v>46208</v>
      </c>
      <c r="H547" s="12">
        <f t="shared" si="12"/>
        <v>1920</v>
      </c>
      <c r="I547" s="10" t="s">
        <v>10</v>
      </c>
      <c r="J547" s="13">
        <v>46132</v>
      </c>
      <c r="K547" t="s">
        <v>628</v>
      </c>
    </row>
    <row r="548" spans="1:11">
      <c r="A548" t="s">
        <v>319</v>
      </c>
      <c r="B548" s="8">
        <v>252605021</v>
      </c>
      <c r="C548" s="9">
        <v>46108</v>
      </c>
      <c r="D548" s="8" t="s">
        <v>11</v>
      </c>
      <c r="E548" s="10">
        <v>150000</v>
      </c>
      <c r="F548" s="8">
        <v>0.032</v>
      </c>
      <c r="G548" s="11">
        <v>46178</v>
      </c>
      <c r="H548" s="12">
        <f t="shared" si="12"/>
        <v>4800</v>
      </c>
      <c r="I548" s="10" t="s">
        <v>10</v>
      </c>
      <c r="J548" s="13">
        <v>46132</v>
      </c>
      <c r="K548" t="s">
        <v>628</v>
      </c>
    </row>
    <row r="549" spans="1:11">
      <c r="A549" t="s">
        <v>319</v>
      </c>
      <c r="B549" s="8">
        <v>252605021</v>
      </c>
      <c r="C549" s="9">
        <v>46108</v>
      </c>
      <c r="D549" s="8" t="s">
        <v>11</v>
      </c>
      <c r="E549" s="10">
        <v>150000</v>
      </c>
      <c r="F549" s="8">
        <v>0.032</v>
      </c>
      <c r="G549" s="11">
        <v>46208</v>
      </c>
      <c r="H549" s="12">
        <f t="shared" si="12"/>
        <v>4800</v>
      </c>
      <c r="I549" s="10" t="s">
        <v>10</v>
      </c>
      <c r="J549" s="13">
        <v>46132</v>
      </c>
      <c r="K549" t="s">
        <v>628</v>
      </c>
    </row>
    <row r="550" spans="1:11">
      <c r="A550" t="s">
        <v>319</v>
      </c>
      <c r="B550" s="8">
        <v>252605021</v>
      </c>
      <c r="C550" s="9">
        <v>46108</v>
      </c>
      <c r="D550" s="8" t="s">
        <v>33</v>
      </c>
      <c r="E550" s="10">
        <v>120000</v>
      </c>
      <c r="F550" s="8">
        <v>0.018</v>
      </c>
      <c r="G550" s="11">
        <v>46178</v>
      </c>
      <c r="H550" s="12">
        <f t="shared" si="12"/>
        <v>2160</v>
      </c>
      <c r="I550" s="10" t="s">
        <v>10</v>
      </c>
      <c r="J550" s="13">
        <v>46132</v>
      </c>
      <c r="K550" t="s">
        <v>628</v>
      </c>
    </row>
    <row r="551" spans="1:11">
      <c r="A551" t="s">
        <v>319</v>
      </c>
      <c r="B551" s="8">
        <v>252605021</v>
      </c>
      <c r="C551" s="9">
        <v>46108</v>
      </c>
      <c r="D551" s="8" t="s">
        <v>33</v>
      </c>
      <c r="E551" s="10">
        <v>120000</v>
      </c>
      <c r="F551" s="8">
        <v>0.018</v>
      </c>
      <c r="G551" s="11">
        <v>46208</v>
      </c>
      <c r="H551" s="12">
        <f t="shared" si="12"/>
        <v>2160</v>
      </c>
      <c r="I551" s="10" t="s">
        <v>10</v>
      </c>
      <c r="J551" s="13">
        <v>46132</v>
      </c>
      <c r="K551" t="s">
        <v>628</v>
      </c>
    </row>
    <row r="552" ht="15" customHeight="1" spans="1:11">
      <c r="A552" t="s">
        <v>319</v>
      </c>
      <c r="B552" s="14">
        <v>252605022</v>
      </c>
      <c r="C552" s="13">
        <v>46108</v>
      </c>
      <c r="D552" s="14" t="s">
        <v>31</v>
      </c>
      <c r="E552" s="15">
        <v>120000</v>
      </c>
      <c r="F552" s="14">
        <v>0.024</v>
      </c>
      <c r="G552" s="18">
        <v>46239</v>
      </c>
      <c r="H552" s="17">
        <f t="shared" si="12"/>
        <v>2880</v>
      </c>
      <c r="I552" s="15" t="s">
        <v>317</v>
      </c>
      <c r="J552" s="15" t="s">
        <v>666</v>
      </c>
      <c r="K552" t="s">
        <v>628</v>
      </c>
    </row>
    <row r="553" spans="1:11">
      <c r="A553" t="s">
        <v>319</v>
      </c>
      <c r="B553" s="14">
        <v>252605022</v>
      </c>
      <c r="C553" s="13">
        <v>46108</v>
      </c>
      <c r="D553" s="14" t="s">
        <v>78</v>
      </c>
      <c r="E553" s="15">
        <v>120000</v>
      </c>
      <c r="F553" s="14">
        <v>0.016</v>
      </c>
      <c r="G553" s="18">
        <v>46239</v>
      </c>
      <c r="H553" s="17">
        <f t="shared" si="12"/>
        <v>1920</v>
      </c>
      <c r="I553" s="15" t="s">
        <v>317</v>
      </c>
      <c r="J553" s="15" t="s">
        <v>666</v>
      </c>
      <c r="K553" t="s">
        <v>628</v>
      </c>
    </row>
    <row r="554" spans="1:11">
      <c r="A554" t="s">
        <v>319</v>
      </c>
      <c r="B554" s="8">
        <v>252605023</v>
      </c>
      <c r="C554" s="9">
        <v>46108</v>
      </c>
      <c r="D554" s="8" t="s">
        <v>32</v>
      </c>
      <c r="E554" s="10">
        <v>120000</v>
      </c>
      <c r="F554" s="8">
        <v>0.014</v>
      </c>
      <c r="G554" s="11">
        <v>46178</v>
      </c>
      <c r="H554" s="12">
        <f t="shared" si="12"/>
        <v>1680</v>
      </c>
      <c r="I554" s="10" t="s">
        <v>10</v>
      </c>
      <c r="J554" s="13">
        <v>46157</v>
      </c>
      <c r="K554" t="s">
        <v>615</v>
      </c>
    </row>
    <row r="555" spans="1:11">
      <c r="A555" t="s">
        <v>319</v>
      </c>
      <c r="B555" s="8">
        <v>252605023</v>
      </c>
      <c r="C555" s="9">
        <v>46108</v>
      </c>
      <c r="D555" s="8" t="s">
        <v>388</v>
      </c>
      <c r="E555" s="10">
        <v>120000</v>
      </c>
      <c r="F555" s="8">
        <v>0.035</v>
      </c>
      <c r="G555" s="11">
        <v>46178</v>
      </c>
      <c r="H555" s="12">
        <f t="shared" si="12"/>
        <v>4200</v>
      </c>
      <c r="I555" s="10" t="s">
        <v>10</v>
      </c>
      <c r="J555" s="13">
        <v>46142</v>
      </c>
      <c r="K555" t="s">
        <v>615</v>
      </c>
    </row>
    <row r="556" spans="1:11">
      <c r="A556" t="s">
        <v>319</v>
      </c>
      <c r="B556" s="8">
        <v>252605023</v>
      </c>
      <c r="C556" s="9">
        <v>46108</v>
      </c>
      <c r="D556" s="8" t="s">
        <v>388</v>
      </c>
      <c r="E556" s="10">
        <v>120000</v>
      </c>
      <c r="F556" s="8">
        <v>0.035</v>
      </c>
      <c r="G556" s="11">
        <v>46178</v>
      </c>
      <c r="H556" s="12">
        <f t="shared" si="12"/>
        <v>4200</v>
      </c>
      <c r="I556" s="10" t="s">
        <v>10</v>
      </c>
      <c r="J556" s="13">
        <v>46142</v>
      </c>
      <c r="K556" t="s">
        <v>615</v>
      </c>
    </row>
    <row r="557" spans="1:11">
      <c r="A557" t="s">
        <v>319</v>
      </c>
      <c r="B557" s="8">
        <v>252605023</v>
      </c>
      <c r="C557" s="9">
        <v>46108</v>
      </c>
      <c r="D557" s="8" t="s">
        <v>25</v>
      </c>
      <c r="E557" s="10">
        <v>20000</v>
      </c>
      <c r="F557" s="8">
        <v>0.016</v>
      </c>
      <c r="G557" s="11">
        <v>46147</v>
      </c>
      <c r="H557" s="12">
        <f t="shared" si="12"/>
        <v>320</v>
      </c>
      <c r="I557" s="10" t="s">
        <v>10</v>
      </c>
      <c r="J557" s="13">
        <v>46142</v>
      </c>
      <c r="K557" t="s">
        <v>615</v>
      </c>
    </row>
    <row r="558" spans="1:11">
      <c r="A558" t="s">
        <v>319</v>
      </c>
      <c r="B558" s="8">
        <v>252605023</v>
      </c>
      <c r="C558" s="9">
        <v>46108</v>
      </c>
      <c r="D558" s="8" t="s">
        <v>106</v>
      </c>
      <c r="E558" s="10">
        <v>200000</v>
      </c>
      <c r="F558" s="8">
        <v>0.033</v>
      </c>
      <c r="G558" s="11">
        <v>46147</v>
      </c>
      <c r="H558" s="12">
        <f t="shared" si="12"/>
        <v>6600</v>
      </c>
      <c r="I558" s="10" t="s">
        <v>10</v>
      </c>
      <c r="J558" s="13">
        <v>46157</v>
      </c>
      <c r="K558" t="s">
        <v>615</v>
      </c>
    </row>
    <row r="559" spans="1:11">
      <c r="A559" t="s">
        <v>319</v>
      </c>
      <c r="B559" s="8">
        <v>252605023</v>
      </c>
      <c r="C559" s="9">
        <v>46108</v>
      </c>
      <c r="D559" s="8" t="s">
        <v>106</v>
      </c>
      <c r="E559" s="10">
        <v>100000</v>
      </c>
      <c r="F559" s="8">
        <v>0.033</v>
      </c>
      <c r="G559" s="11">
        <v>46147</v>
      </c>
      <c r="H559" s="12">
        <f t="shared" si="12"/>
        <v>3300</v>
      </c>
      <c r="I559" s="10" t="s">
        <v>10</v>
      </c>
      <c r="J559" s="13">
        <v>46157</v>
      </c>
      <c r="K559" t="s">
        <v>615</v>
      </c>
    </row>
    <row r="560" spans="1:11">
      <c r="A560" t="s">
        <v>319</v>
      </c>
      <c r="B560" s="8">
        <v>252605023</v>
      </c>
      <c r="C560" s="9">
        <v>46108</v>
      </c>
      <c r="D560" s="8" t="s">
        <v>106</v>
      </c>
      <c r="E560" s="10">
        <v>200000</v>
      </c>
      <c r="F560" s="8">
        <v>0.033</v>
      </c>
      <c r="G560" s="11">
        <v>46178</v>
      </c>
      <c r="H560" s="12">
        <f t="shared" si="12"/>
        <v>6600</v>
      </c>
      <c r="I560" s="10" t="s">
        <v>10</v>
      </c>
      <c r="J560" s="13">
        <v>46157</v>
      </c>
      <c r="K560" t="s">
        <v>615</v>
      </c>
    </row>
    <row r="561" spans="1:11">
      <c r="A561" t="s">
        <v>319</v>
      </c>
      <c r="B561" s="8">
        <v>252605024</v>
      </c>
      <c r="C561" s="9">
        <v>46108</v>
      </c>
      <c r="D561" s="8" t="s">
        <v>540</v>
      </c>
      <c r="E561" s="10">
        <v>20000</v>
      </c>
      <c r="F561" s="8">
        <v>0.0297</v>
      </c>
      <c r="G561" s="11">
        <v>46208</v>
      </c>
      <c r="H561" s="12">
        <f t="shared" si="12"/>
        <v>594</v>
      </c>
      <c r="I561" s="10" t="s">
        <v>10</v>
      </c>
      <c r="J561" s="13">
        <v>46171</v>
      </c>
      <c r="K561" t="s">
        <v>615</v>
      </c>
    </row>
    <row r="562" spans="1:11">
      <c r="A562" t="s">
        <v>319</v>
      </c>
      <c r="B562" s="8">
        <v>252605024</v>
      </c>
      <c r="C562" s="9">
        <v>46108</v>
      </c>
      <c r="D562" s="8" t="s">
        <v>58</v>
      </c>
      <c r="E562" s="10">
        <v>40000</v>
      </c>
      <c r="F562" s="8">
        <v>0.014</v>
      </c>
      <c r="G562" s="11">
        <v>46208</v>
      </c>
      <c r="H562" s="12">
        <f t="shared" si="12"/>
        <v>560</v>
      </c>
      <c r="I562" s="10" t="s">
        <v>10</v>
      </c>
      <c r="J562" s="13">
        <v>46184</v>
      </c>
      <c r="K562" t="s">
        <v>615</v>
      </c>
    </row>
    <row r="563" spans="1:11">
      <c r="A563" t="s">
        <v>319</v>
      </c>
      <c r="B563" s="8">
        <v>252605024</v>
      </c>
      <c r="C563" s="9">
        <v>46108</v>
      </c>
      <c r="D563" s="8" t="s">
        <v>386</v>
      </c>
      <c r="E563" s="10">
        <v>80000</v>
      </c>
      <c r="F563" s="8">
        <v>0.03</v>
      </c>
      <c r="G563" s="11">
        <v>46208</v>
      </c>
      <c r="H563" s="12">
        <f t="shared" si="12"/>
        <v>2400</v>
      </c>
      <c r="I563" s="10" t="s">
        <v>10</v>
      </c>
      <c r="J563" s="13">
        <v>46184</v>
      </c>
      <c r="K563" t="s">
        <v>615</v>
      </c>
    </row>
    <row r="564" spans="1:11">
      <c r="A564" t="s">
        <v>319</v>
      </c>
      <c r="B564" s="8">
        <v>252605024</v>
      </c>
      <c r="C564" s="9">
        <v>46108</v>
      </c>
      <c r="D564" s="8" t="s">
        <v>387</v>
      </c>
      <c r="E564" s="10">
        <v>100000</v>
      </c>
      <c r="F564" s="8">
        <v>0.025</v>
      </c>
      <c r="G564" s="11">
        <v>46208</v>
      </c>
      <c r="H564" s="12">
        <f t="shared" si="12"/>
        <v>2500</v>
      </c>
      <c r="I564" s="10" t="s">
        <v>10</v>
      </c>
      <c r="J564" s="13">
        <v>46184</v>
      </c>
      <c r="K564" t="s">
        <v>615</v>
      </c>
    </row>
    <row r="565" spans="1:11">
      <c r="A565" t="s">
        <v>319</v>
      </c>
      <c r="B565" s="8">
        <v>252605024</v>
      </c>
      <c r="C565" s="9">
        <v>46108</v>
      </c>
      <c r="D565" s="8" t="s">
        <v>32</v>
      </c>
      <c r="E565" s="10">
        <v>120000</v>
      </c>
      <c r="F565" s="8">
        <v>0.014</v>
      </c>
      <c r="G565" s="11">
        <v>46208</v>
      </c>
      <c r="H565" s="12">
        <f t="shared" si="12"/>
        <v>1680</v>
      </c>
      <c r="I565" s="10" t="s">
        <v>10</v>
      </c>
      <c r="J565" s="13">
        <v>46184</v>
      </c>
      <c r="K565" t="s">
        <v>615</v>
      </c>
    </row>
    <row r="566" spans="1:11">
      <c r="A566" t="s">
        <v>319</v>
      </c>
      <c r="B566" s="8">
        <v>252605024</v>
      </c>
      <c r="C566" s="9">
        <v>46108</v>
      </c>
      <c r="D566" s="8" t="s">
        <v>626</v>
      </c>
      <c r="E566" s="10">
        <v>30000</v>
      </c>
      <c r="F566" s="8">
        <v>0.0224</v>
      </c>
      <c r="G566" s="11">
        <v>46208</v>
      </c>
      <c r="H566" s="12">
        <f t="shared" si="12"/>
        <v>672</v>
      </c>
      <c r="I566" s="10" t="s">
        <v>10</v>
      </c>
      <c r="J566" s="13">
        <v>46184</v>
      </c>
      <c r="K566" t="s">
        <v>615</v>
      </c>
    </row>
    <row r="567" spans="1:11">
      <c r="A567" t="s">
        <v>319</v>
      </c>
      <c r="B567" s="8">
        <v>252605024</v>
      </c>
      <c r="C567" s="9">
        <v>46108</v>
      </c>
      <c r="D567" s="8" t="s">
        <v>515</v>
      </c>
      <c r="E567" s="10">
        <v>200000</v>
      </c>
      <c r="F567" s="8">
        <v>0.0238</v>
      </c>
      <c r="G567" s="11">
        <v>46208</v>
      </c>
      <c r="H567" s="12">
        <f t="shared" ref="H567:H630" si="13">E567*F567</f>
        <v>4760</v>
      </c>
      <c r="I567" s="10" t="s">
        <v>10</v>
      </c>
      <c r="J567" s="13">
        <v>46171</v>
      </c>
      <c r="K567" t="s">
        <v>615</v>
      </c>
    </row>
    <row r="568" spans="1:11">
      <c r="A568" t="s">
        <v>319</v>
      </c>
      <c r="B568" s="8">
        <v>252605024</v>
      </c>
      <c r="C568" s="9">
        <v>46108</v>
      </c>
      <c r="D568" s="8" t="s">
        <v>388</v>
      </c>
      <c r="E568" s="10">
        <v>120000</v>
      </c>
      <c r="F568" s="8">
        <v>0.035</v>
      </c>
      <c r="G568" s="11">
        <v>46208</v>
      </c>
      <c r="H568" s="12">
        <f t="shared" si="13"/>
        <v>4200</v>
      </c>
      <c r="I568" s="10" t="s">
        <v>10</v>
      </c>
      <c r="J568" s="13">
        <v>46171</v>
      </c>
      <c r="K568" t="s">
        <v>615</v>
      </c>
    </row>
    <row r="569" spans="1:11">
      <c r="A569" t="s">
        <v>319</v>
      </c>
      <c r="B569" s="8">
        <v>252605024</v>
      </c>
      <c r="C569" s="9">
        <v>46108</v>
      </c>
      <c r="D569" s="8" t="s">
        <v>388</v>
      </c>
      <c r="E569" s="10">
        <v>120000</v>
      </c>
      <c r="F569" s="8">
        <v>0.035</v>
      </c>
      <c r="G569" s="11">
        <v>46208</v>
      </c>
      <c r="H569" s="12">
        <f t="shared" si="13"/>
        <v>4200</v>
      </c>
      <c r="I569" s="10" t="s">
        <v>10</v>
      </c>
      <c r="J569" s="13">
        <v>46171</v>
      </c>
      <c r="K569" t="s">
        <v>615</v>
      </c>
    </row>
    <row r="570" spans="1:11">
      <c r="A570" t="s">
        <v>319</v>
      </c>
      <c r="B570" s="8">
        <v>252605024</v>
      </c>
      <c r="C570" s="9">
        <v>46108</v>
      </c>
      <c r="D570" s="8" t="s">
        <v>213</v>
      </c>
      <c r="E570" s="10">
        <v>180000</v>
      </c>
      <c r="F570" s="8">
        <v>0.042</v>
      </c>
      <c r="G570" s="11">
        <v>46208</v>
      </c>
      <c r="H570" s="12">
        <f t="shared" si="13"/>
        <v>7560</v>
      </c>
      <c r="I570" s="10" t="s">
        <v>10</v>
      </c>
      <c r="J570" s="13">
        <v>46184</v>
      </c>
      <c r="K570" t="s">
        <v>615</v>
      </c>
    </row>
    <row r="571" spans="1:11">
      <c r="A571" t="s">
        <v>319</v>
      </c>
      <c r="B571" s="8">
        <v>252605024</v>
      </c>
      <c r="C571" s="9">
        <v>46108</v>
      </c>
      <c r="D571" s="8" t="s">
        <v>181</v>
      </c>
      <c r="E571" s="10">
        <v>70000</v>
      </c>
      <c r="F571" s="8">
        <v>0.0243</v>
      </c>
      <c r="G571" s="11">
        <v>46208</v>
      </c>
      <c r="H571" s="12">
        <f t="shared" si="13"/>
        <v>1701</v>
      </c>
      <c r="I571" s="10" t="s">
        <v>10</v>
      </c>
      <c r="J571" s="13">
        <v>46184</v>
      </c>
      <c r="K571" t="s">
        <v>615</v>
      </c>
    </row>
    <row r="572" spans="1:11">
      <c r="A572" t="s">
        <v>319</v>
      </c>
      <c r="B572" s="8">
        <v>252605024</v>
      </c>
      <c r="C572" s="9">
        <v>46108</v>
      </c>
      <c r="D572" s="8" t="s">
        <v>31</v>
      </c>
      <c r="E572" s="10">
        <v>200000</v>
      </c>
      <c r="F572" s="8">
        <v>0.024</v>
      </c>
      <c r="G572" s="11">
        <v>46208</v>
      </c>
      <c r="H572" s="12">
        <f t="shared" si="13"/>
        <v>4800</v>
      </c>
      <c r="I572" s="10" t="s">
        <v>10</v>
      </c>
      <c r="J572" s="13">
        <v>46184</v>
      </c>
      <c r="K572" t="s">
        <v>615</v>
      </c>
    </row>
    <row r="573" spans="1:11">
      <c r="A573" t="s">
        <v>319</v>
      </c>
      <c r="B573" s="8">
        <v>252605024</v>
      </c>
      <c r="C573" s="9">
        <v>46108</v>
      </c>
      <c r="D573" s="8" t="s">
        <v>31</v>
      </c>
      <c r="E573" s="10">
        <v>100000</v>
      </c>
      <c r="F573" s="8">
        <v>0.024</v>
      </c>
      <c r="G573" s="11">
        <v>46208</v>
      </c>
      <c r="H573" s="12">
        <f t="shared" si="13"/>
        <v>2400</v>
      </c>
      <c r="I573" s="10" t="s">
        <v>10</v>
      </c>
      <c r="J573" s="13">
        <v>46184</v>
      </c>
      <c r="K573" t="s">
        <v>615</v>
      </c>
    </row>
    <row r="574" spans="1:11">
      <c r="A574" t="s">
        <v>319</v>
      </c>
      <c r="B574" s="8">
        <v>252605024</v>
      </c>
      <c r="C574" s="9">
        <v>46108</v>
      </c>
      <c r="D574" s="8" t="s">
        <v>25</v>
      </c>
      <c r="E574" s="10">
        <v>20000</v>
      </c>
      <c r="F574" s="8">
        <v>0.016</v>
      </c>
      <c r="G574" s="11">
        <v>46208</v>
      </c>
      <c r="H574" s="12">
        <f t="shared" si="13"/>
        <v>320</v>
      </c>
      <c r="I574" s="10" t="s">
        <v>10</v>
      </c>
      <c r="J574" s="13">
        <v>46171</v>
      </c>
      <c r="K574" t="s">
        <v>615</v>
      </c>
    </row>
    <row r="575" spans="1:11">
      <c r="A575" t="s">
        <v>319</v>
      </c>
      <c r="B575" s="8">
        <v>252605024</v>
      </c>
      <c r="C575" s="9">
        <v>46108</v>
      </c>
      <c r="D575" s="8" t="s">
        <v>106</v>
      </c>
      <c r="E575" s="10">
        <v>200000</v>
      </c>
      <c r="F575" s="8">
        <v>0.033</v>
      </c>
      <c r="G575" s="11">
        <v>46208</v>
      </c>
      <c r="H575" s="12">
        <f t="shared" si="13"/>
        <v>6600</v>
      </c>
      <c r="I575" s="10" t="s">
        <v>10</v>
      </c>
      <c r="J575" s="13">
        <v>46184</v>
      </c>
      <c r="K575" t="s">
        <v>615</v>
      </c>
    </row>
    <row r="576" spans="1:11">
      <c r="A576" t="s">
        <v>319</v>
      </c>
      <c r="B576" s="8">
        <v>252605024</v>
      </c>
      <c r="C576" s="9">
        <v>46108</v>
      </c>
      <c r="D576" s="8" t="s">
        <v>58</v>
      </c>
      <c r="E576" s="10">
        <v>40000</v>
      </c>
      <c r="F576" s="8">
        <v>0.014</v>
      </c>
      <c r="G576" s="11">
        <v>46239</v>
      </c>
      <c r="H576" s="12">
        <f t="shared" si="13"/>
        <v>560</v>
      </c>
      <c r="I576" s="10" t="s">
        <v>10</v>
      </c>
      <c r="J576" s="13">
        <v>46184</v>
      </c>
      <c r="K576" t="s">
        <v>615</v>
      </c>
    </row>
    <row r="577" spans="1:11">
      <c r="A577" t="s">
        <v>319</v>
      </c>
      <c r="B577" s="8">
        <v>252605024</v>
      </c>
      <c r="C577" s="9">
        <v>46108</v>
      </c>
      <c r="D577" s="8" t="s">
        <v>386</v>
      </c>
      <c r="E577" s="10">
        <v>80000</v>
      </c>
      <c r="F577" s="8">
        <v>0.03</v>
      </c>
      <c r="G577" s="11">
        <v>46239</v>
      </c>
      <c r="H577" s="12">
        <f t="shared" si="13"/>
        <v>2400</v>
      </c>
      <c r="I577" s="10" t="s">
        <v>10</v>
      </c>
      <c r="J577" s="13">
        <v>46184</v>
      </c>
      <c r="K577" t="s">
        <v>615</v>
      </c>
    </row>
    <row r="578" spans="1:11">
      <c r="A578" t="s">
        <v>319</v>
      </c>
      <c r="B578" s="8">
        <v>252605024</v>
      </c>
      <c r="C578" s="9">
        <v>46108</v>
      </c>
      <c r="D578" s="8" t="s">
        <v>387</v>
      </c>
      <c r="E578" s="10">
        <v>100000</v>
      </c>
      <c r="F578" s="8">
        <v>0.025</v>
      </c>
      <c r="G578" s="11">
        <v>46239</v>
      </c>
      <c r="H578" s="12">
        <f t="shared" si="13"/>
        <v>2500</v>
      </c>
      <c r="I578" s="10" t="s">
        <v>10</v>
      </c>
      <c r="J578" s="13">
        <v>46184</v>
      </c>
      <c r="K578" t="s">
        <v>615</v>
      </c>
    </row>
    <row r="579" spans="1:11">
      <c r="A579" t="s">
        <v>319</v>
      </c>
      <c r="B579" s="8">
        <v>252605024</v>
      </c>
      <c r="C579" s="9">
        <v>46108</v>
      </c>
      <c r="D579" s="8" t="s">
        <v>32</v>
      </c>
      <c r="E579" s="10">
        <v>120000</v>
      </c>
      <c r="F579" s="8">
        <v>0.014</v>
      </c>
      <c r="G579" s="11">
        <v>46239</v>
      </c>
      <c r="H579" s="12">
        <f t="shared" si="13"/>
        <v>1680</v>
      </c>
      <c r="I579" s="10" t="s">
        <v>10</v>
      </c>
      <c r="J579" s="13">
        <v>46184</v>
      </c>
      <c r="K579" t="s">
        <v>615</v>
      </c>
    </row>
    <row r="580" spans="1:11">
      <c r="A580" t="s">
        <v>319</v>
      </c>
      <c r="B580" s="8">
        <v>252605024</v>
      </c>
      <c r="C580" s="9">
        <v>46108</v>
      </c>
      <c r="D580" s="8" t="s">
        <v>626</v>
      </c>
      <c r="E580" s="10">
        <v>30000</v>
      </c>
      <c r="F580" s="8">
        <v>0.0224</v>
      </c>
      <c r="G580" s="11">
        <v>46239</v>
      </c>
      <c r="H580" s="12">
        <f t="shared" si="13"/>
        <v>672</v>
      </c>
      <c r="I580" s="10" t="s">
        <v>10</v>
      </c>
      <c r="J580" s="13">
        <v>46184</v>
      </c>
      <c r="K580" t="s">
        <v>615</v>
      </c>
    </row>
    <row r="581" spans="1:11">
      <c r="A581" s="19" t="s">
        <v>319</v>
      </c>
      <c r="B581" s="14">
        <v>252605025</v>
      </c>
      <c r="C581" s="13">
        <v>46108</v>
      </c>
      <c r="D581" s="14" t="s">
        <v>213</v>
      </c>
      <c r="E581" s="15">
        <v>180000</v>
      </c>
      <c r="F581" s="14">
        <v>0.042</v>
      </c>
      <c r="G581" s="18">
        <v>46239</v>
      </c>
      <c r="H581" s="17">
        <f t="shared" si="13"/>
        <v>7560</v>
      </c>
      <c r="I581" s="15" t="s">
        <v>317</v>
      </c>
      <c r="J581" s="15" t="s">
        <v>666</v>
      </c>
      <c r="K581" t="s">
        <v>615</v>
      </c>
    </row>
    <row r="582" spans="1:11">
      <c r="A582" s="19" t="s">
        <v>319</v>
      </c>
      <c r="B582" s="14">
        <v>252605025</v>
      </c>
      <c r="C582" s="13">
        <v>46108</v>
      </c>
      <c r="D582" s="14" t="s">
        <v>181</v>
      </c>
      <c r="E582" s="15">
        <v>70000</v>
      </c>
      <c r="F582" s="14">
        <v>0.0243</v>
      </c>
      <c r="G582" s="18">
        <v>46239</v>
      </c>
      <c r="H582" s="17">
        <f t="shared" si="13"/>
        <v>1701</v>
      </c>
      <c r="I582" s="15" t="s">
        <v>317</v>
      </c>
      <c r="J582" s="15" t="s">
        <v>666</v>
      </c>
      <c r="K582" t="s">
        <v>615</v>
      </c>
    </row>
    <row r="583" spans="1:11">
      <c r="A583" s="19" t="s">
        <v>319</v>
      </c>
      <c r="B583" s="14">
        <v>252605025</v>
      </c>
      <c r="C583" s="13">
        <v>46108</v>
      </c>
      <c r="D583" s="14" t="s">
        <v>31</v>
      </c>
      <c r="E583" s="15">
        <v>200000</v>
      </c>
      <c r="F583" s="14">
        <v>0.024</v>
      </c>
      <c r="G583" s="18">
        <v>46239</v>
      </c>
      <c r="H583" s="17">
        <f t="shared" si="13"/>
        <v>4800</v>
      </c>
      <c r="I583" s="15" t="s">
        <v>317</v>
      </c>
      <c r="J583" s="15" t="s">
        <v>666</v>
      </c>
      <c r="K583" t="s">
        <v>615</v>
      </c>
    </row>
    <row r="584" spans="1:11">
      <c r="A584" s="19" t="s">
        <v>319</v>
      </c>
      <c r="B584" s="14">
        <v>252605025</v>
      </c>
      <c r="C584" s="13">
        <v>46108</v>
      </c>
      <c r="D584" s="14" t="s">
        <v>31</v>
      </c>
      <c r="E584" s="15">
        <v>100000</v>
      </c>
      <c r="F584" s="14">
        <v>0.024</v>
      </c>
      <c r="G584" s="18">
        <v>46239</v>
      </c>
      <c r="H584" s="17">
        <f t="shared" si="13"/>
        <v>2400</v>
      </c>
      <c r="I584" s="15" t="s">
        <v>317</v>
      </c>
      <c r="J584" s="15" t="s">
        <v>666</v>
      </c>
      <c r="K584" t="s">
        <v>615</v>
      </c>
    </row>
    <row r="585" spans="1:11">
      <c r="A585" s="19" t="s">
        <v>319</v>
      </c>
      <c r="B585" s="14">
        <v>252605025</v>
      </c>
      <c r="C585" s="13">
        <v>46108</v>
      </c>
      <c r="D585" s="14" t="s">
        <v>31</v>
      </c>
      <c r="E585" s="15">
        <v>200000</v>
      </c>
      <c r="F585" s="14">
        <v>0.024</v>
      </c>
      <c r="G585" s="18">
        <v>46270</v>
      </c>
      <c r="H585" s="17">
        <f t="shared" si="13"/>
        <v>4800</v>
      </c>
      <c r="I585" s="15" t="s">
        <v>317</v>
      </c>
      <c r="J585" s="15" t="s">
        <v>666</v>
      </c>
      <c r="K585" t="s">
        <v>615</v>
      </c>
    </row>
    <row r="586" spans="1:11">
      <c r="A586" s="19" t="s">
        <v>319</v>
      </c>
      <c r="B586" s="14">
        <v>252605025</v>
      </c>
      <c r="C586" s="13">
        <v>46108</v>
      </c>
      <c r="D586" s="14" t="s">
        <v>31</v>
      </c>
      <c r="E586" s="15">
        <v>100000</v>
      </c>
      <c r="F586" s="14">
        <v>0.024</v>
      </c>
      <c r="G586" s="18">
        <v>46270</v>
      </c>
      <c r="H586" s="17">
        <f t="shared" si="13"/>
        <v>2400</v>
      </c>
      <c r="I586" s="15" t="s">
        <v>317</v>
      </c>
      <c r="J586" s="15" t="s">
        <v>666</v>
      </c>
      <c r="K586" t="s">
        <v>615</v>
      </c>
    </row>
    <row r="587" spans="1:11">
      <c r="A587" s="19" t="s">
        <v>319</v>
      </c>
      <c r="B587" s="20">
        <v>252605025</v>
      </c>
      <c r="C587" s="21">
        <v>46108</v>
      </c>
      <c r="D587" s="20" t="s">
        <v>70</v>
      </c>
      <c r="E587" s="22">
        <v>20000</v>
      </c>
      <c r="F587" s="20">
        <v>0.028</v>
      </c>
      <c r="G587" s="23">
        <v>46239</v>
      </c>
      <c r="H587" s="24">
        <f t="shared" si="13"/>
        <v>560</v>
      </c>
      <c r="I587" s="22" t="s">
        <v>10</v>
      </c>
      <c r="J587" s="25">
        <v>46088</v>
      </c>
      <c r="K587" t="s">
        <v>615</v>
      </c>
    </row>
    <row r="588" spans="1:11">
      <c r="A588" s="19" t="s">
        <v>319</v>
      </c>
      <c r="B588" s="14">
        <v>252605025</v>
      </c>
      <c r="C588" s="13">
        <v>46108</v>
      </c>
      <c r="D588" s="14" t="s">
        <v>106</v>
      </c>
      <c r="E588" s="15">
        <v>200000</v>
      </c>
      <c r="F588" s="14">
        <v>0.033</v>
      </c>
      <c r="G588" s="18">
        <v>46239</v>
      </c>
      <c r="H588" s="17">
        <f t="shared" si="13"/>
        <v>6600</v>
      </c>
      <c r="I588" s="15" t="s">
        <v>317</v>
      </c>
      <c r="J588" s="25" t="s">
        <v>666</v>
      </c>
      <c r="K588" t="s">
        <v>615</v>
      </c>
    </row>
    <row r="589" spans="1:11">
      <c r="A589" s="19" t="s">
        <v>319</v>
      </c>
      <c r="B589" s="14">
        <v>252605025</v>
      </c>
      <c r="C589" s="13">
        <v>46108</v>
      </c>
      <c r="D589" s="14" t="s">
        <v>282</v>
      </c>
      <c r="E589" s="15">
        <v>30000</v>
      </c>
      <c r="F589" s="14">
        <v>0.0304</v>
      </c>
      <c r="G589" s="18">
        <v>46239</v>
      </c>
      <c r="H589" s="17">
        <f t="shared" si="13"/>
        <v>912</v>
      </c>
      <c r="I589" s="15" t="s">
        <v>317</v>
      </c>
      <c r="J589" s="15" t="s">
        <v>666</v>
      </c>
      <c r="K589" t="s">
        <v>615</v>
      </c>
    </row>
    <row r="590" spans="1:11">
      <c r="A590" s="19" t="s">
        <v>319</v>
      </c>
      <c r="B590" s="20">
        <v>252605025</v>
      </c>
      <c r="C590" s="21">
        <v>46108</v>
      </c>
      <c r="D590" s="20" t="s">
        <v>515</v>
      </c>
      <c r="E590" s="22">
        <v>200000</v>
      </c>
      <c r="F590" s="20">
        <v>0.0238</v>
      </c>
      <c r="G590" s="23">
        <v>46239</v>
      </c>
      <c r="H590" s="24">
        <f t="shared" si="13"/>
        <v>4760</v>
      </c>
      <c r="I590" s="22" t="s">
        <v>10</v>
      </c>
      <c r="J590" s="25">
        <v>46088</v>
      </c>
      <c r="K590" t="s">
        <v>615</v>
      </c>
    </row>
    <row r="591" spans="1:11">
      <c r="A591" s="19" t="s">
        <v>319</v>
      </c>
      <c r="B591" s="20">
        <v>252605025</v>
      </c>
      <c r="C591" s="21">
        <v>46108</v>
      </c>
      <c r="D591" s="20" t="s">
        <v>388</v>
      </c>
      <c r="E591" s="22">
        <v>120000</v>
      </c>
      <c r="F591" s="20">
        <v>0.035</v>
      </c>
      <c r="G591" s="23">
        <v>46239</v>
      </c>
      <c r="H591" s="24">
        <f t="shared" si="13"/>
        <v>4200</v>
      </c>
      <c r="I591" s="22" t="s">
        <v>10</v>
      </c>
      <c r="J591" s="25">
        <v>46088</v>
      </c>
      <c r="K591" t="s">
        <v>615</v>
      </c>
    </row>
    <row r="592" spans="1:11">
      <c r="A592" s="19" t="s">
        <v>319</v>
      </c>
      <c r="B592" s="20">
        <v>252605025</v>
      </c>
      <c r="C592" s="21">
        <v>46108</v>
      </c>
      <c r="D592" s="20" t="s">
        <v>388</v>
      </c>
      <c r="E592" s="22">
        <v>120000</v>
      </c>
      <c r="F592" s="20">
        <v>0.035</v>
      </c>
      <c r="G592" s="23">
        <v>46239</v>
      </c>
      <c r="H592" s="24">
        <f t="shared" si="13"/>
        <v>4200</v>
      </c>
      <c r="I592" s="22" t="s">
        <v>10</v>
      </c>
      <c r="J592" s="25">
        <v>46088</v>
      </c>
      <c r="K592" t="s">
        <v>615</v>
      </c>
    </row>
    <row r="593" spans="1:11">
      <c r="A593" s="19" t="s">
        <v>319</v>
      </c>
      <c r="B593" s="20">
        <v>252605025</v>
      </c>
      <c r="C593" s="21">
        <v>46108</v>
      </c>
      <c r="D593" s="20" t="s">
        <v>388</v>
      </c>
      <c r="E593" s="22">
        <v>120000</v>
      </c>
      <c r="F593" s="20">
        <v>0.035</v>
      </c>
      <c r="G593" s="23">
        <v>46270</v>
      </c>
      <c r="H593" s="24">
        <f t="shared" si="13"/>
        <v>4200</v>
      </c>
      <c r="I593" s="22" t="s">
        <v>10</v>
      </c>
      <c r="J593" s="25">
        <v>46088</v>
      </c>
      <c r="K593" t="s">
        <v>615</v>
      </c>
    </row>
    <row r="594" spans="1:11">
      <c r="A594" s="19" t="s">
        <v>319</v>
      </c>
      <c r="B594" s="20">
        <v>252605025</v>
      </c>
      <c r="C594" s="21">
        <v>46108</v>
      </c>
      <c r="D594" s="20" t="s">
        <v>388</v>
      </c>
      <c r="E594" s="22">
        <v>120000</v>
      </c>
      <c r="F594" s="20">
        <v>0.035</v>
      </c>
      <c r="G594" s="23">
        <v>46270</v>
      </c>
      <c r="H594" s="24">
        <f t="shared" si="13"/>
        <v>4200</v>
      </c>
      <c r="I594" s="22" t="s">
        <v>10</v>
      </c>
      <c r="J594" s="25">
        <v>46088</v>
      </c>
      <c r="K594" t="s">
        <v>615</v>
      </c>
    </row>
    <row r="595" spans="1:11">
      <c r="B595" s="14">
        <v>252605026</v>
      </c>
      <c r="C595" s="13">
        <v>46108</v>
      </c>
      <c r="D595" s="14" t="s">
        <v>540</v>
      </c>
      <c r="E595" s="15">
        <v>20000</v>
      </c>
      <c r="F595" s="14">
        <v>0.0297</v>
      </c>
      <c r="G595" s="18">
        <v>46270</v>
      </c>
      <c r="H595" s="17">
        <f t="shared" si="13"/>
        <v>594</v>
      </c>
      <c r="I595" s="15" t="s">
        <v>317</v>
      </c>
      <c r="J595" s="15"/>
      <c r="K595" t="s">
        <v>615</v>
      </c>
    </row>
    <row r="596" spans="1:11">
      <c r="B596" s="14">
        <v>252605026</v>
      </c>
      <c r="C596" s="13">
        <v>46108</v>
      </c>
      <c r="D596" s="14" t="s">
        <v>58</v>
      </c>
      <c r="E596" s="15">
        <v>40000</v>
      </c>
      <c r="F596" s="14">
        <v>0.014</v>
      </c>
      <c r="G596" s="18">
        <v>46270</v>
      </c>
      <c r="H596" s="17">
        <f t="shared" si="13"/>
        <v>560</v>
      </c>
      <c r="I596" s="15" t="s">
        <v>317</v>
      </c>
      <c r="J596" s="15"/>
      <c r="K596" t="s">
        <v>615</v>
      </c>
    </row>
    <row r="597" spans="1:11">
      <c r="B597" s="14">
        <v>252605026</v>
      </c>
      <c r="C597" s="13">
        <v>46108</v>
      </c>
      <c r="D597" s="14" t="s">
        <v>386</v>
      </c>
      <c r="E597" s="15">
        <v>80000</v>
      </c>
      <c r="F597" s="14">
        <v>0.03</v>
      </c>
      <c r="G597" s="18">
        <v>46270</v>
      </c>
      <c r="H597" s="17">
        <f t="shared" si="13"/>
        <v>2400</v>
      </c>
      <c r="I597" s="15" t="s">
        <v>317</v>
      </c>
      <c r="J597" s="15"/>
      <c r="K597" t="s">
        <v>615</v>
      </c>
    </row>
    <row r="598" spans="1:11">
      <c r="B598" s="14">
        <v>252605026</v>
      </c>
      <c r="C598" s="13">
        <v>46108</v>
      </c>
      <c r="D598" s="14" t="s">
        <v>387</v>
      </c>
      <c r="E598" s="15">
        <v>100000</v>
      </c>
      <c r="F598" s="14">
        <v>0.025</v>
      </c>
      <c r="G598" s="18">
        <v>46270</v>
      </c>
      <c r="H598" s="17">
        <f t="shared" si="13"/>
        <v>2500</v>
      </c>
      <c r="I598" s="15" t="s">
        <v>317</v>
      </c>
      <c r="J598" s="15"/>
      <c r="K598" t="s">
        <v>615</v>
      </c>
    </row>
    <row r="599" spans="1:11">
      <c r="B599" s="14">
        <v>252605026</v>
      </c>
      <c r="C599" s="13">
        <v>46108</v>
      </c>
      <c r="D599" s="14" t="s">
        <v>32</v>
      </c>
      <c r="E599" s="15">
        <v>120000</v>
      </c>
      <c r="F599" s="14">
        <v>0.014</v>
      </c>
      <c r="G599" s="18">
        <v>46270</v>
      </c>
      <c r="H599" s="17">
        <f t="shared" si="13"/>
        <v>1680</v>
      </c>
      <c r="I599" s="15" t="s">
        <v>317</v>
      </c>
      <c r="J599" s="15"/>
      <c r="K599" t="s">
        <v>615</v>
      </c>
    </row>
    <row r="600" spans="1:11">
      <c r="B600" s="14">
        <v>252605026</v>
      </c>
      <c r="C600" s="13">
        <v>46108</v>
      </c>
      <c r="D600" s="14" t="s">
        <v>626</v>
      </c>
      <c r="E600" s="15">
        <v>30000</v>
      </c>
      <c r="F600" s="14">
        <v>0.0224</v>
      </c>
      <c r="G600" s="18">
        <v>46270</v>
      </c>
      <c r="H600" s="17">
        <f t="shared" si="13"/>
        <v>672</v>
      </c>
      <c r="I600" s="15" t="s">
        <v>317</v>
      </c>
      <c r="J600" s="15"/>
      <c r="K600" t="s">
        <v>615</v>
      </c>
    </row>
    <row r="601" spans="1:11">
      <c r="B601" s="14">
        <v>252605026</v>
      </c>
      <c r="C601" s="13">
        <v>46108</v>
      </c>
      <c r="D601" s="14" t="s">
        <v>515</v>
      </c>
      <c r="E601" s="15">
        <v>200000</v>
      </c>
      <c r="F601" s="14">
        <v>0.0238</v>
      </c>
      <c r="G601" s="18">
        <v>46270</v>
      </c>
      <c r="H601" s="17">
        <f t="shared" si="13"/>
        <v>4760</v>
      </c>
      <c r="I601" s="15" t="s">
        <v>317</v>
      </c>
      <c r="J601" s="15"/>
      <c r="K601" t="s">
        <v>615</v>
      </c>
    </row>
    <row r="602" spans="1:11">
      <c r="B602" s="14">
        <v>252605026</v>
      </c>
      <c r="C602" s="13">
        <v>46108</v>
      </c>
      <c r="D602" s="14" t="s">
        <v>213</v>
      </c>
      <c r="E602" s="15">
        <v>180000</v>
      </c>
      <c r="F602" s="14">
        <v>0.042</v>
      </c>
      <c r="G602" s="18">
        <v>46270</v>
      </c>
      <c r="H602" s="17">
        <f t="shared" si="13"/>
        <v>7560</v>
      </c>
      <c r="I602" s="15" t="s">
        <v>317</v>
      </c>
      <c r="J602" s="15"/>
      <c r="K602" t="s">
        <v>615</v>
      </c>
    </row>
    <row r="603" spans="1:11">
      <c r="B603" s="14">
        <v>252605026</v>
      </c>
      <c r="C603" s="13">
        <v>46108</v>
      </c>
      <c r="D603" s="14" t="s">
        <v>181</v>
      </c>
      <c r="E603" s="15">
        <v>70000</v>
      </c>
      <c r="F603" s="14">
        <v>0.0243</v>
      </c>
      <c r="G603" s="18">
        <v>46270</v>
      </c>
      <c r="H603" s="17">
        <f t="shared" si="13"/>
        <v>1701</v>
      </c>
      <c r="I603" s="15" t="s">
        <v>317</v>
      </c>
      <c r="J603" s="15"/>
      <c r="K603" t="s">
        <v>615</v>
      </c>
    </row>
    <row r="604" spans="1:11">
      <c r="B604" s="14">
        <v>252605026</v>
      </c>
      <c r="C604" s="13">
        <v>46108</v>
      </c>
      <c r="D604" s="14" t="s">
        <v>106</v>
      </c>
      <c r="E604" s="15">
        <v>200000</v>
      </c>
      <c r="F604" s="14">
        <v>0.033</v>
      </c>
      <c r="G604" s="18">
        <v>46270</v>
      </c>
      <c r="H604" s="17">
        <f t="shared" si="13"/>
        <v>6600</v>
      </c>
      <c r="I604" s="15" t="s">
        <v>317</v>
      </c>
      <c r="J604" s="15"/>
      <c r="K604" t="s">
        <v>615</v>
      </c>
    </row>
    <row r="605" spans="1:11">
      <c r="B605" s="14">
        <v>252605026</v>
      </c>
      <c r="C605" s="13">
        <v>46108</v>
      </c>
      <c r="D605" s="14" t="s">
        <v>282</v>
      </c>
      <c r="E605" s="15">
        <v>30000</v>
      </c>
      <c r="F605" s="14">
        <v>0.0304</v>
      </c>
      <c r="G605" s="18">
        <v>46270</v>
      </c>
      <c r="H605" s="17">
        <f t="shared" si="13"/>
        <v>912</v>
      </c>
      <c r="I605" s="15" t="s">
        <v>317</v>
      </c>
      <c r="J605" s="15"/>
      <c r="K605" t="s">
        <v>615</v>
      </c>
    </row>
    <row r="606" spans="1:11">
      <c r="B606" s="14">
        <v>252605026</v>
      </c>
      <c r="C606" s="13">
        <v>46108</v>
      </c>
      <c r="D606" s="14" t="s">
        <v>58</v>
      </c>
      <c r="E606" s="15">
        <v>40000</v>
      </c>
      <c r="F606" s="14">
        <v>0.014</v>
      </c>
      <c r="G606" s="18">
        <v>46300</v>
      </c>
      <c r="H606" s="17">
        <f t="shared" si="13"/>
        <v>560</v>
      </c>
      <c r="I606" s="15" t="s">
        <v>317</v>
      </c>
      <c r="J606" s="15"/>
      <c r="K606" t="s">
        <v>615</v>
      </c>
    </row>
    <row r="607" spans="1:11">
      <c r="B607" s="14">
        <v>252605026</v>
      </c>
      <c r="C607" s="13">
        <v>46108</v>
      </c>
      <c r="D607" s="14" t="s">
        <v>386</v>
      </c>
      <c r="E607" s="15">
        <v>80000</v>
      </c>
      <c r="F607" s="14">
        <v>0.03</v>
      </c>
      <c r="G607" s="18">
        <v>46300</v>
      </c>
      <c r="H607" s="17">
        <f t="shared" si="13"/>
        <v>2400</v>
      </c>
      <c r="I607" s="15" t="s">
        <v>317</v>
      </c>
      <c r="J607" s="15"/>
      <c r="K607" t="s">
        <v>615</v>
      </c>
    </row>
    <row r="608" spans="1:11">
      <c r="B608" s="14">
        <v>252605026</v>
      </c>
      <c r="C608" s="13">
        <v>46108</v>
      </c>
      <c r="D608" s="14" t="s">
        <v>387</v>
      </c>
      <c r="E608" s="15">
        <v>100000</v>
      </c>
      <c r="F608" s="14">
        <v>0.025</v>
      </c>
      <c r="G608" s="18">
        <v>46300</v>
      </c>
      <c r="H608" s="17">
        <f t="shared" si="13"/>
        <v>2500</v>
      </c>
      <c r="I608" s="15" t="s">
        <v>317</v>
      </c>
      <c r="J608" s="15"/>
      <c r="K608" t="s">
        <v>615</v>
      </c>
    </row>
    <row r="609" spans="1:11">
      <c r="B609" s="14">
        <v>252605026</v>
      </c>
      <c r="C609" s="13">
        <v>46108</v>
      </c>
      <c r="D609" s="14" t="s">
        <v>32</v>
      </c>
      <c r="E609" s="15">
        <v>120000</v>
      </c>
      <c r="F609" s="14">
        <v>0.014</v>
      </c>
      <c r="G609" s="18">
        <v>46300</v>
      </c>
      <c r="H609" s="17">
        <f t="shared" si="13"/>
        <v>1680</v>
      </c>
      <c r="I609" s="15" t="s">
        <v>317</v>
      </c>
      <c r="J609" s="15"/>
      <c r="K609" t="s">
        <v>615</v>
      </c>
    </row>
    <row r="610" spans="1:11">
      <c r="B610" s="14">
        <v>252605026</v>
      </c>
      <c r="C610" s="13">
        <v>46108</v>
      </c>
      <c r="D610" s="14" t="s">
        <v>515</v>
      </c>
      <c r="E610" s="15">
        <v>200000</v>
      </c>
      <c r="F610" s="14">
        <v>0.0238</v>
      </c>
      <c r="G610" s="18">
        <v>46300</v>
      </c>
      <c r="H610" s="17">
        <f t="shared" si="13"/>
        <v>4760</v>
      </c>
      <c r="I610" s="15" t="s">
        <v>317</v>
      </c>
      <c r="J610" s="15"/>
      <c r="K610" t="s">
        <v>615</v>
      </c>
    </row>
    <row r="611" spans="1:11">
      <c r="B611" s="14">
        <v>252605026</v>
      </c>
      <c r="C611" s="13">
        <v>46108</v>
      </c>
      <c r="D611" s="14" t="s">
        <v>388</v>
      </c>
      <c r="E611" s="15">
        <v>120000</v>
      </c>
      <c r="F611" s="14">
        <v>0.035</v>
      </c>
      <c r="G611" s="18">
        <v>46300</v>
      </c>
      <c r="H611" s="17">
        <f t="shared" si="13"/>
        <v>4200</v>
      </c>
      <c r="I611" s="15" t="s">
        <v>317</v>
      </c>
      <c r="J611" s="15"/>
      <c r="K611" t="s">
        <v>615</v>
      </c>
    </row>
    <row r="612" spans="1:11">
      <c r="B612" s="14">
        <v>252605026</v>
      </c>
      <c r="C612" s="13">
        <v>46108</v>
      </c>
      <c r="D612" s="14" t="s">
        <v>388</v>
      </c>
      <c r="E612" s="15">
        <v>120000</v>
      </c>
      <c r="F612" s="14">
        <v>0.035</v>
      </c>
      <c r="G612" s="18">
        <v>46300</v>
      </c>
      <c r="H612" s="17">
        <f t="shared" si="13"/>
        <v>4200</v>
      </c>
      <c r="I612" s="15" t="s">
        <v>317</v>
      </c>
      <c r="J612" s="15"/>
      <c r="K612" t="s">
        <v>615</v>
      </c>
    </row>
    <row r="613" spans="1:11">
      <c r="B613" s="14">
        <v>252605026</v>
      </c>
      <c r="C613" s="13">
        <v>46108</v>
      </c>
      <c r="D613" s="14" t="s">
        <v>213</v>
      </c>
      <c r="E613" s="15">
        <v>180000</v>
      </c>
      <c r="F613" s="14">
        <v>0.042</v>
      </c>
      <c r="G613" s="18">
        <v>46300</v>
      </c>
      <c r="H613" s="17">
        <f t="shared" si="13"/>
        <v>7560</v>
      </c>
      <c r="I613" s="15" t="s">
        <v>317</v>
      </c>
      <c r="J613" s="15"/>
      <c r="K613" t="s">
        <v>615</v>
      </c>
    </row>
    <row r="614" spans="1:11">
      <c r="B614" s="14">
        <v>252605027</v>
      </c>
      <c r="C614" s="13">
        <v>46108</v>
      </c>
      <c r="D614" s="14" t="s">
        <v>181</v>
      </c>
      <c r="E614" s="15">
        <v>70000</v>
      </c>
      <c r="F614" s="14">
        <v>0.0243</v>
      </c>
      <c r="G614" s="18">
        <v>46300</v>
      </c>
      <c r="H614" s="17">
        <f t="shared" si="13"/>
        <v>1701</v>
      </c>
      <c r="I614" s="15" t="s">
        <v>317</v>
      </c>
      <c r="J614" s="15"/>
      <c r="K614" t="s">
        <v>615</v>
      </c>
    </row>
    <row r="615" spans="1:11">
      <c r="B615" s="14">
        <v>252605027</v>
      </c>
      <c r="C615" s="13">
        <v>46108</v>
      </c>
      <c r="D615" s="14" t="s">
        <v>31</v>
      </c>
      <c r="E615" s="15">
        <v>200000</v>
      </c>
      <c r="F615" s="14">
        <v>0.024</v>
      </c>
      <c r="G615" s="18">
        <v>46300</v>
      </c>
      <c r="H615" s="17">
        <f t="shared" si="13"/>
        <v>4800</v>
      </c>
      <c r="I615" s="15" t="s">
        <v>317</v>
      </c>
      <c r="J615" s="15"/>
      <c r="K615" t="s">
        <v>615</v>
      </c>
    </row>
    <row r="616" spans="1:11">
      <c r="B616" s="14">
        <v>252605027</v>
      </c>
      <c r="C616" s="13">
        <v>46108</v>
      </c>
      <c r="D616" s="14" t="s">
        <v>31</v>
      </c>
      <c r="E616" s="15">
        <v>100000</v>
      </c>
      <c r="F616" s="14">
        <v>0.024</v>
      </c>
      <c r="G616" s="18">
        <v>46300</v>
      </c>
      <c r="H616" s="17">
        <f t="shared" si="13"/>
        <v>2400</v>
      </c>
      <c r="I616" s="15" t="s">
        <v>317</v>
      </c>
      <c r="J616" s="15"/>
      <c r="K616" t="s">
        <v>615</v>
      </c>
    </row>
    <row r="617" spans="1:11">
      <c r="B617" s="14">
        <v>252605027</v>
      </c>
      <c r="C617" s="13">
        <v>46108</v>
      </c>
      <c r="D617" s="14" t="s">
        <v>25</v>
      </c>
      <c r="E617" s="15">
        <v>20000</v>
      </c>
      <c r="F617" s="14">
        <v>0.016</v>
      </c>
      <c r="G617" s="18">
        <v>46300</v>
      </c>
      <c r="H617" s="17">
        <f t="shared" si="13"/>
        <v>320</v>
      </c>
      <c r="I617" s="15" t="s">
        <v>317</v>
      </c>
      <c r="J617" s="15"/>
      <c r="K617" t="s">
        <v>615</v>
      </c>
    </row>
    <row r="618" spans="1:11">
      <c r="B618" s="14">
        <v>252605027</v>
      </c>
      <c r="C618" s="13">
        <v>46108</v>
      </c>
      <c r="D618" s="14" t="s">
        <v>106</v>
      </c>
      <c r="E618" s="15">
        <v>200000</v>
      </c>
      <c r="F618" s="14">
        <v>0.033</v>
      </c>
      <c r="G618" s="18">
        <v>46300</v>
      </c>
      <c r="H618" s="17">
        <f t="shared" si="13"/>
        <v>6600</v>
      </c>
      <c r="I618" s="15" t="s">
        <v>317</v>
      </c>
      <c r="J618" s="15"/>
      <c r="K618" t="s">
        <v>615</v>
      </c>
    </row>
    <row r="619" spans="1:11">
      <c r="B619" s="14">
        <v>252605027</v>
      </c>
      <c r="C619" s="13">
        <v>46108</v>
      </c>
      <c r="D619" s="14" t="s">
        <v>282</v>
      </c>
      <c r="E619" s="15">
        <v>30000</v>
      </c>
      <c r="F619" s="14">
        <v>0.0304</v>
      </c>
      <c r="G619" s="18">
        <v>46300</v>
      </c>
      <c r="H619" s="17">
        <f t="shared" si="13"/>
        <v>912</v>
      </c>
      <c r="I619" s="15" t="s">
        <v>317</v>
      </c>
      <c r="J619" s="15"/>
      <c r="K619" t="s">
        <v>615</v>
      </c>
    </row>
    <row r="620" spans="1:11">
      <c r="B620" s="14">
        <v>252605027</v>
      </c>
      <c r="C620" s="13">
        <v>46108</v>
      </c>
      <c r="D620" s="14" t="s">
        <v>58</v>
      </c>
      <c r="E620" s="15">
        <v>40000</v>
      </c>
      <c r="F620" s="14">
        <v>0.014</v>
      </c>
      <c r="G620" s="18">
        <v>46300</v>
      </c>
      <c r="H620" s="17">
        <f t="shared" si="13"/>
        <v>560</v>
      </c>
      <c r="I620" s="15" t="s">
        <v>317</v>
      </c>
      <c r="J620" s="15"/>
      <c r="K620" t="s">
        <v>615</v>
      </c>
    </row>
    <row r="621" spans="1:11">
      <c r="A621" t="s">
        <v>319</v>
      </c>
      <c r="B621" s="8">
        <v>252605032</v>
      </c>
      <c r="C621" s="9">
        <v>46111</v>
      </c>
      <c r="D621" s="8" t="s">
        <v>569</v>
      </c>
      <c r="E621" s="10">
        <v>100000</v>
      </c>
      <c r="F621" s="8">
        <v>0.035</v>
      </c>
      <c r="G621" s="11">
        <v>46117</v>
      </c>
      <c r="H621" s="12">
        <f t="shared" si="13"/>
        <v>3500</v>
      </c>
      <c r="I621" s="10" t="s">
        <v>10</v>
      </c>
      <c r="J621" s="13">
        <v>46127</v>
      </c>
      <c r="K621" t="s">
        <v>378</v>
      </c>
    </row>
    <row r="622" spans="1:11">
      <c r="A622" t="s">
        <v>319</v>
      </c>
      <c r="B622" s="8">
        <v>252605033</v>
      </c>
      <c r="C622" s="9">
        <v>46111</v>
      </c>
      <c r="D622" s="8" t="s">
        <v>58</v>
      </c>
      <c r="E622" s="10">
        <v>20000</v>
      </c>
      <c r="F622" s="8">
        <v>0.014</v>
      </c>
      <c r="G622" s="11">
        <v>46117</v>
      </c>
      <c r="H622" s="12">
        <f t="shared" si="13"/>
        <v>280</v>
      </c>
      <c r="I622" s="10" t="s">
        <v>10</v>
      </c>
      <c r="J622" s="13">
        <v>46132</v>
      </c>
      <c r="K622" t="s">
        <v>493</v>
      </c>
    </row>
    <row r="623" spans="1:11">
      <c r="A623" t="s">
        <v>319</v>
      </c>
      <c r="B623" s="8">
        <v>252605070</v>
      </c>
      <c r="C623" s="9">
        <v>46112</v>
      </c>
      <c r="D623" s="8" t="s">
        <v>181</v>
      </c>
      <c r="E623" s="10">
        <v>66000</v>
      </c>
      <c r="F623" s="8">
        <v>0.0243</v>
      </c>
      <c r="G623" s="11">
        <v>46117</v>
      </c>
      <c r="H623" s="12">
        <f t="shared" si="13"/>
        <v>1603.8</v>
      </c>
      <c r="I623" s="10" t="s">
        <v>10</v>
      </c>
      <c r="J623" s="13">
        <v>46132</v>
      </c>
      <c r="K623" t="s">
        <v>493</v>
      </c>
    </row>
    <row r="624" spans="1:11">
      <c r="A624" t="s">
        <v>319</v>
      </c>
      <c r="B624" s="8">
        <v>252605070</v>
      </c>
      <c r="C624" s="9">
        <v>46112</v>
      </c>
      <c r="D624" s="8" t="s">
        <v>181</v>
      </c>
      <c r="E624" s="10">
        <v>96000</v>
      </c>
      <c r="F624" s="8">
        <v>0.0243</v>
      </c>
      <c r="G624" s="11">
        <v>46117</v>
      </c>
      <c r="H624" s="12">
        <f t="shared" si="13"/>
        <v>2332.8</v>
      </c>
      <c r="I624" s="10" t="s">
        <v>10</v>
      </c>
      <c r="J624" s="13">
        <v>46132</v>
      </c>
      <c r="K624" t="s">
        <v>493</v>
      </c>
    </row>
    <row r="625" spans="1:11">
      <c r="A625" t="s">
        <v>319</v>
      </c>
      <c r="B625" s="8">
        <v>252605072</v>
      </c>
      <c r="C625" s="9">
        <v>46111</v>
      </c>
      <c r="D625" s="8" t="s">
        <v>78</v>
      </c>
      <c r="E625" s="10">
        <v>80000</v>
      </c>
      <c r="F625" s="8">
        <v>0.016</v>
      </c>
      <c r="G625" s="11">
        <v>46147</v>
      </c>
      <c r="H625" s="12">
        <f t="shared" si="13"/>
        <v>1280</v>
      </c>
      <c r="I625" s="10" t="s">
        <v>10</v>
      </c>
      <c r="J625" s="13">
        <v>46132</v>
      </c>
      <c r="K625" t="s">
        <v>467</v>
      </c>
    </row>
    <row r="626" spans="1:11">
      <c r="A626" t="s">
        <v>319</v>
      </c>
      <c r="B626" s="8">
        <v>252605072</v>
      </c>
      <c r="C626" s="9">
        <v>46111</v>
      </c>
      <c r="D626" s="8" t="s">
        <v>626</v>
      </c>
      <c r="E626" s="10">
        <v>20000</v>
      </c>
      <c r="F626" s="8">
        <v>0.0224</v>
      </c>
      <c r="G626" s="11">
        <v>46147</v>
      </c>
      <c r="H626" s="12">
        <f t="shared" si="13"/>
        <v>448</v>
      </c>
      <c r="I626" s="10" t="s">
        <v>10</v>
      </c>
      <c r="J626" s="13">
        <v>46132</v>
      </c>
      <c r="K626" t="s">
        <v>467</v>
      </c>
    </row>
    <row r="627" spans="1:11">
      <c r="A627" t="s">
        <v>319</v>
      </c>
      <c r="B627" s="8">
        <v>252605072</v>
      </c>
      <c r="C627" s="9">
        <v>46111</v>
      </c>
      <c r="D627" s="8" t="s">
        <v>515</v>
      </c>
      <c r="E627" s="10">
        <v>20000</v>
      </c>
      <c r="F627" s="8">
        <v>0.0238</v>
      </c>
      <c r="G627" s="11">
        <v>46147</v>
      </c>
      <c r="H627" s="12">
        <f t="shared" si="13"/>
        <v>476</v>
      </c>
      <c r="I627" s="10" t="s">
        <v>10</v>
      </c>
      <c r="J627" s="13">
        <v>46127</v>
      </c>
      <c r="K627" t="s">
        <v>467</v>
      </c>
    </row>
    <row r="628" spans="1:11">
      <c r="A628" t="s">
        <v>319</v>
      </c>
      <c r="B628" s="8">
        <v>252605072</v>
      </c>
      <c r="C628" s="9">
        <v>46111</v>
      </c>
      <c r="D628" s="8" t="s">
        <v>32</v>
      </c>
      <c r="E628" s="10">
        <v>200000</v>
      </c>
      <c r="F628" s="8">
        <v>0.014</v>
      </c>
      <c r="G628" s="11">
        <v>46178</v>
      </c>
      <c r="H628" s="12">
        <f t="shared" si="13"/>
        <v>2800</v>
      </c>
      <c r="I628" s="10" t="s">
        <v>10</v>
      </c>
      <c r="J628" s="13">
        <v>46132</v>
      </c>
      <c r="K628" t="s">
        <v>467</v>
      </c>
    </row>
    <row r="629" spans="1:11">
      <c r="A629" t="s">
        <v>319</v>
      </c>
      <c r="B629" s="8">
        <v>252605072</v>
      </c>
      <c r="C629" s="9">
        <v>46111</v>
      </c>
      <c r="D629" s="8" t="s">
        <v>32</v>
      </c>
      <c r="E629" s="10">
        <v>200000</v>
      </c>
      <c r="F629" s="8">
        <v>0.014</v>
      </c>
      <c r="G629" s="11">
        <v>46178</v>
      </c>
      <c r="H629" s="12">
        <f t="shared" si="13"/>
        <v>2800</v>
      </c>
      <c r="I629" s="10" t="s">
        <v>10</v>
      </c>
      <c r="J629" s="13">
        <v>46132</v>
      </c>
      <c r="K629" t="s">
        <v>467</v>
      </c>
    </row>
    <row r="630" spans="1:11">
      <c r="A630" t="s">
        <v>319</v>
      </c>
      <c r="B630" s="8">
        <v>252605072</v>
      </c>
      <c r="C630" s="9">
        <v>46111</v>
      </c>
      <c r="D630" s="8" t="s">
        <v>32</v>
      </c>
      <c r="E630" s="10">
        <v>200000</v>
      </c>
      <c r="F630" s="8">
        <v>0.014</v>
      </c>
      <c r="G630" s="11">
        <v>46178</v>
      </c>
      <c r="H630" s="12">
        <f t="shared" si="13"/>
        <v>2800</v>
      </c>
      <c r="I630" s="10" t="s">
        <v>10</v>
      </c>
      <c r="J630" s="13">
        <v>46132</v>
      </c>
      <c r="K630" t="s">
        <v>467</v>
      </c>
    </row>
    <row r="631" spans="1:11">
      <c r="A631" t="s">
        <v>319</v>
      </c>
      <c r="B631" s="8">
        <v>252605072</v>
      </c>
      <c r="C631" s="9">
        <v>46111</v>
      </c>
      <c r="D631" s="8" t="s">
        <v>32</v>
      </c>
      <c r="E631" s="10">
        <v>200000</v>
      </c>
      <c r="F631" s="8">
        <v>0.014</v>
      </c>
      <c r="G631" s="11">
        <v>46178</v>
      </c>
      <c r="H631" s="12">
        <f t="shared" ref="H631:H694" si="14">E631*F631</f>
        <v>2800</v>
      </c>
      <c r="I631" s="10" t="s">
        <v>10</v>
      </c>
      <c r="J631" s="13">
        <v>46132</v>
      </c>
      <c r="K631" t="s">
        <v>467</v>
      </c>
    </row>
    <row r="632" spans="1:11">
      <c r="A632" t="s">
        <v>319</v>
      </c>
      <c r="B632" s="8">
        <v>252605072</v>
      </c>
      <c r="C632" s="9">
        <v>46111</v>
      </c>
      <c r="D632" s="8" t="s">
        <v>58</v>
      </c>
      <c r="E632" s="10">
        <v>200000</v>
      </c>
      <c r="F632" s="8">
        <v>0.014</v>
      </c>
      <c r="G632" s="11">
        <v>46178</v>
      </c>
      <c r="H632" s="12">
        <f t="shared" si="14"/>
        <v>2800</v>
      </c>
      <c r="I632" s="10" t="s">
        <v>10</v>
      </c>
      <c r="J632" s="13">
        <v>46132</v>
      </c>
      <c r="K632" t="s">
        <v>467</v>
      </c>
    </row>
    <row r="633" spans="1:11">
      <c r="A633" t="s">
        <v>319</v>
      </c>
      <c r="B633" s="8">
        <v>252605072</v>
      </c>
      <c r="C633" s="9">
        <v>46111</v>
      </c>
      <c r="D633" s="8" t="s">
        <v>58</v>
      </c>
      <c r="E633" s="10">
        <v>200000</v>
      </c>
      <c r="F633" s="8">
        <v>0.014</v>
      </c>
      <c r="G633" s="11">
        <v>46178</v>
      </c>
      <c r="H633" s="12">
        <f t="shared" si="14"/>
        <v>2800</v>
      </c>
      <c r="I633" s="10" t="s">
        <v>10</v>
      </c>
      <c r="J633" s="13">
        <v>46132</v>
      </c>
      <c r="K633" t="s">
        <v>467</v>
      </c>
    </row>
    <row r="634" spans="1:11">
      <c r="A634" t="s">
        <v>319</v>
      </c>
      <c r="B634" s="8">
        <v>252605072</v>
      </c>
      <c r="C634" s="9">
        <v>46111</v>
      </c>
      <c r="D634" s="8" t="s">
        <v>58</v>
      </c>
      <c r="E634" s="10">
        <v>200000</v>
      </c>
      <c r="F634" s="8">
        <v>0.014</v>
      </c>
      <c r="G634" s="11">
        <v>46178</v>
      </c>
      <c r="H634" s="12">
        <f t="shared" si="14"/>
        <v>2800</v>
      </c>
      <c r="I634" s="10" t="s">
        <v>10</v>
      </c>
      <c r="J634" s="13">
        <v>46132</v>
      </c>
      <c r="K634" t="s">
        <v>467</v>
      </c>
    </row>
    <row r="635" spans="1:11">
      <c r="A635" t="s">
        <v>319</v>
      </c>
      <c r="B635" s="8">
        <v>252605072</v>
      </c>
      <c r="C635" s="9">
        <v>46111</v>
      </c>
      <c r="D635" s="8" t="s">
        <v>78</v>
      </c>
      <c r="E635" s="10">
        <v>80000</v>
      </c>
      <c r="F635" s="8">
        <v>0.016</v>
      </c>
      <c r="G635" s="11">
        <v>46178</v>
      </c>
      <c r="H635" s="12">
        <f t="shared" si="14"/>
        <v>1280</v>
      </c>
      <c r="I635" s="10" t="s">
        <v>10</v>
      </c>
      <c r="J635" s="13">
        <v>46132</v>
      </c>
      <c r="K635" t="s">
        <v>467</v>
      </c>
    </row>
    <row r="636" spans="1:11">
      <c r="A636" t="s">
        <v>319</v>
      </c>
      <c r="B636" s="8">
        <v>252605073</v>
      </c>
      <c r="C636" s="9">
        <v>46111</v>
      </c>
      <c r="D636" s="8" t="s">
        <v>29</v>
      </c>
      <c r="E636" s="10">
        <v>200000</v>
      </c>
      <c r="F636" s="8">
        <v>0.0216</v>
      </c>
      <c r="G636" s="11">
        <v>46208</v>
      </c>
      <c r="H636" s="12">
        <f t="shared" si="14"/>
        <v>4320</v>
      </c>
      <c r="I636" s="10" t="s">
        <v>10</v>
      </c>
      <c r="J636" s="13">
        <v>46184</v>
      </c>
      <c r="K636" t="s">
        <v>467</v>
      </c>
    </row>
    <row r="637" spans="1:11">
      <c r="A637" t="s">
        <v>319</v>
      </c>
      <c r="B637" s="8">
        <v>252605073</v>
      </c>
      <c r="C637" s="9">
        <v>46111</v>
      </c>
      <c r="D637" s="8" t="s">
        <v>29</v>
      </c>
      <c r="E637" s="10">
        <v>200000</v>
      </c>
      <c r="F637" s="8">
        <v>0.0216</v>
      </c>
      <c r="G637" s="11">
        <v>46208</v>
      </c>
      <c r="H637" s="12">
        <f t="shared" si="14"/>
        <v>4320</v>
      </c>
      <c r="I637" s="10" t="s">
        <v>10</v>
      </c>
      <c r="J637" s="13">
        <v>46184</v>
      </c>
      <c r="K637" t="s">
        <v>467</v>
      </c>
    </row>
    <row r="638" spans="1:11">
      <c r="A638" t="s">
        <v>319</v>
      </c>
      <c r="B638" s="8">
        <v>252605073</v>
      </c>
      <c r="C638" s="9">
        <v>46111</v>
      </c>
      <c r="D638" s="8" t="s">
        <v>29</v>
      </c>
      <c r="E638" s="10">
        <v>200000</v>
      </c>
      <c r="F638" s="8">
        <v>0.0216</v>
      </c>
      <c r="G638" s="11">
        <v>46208</v>
      </c>
      <c r="H638" s="12">
        <f t="shared" si="14"/>
        <v>4320</v>
      </c>
      <c r="I638" s="10" t="s">
        <v>10</v>
      </c>
      <c r="J638" s="13">
        <v>46184</v>
      </c>
      <c r="K638" t="s">
        <v>467</v>
      </c>
    </row>
    <row r="639" spans="1:11">
      <c r="A639" t="s">
        <v>319</v>
      </c>
      <c r="B639" s="8">
        <v>252605073</v>
      </c>
      <c r="C639" s="9">
        <v>46111</v>
      </c>
      <c r="D639" s="8" t="s">
        <v>29</v>
      </c>
      <c r="E639" s="10">
        <v>200000</v>
      </c>
      <c r="F639" s="8">
        <v>0.0216</v>
      </c>
      <c r="G639" s="11">
        <v>46208</v>
      </c>
      <c r="H639" s="12">
        <f t="shared" si="14"/>
        <v>4320</v>
      </c>
      <c r="I639" s="10" t="s">
        <v>10</v>
      </c>
      <c r="J639" s="13">
        <v>46184</v>
      </c>
      <c r="K639" t="s">
        <v>467</v>
      </c>
    </row>
    <row r="640" spans="1:11">
      <c r="A640" t="s">
        <v>319</v>
      </c>
      <c r="B640" s="8">
        <v>252605073</v>
      </c>
      <c r="C640" s="9">
        <v>46111</v>
      </c>
      <c r="D640" s="8" t="s">
        <v>29</v>
      </c>
      <c r="E640" s="10">
        <v>200000</v>
      </c>
      <c r="F640" s="8">
        <v>0.0216</v>
      </c>
      <c r="G640" s="11">
        <v>46208</v>
      </c>
      <c r="H640" s="12">
        <f t="shared" si="14"/>
        <v>4320</v>
      </c>
      <c r="I640" s="10" t="s">
        <v>10</v>
      </c>
      <c r="J640" s="13">
        <v>46184</v>
      </c>
      <c r="K640" t="s">
        <v>467</v>
      </c>
    </row>
    <row r="641" spans="1:11">
      <c r="A641" t="s">
        <v>319</v>
      </c>
      <c r="B641" s="8">
        <v>252605073</v>
      </c>
      <c r="C641" s="9">
        <v>46111</v>
      </c>
      <c r="D641" s="8" t="s">
        <v>29</v>
      </c>
      <c r="E641" s="10">
        <v>200000</v>
      </c>
      <c r="F641" s="8">
        <v>0.0216</v>
      </c>
      <c r="G641" s="11">
        <v>46208</v>
      </c>
      <c r="H641" s="12">
        <f t="shared" si="14"/>
        <v>4320</v>
      </c>
      <c r="I641" s="10" t="s">
        <v>10</v>
      </c>
      <c r="J641" s="13">
        <v>46184</v>
      </c>
      <c r="K641" t="s">
        <v>467</v>
      </c>
    </row>
    <row r="642" spans="1:11">
      <c r="A642" t="s">
        <v>319</v>
      </c>
      <c r="B642" s="8">
        <v>252605073</v>
      </c>
      <c r="C642" s="9">
        <v>46111</v>
      </c>
      <c r="D642" s="8" t="s">
        <v>29</v>
      </c>
      <c r="E642" s="10">
        <v>200000</v>
      </c>
      <c r="F642" s="8">
        <v>0.0216</v>
      </c>
      <c r="G642" s="11">
        <v>46208</v>
      </c>
      <c r="H642" s="12">
        <f t="shared" si="14"/>
        <v>4320</v>
      </c>
      <c r="I642" s="10" t="s">
        <v>10</v>
      </c>
      <c r="J642" s="13">
        <v>46184</v>
      </c>
      <c r="K642" t="s">
        <v>467</v>
      </c>
    </row>
    <row r="643" spans="1:11">
      <c r="A643" t="s">
        <v>319</v>
      </c>
      <c r="B643" s="8">
        <v>252605073</v>
      </c>
      <c r="C643" s="9">
        <v>46111</v>
      </c>
      <c r="D643" s="8" t="s">
        <v>29</v>
      </c>
      <c r="E643" s="10">
        <v>200000</v>
      </c>
      <c r="F643" s="8">
        <v>0.0216</v>
      </c>
      <c r="G643" s="11">
        <v>46208</v>
      </c>
      <c r="H643" s="12">
        <f t="shared" si="14"/>
        <v>4320</v>
      </c>
      <c r="I643" s="10" t="s">
        <v>10</v>
      </c>
      <c r="J643" s="13">
        <v>46184</v>
      </c>
      <c r="K643" t="s">
        <v>467</v>
      </c>
    </row>
    <row r="644" spans="1:11">
      <c r="A644" t="s">
        <v>319</v>
      </c>
      <c r="B644" s="8">
        <v>252605073</v>
      </c>
      <c r="C644" s="9">
        <v>46111</v>
      </c>
      <c r="D644" s="8" t="s">
        <v>29</v>
      </c>
      <c r="E644" s="10">
        <v>200000</v>
      </c>
      <c r="F644" s="8">
        <v>0.0216</v>
      </c>
      <c r="G644" s="11">
        <v>46208</v>
      </c>
      <c r="H644" s="12">
        <f t="shared" si="14"/>
        <v>4320</v>
      </c>
      <c r="I644" s="10" t="s">
        <v>10</v>
      </c>
      <c r="J644" s="13">
        <v>46184</v>
      </c>
      <c r="K644" t="s">
        <v>467</v>
      </c>
    </row>
    <row r="645" spans="1:11">
      <c r="A645" t="s">
        <v>319</v>
      </c>
      <c r="B645" s="8">
        <v>252605073</v>
      </c>
      <c r="C645" s="9">
        <v>46111</v>
      </c>
      <c r="D645" s="8" t="s">
        <v>29</v>
      </c>
      <c r="E645" s="10">
        <v>200000</v>
      </c>
      <c r="F645" s="8">
        <v>0.0216</v>
      </c>
      <c r="G645" s="11">
        <v>46208</v>
      </c>
      <c r="H645" s="12">
        <f t="shared" si="14"/>
        <v>4320</v>
      </c>
      <c r="I645" s="10" t="s">
        <v>10</v>
      </c>
      <c r="J645" s="13">
        <v>46184</v>
      </c>
      <c r="K645" t="s">
        <v>467</v>
      </c>
    </row>
    <row r="646" spans="1:11">
      <c r="A646" t="s">
        <v>319</v>
      </c>
      <c r="B646" s="8">
        <v>252605073</v>
      </c>
      <c r="C646" s="9">
        <v>46111</v>
      </c>
      <c r="D646" s="8" t="s">
        <v>29</v>
      </c>
      <c r="E646" s="10">
        <v>200000</v>
      </c>
      <c r="F646" s="8">
        <v>0.0216</v>
      </c>
      <c r="G646" s="11">
        <v>46208</v>
      </c>
      <c r="H646" s="12">
        <f t="shared" si="14"/>
        <v>4320</v>
      </c>
      <c r="I646" s="10" t="s">
        <v>10</v>
      </c>
      <c r="J646" s="13">
        <v>46184</v>
      </c>
      <c r="K646" t="s">
        <v>467</v>
      </c>
    </row>
    <row r="647" spans="1:11">
      <c r="A647" t="s">
        <v>319</v>
      </c>
      <c r="B647" s="8">
        <v>252605073</v>
      </c>
      <c r="C647" s="9">
        <v>46111</v>
      </c>
      <c r="D647" s="8" t="s">
        <v>29</v>
      </c>
      <c r="E647" s="10">
        <v>200000</v>
      </c>
      <c r="F647" s="8">
        <v>0.0216</v>
      </c>
      <c r="G647" s="11">
        <v>46208</v>
      </c>
      <c r="H647" s="12">
        <f t="shared" si="14"/>
        <v>4320</v>
      </c>
      <c r="I647" s="10" t="s">
        <v>10</v>
      </c>
      <c r="J647" s="13">
        <v>46184</v>
      </c>
      <c r="K647" t="s">
        <v>467</v>
      </c>
    </row>
    <row r="648" spans="1:11">
      <c r="A648" t="s">
        <v>319</v>
      </c>
      <c r="B648" s="8">
        <v>252605073</v>
      </c>
      <c r="C648" s="9">
        <v>46111</v>
      </c>
      <c r="D648" s="8" t="s">
        <v>29</v>
      </c>
      <c r="E648" s="10">
        <v>100000</v>
      </c>
      <c r="F648" s="8">
        <v>0.0216</v>
      </c>
      <c r="G648" s="11">
        <v>46208</v>
      </c>
      <c r="H648" s="12">
        <f t="shared" si="14"/>
        <v>2160</v>
      </c>
      <c r="I648" s="10" t="s">
        <v>10</v>
      </c>
      <c r="J648" s="13">
        <v>46184</v>
      </c>
      <c r="K648" t="s">
        <v>467</v>
      </c>
    </row>
    <row r="649" spans="1:11">
      <c r="A649" t="s">
        <v>319</v>
      </c>
      <c r="B649" s="8">
        <v>252605073</v>
      </c>
      <c r="C649" s="9">
        <v>46111</v>
      </c>
      <c r="D649" s="8" t="s">
        <v>32</v>
      </c>
      <c r="E649" s="10">
        <v>200000</v>
      </c>
      <c r="F649" s="8">
        <v>0.014</v>
      </c>
      <c r="G649" s="11">
        <v>46208</v>
      </c>
      <c r="H649" s="12">
        <f t="shared" si="14"/>
        <v>2800</v>
      </c>
      <c r="I649" s="10" t="s">
        <v>10</v>
      </c>
      <c r="J649" s="13">
        <v>46184</v>
      </c>
      <c r="K649" t="s">
        <v>467</v>
      </c>
    </row>
    <row r="650" spans="1:11">
      <c r="A650" t="s">
        <v>319</v>
      </c>
      <c r="B650" s="8">
        <v>252605073</v>
      </c>
      <c r="C650" s="9">
        <v>46111</v>
      </c>
      <c r="D650" s="8" t="s">
        <v>32</v>
      </c>
      <c r="E650" s="10">
        <v>200000</v>
      </c>
      <c r="F650" s="8">
        <v>0.014</v>
      </c>
      <c r="G650" s="11">
        <v>46208</v>
      </c>
      <c r="H650" s="12">
        <f t="shared" si="14"/>
        <v>2800</v>
      </c>
      <c r="I650" s="10" t="s">
        <v>10</v>
      </c>
      <c r="J650" s="13">
        <v>46184</v>
      </c>
      <c r="K650" t="s">
        <v>467</v>
      </c>
    </row>
    <row r="651" spans="1:11">
      <c r="A651" t="s">
        <v>319</v>
      </c>
      <c r="B651" s="8">
        <v>252605074</v>
      </c>
      <c r="C651" s="9">
        <v>46111</v>
      </c>
      <c r="D651" s="8" t="s">
        <v>31</v>
      </c>
      <c r="E651" s="10">
        <v>200000</v>
      </c>
      <c r="F651" s="8">
        <v>0.024</v>
      </c>
      <c r="G651" s="11">
        <v>46208</v>
      </c>
      <c r="H651" s="12">
        <f t="shared" si="14"/>
        <v>4800</v>
      </c>
      <c r="I651" s="10" t="s">
        <v>10</v>
      </c>
      <c r="J651" s="13">
        <v>46184</v>
      </c>
      <c r="K651" t="s">
        <v>467</v>
      </c>
    </row>
    <row r="652" spans="1:11">
      <c r="A652" t="s">
        <v>319</v>
      </c>
      <c r="B652" s="8">
        <v>252605074</v>
      </c>
      <c r="C652" s="9">
        <v>46111</v>
      </c>
      <c r="D652" s="8" t="s">
        <v>31</v>
      </c>
      <c r="E652" s="10">
        <v>200000</v>
      </c>
      <c r="F652" s="8">
        <v>0.024</v>
      </c>
      <c r="G652" s="11">
        <v>46208</v>
      </c>
      <c r="H652" s="12">
        <f t="shared" si="14"/>
        <v>4800</v>
      </c>
      <c r="I652" s="10" t="s">
        <v>10</v>
      </c>
      <c r="J652" s="13">
        <v>46184</v>
      </c>
      <c r="K652" t="s">
        <v>467</v>
      </c>
    </row>
    <row r="653" spans="1:11">
      <c r="A653" t="s">
        <v>319</v>
      </c>
      <c r="B653" s="8">
        <v>252605074</v>
      </c>
      <c r="C653" s="9">
        <v>46111</v>
      </c>
      <c r="D653" s="8" t="s">
        <v>31</v>
      </c>
      <c r="E653" s="10">
        <v>200000</v>
      </c>
      <c r="F653" s="8">
        <v>0.024</v>
      </c>
      <c r="G653" s="11">
        <v>46208</v>
      </c>
      <c r="H653" s="12">
        <f t="shared" si="14"/>
        <v>4800</v>
      </c>
      <c r="I653" s="10" t="s">
        <v>10</v>
      </c>
      <c r="J653" s="13">
        <v>46184</v>
      </c>
      <c r="K653" t="s">
        <v>467</v>
      </c>
    </row>
    <row r="654" spans="1:11">
      <c r="A654" t="s">
        <v>319</v>
      </c>
      <c r="B654" s="8">
        <v>252605074</v>
      </c>
      <c r="C654" s="9">
        <v>46111</v>
      </c>
      <c r="D654" s="8" t="s">
        <v>31</v>
      </c>
      <c r="E654" s="10">
        <v>200000</v>
      </c>
      <c r="F654" s="8">
        <v>0.024</v>
      </c>
      <c r="G654" s="11">
        <v>46208</v>
      </c>
      <c r="H654" s="12">
        <f t="shared" si="14"/>
        <v>4800</v>
      </c>
      <c r="I654" s="10" t="s">
        <v>10</v>
      </c>
      <c r="J654" s="13">
        <v>46184</v>
      </c>
      <c r="K654" t="s">
        <v>467</v>
      </c>
    </row>
    <row r="655" spans="1:11">
      <c r="A655" t="s">
        <v>319</v>
      </c>
      <c r="B655" s="8">
        <v>252605074</v>
      </c>
      <c r="C655" s="9">
        <v>46111</v>
      </c>
      <c r="D655" s="8" t="s">
        <v>31</v>
      </c>
      <c r="E655" s="10">
        <v>140000</v>
      </c>
      <c r="F655" s="8">
        <v>0.024</v>
      </c>
      <c r="G655" s="11">
        <v>46208</v>
      </c>
      <c r="H655" s="12">
        <f t="shared" si="14"/>
        <v>3360</v>
      </c>
      <c r="I655" s="10" t="s">
        <v>10</v>
      </c>
      <c r="J655" s="13">
        <v>46184</v>
      </c>
      <c r="K655" t="s">
        <v>467</v>
      </c>
    </row>
    <row r="656" spans="1:11">
      <c r="A656" t="s">
        <v>319</v>
      </c>
      <c r="B656" s="8">
        <v>252605074</v>
      </c>
      <c r="C656" s="9">
        <v>46111</v>
      </c>
      <c r="D656" s="8" t="s">
        <v>33</v>
      </c>
      <c r="E656" s="10">
        <v>200000</v>
      </c>
      <c r="F656" s="8">
        <v>0.018</v>
      </c>
      <c r="G656" s="11">
        <v>46208</v>
      </c>
      <c r="H656" s="12">
        <f t="shared" si="14"/>
        <v>3600</v>
      </c>
      <c r="I656" s="10" t="s">
        <v>10</v>
      </c>
      <c r="J656" s="13">
        <v>46184</v>
      </c>
      <c r="K656" t="s">
        <v>467</v>
      </c>
    </row>
    <row r="657" spans="1:11">
      <c r="A657" t="s">
        <v>319</v>
      </c>
      <c r="B657" s="8">
        <v>252605074</v>
      </c>
      <c r="C657" s="9">
        <v>46111</v>
      </c>
      <c r="D657" s="8" t="s">
        <v>33</v>
      </c>
      <c r="E657" s="10">
        <v>200000</v>
      </c>
      <c r="F657" s="8">
        <v>0.018</v>
      </c>
      <c r="G657" s="11">
        <v>46208</v>
      </c>
      <c r="H657" s="12">
        <f t="shared" si="14"/>
        <v>3600</v>
      </c>
      <c r="I657" s="10" t="s">
        <v>10</v>
      </c>
      <c r="J657" s="13">
        <v>46184</v>
      </c>
      <c r="K657" t="s">
        <v>467</v>
      </c>
    </row>
    <row r="658" spans="1:11">
      <c r="A658" t="s">
        <v>319</v>
      </c>
      <c r="B658" s="8">
        <v>252605074</v>
      </c>
      <c r="C658" s="9">
        <v>46111</v>
      </c>
      <c r="D658" s="8" t="s">
        <v>33</v>
      </c>
      <c r="E658" s="10">
        <v>200000</v>
      </c>
      <c r="F658" s="8">
        <v>0.018</v>
      </c>
      <c r="G658" s="11">
        <v>46208</v>
      </c>
      <c r="H658" s="12">
        <f t="shared" si="14"/>
        <v>3600</v>
      </c>
      <c r="I658" s="10" t="s">
        <v>10</v>
      </c>
      <c r="J658" s="13">
        <v>46184</v>
      </c>
      <c r="K658" t="s">
        <v>467</v>
      </c>
    </row>
    <row r="659" spans="1:11">
      <c r="A659" t="s">
        <v>319</v>
      </c>
      <c r="B659" s="8">
        <v>252605074</v>
      </c>
      <c r="C659" s="9">
        <v>46111</v>
      </c>
      <c r="D659" s="8" t="s">
        <v>33</v>
      </c>
      <c r="E659" s="10">
        <v>100000</v>
      </c>
      <c r="F659" s="8">
        <v>0.018</v>
      </c>
      <c r="G659" s="11">
        <v>46208</v>
      </c>
      <c r="H659" s="12">
        <f t="shared" si="14"/>
        <v>1800</v>
      </c>
      <c r="I659" s="10" t="s">
        <v>10</v>
      </c>
      <c r="J659" s="13">
        <v>46184</v>
      </c>
      <c r="K659" t="s">
        <v>467</v>
      </c>
    </row>
    <row r="660" spans="1:11">
      <c r="A660" t="s">
        <v>319</v>
      </c>
      <c r="B660" s="8">
        <v>252605074</v>
      </c>
      <c r="C660" s="9">
        <v>46111</v>
      </c>
      <c r="D660" s="8" t="s">
        <v>58</v>
      </c>
      <c r="E660" s="10">
        <v>200000</v>
      </c>
      <c r="F660" s="8">
        <v>0.014</v>
      </c>
      <c r="G660" s="11">
        <v>46208</v>
      </c>
      <c r="H660" s="12">
        <f t="shared" si="14"/>
        <v>2800</v>
      </c>
      <c r="I660" s="10" t="s">
        <v>10</v>
      </c>
      <c r="J660" s="13">
        <v>46184</v>
      </c>
      <c r="K660" t="s">
        <v>467</v>
      </c>
    </row>
    <row r="661" spans="1:11">
      <c r="A661" t="s">
        <v>319</v>
      </c>
      <c r="B661" s="8">
        <v>252605074</v>
      </c>
      <c r="C661" s="9">
        <v>46111</v>
      </c>
      <c r="D661" s="8" t="s">
        <v>58</v>
      </c>
      <c r="E661" s="10">
        <v>200000</v>
      </c>
      <c r="F661" s="8">
        <v>0.014</v>
      </c>
      <c r="G661" s="11">
        <v>46208</v>
      </c>
      <c r="H661" s="12">
        <f t="shared" si="14"/>
        <v>2800</v>
      </c>
      <c r="I661" s="10" t="s">
        <v>10</v>
      </c>
      <c r="J661" s="13">
        <v>46184</v>
      </c>
      <c r="K661" t="s">
        <v>467</v>
      </c>
    </row>
    <row r="662" spans="1:11">
      <c r="A662" t="s">
        <v>319</v>
      </c>
      <c r="B662" s="8">
        <v>252605074</v>
      </c>
      <c r="C662" s="9">
        <v>46111</v>
      </c>
      <c r="D662" s="8" t="s">
        <v>58</v>
      </c>
      <c r="E662" s="10">
        <v>200000</v>
      </c>
      <c r="F662" s="8">
        <v>0.014</v>
      </c>
      <c r="G662" s="11">
        <v>46208</v>
      </c>
      <c r="H662" s="12">
        <f t="shared" si="14"/>
        <v>2800</v>
      </c>
      <c r="I662" s="10" t="s">
        <v>10</v>
      </c>
      <c r="J662" s="13">
        <v>46184</v>
      </c>
      <c r="K662" t="s">
        <v>467</v>
      </c>
    </row>
    <row r="663" spans="1:11">
      <c r="A663" t="s">
        <v>319</v>
      </c>
      <c r="B663" s="8">
        <v>252605074</v>
      </c>
      <c r="C663" s="9">
        <v>46111</v>
      </c>
      <c r="D663" s="8" t="s">
        <v>78</v>
      </c>
      <c r="E663" s="10">
        <v>80000</v>
      </c>
      <c r="F663" s="8">
        <v>0.016</v>
      </c>
      <c r="G663" s="11">
        <v>46208</v>
      </c>
      <c r="H663" s="12">
        <f t="shared" si="14"/>
        <v>1280</v>
      </c>
      <c r="I663" s="10" t="s">
        <v>10</v>
      </c>
      <c r="J663" s="13">
        <v>46184</v>
      </c>
      <c r="K663" t="s">
        <v>467</v>
      </c>
    </row>
    <row r="664" spans="1:11">
      <c r="A664" t="s">
        <v>319</v>
      </c>
      <c r="B664" s="8">
        <v>252605074</v>
      </c>
      <c r="C664" s="9">
        <v>46111</v>
      </c>
      <c r="D664" s="8" t="s">
        <v>626</v>
      </c>
      <c r="E664" s="10">
        <v>20000</v>
      </c>
      <c r="F664" s="8">
        <v>0.0224</v>
      </c>
      <c r="G664" s="11">
        <v>46208</v>
      </c>
      <c r="H664" s="12">
        <f t="shared" si="14"/>
        <v>448</v>
      </c>
      <c r="I664" s="10" t="s">
        <v>10</v>
      </c>
      <c r="J664" s="13">
        <v>46184</v>
      </c>
      <c r="K664" t="s">
        <v>467</v>
      </c>
    </row>
    <row r="665" spans="1:11">
      <c r="A665" t="s">
        <v>319</v>
      </c>
      <c r="B665" s="8">
        <v>252605074</v>
      </c>
      <c r="C665" s="9">
        <v>46111</v>
      </c>
      <c r="D665" s="8" t="s">
        <v>32</v>
      </c>
      <c r="E665" s="10">
        <v>200000</v>
      </c>
      <c r="F665" s="8">
        <v>0.014</v>
      </c>
      <c r="G665" s="11">
        <v>46208</v>
      </c>
      <c r="H665" s="12">
        <f t="shared" si="14"/>
        <v>2800</v>
      </c>
      <c r="I665" s="10" t="s">
        <v>10</v>
      </c>
      <c r="J665" s="13">
        <v>46184</v>
      </c>
      <c r="K665" t="s">
        <v>467</v>
      </c>
    </row>
    <row r="666" spans="1:11">
      <c r="A666" t="s">
        <v>319</v>
      </c>
      <c r="B666" s="8">
        <v>252605074</v>
      </c>
      <c r="C666" s="9">
        <v>46111</v>
      </c>
      <c r="D666" s="8" t="s">
        <v>32</v>
      </c>
      <c r="E666" s="10">
        <v>200000</v>
      </c>
      <c r="F666" s="8">
        <v>0.014</v>
      </c>
      <c r="G666" s="11">
        <v>46208</v>
      </c>
      <c r="H666" s="12">
        <f t="shared" si="14"/>
        <v>2800</v>
      </c>
      <c r="I666" s="10" t="s">
        <v>10</v>
      </c>
      <c r="J666" s="13">
        <v>46184</v>
      </c>
      <c r="K666" t="s">
        <v>467</v>
      </c>
    </row>
    <row r="667" spans="1:11">
      <c r="A667" t="s">
        <v>319</v>
      </c>
      <c r="B667" s="14">
        <v>252605075</v>
      </c>
      <c r="C667" s="13">
        <v>46111</v>
      </c>
      <c r="D667" s="14" t="s">
        <v>32</v>
      </c>
      <c r="E667" s="15">
        <v>200000</v>
      </c>
      <c r="F667" s="14">
        <v>0.014</v>
      </c>
      <c r="G667" s="18">
        <v>46239</v>
      </c>
      <c r="H667" s="17">
        <f t="shared" si="14"/>
        <v>2800</v>
      </c>
      <c r="I667" s="15" t="s">
        <v>317</v>
      </c>
      <c r="J667" s="15" t="s">
        <v>666</v>
      </c>
      <c r="K667" t="s">
        <v>467</v>
      </c>
    </row>
    <row r="668" spans="1:11">
      <c r="A668" t="s">
        <v>319</v>
      </c>
      <c r="B668" s="14">
        <v>252605075</v>
      </c>
      <c r="C668" s="13">
        <v>46111</v>
      </c>
      <c r="D668" s="14" t="s">
        <v>32</v>
      </c>
      <c r="E668" s="15">
        <v>200000</v>
      </c>
      <c r="F668" s="14">
        <v>0.014</v>
      </c>
      <c r="G668" s="18">
        <v>46239</v>
      </c>
      <c r="H668" s="17">
        <f t="shared" si="14"/>
        <v>2800</v>
      </c>
      <c r="I668" s="15" t="s">
        <v>317</v>
      </c>
      <c r="J668" s="15" t="s">
        <v>666</v>
      </c>
      <c r="K668" t="s">
        <v>467</v>
      </c>
    </row>
    <row r="669" spans="1:11">
      <c r="A669" t="s">
        <v>319</v>
      </c>
      <c r="B669" s="14">
        <v>252605075</v>
      </c>
      <c r="C669" s="13">
        <v>46111</v>
      </c>
      <c r="D669" s="14" t="s">
        <v>31</v>
      </c>
      <c r="E669" s="15">
        <v>200000</v>
      </c>
      <c r="F669" s="14">
        <v>0.024</v>
      </c>
      <c r="G669" s="18">
        <v>46239</v>
      </c>
      <c r="H669" s="17">
        <f t="shared" si="14"/>
        <v>4800</v>
      </c>
      <c r="I669" s="15" t="s">
        <v>317</v>
      </c>
      <c r="J669" s="15" t="s">
        <v>666</v>
      </c>
      <c r="K669" t="s">
        <v>467</v>
      </c>
    </row>
    <row r="670" spans="1:11">
      <c r="A670" t="s">
        <v>319</v>
      </c>
      <c r="B670" s="14">
        <v>252605075</v>
      </c>
      <c r="C670" s="13">
        <v>46111</v>
      </c>
      <c r="D670" s="14" t="s">
        <v>31</v>
      </c>
      <c r="E670" s="15">
        <v>200000</v>
      </c>
      <c r="F670" s="14">
        <v>0.024</v>
      </c>
      <c r="G670" s="18">
        <v>46239</v>
      </c>
      <c r="H670" s="17">
        <f t="shared" si="14"/>
        <v>4800</v>
      </c>
      <c r="I670" s="15" t="s">
        <v>317</v>
      </c>
      <c r="J670" s="15" t="s">
        <v>666</v>
      </c>
      <c r="K670" t="s">
        <v>467</v>
      </c>
    </row>
    <row r="671" spans="1:11">
      <c r="A671" t="s">
        <v>319</v>
      </c>
      <c r="B671" s="14">
        <v>252605075</v>
      </c>
      <c r="C671" s="13">
        <v>46111</v>
      </c>
      <c r="D671" s="14" t="s">
        <v>31</v>
      </c>
      <c r="E671" s="15">
        <v>200000</v>
      </c>
      <c r="F671" s="14">
        <v>0.024</v>
      </c>
      <c r="G671" s="18">
        <v>46239</v>
      </c>
      <c r="H671" s="17">
        <f t="shared" si="14"/>
        <v>4800</v>
      </c>
      <c r="I671" s="15" t="s">
        <v>317</v>
      </c>
      <c r="J671" s="15" t="s">
        <v>666</v>
      </c>
      <c r="K671" t="s">
        <v>467</v>
      </c>
    </row>
    <row r="672" spans="1:11">
      <c r="A672" t="s">
        <v>319</v>
      </c>
      <c r="B672" s="14">
        <v>252605075</v>
      </c>
      <c r="C672" s="13">
        <v>46111</v>
      </c>
      <c r="D672" s="14" t="s">
        <v>31</v>
      </c>
      <c r="E672" s="15">
        <v>200000</v>
      </c>
      <c r="F672" s="14">
        <v>0.024</v>
      </c>
      <c r="G672" s="18">
        <v>46239</v>
      </c>
      <c r="H672" s="17">
        <f t="shared" si="14"/>
        <v>4800</v>
      </c>
      <c r="I672" s="15" t="s">
        <v>317</v>
      </c>
      <c r="J672" s="15" t="s">
        <v>666</v>
      </c>
      <c r="K672" t="s">
        <v>467</v>
      </c>
    </row>
    <row r="673" spans="1:11">
      <c r="A673" t="s">
        <v>319</v>
      </c>
      <c r="B673" s="14">
        <v>252605075</v>
      </c>
      <c r="C673" s="13">
        <v>46111</v>
      </c>
      <c r="D673" s="14" t="s">
        <v>31</v>
      </c>
      <c r="E673" s="15">
        <v>140000</v>
      </c>
      <c r="F673" s="14">
        <v>0.024</v>
      </c>
      <c r="G673" s="18">
        <v>46239</v>
      </c>
      <c r="H673" s="17">
        <f t="shared" si="14"/>
        <v>3360</v>
      </c>
      <c r="I673" s="15" t="s">
        <v>317</v>
      </c>
      <c r="J673" s="15" t="s">
        <v>666</v>
      </c>
      <c r="K673" t="s">
        <v>467</v>
      </c>
    </row>
    <row r="674" spans="1:11">
      <c r="A674" t="s">
        <v>319</v>
      </c>
      <c r="B674" s="14">
        <v>252605075</v>
      </c>
      <c r="C674" s="13">
        <v>46111</v>
      </c>
      <c r="D674" s="14" t="s">
        <v>33</v>
      </c>
      <c r="E674" s="15">
        <v>200000</v>
      </c>
      <c r="F674" s="14">
        <v>0.018</v>
      </c>
      <c r="G674" s="18">
        <v>46239</v>
      </c>
      <c r="H674" s="17">
        <f t="shared" si="14"/>
        <v>3600</v>
      </c>
      <c r="I674" s="15" t="s">
        <v>317</v>
      </c>
      <c r="J674" s="15" t="s">
        <v>666</v>
      </c>
      <c r="K674" t="s">
        <v>467</v>
      </c>
    </row>
    <row r="675" spans="1:11">
      <c r="A675" t="s">
        <v>319</v>
      </c>
      <c r="B675" s="14">
        <v>252605075</v>
      </c>
      <c r="C675" s="13">
        <v>46111</v>
      </c>
      <c r="D675" s="14" t="s">
        <v>33</v>
      </c>
      <c r="E675" s="15">
        <v>200000</v>
      </c>
      <c r="F675" s="14">
        <v>0.018</v>
      </c>
      <c r="G675" s="18">
        <v>46239</v>
      </c>
      <c r="H675" s="17">
        <f t="shared" si="14"/>
        <v>3600</v>
      </c>
      <c r="I675" s="15" t="s">
        <v>317</v>
      </c>
      <c r="J675" s="15" t="s">
        <v>666</v>
      </c>
      <c r="K675" t="s">
        <v>467</v>
      </c>
    </row>
    <row r="676" spans="1:11">
      <c r="A676" t="s">
        <v>319</v>
      </c>
      <c r="B676" s="14">
        <v>252605075</v>
      </c>
      <c r="C676" s="13">
        <v>46111</v>
      </c>
      <c r="D676" s="14" t="s">
        <v>33</v>
      </c>
      <c r="E676" s="15">
        <v>200000</v>
      </c>
      <c r="F676" s="14">
        <v>0.018</v>
      </c>
      <c r="G676" s="18">
        <v>46239</v>
      </c>
      <c r="H676" s="17">
        <f t="shared" si="14"/>
        <v>3600</v>
      </c>
      <c r="I676" s="15" t="s">
        <v>317</v>
      </c>
      <c r="J676" s="15" t="s">
        <v>666</v>
      </c>
      <c r="K676" t="s">
        <v>467</v>
      </c>
    </row>
    <row r="677" spans="1:11">
      <c r="A677" t="s">
        <v>319</v>
      </c>
      <c r="B677" s="14">
        <v>252605075</v>
      </c>
      <c r="C677" s="13">
        <v>46111</v>
      </c>
      <c r="D677" s="14" t="s">
        <v>33</v>
      </c>
      <c r="E677" s="15">
        <v>100000</v>
      </c>
      <c r="F677" s="14">
        <v>0.018</v>
      </c>
      <c r="G677" s="18">
        <v>46239</v>
      </c>
      <c r="H677" s="17">
        <f t="shared" si="14"/>
        <v>1800</v>
      </c>
      <c r="I677" s="15" t="s">
        <v>317</v>
      </c>
      <c r="J677" s="15" t="s">
        <v>666</v>
      </c>
      <c r="K677" t="s">
        <v>467</v>
      </c>
    </row>
    <row r="678" spans="1:11">
      <c r="A678" t="s">
        <v>319</v>
      </c>
      <c r="B678" s="14">
        <v>252605075</v>
      </c>
      <c r="C678" s="13">
        <v>46111</v>
      </c>
      <c r="D678" s="14" t="s">
        <v>58</v>
      </c>
      <c r="E678" s="15">
        <v>200000</v>
      </c>
      <c r="F678" s="14">
        <v>0.014</v>
      </c>
      <c r="G678" s="18">
        <v>46239</v>
      </c>
      <c r="H678" s="17">
        <f t="shared" si="14"/>
        <v>2800</v>
      </c>
      <c r="I678" s="15" t="s">
        <v>317</v>
      </c>
      <c r="J678" s="15" t="s">
        <v>666</v>
      </c>
      <c r="K678" t="s">
        <v>467</v>
      </c>
    </row>
    <row r="679" spans="1:11">
      <c r="A679" t="s">
        <v>319</v>
      </c>
      <c r="B679" s="14">
        <v>252605075</v>
      </c>
      <c r="C679" s="13">
        <v>46111</v>
      </c>
      <c r="D679" s="14" t="s">
        <v>58</v>
      </c>
      <c r="E679" s="15">
        <v>200000</v>
      </c>
      <c r="F679" s="14">
        <v>0.014</v>
      </c>
      <c r="G679" s="18">
        <v>46239</v>
      </c>
      <c r="H679" s="17">
        <f t="shared" si="14"/>
        <v>2800</v>
      </c>
      <c r="I679" s="15" t="s">
        <v>317</v>
      </c>
      <c r="J679" s="15" t="s">
        <v>666</v>
      </c>
      <c r="K679" t="s">
        <v>467</v>
      </c>
    </row>
    <row r="680" spans="1:11">
      <c r="A680" t="s">
        <v>319</v>
      </c>
      <c r="B680" s="14">
        <v>252605075</v>
      </c>
      <c r="C680" s="13">
        <v>46111</v>
      </c>
      <c r="D680" s="14" t="s">
        <v>58</v>
      </c>
      <c r="E680" s="15">
        <v>200000</v>
      </c>
      <c r="F680" s="14">
        <v>0.014</v>
      </c>
      <c r="G680" s="18">
        <v>46239</v>
      </c>
      <c r="H680" s="17">
        <f t="shared" si="14"/>
        <v>2800</v>
      </c>
      <c r="I680" s="15" t="s">
        <v>317</v>
      </c>
      <c r="J680" s="15" t="s">
        <v>666</v>
      </c>
      <c r="K680" t="s">
        <v>467</v>
      </c>
    </row>
    <row r="681" spans="1:11">
      <c r="A681" t="s">
        <v>319</v>
      </c>
      <c r="B681" s="14">
        <v>252605075</v>
      </c>
      <c r="C681" s="13">
        <v>46111</v>
      </c>
      <c r="D681" s="14" t="s">
        <v>11</v>
      </c>
      <c r="E681" s="15">
        <v>142000</v>
      </c>
      <c r="F681" s="14">
        <v>0.032</v>
      </c>
      <c r="G681" s="18">
        <v>46239</v>
      </c>
      <c r="H681" s="17">
        <f t="shared" si="14"/>
        <v>4544</v>
      </c>
      <c r="I681" s="15" t="s">
        <v>317</v>
      </c>
      <c r="J681" s="15" t="s">
        <v>666</v>
      </c>
      <c r="K681" t="s">
        <v>467</v>
      </c>
    </row>
    <row r="682" spans="1:11">
      <c r="A682" t="s">
        <v>319</v>
      </c>
      <c r="B682" s="14">
        <v>252605075</v>
      </c>
      <c r="C682" s="13">
        <v>46111</v>
      </c>
      <c r="D682" s="14" t="s">
        <v>78</v>
      </c>
      <c r="E682" s="15">
        <v>80000</v>
      </c>
      <c r="F682" s="14">
        <v>0.016</v>
      </c>
      <c r="G682" s="18">
        <v>46239</v>
      </c>
      <c r="H682" s="17">
        <f t="shared" si="14"/>
        <v>1280</v>
      </c>
      <c r="I682" s="15" t="s">
        <v>317</v>
      </c>
      <c r="J682" s="15" t="s">
        <v>666</v>
      </c>
      <c r="K682" t="s">
        <v>467</v>
      </c>
    </row>
    <row r="683" spans="1:11">
      <c r="A683" t="s">
        <v>319</v>
      </c>
      <c r="B683" s="14">
        <v>252605075</v>
      </c>
      <c r="C683" s="13">
        <v>46111</v>
      </c>
      <c r="D683" s="14" t="s">
        <v>181</v>
      </c>
      <c r="E683" s="15">
        <v>100000</v>
      </c>
      <c r="F683" s="14">
        <v>0.0243</v>
      </c>
      <c r="G683" s="18">
        <v>46239</v>
      </c>
      <c r="H683" s="17">
        <f t="shared" si="14"/>
        <v>2430</v>
      </c>
      <c r="I683" s="15" t="s">
        <v>317</v>
      </c>
      <c r="J683" s="15" t="s">
        <v>666</v>
      </c>
      <c r="K683" t="s">
        <v>467</v>
      </c>
    </row>
    <row r="684" spans="1:11">
      <c r="A684" t="s">
        <v>319</v>
      </c>
      <c r="B684" s="8">
        <v>252605076</v>
      </c>
      <c r="C684" s="9">
        <v>46112</v>
      </c>
      <c r="D684" s="8" t="s">
        <v>9</v>
      </c>
      <c r="E684" s="10">
        <v>20000</v>
      </c>
      <c r="F684" s="8">
        <v>0.0254</v>
      </c>
      <c r="G684" s="11">
        <v>46208</v>
      </c>
      <c r="H684" s="12">
        <f t="shared" si="14"/>
        <v>508</v>
      </c>
      <c r="I684" s="10" t="s">
        <v>10</v>
      </c>
      <c r="J684" s="13">
        <v>46168</v>
      </c>
      <c r="K684" t="s">
        <v>486</v>
      </c>
    </row>
    <row r="685" spans="1:11">
      <c r="A685" t="s">
        <v>319</v>
      </c>
      <c r="B685" s="8">
        <v>252605076</v>
      </c>
      <c r="C685" s="9">
        <v>46112</v>
      </c>
      <c r="D685" s="8" t="s">
        <v>9</v>
      </c>
      <c r="E685" s="10">
        <v>20000</v>
      </c>
      <c r="F685" s="8">
        <v>0.0254</v>
      </c>
      <c r="G685" s="11">
        <v>46239</v>
      </c>
      <c r="H685" s="12">
        <f t="shared" si="14"/>
        <v>508</v>
      </c>
      <c r="I685" s="10" t="s">
        <v>10</v>
      </c>
      <c r="J685" s="13">
        <v>46168</v>
      </c>
      <c r="K685" t="s">
        <v>486</v>
      </c>
    </row>
    <row r="686" spans="1:11">
      <c r="B686" s="14">
        <v>252605085</v>
      </c>
      <c r="C686" s="13">
        <v>46111</v>
      </c>
      <c r="D686" s="14" t="s">
        <v>29</v>
      </c>
      <c r="E686" s="15">
        <v>200000</v>
      </c>
      <c r="F686" s="14">
        <v>0.0216</v>
      </c>
      <c r="G686" s="18">
        <v>46239</v>
      </c>
      <c r="H686" s="17">
        <f t="shared" si="14"/>
        <v>4320</v>
      </c>
      <c r="I686" s="15" t="s">
        <v>317</v>
      </c>
      <c r="J686" s="15" t="s">
        <v>666</v>
      </c>
      <c r="K686" t="s">
        <v>467</v>
      </c>
    </row>
    <row r="687" spans="1:11">
      <c r="B687" s="14">
        <v>252605085</v>
      </c>
      <c r="C687" s="13">
        <v>46111</v>
      </c>
      <c r="D687" s="14" t="s">
        <v>29</v>
      </c>
      <c r="E687" s="15">
        <v>200000</v>
      </c>
      <c r="F687" s="14">
        <v>0.0216</v>
      </c>
      <c r="G687" s="18">
        <v>46239</v>
      </c>
      <c r="H687" s="17">
        <f t="shared" si="14"/>
        <v>4320</v>
      </c>
      <c r="I687" s="15" t="s">
        <v>317</v>
      </c>
      <c r="J687" s="15" t="s">
        <v>666</v>
      </c>
      <c r="K687" t="s">
        <v>467</v>
      </c>
    </row>
    <row r="688" spans="1:11">
      <c r="B688" s="14">
        <v>252605085</v>
      </c>
      <c r="C688" s="13">
        <v>46111</v>
      </c>
      <c r="D688" s="14" t="s">
        <v>29</v>
      </c>
      <c r="E688" s="15">
        <v>200000</v>
      </c>
      <c r="F688" s="14">
        <v>0.0216</v>
      </c>
      <c r="G688" s="18">
        <v>46239</v>
      </c>
      <c r="H688" s="17">
        <f t="shared" si="14"/>
        <v>4320</v>
      </c>
      <c r="I688" s="15" t="s">
        <v>317</v>
      </c>
      <c r="J688" s="15" t="s">
        <v>666</v>
      </c>
      <c r="K688" t="s">
        <v>467</v>
      </c>
    </row>
    <row r="689" spans="1:11">
      <c r="B689" s="14">
        <v>252605085</v>
      </c>
      <c r="C689" s="13">
        <v>46111</v>
      </c>
      <c r="D689" s="14" t="s">
        <v>29</v>
      </c>
      <c r="E689" s="15">
        <v>200000</v>
      </c>
      <c r="F689" s="14">
        <v>0.0216</v>
      </c>
      <c r="G689" s="18">
        <v>46239</v>
      </c>
      <c r="H689" s="17">
        <f t="shared" si="14"/>
        <v>4320</v>
      </c>
      <c r="I689" s="15" t="s">
        <v>317</v>
      </c>
      <c r="J689" s="15" t="s">
        <v>666</v>
      </c>
      <c r="K689" t="s">
        <v>467</v>
      </c>
    </row>
    <row r="690" spans="1:11">
      <c r="B690" s="14">
        <v>252605085</v>
      </c>
      <c r="C690" s="13">
        <v>46111</v>
      </c>
      <c r="D690" s="14" t="s">
        <v>29</v>
      </c>
      <c r="E690" s="15">
        <v>200000</v>
      </c>
      <c r="F690" s="14">
        <v>0.0216</v>
      </c>
      <c r="G690" s="18">
        <v>46239</v>
      </c>
      <c r="H690" s="17">
        <f t="shared" si="14"/>
        <v>4320</v>
      </c>
      <c r="I690" s="15" t="s">
        <v>317</v>
      </c>
      <c r="J690" s="15" t="s">
        <v>666</v>
      </c>
      <c r="K690" t="s">
        <v>467</v>
      </c>
    </row>
    <row r="691" spans="1:11">
      <c r="B691" s="14">
        <v>252605085</v>
      </c>
      <c r="C691" s="13">
        <v>46111</v>
      </c>
      <c r="D691" s="14" t="s">
        <v>29</v>
      </c>
      <c r="E691" s="15">
        <v>200000</v>
      </c>
      <c r="F691" s="14">
        <v>0.0216</v>
      </c>
      <c r="G691" s="18">
        <v>46239</v>
      </c>
      <c r="H691" s="17">
        <f t="shared" si="14"/>
        <v>4320</v>
      </c>
      <c r="I691" s="15" t="s">
        <v>317</v>
      </c>
      <c r="J691" s="15" t="s">
        <v>666</v>
      </c>
      <c r="K691" t="s">
        <v>467</v>
      </c>
    </row>
    <row r="692" spans="1:11">
      <c r="B692" s="14">
        <v>252605085</v>
      </c>
      <c r="C692" s="13">
        <v>46111</v>
      </c>
      <c r="D692" s="14" t="s">
        <v>29</v>
      </c>
      <c r="E692" s="15">
        <v>200000</v>
      </c>
      <c r="F692" s="14">
        <v>0.0216</v>
      </c>
      <c r="G692" s="18">
        <v>46239</v>
      </c>
      <c r="H692" s="17">
        <f t="shared" si="14"/>
        <v>4320</v>
      </c>
      <c r="I692" s="15" t="s">
        <v>317</v>
      </c>
      <c r="J692" s="15" t="s">
        <v>666</v>
      </c>
      <c r="K692" t="s">
        <v>467</v>
      </c>
    </row>
    <row r="693" spans="1:11">
      <c r="B693" s="14">
        <v>252605085</v>
      </c>
      <c r="C693" s="13">
        <v>46111</v>
      </c>
      <c r="D693" s="14" t="s">
        <v>29</v>
      </c>
      <c r="E693" s="15">
        <v>200000</v>
      </c>
      <c r="F693" s="14">
        <v>0.0216</v>
      </c>
      <c r="G693" s="18">
        <v>46239</v>
      </c>
      <c r="H693" s="17">
        <f t="shared" si="14"/>
        <v>4320</v>
      </c>
      <c r="I693" s="15" t="s">
        <v>317</v>
      </c>
      <c r="J693" s="15" t="s">
        <v>666</v>
      </c>
      <c r="K693" t="s">
        <v>467</v>
      </c>
    </row>
    <row r="694" spans="1:11">
      <c r="B694" s="14">
        <v>252605085</v>
      </c>
      <c r="C694" s="13">
        <v>46111</v>
      </c>
      <c r="D694" s="14" t="s">
        <v>29</v>
      </c>
      <c r="E694" s="15">
        <v>200000</v>
      </c>
      <c r="F694" s="14">
        <v>0.0216</v>
      </c>
      <c r="G694" s="18">
        <v>46239</v>
      </c>
      <c r="H694" s="17">
        <f t="shared" si="14"/>
        <v>4320</v>
      </c>
      <c r="I694" s="15" t="s">
        <v>317</v>
      </c>
      <c r="J694" s="15" t="s">
        <v>666</v>
      </c>
      <c r="K694" t="s">
        <v>467</v>
      </c>
    </row>
    <row r="695" spans="1:11">
      <c r="B695" s="14">
        <v>252605085</v>
      </c>
      <c r="C695" s="13">
        <v>46111</v>
      </c>
      <c r="D695" s="14" t="s">
        <v>29</v>
      </c>
      <c r="E695" s="15">
        <v>200000</v>
      </c>
      <c r="F695" s="14">
        <v>0.0216</v>
      </c>
      <c r="G695" s="18">
        <v>46239</v>
      </c>
      <c r="H695" s="17">
        <f t="shared" ref="H695:H758" si="15">E695*F695</f>
        <v>4320</v>
      </c>
      <c r="I695" s="15" t="s">
        <v>317</v>
      </c>
      <c r="J695" s="15" t="s">
        <v>666</v>
      </c>
      <c r="K695" t="s">
        <v>467</v>
      </c>
    </row>
    <row r="696" spans="1:11">
      <c r="B696" s="14">
        <v>252605085</v>
      </c>
      <c r="C696" s="13">
        <v>46111</v>
      </c>
      <c r="D696" s="14" t="s">
        <v>29</v>
      </c>
      <c r="E696" s="15">
        <v>200000</v>
      </c>
      <c r="F696" s="14">
        <v>0.0216</v>
      </c>
      <c r="G696" s="18">
        <v>46239</v>
      </c>
      <c r="H696" s="17">
        <f t="shared" si="15"/>
        <v>4320</v>
      </c>
      <c r="I696" s="15" t="s">
        <v>317</v>
      </c>
      <c r="J696" s="15" t="s">
        <v>666</v>
      </c>
      <c r="K696" t="s">
        <v>467</v>
      </c>
    </row>
    <row r="697" spans="1:11">
      <c r="B697" s="14">
        <v>252605085</v>
      </c>
      <c r="C697" s="13">
        <v>46111</v>
      </c>
      <c r="D697" s="14" t="s">
        <v>29</v>
      </c>
      <c r="E697" s="15">
        <v>200000</v>
      </c>
      <c r="F697" s="14">
        <v>0.0216</v>
      </c>
      <c r="G697" s="18">
        <v>46239</v>
      </c>
      <c r="H697" s="17">
        <f t="shared" si="15"/>
        <v>4320</v>
      </c>
      <c r="I697" s="15" t="s">
        <v>317</v>
      </c>
      <c r="J697" s="15" t="s">
        <v>666</v>
      </c>
      <c r="K697" t="s">
        <v>467</v>
      </c>
    </row>
    <row r="698" spans="1:11">
      <c r="B698" s="14">
        <v>252605085</v>
      </c>
      <c r="C698" s="13">
        <v>46111</v>
      </c>
      <c r="D698" s="14" t="s">
        <v>29</v>
      </c>
      <c r="E698" s="15">
        <v>100000</v>
      </c>
      <c r="F698" s="14">
        <v>0.0216</v>
      </c>
      <c r="G698" s="18">
        <v>46239</v>
      </c>
      <c r="H698" s="17">
        <f t="shared" si="15"/>
        <v>2160</v>
      </c>
      <c r="I698" s="15" t="s">
        <v>317</v>
      </c>
      <c r="J698" s="15" t="s">
        <v>666</v>
      </c>
      <c r="K698" t="s">
        <v>467</v>
      </c>
    </row>
    <row r="699" spans="1:11">
      <c r="B699" s="14">
        <v>252605085</v>
      </c>
      <c r="C699" s="13">
        <v>46111</v>
      </c>
      <c r="D699" s="14" t="s">
        <v>32</v>
      </c>
      <c r="E699" s="15">
        <v>200000</v>
      </c>
      <c r="F699" s="14">
        <v>0.014</v>
      </c>
      <c r="G699" s="18">
        <v>46239</v>
      </c>
      <c r="H699" s="17">
        <f t="shared" si="15"/>
        <v>2800</v>
      </c>
      <c r="I699" s="15" t="s">
        <v>317</v>
      </c>
      <c r="J699" s="15" t="s">
        <v>666</v>
      </c>
      <c r="K699" t="s">
        <v>467</v>
      </c>
    </row>
    <row r="700" spans="1:11">
      <c r="B700" s="14">
        <v>252605085</v>
      </c>
      <c r="C700" s="13">
        <v>46111</v>
      </c>
      <c r="D700" s="14" t="s">
        <v>32</v>
      </c>
      <c r="E700" s="15">
        <v>200000</v>
      </c>
      <c r="F700" s="14">
        <v>0.014</v>
      </c>
      <c r="G700" s="18">
        <v>46239</v>
      </c>
      <c r="H700" s="17">
        <f t="shared" si="15"/>
        <v>2800</v>
      </c>
      <c r="I700" s="15" t="s">
        <v>317</v>
      </c>
      <c r="J700" s="15" t="s">
        <v>666</v>
      </c>
      <c r="K700" t="s">
        <v>467</v>
      </c>
    </row>
    <row r="701" spans="1:11">
      <c r="B701" s="14">
        <v>252605097</v>
      </c>
      <c r="C701" s="13">
        <v>46112</v>
      </c>
      <c r="D701" s="14" t="s">
        <v>647</v>
      </c>
      <c r="E701" s="15">
        <v>4000</v>
      </c>
      <c r="F701" s="14">
        <v>0.03</v>
      </c>
      <c r="G701" s="16">
        <v>46117</v>
      </c>
      <c r="H701" s="17">
        <f t="shared" si="15"/>
        <v>120</v>
      </c>
      <c r="I701" s="15" t="s">
        <v>51</v>
      </c>
      <c r="J701" s="15"/>
      <c r="K701" t="s">
        <v>627</v>
      </c>
    </row>
    <row r="702" spans="1:11">
      <c r="A702" t="s">
        <v>319</v>
      </c>
      <c r="B702" s="8">
        <v>262700010</v>
      </c>
      <c r="C702" s="9">
        <v>46114</v>
      </c>
      <c r="D702" s="8" t="s">
        <v>315</v>
      </c>
      <c r="E702" s="10">
        <v>34000</v>
      </c>
      <c r="F702" s="8">
        <v>0.0522</v>
      </c>
      <c r="G702" s="11">
        <v>46117</v>
      </c>
      <c r="H702" s="12">
        <f t="shared" si="15"/>
        <v>1774.8</v>
      </c>
      <c r="I702" s="10" t="s">
        <v>10</v>
      </c>
      <c r="J702" s="13">
        <v>46157</v>
      </c>
      <c r="K702" t="s">
        <v>615</v>
      </c>
    </row>
    <row r="703" spans="1:11">
      <c r="A703" t="s">
        <v>319</v>
      </c>
      <c r="B703" s="8">
        <v>262700010</v>
      </c>
      <c r="C703" s="9">
        <v>46114</v>
      </c>
      <c r="D703" s="8" t="s">
        <v>315</v>
      </c>
      <c r="E703" s="10">
        <v>34000</v>
      </c>
      <c r="F703" s="8">
        <v>0.0522</v>
      </c>
      <c r="G703" s="11">
        <v>46178</v>
      </c>
      <c r="H703" s="12">
        <f t="shared" si="15"/>
        <v>1774.8</v>
      </c>
      <c r="I703" s="10" t="s">
        <v>10</v>
      </c>
      <c r="J703" s="13">
        <v>46157</v>
      </c>
      <c r="K703" t="s">
        <v>615</v>
      </c>
    </row>
    <row r="704" spans="1:11">
      <c r="A704" t="s">
        <v>319</v>
      </c>
      <c r="B704" s="8">
        <v>262700010</v>
      </c>
      <c r="C704" s="9">
        <v>46114</v>
      </c>
      <c r="D704" s="8" t="s">
        <v>648</v>
      </c>
      <c r="E704" s="10">
        <v>68000</v>
      </c>
      <c r="F704" s="8">
        <v>0.028</v>
      </c>
      <c r="G704" s="11">
        <v>46117</v>
      </c>
      <c r="H704" s="12">
        <f t="shared" si="15"/>
        <v>1904</v>
      </c>
      <c r="I704" s="10" t="s">
        <v>10</v>
      </c>
      <c r="J704" s="13">
        <v>46139</v>
      </c>
      <c r="K704" t="s">
        <v>615</v>
      </c>
    </row>
    <row r="705" spans="1:11">
      <c r="A705" t="s">
        <v>319</v>
      </c>
      <c r="B705" s="8">
        <v>262700010</v>
      </c>
      <c r="C705" s="9">
        <v>46114</v>
      </c>
      <c r="D705" s="8" t="s">
        <v>648</v>
      </c>
      <c r="E705" s="10">
        <v>68000</v>
      </c>
      <c r="F705" s="8">
        <v>0.028</v>
      </c>
      <c r="G705" s="11">
        <v>46178</v>
      </c>
      <c r="H705" s="12">
        <f t="shared" si="15"/>
        <v>1904</v>
      </c>
      <c r="I705" s="10" t="s">
        <v>10</v>
      </c>
      <c r="J705" s="13">
        <v>46139</v>
      </c>
      <c r="K705" t="s">
        <v>615</v>
      </c>
    </row>
    <row r="706" spans="1:11">
      <c r="A706" t="s">
        <v>319</v>
      </c>
      <c r="B706" s="8">
        <v>262700010</v>
      </c>
      <c r="C706" s="9">
        <v>46114</v>
      </c>
      <c r="D706" s="8" t="s">
        <v>468</v>
      </c>
      <c r="E706" s="10">
        <v>68000</v>
      </c>
      <c r="F706" s="8">
        <v>0.028</v>
      </c>
      <c r="G706" s="11">
        <v>46117</v>
      </c>
      <c r="H706" s="12">
        <f t="shared" si="15"/>
        <v>1904</v>
      </c>
      <c r="I706" s="10" t="s">
        <v>10</v>
      </c>
      <c r="J706" s="13">
        <v>46157</v>
      </c>
      <c r="K706" t="s">
        <v>615</v>
      </c>
    </row>
    <row r="707" spans="1:11">
      <c r="A707" t="s">
        <v>319</v>
      </c>
      <c r="B707" s="8">
        <v>262700010</v>
      </c>
      <c r="C707" s="9">
        <v>46114</v>
      </c>
      <c r="D707" s="8" t="s">
        <v>468</v>
      </c>
      <c r="E707" s="10">
        <v>68000</v>
      </c>
      <c r="F707" s="8">
        <v>0.028</v>
      </c>
      <c r="G707" s="11">
        <v>46178</v>
      </c>
      <c r="H707" s="12">
        <f t="shared" si="15"/>
        <v>1904</v>
      </c>
      <c r="I707" s="10" t="s">
        <v>10</v>
      </c>
      <c r="J707" s="13">
        <v>46157</v>
      </c>
      <c r="K707" t="s">
        <v>615</v>
      </c>
    </row>
    <row r="708" spans="1:11">
      <c r="A708" t="s">
        <v>319</v>
      </c>
      <c r="B708" s="8">
        <v>262700010</v>
      </c>
      <c r="C708" s="9">
        <v>46114</v>
      </c>
      <c r="D708" s="8" t="s">
        <v>649</v>
      </c>
      <c r="E708" s="10">
        <v>52000</v>
      </c>
      <c r="F708" s="8">
        <v>0.028</v>
      </c>
      <c r="G708" s="11">
        <v>46117</v>
      </c>
      <c r="H708" s="12">
        <f t="shared" si="15"/>
        <v>1456</v>
      </c>
      <c r="I708" s="10" t="s">
        <v>10</v>
      </c>
      <c r="J708" s="13">
        <v>46139</v>
      </c>
      <c r="K708" t="s">
        <v>615</v>
      </c>
    </row>
    <row r="709" spans="1:11">
      <c r="A709" t="s">
        <v>319</v>
      </c>
      <c r="B709" s="8">
        <v>262700010</v>
      </c>
      <c r="C709" s="9">
        <v>46114</v>
      </c>
      <c r="D709" s="8" t="s">
        <v>649</v>
      </c>
      <c r="E709" s="10">
        <v>52000</v>
      </c>
      <c r="F709" s="8">
        <v>0.028</v>
      </c>
      <c r="G709" s="11">
        <v>46178</v>
      </c>
      <c r="H709" s="12">
        <f t="shared" si="15"/>
        <v>1456</v>
      </c>
      <c r="I709" s="10" t="s">
        <v>10</v>
      </c>
      <c r="J709" s="13">
        <v>46139</v>
      </c>
      <c r="K709" t="s">
        <v>615</v>
      </c>
    </row>
    <row r="710" spans="1:11">
      <c r="A710" t="s">
        <v>319</v>
      </c>
      <c r="B710" s="8">
        <v>262700021</v>
      </c>
      <c r="C710" s="9">
        <v>46113</v>
      </c>
      <c r="D710" s="8" t="s">
        <v>629</v>
      </c>
      <c r="E710" s="10">
        <v>40000</v>
      </c>
      <c r="F710" s="8">
        <v>0.03</v>
      </c>
      <c r="G710" s="11">
        <v>46147</v>
      </c>
      <c r="H710" s="12">
        <f t="shared" si="15"/>
        <v>1200</v>
      </c>
      <c r="I710" s="10" t="s">
        <v>10</v>
      </c>
      <c r="J710" s="13">
        <v>46163</v>
      </c>
      <c r="K710" t="s">
        <v>491</v>
      </c>
    </row>
    <row r="711" spans="1:11">
      <c r="A711" t="s">
        <v>319</v>
      </c>
      <c r="B711" s="8">
        <v>262700021</v>
      </c>
      <c r="C711" s="9">
        <v>46113</v>
      </c>
      <c r="D711" s="8" t="s">
        <v>629</v>
      </c>
      <c r="E711" s="10">
        <v>120000</v>
      </c>
      <c r="F711" s="8">
        <v>0.03</v>
      </c>
      <c r="G711" s="11">
        <v>46147</v>
      </c>
      <c r="H711" s="12">
        <f t="shared" si="15"/>
        <v>3600</v>
      </c>
      <c r="I711" s="10" t="s">
        <v>10</v>
      </c>
      <c r="J711" s="13">
        <v>46163</v>
      </c>
      <c r="K711" t="s">
        <v>491</v>
      </c>
    </row>
    <row r="712" spans="1:11">
      <c r="A712" t="s">
        <v>319</v>
      </c>
      <c r="B712" s="8">
        <v>262700022</v>
      </c>
      <c r="C712" s="9">
        <v>46113</v>
      </c>
      <c r="D712" s="8" t="s">
        <v>650</v>
      </c>
      <c r="E712" s="10">
        <v>22000</v>
      </c>
      <c r="F712" s="8">
        <v>0.0275</v>
      </c>
      <c r="G712" s="11">
        <v>46178</v>
      </c>
      <c r="H712" s="12">
        <f t="shared" si="15"/>
        <v>605</v>
      </c>
      <c r="I712" s="10" t="s">
        <v>10</v>
      </c>
      <c r="J712" s="13">
        <v>46185</v>
      </c>
      <c r="K712" t="s">
        <v>435</v>
      </c>
    </row>
    <row r="713" spans="1:11">
      <c r="A713" t="s">
        <v>319</v>
      </c>
      <c r="B713" s="8">
        <v>262700022</v>
      </c>
      <c r="C713" s="9">
        <v>46113</v>
      </c>
      <c r="D713" s="8" t="s">
        <v>650</v>
      </c>
      <c r="E713" s="10">
        <v>20000</v>
      </c>
      <c r="F713" s="8">
        <v>0.0275</v>
      </c>
      <c r="G713" s="11">
        <v>46178</v>
      </c>
      <c r="H713" s="12">
        <f t="shared" si="15"/>
        <v>550</v>
      </c>
      <c r="I713" s="10" t="s">
        <v>10</v>
      </c>
      <c r="J713" s="13">
        <v>46185</v>
      </c>
      <c r="K713" t="s">
        <v>435</v>
      </c>
    </row>
    <row r="714" spans="1:11">
      <c r="B714" s="14">
        <v>262700023</v>
      </c>
      <c r="C714" s="13">
        <v>46113</v>
      </c>
      <c r="D714" s="14" t="s">
        <v>57</v>
      </c>
      <c r="E714" s="15">
        <v>20000</v>
      </c>
      <c r="F714" s="14">
        <v>0.15</v>
      </c>
      <c r="G714" s="18">
        <v>46300</v>
      </c>
      <c r="H714" s="17">
        <f t="shared" si="15"/>
        <v>3000</v>
      </c>
      <c r="I714" s="15" t="s">
        <v>317</v>
      </c>
      <c r="J714" s="15"/>
      <c r="K714" t="s">
        <v>615</v>
      </c>
    </row>
    <row r="715" spans="1:11">
      <c r="A715" t="s">
        <v>319</v>
      </c>
      <c r="B715" s="8">
        <v>262700024</v>
      </c>
      <c r="C715" s="9">
        <v>46114</v>
      </c>
      <c r="D715" s="8" t="s">
        <v>242</v>
      </c>
      <c r="E715" s="10">
        <v>40000</v>
      </c>
      <c r="F715" s="8">
        <v>0.043</v>
      </c>
      <c r="G715" s="11">
        <v>46178</v>
      </c>
      <c r="H715" s="12">
        <f t="shared" si="15"/>
        <v>1720</v>
      </c>
      <c r="I715" s="10" t="s">
        <v>10</v>
      </c>
      <c r="J715" s="13">
        <v>46163</v>
      </c>
      <c r="K715" t="s">
        <v>491</v>
      </c>
    </row>
    <row r="716" spans="1:11">
      <c r="A716" t="s">
        <v>319</v>
      </c>
      <c r="B716" s="8">
        <v>262700024</v>
      </c>
      <c r="C716" s="9">
        <v>46114</v>
      </c>
      <c r="D716" s="8" t="s">
        <v>512</v>
      </c>
      <c r="E716" s="10">
        <v>23000</v>
      </c>
      <c r="F716" s="8">
        <v>0.031</v>
      </c>
      <c r="G716" s="11">
        <v>46178</v>
      </c>
      <c r="H716" s="12">
        <f t="shared" si="15"/>
        <v>713</v>
      </c>
      <c r="I716" s="10" t="s">
        <v>10</v>
      </c>
      <c r="J716" s="13">
        <v>46163</v>
      </c>
      <c r="K716" t="s">
        <v>491</v>
      </c>
    </row>
    <row r="717" spans="1:11">
      <c r="A717" t="s">
        <v>319</v>
      </c>
      <c r="B717" s="8">
        <v>262700024</v>
      </c>
      <c r="C717" s="9">
        <v>46114</v>
      </c>
      <c r="D717" s="8" t="s">
        <v>629</v>
      </c>
      <c r="E717" s="10">
        <v>80000</v>
      </c>
      <c r="F717" s="8">
        <v>0.03</v>
      </c>
      <c r="G717" s="11">
        <v>46178</v>
      </c>
      <c r="H717" s="12">
        <f t="shared" si="15"/>
        <v>2400</v>
      </c>
      <c r="I717" s="10" t="s">
        <v>10</v>
      </c>
      <c r="J717" s="13">
        <v>46163</v>
      </c>
      <c r="K717" t="s">
        <v>491</v>
      </c>
    </row>
    <row r="718" spans="1:11">
      <c r="A718" t="s">
        <v>319</v>
      </c>
      <c r="B718" s="8">
        <v>262700024</v>
      </c>
      <c r="C718" s="9">
        <v>46114</v>
      </c>
      <c r="D718" s="8" t="s">
        <v>629</v>
      </c>
      <c r="E718" s="10">
        <v>90000</v>
      </c>
      <c r="F718" s="8">
        <v>0.03</v>
      </c>
      <c r="G718" s="11">
        <v>46178</v>
      </c>
      <c r="H718" s="12">
        <f t="shared" si="15"/>
        <v>2700</v>
      </c>
      <c r="I718" s="10" t="s">
        <v>10</v>
      </c>
      <c r="J718" s="13">
        <v>46163</v>
      </c>
      <c r="K718" t="s">
        <v>491</v>
      </c>
    </row>
    <row r="719" spans="1:11">
      <c r="A719" t="s">
        <v>319</v>
      </c>
      <c r="B719" s="14">
        <v>262700025</v>
      </c>
      <c r="C719" s="13">
        <v>46114</v>
      </c>
      <c r="D719" s="14" t="s">
        <v>629</v>
      </c>
      <c r="E719" s="15">
        <v>90000</v>
      </c>
      <c r="F719" s="14">
        <v>0.03</v>
      </c>
      <c r="G719" s="18">
        <v>46239</v>
      </c>
      <c r="H719" s="17">
        <f t="shared" si="15"/>
        <v>2700</v>
      </c>
      <c r="I719" s="15" t="s">
        <v>317</v>
      </c>
      <c r="J719" s="15" t="s">
        <v>666</v>
      </c>
      <c r="K719" t="s">
        <v>491</v>
      </c>
    </row>
    <row r="720" spans="1:11">
      <c r="A720" t="s">
        <v>319</v>
      </c>
      <c r="B720" s="8">
        <v>262700026</v>
      </c>
      <c r="C720" s="9">
        <v>46114</v>
      </c>
      <c r="D720" s="8" t="s">
        <v>651</v>
      </c>
      <c r="E720" s="10">
        <v>46000</v>
      </c>
      <c r="F720" s="8">
        <v>0.025</v>
      </c>
      <c r="G720" s="11">
        <v>46239</v>
      </c>
      <c r="H720" s="12">
        <f t="shared" si="15"/>
        <v>1150</v>
      </c>
      <c r="I720" s="10" t="s">
        <v>10</v>
      </c>
      <c r="J720" s="13">
        <v>46139</v>
      </c>
      <c r="K720" t="s">
        <v>435</v>
      </c>
    </row>
    <row r="721" spans="1:11">
      <c r="A721" t="s">
        <v>319</v>
      </c>
      <c r="B721" s="8">
        <v>262700026</v>
      </c>
      <c r="C721" s="9">
        <v>46114</v>
      </c>
      <c r="D721" s="8" t="s">
        <v>652</v>
      </c>
      <c r="E721" s="10">
        <v>20000</v>
      </c>
      <c r="F721" s="8">
        <v>0.028</v>
      </c>
      <c r="G721" s="11">
        <v>46239</v>
      </c>
      <c r="H721" s="12">
        <f t="shared" si="15"/>
        <v>560</v>
      </c>
      <c r="I721" s="10" t="s">
        <v>10</v>
      </c>
      <c r="J721" s="13">
        <v>46139</v>
      </c>
      <c r="K721" t="s">
        <v>435</v>
      </c>
    </row>
    <row r="722" spans="1:11">
      <c r="A722" t="s">
        <v>319</v>
      </c>
      <c r="B722" s="14">
        <v>262700030</v>
      </c>
      <c r="C722" s="13">
        <v>46115</v>
      </c>
      <c r="D722" s="14" t="s">
        <v>45</v>
      </c>
      <c r="E722" s="15">
        <v>300000</v>
      </c>
      <c r="F722" s="14">
        <v>0.024</v>
      </c>
      <c r="G722" s="18">
        <v>46239</v>
      </c>
      <c r="H722" s="17">
        <f t="shared" si="15"/>
        <v>7200</v>
      </c>
      <c r="I722" s="15" t="s">
        <v>317</v>
      </c>
      <c r="J722" s="15" t="s">
        <v>666</v>
      </c>
      <c r="K722" t="s">
        <v>380</v>
      </c>
    </row>
    <row r="723" spans="1:11">
      <c r="A723" t="s">
        <v>319</v>
      </c>
      <c r="B723" s="14">
        <v>262700030</v>
      </c>
      <c r="C723" s="13">
        <v>46115</v>
      </c>
      <c r="D723" s="14" t="s">
        <v>45</v>
      </c>
      <c r="E723" s="15">
        <v>300000</v>
      </c>
      <c r="F723" s="14">
        <v>0.024</v>
      </c>
      <c r="G723" s="18">
        <v>46270</v>
      </c>
      <c r="H723" s="17">
        <f t="shared" si="15"/>
        <v>7200</v>
      </c>
      <c r="I723" s="15" t="s">
        <v>317</v>
      </c>
      <c r="J723" s="15" t="s">
        <v>666</v>
      </c>
      <c r="K723" t="s">
        <v>380</v>
      </c>
    </row>
    <row r="724" spans="1:11">
      <c r="A724" t="s">
        <v>319</v>
      </c>
      <c r="B724" s="14">
        <v>262700030</v>
      </c>
      <c r="C724" s="13">
        <v>46115</v>
      </c>
      <c r="D724" s="14" t="s">
        <v>40</v>
      </c>
      <c r="E724" s="15">
        <v>300000</v>
      </c>
      <c r="F724" s="14">
        <v>0.035</v>
      </c>
      <c r="G724" s="18">
        <v>46239</v>
      </c>
      <c r="H724" s="17">
        <f t="shared" si="15"/>
        <v>10500</v>
      </c>
      <c r="I724" s="15" t="s">
        <v>317</v>
      </c>
      <c r="J724" s="15" t="s">
        <v>666</v>
      </c>
      <c r="K724" t="s">
        <v>380</v>
      </c>
    </row>
    <row r="725" spans="1:11">
      <c r="A725" t="s">
        <v>319</v>
      </c>
      <c r="B725" s="14">
        <v>262700030</v>
      </c>
      <c r="C725" s="13">
        <v>46115</v>
      </c>
      <c r="D725" s="14" t="s">
        <v>163</v>
      </c>
      <c r="E725" s="15">
        <v>304000</v>
      </c>
      <c r="F725" s="14">
        <v>0.0025</v>
      </c>
      <c r="G725" s="18">
        <v>46239</v>
      </c>
      <c r="H725" s="17">
        <f t="shared" si="15"/>
        <v>760</v>
      </c>
      <c r="I725" s="15" t="s">
        <v>317</v>
      </c>
      <c r="J725" s="15" t="s">
        <v>666</v>
      </c>
      <c r="K725" t="s">
        <v>380</v>
      </c>
    </row>
    <row r="726" spans="1:11">
      <c r="A726" t="s">
        <v>319</v>
      </c>
      <c r="B726" s="8">
        <v>262700032</v>
      </c>
      <c r="C726" s="9">
        <v>46115</v>
      </c>
      <c r="D726" s="8" t="s">
        <v>45</v>
      </c>
      <c r="E726" s="10">
        <v>300000</v>
      </c>
      <c r="F726" s="8">
        <v>0.024</v>
      </c>
      <c r="G726" s="11">
        <v>46147</v>
      </c>
      <c r="H726" s="12">
        <f t="shared" si="15"/>
        <v>7200</v>
      </c>
      <c r="I726" s="10" t="s">
        <v>10</v>
      </c>
      <c r="J726" s="13">
        <v>46119</v>
      </c>
      <c r="K726" t="s">
        <v>380</v>
      </c>
    </row>
    <row r="727" spans="1:11">
      <c r="A727" t="s">
        <v>319</v>
      </c>
      <c r="B727" s="8">
        <v>262700032</v>
      </c>
      <c r="C727" s="9">
        <v>46115</v>
      </c>
      <c r="D727" s="8" t="s">
        <v>45</v>
      </c>
      <c r="E727" s="10">
        <v>300000</v>
      </c>
      <c r="F727" s="8">
        <v>0.024</v>
      </c>
      <c r="G727" s="11">
        <v>46147</v>
      </c>
      <c r="H727" s="12">
        <f t="shared" si="15"/>
        <v>7200</v>
      </c>
      <c r="I727" s="10" t="s">
        <v>10</v>
      </c>
      <c r="J727" s="13">
        <v>46119</v>
      </c>
      <c r="K727" t="s">
        <v>380</v>
      </c>
    </row>
    <row r="728" spans="1:11">
      <c r="A728" t="s">
        <v>319</v>
      </c>
      <c r="B728" s="8">
        <v>262700032</v>
      </c>
      <c r="C728" s="9">
        <v>46115</v>
      </c>
      <c r="D728" s="8" t="s">
        <v>45</v>
      </c>
      <c r="E728" s="10">
        <v>300000</v>
      </c>
      <c r="F728" s="8">
        <v>0.024</v>
      </c>
      <c r="G728" s="11">
        <v>46178</v>
      </c>
      <c r="H728" s="12">
        <f t="shared" si="15"/>
        <v>7200</v>
      </c>
      <c r="I728" s="10" t="s">
        <v>10</v>
      </c>
      <c r="J728" s="13">
        <v>46119</v>
      </c>
      <c r="K728" t="s">
        <v>380</v>
      </c>
    </row>
    <row r="729" spans="1:11">
      <c r="A729" t="s">
        <v>319</v>
      </c>
      <c r="B729" s="8">
        <v>262700032</v>
      </c>
      <c r="C729" s="9">
        <v>46115</v>
      </c>
      <c r="D729" s="8" t="s">
        <v>40</v>
      </c>
      <c r="E729" s="10">
        <v>300000</v>
      </c>
      <c r="F729" s="8">
        <v>0.035</v>
      </c>
      <c r="G729" s="11">
        <v>46147</v>
      </c>
      <c r="H729" s="12">
        <f t="shared" si="15"/>
        <v>10500</v>
      </c>
      <c r="I729" s="10" t="s">
        <v>10</v>
      </c>
      <c r="J729" s="13">
        <v>46125</v>
      </c>
      <c r="K729" t="s">
        <v>380</v>
      </c>
    </row>
    <row r="730" spans="1:11">
      <c r="A730" t="s">
        <v>319</v>
      </c>
      <c r="B730" s="8">
        <v>262700032</v>
      </c>
      <c r="C730" s="9">
        <v>46115</v>
      </c>
      <c r="D730" s="8" t="s">
        <v>40</v>
      </c>
      <c r="E730" s="10">
        <v>300000</v>
      </c>
      <c r="F730" s="8">
        <v>0.035</v>
      </c>
      <c r="G730" s="11">
        <v>46178</v>
      </c>
      <c r="H730" s="12">
        <f t="shared" si="15"/>
        <v>10500</v>
      </c>
      <c r="I730" s="10" t="s">
        <v>10</v>
      </c>
      <c r="J730" s="13">
        <v>46125</v>
      </c>
      <c r="K730" t="s">
        <v>380</v>
      </c>
    </row>
    <row r="731" spans="1:11">
      <c r="A731" t="s">
        <v>319</v>
      </c>
      <c r="B731" s="8">
        <v>262700032</v>
      </c>
      <c r="C731" s="9">
        <v>46115</v>
      </c>
      <c r="D731" s="8" t="s">
        <v>96</v>
      </c>
      <c r="E731" s="10">
        <v>208000</v>
      </c>
      <c r="F731" s="8">
        <v>0.003</v>
      </c>
      <c r="G731" s="11">
        <v>46147</v>
      </c>
      <c r="H731" s="12">
        <f t="shared" si="15"/>
        <v>624</v>
      </c>
      <c r="I731" s="10" t="s">
        <v>10</v>
      </c>
      <c r="J731" s="13">
        <v>46127</v>
      </c>
      <c r="K731" t="s">
        <v>380</v>
      </c>
    </row>
    <row r="732" spans="1:11">
      <c r="A732" t="s">
        <v>319</v>
      </c>
      <c r="B732" s="8">
        <v>262700032</v>
      </c>
      <c r="C732" s="9">
        <v>46115</v>
      </c>
      <c r="D732" s="8" t="s">
        <v>163</v>
      </c>
      <c r="E732" s="10">
        <v>288000</v>
      </c>
      <c r="F732" s="8">
        <v>0.0025</v>
      </c>
      <c r="G732" s="11">
        <v>46147</v>
      </c>
      <c r="H732" s="12">
        <f t="shared" si="15"/>
        <v>720</v>
      </c>
      <c r="I732" s="10" t="s">
        <v>10</v>
      </c>
      <c r="J732" s="13">
        <v>46119</v>
      </c>
      <c r="K732" t="s">
        <v>380</v>
      </c>
    </row>
    <row r="733" spans="1:11">
      <c r="A733" t="s">
        <v>319</v>
      </c>
      <c r="B733" s="8">
        <v>262700032</v>
      </c>
      <c r="C733" s="9">
        <v>46115</v>
      </c>
      <c r="D733" s="8" t="s">
        <v>163</v>
      </c>
      <c r="E733" s="10">
        <v>304000</v>
      </c>
      <c r="F733" s="8">
        <v>0.0025</v>
      </c>
      <c r="G733" s="11">
        <v>46147</v>
      </c>
      <c r="H733" s="12">
        <f t="shared" si="15"/>
        <v>760</v>
      </c>
      <c r="I733" s="10" t="s">
        <v>10</v>
      </c>
      <c r="J733" s="13">
        <v>46119</v>
      </c>
      <c r="K733" t="s">
        <v>380</v>
      </c>
    </row>
    <row r="734" spans="1:11">
      <c r="A734" t="s">
        <v>319</v>
      </c>
      <c r="B734" s="8">
        <v>262700032</v>
      </c>
      <c r="C734" s="9">
        <v>46115</v>
      </c>
      <c r="D734" s="8" t="s">
        <v>163</v>
      </c>
      <c r="E734" s="10">
        <v>304000</v>
      </c>
      <c r="F734" s="8">
        <v>0.0025</v>
      </c>
      <c r="G734" s="11">
        <v>46178</v>
      </c>
      <c r="H734" s="12">
        <f t="shared" si="15"/>
        <v>760</v>
      </c>
      <c r="I734" s="10" t="s">
        <v>10</v>
      </c>
      <c r="J734" s="13">
        <v>46119</v>
      </c>
      <c r="K734" t="s">
        <v>380</v>
      </c>
    </row>
    <row r="735" spans="1:11">
      <c r="A735" t="s">
        <v>319</v>
      </c>
      <c r="B735" s="8">
        <v>262700032</v>
      </c>
      <c r="C735" s="9">
        <v>46115</v>
      </c>
      <c r="D735" s="8" t="s">
        <v>163</v>
      </c>
      <c r="E735" s="10">
        <v>304000</v>
      </c>
      <c r="F735" s="8">
        <v>0.0025</v>
      </c>
      <c r="G735" s="11">
        <v>46178</v>
      </c>
      <c r="H735" s="12">
        <f t="shared" si="15"/>
        <v>760</v>
      </c>
      <c r="I735" s="10" t="s">
        <v>10</v>
      </c>
      <c r="J735" s="13">
        <v>46119</v>
      </c>
      <c r="K735" t="s">
        <v>380</v>
      </c>
    </row>
    <row r="736" spans="1:11">
      <c r="A736" t="s">
        <v>319</v>
      </c>
      <c r="B736" s="8">
        <v>262700033</v>
      </c>
      <c r="C736" s="9">
        <v>46115</v>
      </c>
      <c r="D736" s="8" t="s">
        <v>226</v>
      </c>
      <c r="E736" s="10">
        <v>200000</v>
      </c>
      <c r="F736" s="8">
        <v>0.065</v>
      </c>
      <c r="G736" s="11">
        <v>46147</v>
      </c>
      <c r="H736" s="12">
        <f t="shared" si="15"/>
        <v>13000</v>
      </c>
      <c r="I736" s="10" t="s">
        <v>10</v>
      </c>
      <c r="J736" s="13">
        <v>46132</v>
      </c>
      <c r="K736" t="s">
        <v>486</v>
      </c>
    </row>
    <row r="737" spans="1:11">
      <c r="A737" t="s">
        <v>319</v>
      </c>
      <c r="B737" s="8">
        <v>262700033</v>
      </c>
      <c r="C737" s="9">
        <v>46115</v>
      </c>
      <c r="D737" s="8" t="s">
        <v>226</v>
      </c>
      <c r="E737" s="10">
        <v>200000</v>
      </c>
      <c r="F737" s="8">
        <v>0.065</v>
      </c>
      <c r="G737" s="11">
        <v>46178</v>
      </c>
      <c r="H737" s="12">
        <f t="shared" si="15"/>
        <v>13000</v>
      </c>
      <c r="I737" s="10" t="s">
        <v>10</v>
      </c>
      <c r="J737" s="13">
        <v>46132</v>
      </c>
      <c r="K737" t="s">
        <v>486</v>
      </c>
    </row>
    <row r="738" spans="1:11">
      <c r="A738" t="s">
        <v>319</v>
      </c>
      <c r="B738" s="8">
        <v>262700034</v>
      </c>
      <c r="C738" s="9">
        <v>46115</v>
      </c>
      <c r="D738" s="8" t="s">
        <v>226</v>
      </c>
      <c r="E738" s="10">
        <v>200000</v>
      </c>
      <c r="F738" s="8">
        <v>0.065</v>
      </c>
      <c r="G738" s="11">
        <v>46208</v>
      </c>
      <c r="H738" s="12">
        <f t="shared" si="15"/>
        <v>13000</v>
      </c>
      <c r="I738" s="10" t="s">
        <v>10</v>
      </c>
      <c r="J738" s="13">
        <v>46184</v>
      </c>
      <c r="K738" t="s">
        <v>486</v>
      </c>
    </row>
    <row r="739" spans="1:11">
      <c r="B739" s="14">
        <v>262700062</v>
      </c>
      <c r="C739" s="13">
        <v>46115</v>
      </c>
      <c r="D739" s="14" t="s">
        <v>425</v>
      </c>
      <c r="E739" s="15">
        <v>70000</v>
      </c>
      <c r="F739" s="14">
        <v>0.07</v>
      </c>
      <c r="G739" s="18">
        <v>46270</v>
      </c>
      <c r="H739" s="17">
        <f t="shared" si="15"/>
        <v>4900</v>
      </c>
      <c r="I739" s="15" t="s">
        <v>317</v>
      </c>
      <c r="J739" s="15"/>
      <c r="K739" t="s">
        <v>489</v>
      </c>
    </row>
    <row r="740" spans="1:11">
      <c r="B740" s="14">
        <v>262700062</v>
      </c>
      <c r="C740" s="13">
        <v>46115</v>
      </c>
      <c r="D740" s="14" t="s">
        <v>425</v>
      </c>
      <c r="E740" s="15">
        <v>70000</v>
      </c>
      <c r="F740" s="14">
        <v>0.07</v>
      </c>
      <c r="G740" s="18">
        <v>46300</v>
      </c>
      <c r="H740" s="17">
        <f t="shared" si="15"/>
        <v>4900</v>
      </c>
      <c r="I740" s="15" t="s">
        <v>317</v>
      </c>
      <c r="J740" s="15"/>
      <c r="K740" t="s">
        <v>489</v>
      </c>
    </row>
    <row r="741" spans="1:11">
      <c r="A741" t="s">
        <v>319</v>
      </c>
      <c r="B741" s="8">
        <v>262700071</v>
      </c>
      <c r="C741" s="9">
        <v>46118</v>
      </c>
      <c r="D741" s="8" t="s">
        <v>246</v>
      </c>
      <c r="E741" s="10">
        <v>54000</v>
      </c>
      <c r="F741" s="8">
        <v>0.07</v>
      </c>
      <c r="G741" s="11">
        <v>46134</v>
      </c>
      <c r="H741" s="12">
        <f t="shared" si="15"/>
        <v>3780</v>
      </c>
      <c r="I741" s="10" t="s">
        <v>10</v>
      </c>
      <c r="J741" s="13">
        <v>46121</v>
      </c>
      <c r="K741" t="s">
        <v>337</v>
      </c>
    </row>
    <row r="742" spans="1:11">
      <c r="A742" t="s">
        <v>319</v>
      </c>
      <c r="B742" s="8">
        <v>262700071</v>
      </c>
      <c r="C742" s="9">
        <v>46118</v>
      </c>
      <c r="D742" s="8" t="s">
        <v>226</v>
      </c>
      <c r="E742" s="10">
        <v>250000</v>
      </c>
      <c r="F742" s="8">
        <v>0.065</v>
      </c>
      <c r="G742" s="11">
        <v>46134</v>
      </c>
      <c r="H742" s="12">
        <f t="shared" si="15"/>
        <v>16250</v>
      </c>
      <c r="I742" s="10" t="s">
        <v>10</v>
      </c>
      <c r="J742" s="13">
        <v>46126</v>
      </c>
      <c r="K742" t="s">
        <v>337</v>
      </c>
    </row>
    <row r="743" spans="1:11">
      <c r="A743" t="s">
        <v>319</v>
      </c>
      <c r="B743" s="8">
        <v>262700071</v>
      </c>
      <c r="C743" s="9">
        <v>46118</v>
      </c>
      <c r="D743" s="8" t="s">
        <v>226</v>
      </c>
      <c r="E743" s="10">
        <v>250000</v>
      </c>
      <c r="F743" s="8">
        <v>0.065</v>
      </c>
      <c r="G743" s="11">
        <v>46147</v>
      </c>
      <c r="H743" s="12">
        <f t="shared" si="15"/>
        <v>16250</v>
      </c>
      <c r="I743" s="10" t="s">
        <v>10</v>
      </c>
      <c r="J743" s="13">
        <v>46126</v>
      </c>
      <c r="K743" t="s">
        <v>337</v>
      </c>
    </row>
    <row r="744" spans="1:11">
      <c r="A744" t="s">
        <v>319</v>
      </c>
      <c r="B744" s="8">
        <v>262700071</v>
      </c>
      <c r="C744" s="9">
        <v>46118</v>
      </c>
      <c r="D744" s="8" t="s">
        <v>40</v>
      </c>
      <c r="E744" s="10">
        <v>250000</v>
      </c>
      <c r="F744" s="8">
        <v>0.035</v>
      </c>
      <c r="G744" s="11">
        <v>46147</v>
      </c>
      <c r="H744" s="12">
        <f t="shared" si="15"/>
        <v>8750</v>
      </c>
      <c r="I744" s="10" t="s">
        <v>10</v>
      </c>
      <c r="J744" s="13">
        <v>46126</v>
      </c>
      <c r="K744" t="s">
        <v>337</v>
      </c>
    </row>
    <row r="745" spans="1:11">
      <c r="A745" t="s">
        <v>319</v>
      </c>
      <c r="B745" s="8">
        <v>262700071</v>
      </c>
      <c r="C745" s="9">
        <v>46118</v>
      </c>
      <c r="D745" s="8" t="s">
        <v>40</v>
      </c>
      <c r="E745" s="10">
        <v>250000</v>
      </c>
      <c r="F745" s="8">
        <v>0.035</v>
      </c>
      <c r="G745" s="11">
        <v>46147</v>
      </c>
      <c r="H745" s="12">
        <f t="shared" si="15"/>
        <v>8750</v>
      </c>
      <c r="I745" s="10" t="s">
        <v>10</v>
      </c>
      <c r="J745" s="13">
        <v>46126</v>
      </c>
      <c r="K745" t="s">
        <v>337</v>
      </c>
    </row>
    <row r="746" spans="1:11">
      <c r="A746" t="s">
        <v>319</v>
      </c>
      <c r="B746" s="8">
        <v>262700071</v>
      </c>
      <c r="C746" s="9">
        <v>46118</v>
      </c>
      <c r="D746" s="8" t="s">
        <v>39</v>
      </c>
      <c r="E746" s="10">
        <v>300000</v>
      </c>
      <c r="F746" s="8">
        <v>0.022</v>
      </c>
      <c r="G746" s="11">
        <v>46134</v>
      </c>
      <c r="H746" s="12">
        <f t="shared" si="15"/>
        <v>6600</v>
      </c>
      <c r="I746" s="10" t="s">
        <v>10</v>
      </c>
      <c r="J746" s="13">
        <v>46121</v>
      </c>
      <c r="K746" t="s">
        <v>337</v>
      </c>
    </row>
    <row r="747" spans="1:11">
      <c r="A747" t="s">
        <v>319</v>
      </c>
      <c r="B747" s="8">
        <v>262700071</v>
      </c>
      <c r="C747" s="9">
        <v>46118</v>
      </c>
      <c r="D747" s="8" t="s">
        <v>39</v>
      </c>
      <c r="E747" s="10">
        <v>300000</v>
      </c>
      <c r="F747" s="8">
        <v>0.022</v>
      </c>
      <c r="G747" s="11">
        <v>46134</v>
      </c>
      <c r="H747" s="12">
        <f t="shared" si="15"/>
        <v>6600</v>
      </c>
      <c r="I747" s="10" t="s">
        <v>10</v>
      </c>
      <c r="J747" s="13">
        <v>46121</v>
      </c>
      <c r="K747" t="s">
        <v>337</v>
      </c>
    </row>
    <row r="748" spans="1:11">
      <c r="A748" t="s">
        <v>319</v>
      </c>
      <c r="B748" s="8">
        <v>262700071</v>
      </c>
      <c r="C748" s="9">
        <v>46118</v>
      </c>
      <c r="D748" s="8" t="s">
        <v>39</v>
      </c>
      <c r="E748" s="10">
        <v>300000</v>
      </c>
      <c r="F748" s="8">
        <v>0.022</v>
      </c>
      <c r="G748" s="11">
        <v>46147</v>
      </c>
      <c r="H748" s="12">
        <f t="shared" si="15"/>
        <v>6600</v>
      </c>
      <c r="I748" s="10" t="s">
        <v>10</v>
      </c>
      <c r="J748" s="13">
        <v>46121</v>
      </c>
      <c r="K748" t="s">
        <v>337</v>
      </c>
    </row>
    <row r="749" spans="1:11">
      <c r="A749" t="s">
        <v>319</v>
      </c>
      <c r="B749" s="8">
        <v>262700071</v>
      </c>
      <c r="C749" s="9">
        <v>46118</v>
      </c>
      <c r="D749" s="8" t="s">
        <v>39</v>
      </c>
      <c r="E749" s="10">
        <v>300000</v>
      </c>
      <c r="F749" s="8">
        <v>0.022</v>
      </c>
      <c r="G749" s="11">
        <v>46147</v>
      </c>
      <c r="H749" s="12">
        <f t="shared" si="15"/>
        <v>6600</v>
      </c>
      <c r="I749" s="10" t="s">
        <v>10</v>
      </c>
      <c r="J749" s="13">
        <v>46121</v>
      </c>
      <c r="K749" t="s">
        <v>337</v>
      </c>
    </row>
    <row r="750" spans="1:11">
      <c r="A750" t="s">
        <v>319</v>
      </c>
      <c r="B750" s="8">
        <v>262700101</v>
      </c>
      <c r="C750" s="9">
        <v>46120</v>
      </c>
      <c r="D750" s="8" t="s">
        <v>181</v>
      </c>
      <c r="E750" s="10">
        <v>200000</v>
      </c>
      <c r="F750" s="8">
        <v>0.0243</v>
      </c>
      <c r="G750" s="11">
        <v>46178</v>
      </c>
      <c r="H750" s="12">
        <f t="shared" si="15"/>
        <v>4860</v>
      </c>
      <c r="I750" s="10" t="s">
        <v>10</v>
      </c>
      <c r="J750" s="13">
        <v>46162</v>
      </c>
      <c r="K750" t="s">
        <v>435</v>
      </c>
    </row>
    <row r="751" spans="1:11">
      <c r="A751" t="s">
        <v>319</v>
      </c>
      <c r="B751" s="8">
        <v>262700101</v>
      </c>
      <c r="C751" s="9">
        <v>46120</v>
      </c>
      <c r="D751" s="8" t="s">
        <v>181</v>
      </c>
      <c r="E751" s="10">
        <v>200000</v>
      </c>
      <c r="F751" s="8">
        <v>0.0243</v>
      </c>
      <c r="G751" s="11">
        <v>46178</v>
      </c>
      <c r="H751" s="12">
        <f t="shared" si="15"/>
        <v>4860</v>
      </c>
      <c r="I751" s="10" t="s">
        <v>10</v>
      </c>
      <c r="J751" s="13">
        <v>46162</v>
      </c>
      <c r="K751" t="s">
        <v>435</v>
      </c>
    </row>
    <row r="752" spans="1:11">
      <c r="A752" t="s">
        <v>319</v>
      </c>
      <c r="B752" s="8">
        <v>262700101</v>
      </c>
      <c r="C752" s="9">
        <v>46120</v>
      </c>
      <c r="D752" s="8" t="s">
        <v>181</v>
      </c>
      <c r="E752" s="10">
        <v>200000</v>
      </c>
      <c r="F752" s="8">
        <v>0.0243</v>
      </c>
      <c r="G752" s="11">
        <v>46178</v>
      </c>
      <c r="H752" s="12">
        <f t="shared" si="15"/>
        <v>4860</v>
      </c>
      <c r="I752" s="10" t="s">
        <v>10</v>
      </c>
      <c r="J752" s="13">
        <v>46162</v>
      </c>
      <c r="K752" t="s">
        <v>435</v>
      </c>
    </row>
    <row r="753" spans="1:11">
      <c r="A753" t="s">
        <v>319</v>
      </c>
      <c r="B753" s="8">
        <v>262700101</v>
      </c>
      <c r="C753" s="9">
        <v>46120</v>
      </c>
      <c r="D753" s="8" t="s">
        <v>181</v>
      </c>
      <c r="E753" s="10">
        <v>200000</v>
      </c>
      <c r="F753" s="8">
        <v>0.0243</v>
      </c>
      <c r="G753" s="11">
        <v>46178</v>
      </c>
      <c r="H753" s="12">
        <f t="shared" si="15"/>
        <v>4860</v>
      </c>
      <c r="I753" s="10" t="s">
        <v>10</v>
      </c>
      <c r="J753" s="13">
        <v>46162</v>
      </c>
      <c r="K753" t="s">
        <v>435</v>
      </c>
    </row>
    <row r="754" spans="1:11">
      <c r="A754" t="s">
        <v>319</v>
      </c>
      <c r="B754" s="8">
        <v>262700101</v>
      </c>
      <c r="C754" s="9">
        <v>46120</v>
      </c>
      <c r="D754" s="8" t="s">
        <v>651</v>
      </c>
      <c r="E754" s="10">
        <v>54000</v>
      </c>
      <c r="F754" s="8">
        <v>0.025</v>
      </c>
      <c r="G754" s="11">
        <v>46147</v>
      </c>
      <c r="H754" s="12">
        <f t="shared" si="15"/>
        <v>1350</v>
      </c>
      <c r="I754" s="10" t="s">
        <v>10</v>
      </c>
      <c r="J754" s="13">
        <v>46157</v>
      </c>
      <c r="K754" t="s">
        <v>435</v>
      </c>
    </row>
    <row r="755" spans="1:11">
      <c r="A755" t="s">
        <v>319</v>
      </c>
      <c r="B755" s="8">
        <v>262700101</v>
      </c>
      <c r="C755" s="9">
        <v>46120</v>
      </c>
      <c r="D755" s="8" t="s">
        <v>651</v>
      </c>
      <c r="E755" s="10">
        <v>50000</v>
      </c>
      <c r="F755" s="8">
        <v>0.025</v>
      </c>
      <c r="G755" s="11">
        <v>46178</v>
      </c>
      <c r="H755" s="12">
        <f t="shared" si="15"/>
        <v>1250</v>
      </c>
      <c r="I755" s="10" t="s">
        <v>10</v>
      </c>
      <c r="J755" s="13">
        <v>46157</v>
      </c>
      <c r="K755" t="s">
        <v>435</v>
      </c>
    </row>
    <row r="756" spans="1:11">
      <c r="A756" t="s">
        <v>319</v>
      </c>
      <c r="B756" s="8">
        <v>262700101</v>
      </c>
      <c r="C756" s="9">
        <v>46120</v>
      </c>
      <c r="D756" s="8" t="s">
        <v>650</v>
      </c>
      <c r="E756" s="10">
        <v>30000</v>
      </c>
      <c r="F756" s="8">
        <v>0.0275</v>
      </c>
      <c r="G756" s="11">
        <v>46178</v>
      </c>
      <c r="H756" s="12">
        <f t="shared" si="15"/>
        <v>825</v>
      </c>
      <c r="I756" s="10" t="s">
        <v>10</v>
      </c>
      <c r="J756" s="13">
        <v>46185</v>
      </c>
      <c r="K756" t="s">
        <v>435</v>
      </c>
    </row>
    <row r="757" spans="1:11">
      <c r="A757" t="s">
        <v>319</v>
      </c>
      <c r="B757" s="8">
        <v>262700102</v>
      </c>
      <c r="C757" s="9">
        <v>46120</v>
      </c>
      <c r="D757" s="8" t="s">
        <v>289</v>
      </c>
      <c r="E757" s="10">
        <v>200000</v>
      </c>
      <c r="F757" s="8">
        <v>0.033</v>
      </c>
      <c r="G757" s="11">
        <v>46208</v>
      </c>
      <c r="H757" s="12">
        <f t="shared" si="15"/>
        <v>6600</v>
      </c>
      <c r="I757" s="10" t="s">
        <v>10</v>
      </c>
      <c r="J757" s="13">
        <v>46184</v>
      </c>
      <c r="K757" t="s">
        <v>435</v>
      </c>
    </row>
    <row r="758" spans="1:11">
      <c r="A758" t="s">
        <v>319</v>
      </c>
      <c r="B758" s="8">
        <v>262700102</v>
      </c>
      <c r="C758" s="9">
        <v>46120</v>
      </c>
      <c r="D758" s="8" t="s">
        <v>289</v>
      </c>
      <c r="E758" s="10">
        <v>200000</v>
      </c>
      <c r="F758" s="8">
        <v>0.033</v>
      </c>
      <c r="G758" s="11">
        <v>46239</v>
      </c>
      <c r="H758" s="12">
        <f t="shared" si="15"/>
        <v>6600</v>
      </c>
      <c r="I758" s="10" t="s">
        <v>10</v>
      </c>
      <c r="J758" s="13">
        <v>46184</v>
      </c>
      <c r="K758" t="s">
        <v>435</v>
      </c>
    </row>
    <row r="759" spans="1:11">
      <c r="A759" t="s">
        <v>319</v>
      </c>
      <c r="B759" s="8">
        <v>262700102</v>
      </c>
      <c r="C759" s="9">
        <v>46120</v>
      </c>
      <c r="D759" s="8" t="s">
        <v>289</v>
      </c>
      <c r="E759" s="10">
        <v>200000</v>
      </c>
      <c r="F759" s="8">
        <v>0.033</v>
      </c>
      <c r="G759" s="11">
        <v>46239</v>
      </c>
      <c r="H759" s="12">
        <f t="shared" ref="H759:H822" si="16">E759*F759</f>
        <v>6600</v>
      </c>
      <c r="I759" s="10" t="s">
        <v>10</v>
      </c>
      <c r="J759" s="13">
        <v>46184</v>
      </c>
      <c r="K759" t="s">
        <v>435</v>
      </c>
    </row>
    <row r="760" spans="1:11">
      <c r="A760" t="s">
        <v>319</v>
      </c>
      <c r="B760" s="8">
        <v>262700102</v>
      </c>
      <c r="C760" s="9">
        <v>46120</v>
      </c>
      <c r="D760" s="8" t="s">
        <v>289</v>
      </c>
      <c r="E760" s="10">
        <v>100000</v>
      </c>
      <c r="F760" s="8">
        <v>0.033</v>
      </c>
      <c r="G760" s="11">
        <v>46239</v>
      </c>
      <c r="H760" s="12">
        <f t="shared" si="16"/>
        <v>3300</v>
      </c>
      <c r="I760" s="10" t="s">
        <v>10</v>
      </c>
      <c r="J760" s="13">
        <v>46184</v>
      </c>
      <c r="K760" t="s">
        <v>435</v>
      </c>
    </row>
    <row r="761" spans="1:11">
      <c r="A761" t="s">
        <v>319</v>
      </c>
      <c r="B761" s="8">
        <v>262700102</v>
      </c>
      <c r="C761" s="9">
        <v>46120</v>
      </c>
      <c r="D761" s="8" t="s">
        <v>136</v>
      </c>
      <c r="E761" s="10">
        <v>200000</v>
      </c>
      <c r="F761" s="8">
        <v>0.028</v>
      </c>
      <c r="G761" s="11">
        <v>46208</v>
      </c>
      <c r="H761" s="12">
        <f t="shared" si="16"/>
        <v>5600</v>
      </c>
      <c r="I761" s="10" t="s">
        <v>10</v>
      </c>
      <c r="J761" s="13">
        <v>46184</v>
      </c>
      <c r="K761" t="s">
        <v>435</v>
      </c>
    </row>
    <row r="762" spans="1:11">
      <c r="A762" t="s">
        <v>319</v>
      </c>
      <c r="B762" s="8">
        <v>262700102</v>
      </c>
      <c r="C762" s="9">
        <v>46120</v>
      </c>
      <c r="D762" s="8" t="s">
        <v>136</v>
      </c>
      <c r="E762" s="10">
        <v>200000</v>
      </c>
      <c r="F762" s="8">
        <v>0.028</v>
      </c>
      <c r="G762" s="11">
        <v>46208</v>
      </c>
      <c r="H762" s="12">
        <f t="shared" si="16"/>
        <v>5600</v>
      </c>
      <c r="I762" s="10" t="s">
        <v>10</v>
      </c>
      <c r="J762" s="13">
        <v>46184</v>
      </c>
      <c r="K762" t="s">
        <v>435</v>
      </c>
    </row>
    <row r="763" spans="1:11">
      <c r="A763" t="s">
        <v>319</v>
      </c>
      <c r="B763" s="8">
        <v>262700102</v>
      </c>
      <c r="C763" s="9">
        <v>46120</v>
      </c>
      <c r="D763" s="8" t="s">
        <v>136</v>
      </c>
      <c r="E763" s="10">
        <v>200000</v>
      </c>
      <c r="F763" s="8">
        <v>0.028</v>
      </c>
      <c r="G763" s="11">
        <v>46239</v>
      </c>
      <c r="H763" s="12">
        <f t="shared" si="16"/>
        <v>5600</v>
      </c>
      <c r="I763" s="10" t="s">
        <v>10</v>
      </c>
      <c r="J763" s="13">
        <v>46184</v>
      </c>
      <c r="K763" t="s">
        <v>435</v>
      </c>
    </row>
    <row r="764" spans="1:11">
      <c r="A764" t="s">
        <v>319</v>
      </c>
      <c r="B764" s="8">
        <v>262700102</v>
      </c>
      <c r="C764" s="9">
        <v>46120</v>
      </c>
      <c r="D764" s="8" t="s">
        <v>136</v>
      </c>
      <c r="E764" s="10">
        <v>200000</v>
      </c>
      <c r="F764" s="8">
        <v>0.028</v>
      </c>
      <c r="G764" s="11">
        <v>46239</v>
      </c>
      <c r="H764" s="12">
        <f t="shared" si="16"/>
        <v>5600</v>
      </c>
      <c r="I764" s="10" t="s">
        <v>10</v>
      </c>
      <c r="J764" s="13">
        <v>46184</v>
      </c>
      <c r="K764" t="s">
        <v>435</v>
      </c>
    </row>
    <row r="765" spans="1:11">
      <c r="A765" t="s">
        <v>319</v>
      </c>
      <c r="B765" s="8">
        <v>262700102</v>
      </c>
      <c r="C765" s="9">
        <v>46120</v>
      </c>
      <c r="D765" s="8" t="s">
        <v>181</v>
      </c>
      <c r="E765" s="10">
        <v>200000</v>
      </c>
      <c r="F765" s="8">
        <v>0.0243</v>
      </c>
      <c r="G765" s="11">
        <v>46208</v>
      </c>
      <c r="H765" s="12">
        <f t="shared" si="16"/>
        <v>4860</v>
      </c>
      <c r="I765" s="10" t="s">
        <v>10</v>
      </c>
      <c r="J765" s="13">
        <v>46191</v>
      </c>
      <c r="K765" t="s">
        <v>435</v>
      </c>
    </row>
    <row r="766" spans="1:11">
      <c r="A766" t="s">
        <v>319</v>
      </c>
      <c r="B766" s="8">
        <v>262700102</v>
      </c>
      <c r="C766" s="9">
        <v>46120</v>
      </c>
      <c r="D766" s="8" t="s">
        <v>181</v>
      </c>
      <c r="E766" s="10">
        <v>200000</v>
      </c>
      <c r="F766" s="8">
        <v>0.0243</v>
      </c>
      <c r="G766" s="11">
        <v>46208</v>
      </c>
      <c r="H766" s="12">
        <f t="shared" si="16"/>
        <v>4860</v>
      </c>
      <c r="I766" s="10" t="s">
        <v>10</v>
      </c>
      <c r="J766" s="13">
        <v>46191</v>
      </c>
      <c r="K766" t="s">
        <v>435</v>
      </c>
    </row>
    <row r="767" spans="1:11">
      <c r="A767" t="s">
        <v>319</v>
      </c>
      <c r="B767" s="8">
        <v>262700103</v>
      </c>
      <c r="C767" s="9">
        <v>46120</v>
      </c>
      <c r="D767" s="8" t="s">
        <v>181</v>
      </c>
      <c r="E767" s="10">
        <v>200000</v>
      </c>
      <c r="F767" s="8">
        <v>0.0243</v>
      </c>
      <c r="G767" s="11">
        <v>46208</v>
      </c>
      <c r="H767" s="12">
        <f t="shared" si="16"/>
        <v>4860</v>
      </c>
      <c r="I767" s="10" t="s">
        <v>10</v>
      </c>
      <c r="J767" s="13">
        <v>46191</v>
      </c>
      <c r="K767" t="s">
        <v>435</v>
      </c>
    </row>
    <row r="768" spans="1:11">
      <c r="A768" t="s">
        <v>319</v>
      </c>
      <c r="B768" s="8">
        <v>262700103</v>
      </c>
      <c r="C768" s="9">
        <v>46120</v>
      </c>
      <c r="D768" s="8" t="s">
        <v>181</v>
      </c>
      <c r="E768" s="10">
        <v>200000</v>
      </c>
      <c r="F768" s="8">
        <v>0.0243</v>
      </c>
      <c r="G768" s="11">
        <v>46208</v>
      </c>
      <c r="H768" s="12">
        <f t="shared" si="16"/>
        <v>4860</v>
      </c>
      <c r="I768" s="10" t="s">
        <v>10</v>
      </c>
      <c r="J768" s="13">
        <v>46191</v>
      </c>
      <c r="K768" t="s">
        <v>435</v>
      </c>
    </row>
    <row r="769" spans="1:11">
      <c r="A769" t="s">
        <v>319</v>
      </c>
      <c r="B769" s="8">
        <v>262700103</v>
      </c>
      <c r="C769" s="9">
        <v>46120</v>
      </c>
      <c r="D769" s="8" t="s">
        <v>181</v>
      </c>
      <c r="E769" s="10">
        <v>200000</v>
      </c>
      <c r="F769" s="8">
        <v>0.0243</v>
      </c>
      <c r="G769" s="11">
        <v>46239</v>
      </c>
      <c r="H769" s="12">
        <f t="shared" si="16"/>
        <v>4860</v>
      </c>
      <c r="I769" s="10" t="s">
        <v>10</v>
      </c>
      <c r="J769" s="13">
        <v>46191</v>
      </c>
      <c r="K769" t="s">
        <v>435</v>
      </c>
    </row>
    <row r="770" spans="1:11">
      <c r="A770" t="s">
        <v>319</v>
      </c>
      <c r="B770" s="8">
        <v>262700103</v>
      </c>
      <c r="C770" s="9">
        <v>46120</v>
      </c>
      <c r="D770" s="8" t="s">
        <v>181</v>
      </c>
      <c r="E770" s="10">
        <v>200000</v>
      </c>
      <c r="F770" s="8">
        <v>0.0243</v>
      </c>
      <c r="G770" s="11">
        <v>46239</v>
      </c>
      <c r="H770" s="12">
        <f t="shared" si="16"/>
        <v>4860</v>
      </c>
      <c r="I770" s="10" t="s">
        <v>10</v>
      </c>
      <c r="J770" s="13">
        <v>46191</v>
      </c>
      <c r="K770" t="s">
        <v>435</v>
      </c>
    </row>
    <row r="771" spans="1:11">
      <c r="A771" t="s">
        <v>319</v>
      </c>
      <c r="B771" s="8">
        <v>262700103</v>
      </c>
      <c r="C771" s="9">
        <v>46120</v>
      </c>
      <c r="D771" s="8" t="s">
        <v>181</v>
      </c>
      <c r="E771" s="10">
        <v>200000</v>
      </c>
      <c r="F771" s="8">
        <v>0.0243</v>
      </c>
      <c r="G771" s="11">
        <v>46239</v>
      </c>
      <c r="H771" s="12">
        <f t="shared" si="16"/>
        <v>4860</v>
      </c>
      <c r="I771" s="10" t="s">
        <v>10</v>
      </c>
      <c r="J771" s="13">
        <v>46191</v>
      </c>
      <c r="K771" t="s">
        <v>435</v>
      </c>
    </row>
    <row r="772" spans="1:11">
      <c r="A772" t="s">
        <v>319</v>
      </c>
      <c r="B772" s="8">
        <v>262700103</v>
      </c>
      <c r="C772" s="9">
        <v>46120</v>
      </c>
      <c r="D772" s="8" t="s">
        <v>181</v>
      </c>
      <c r="E772" s="10">
        <v>200000</v>
      </c>
      <c r="F772" s="8">
        <v>0.0243</v>
      </c>
      <c r="G772" s="11">
        <v>46239</v>
      </c>
      <c r="H772" s="12">
        <f t="shared" si="16"/>
        <v>4860</v>
      </c>
      <c r="I772" s="10" t="s">
        <v>10</v>
      </c>
      <c r="J772" s="13">
        <v>46191</v>
      </c>
      <c r="K772" t="s">
        <v>435</v>
      </c>
    </row>
    <row r="773" spans="1:11">
      <c r="A773" t="s">
        <v>319</v>
      </c>
      <c r="B773" s="8">
        <v>262700103</v>
      </c>
      <c r="C773" s="9">
        <v>46120</v>
      </c>
      <c r="D773" s="8" t="s">
        <v>651</v>
      </c>
      <c r="E773" s="10">
        <v>50000</v>
      </c>
      <c r="F773" s="8">
        <v>0.025</v>
      </c>
      <c r="G773" s="11">
        <v>46208</v>
      </c>
      <c r="H773" s="12">
        <f t="shared" si="16"/>
        <v>1250</v>
      </c>
      <c r="I773" s="10" t="s">
        <v>10</v>
      </c>
      <c r="J773" s="13">
        <v>46184</v>
      </c>
      <c r="K773" t="s">
        <v>435</v>
      </c>
    </row>
    <row r="774" spans="1:11">
      <c r="A774" t="s">
        <v>319</v>
      </c>
      <c r="B774" s="8">
        <v>262700103</v>
      </c>
      <c r="C774" s="9">
        <v>46120</v>
      </c>
      <c r="D774" s="8" t="s">
        <v>603</v>
      </c>
      <c r="E774" s="10">
        <v>140000</v>
      </c>
      <c r="F774" s="8">
        <v>0.027</v>
      </c>
      <c r="G774" s="11">
        <v>46239</v>
      </c>
      <c r="H774" s="12">
        <f t="shared" si="16"/>
        <v>3780</v>
      </c>
      <c r="I774" s="10" t="s">
        <v>10</v>
      </c>
      <c r="J774" s="13">
        <v>46191</v>
      </c>
      <c r="K774" t="s">
        <v>435</v>
      </c>
    </row>
    <row r="775" spans="1:11">
      <c r="A775" t="s">
        <v>319</v>
      </c>
      <c r="B775" s="8">
        <v>262700103</v>
      </c>
      <c r="C775" s="9">
        <v>46120</v>
      </c>
      <c r="D775" s="8" t="s">
        <v>603</v>
      </c>
      <c r="E775" s="10">
        <v>140000</v>
      </c>
      <c r="F775" s="8">
        <v>0.027</v>
      </c>
      <c r="G775" s="11">
        <v>46239</v>
      </c>
      <c r="H775" s="12">
        <f t="shared" si="16"/>
        <v>3780</v>
      </c>
      <c r="I775" s="10" t="s">
        <v>10</v>
      </c>
      <c r="J775" s="13">
        <v>46191</v>
      </c>
      <c r="K775" t="s">
        <v>435</v>
      </c>
    </row>
    <row r="776" spans="1:11">
      <c r="A776" t="s">
        <v>319</v>
      </c>
      <c r="B776" s="8">
        <v>262700103</v>
      </c>
      <c r="C776" s="9">
        <v>46120</v>
      </c>
      <c r="D776" s="8" t="s">
        <v>602</v>
      </c>
      <c r="E776" s="10">
        <v>170000</v>
      </c>
      <c r="F776" s="8">
        <v>0.022</v>
      </c>
      <c r="G776" s="11">
        <v>46208</v>
      </c>
      <c r="H776" s="12">
        <f t="shared" si="16"/>
        <v>3740</v>
      </c>
      <c r="I776" s="10" t="s">
        <v>10</v>
      </c>
      <c r="J776" s="13">
        <v>46184</v>
      </c>
      <c r="K776" t="s">
        <v>435</v>
      </c>
    </row>
    <row r="777" spans="1:11">
      <c r="A777" t="s">
        <v>319</v>
      </c>
      <c r="B777" s="8">
        <v>262700103</v>
      </c>
      <c r="C777" s="9">
        <v>46120</v>
      </c>
      <c r="D777" s="8" t="s">
        <v>602</v>
      </c>
      <c r="E777" s="10">
        <v>170000</v>
      </c>
      <c r="F777" s="8">
        <v>0.022</v>
      </c>
      <c r="G777" s="11">
        <v>46239</v>
      </c>
      <c r="H777" s="12">
        <f t="shared" si="16"/>
        <v>3740</v>
      </c>
      <c r="I777" s="10" t="s">
        <v>10</v>
      </c>
      <c r="J777" s="13">
        <v>46184</v>
      </c>
      <c r="K777" t="s">
        <v>435</v>
      </c>
    </row>
    <row r="778" spans="1:11">
      <c r="B778" s="14">
        <v>262700105</v>
      </c>
      <c r="C778" s="13">
        <v>46120</v>
      </c>
      <c r="D778" s="14" t="s">
        <v>289</v>
      </c>
      <c r="E778" s="15">
        <v>200000</v>
      </c>
      <c r="F778" s="14">
        <v>0.033</v>
      </c>
      <c r="G778" s="18">
        <v>46270</v>
      </c>
      <c r="H778" s="17">
        <f t="shared" si="16"/>
        <v>6600</v>
      </c>
      <c r="I778" s="15" t="s">
        <v>317</v>
      </c>
      <c r="J778" s="15"/>
      <c r="K778" t="s">
        <v>435</v>
      </c>
    </row>
    <row r="779" spans="1:11">
      <c r="B779" s="14">
        <v>262700105</v>
      </c>
      <c r="C779" s="13">
        <v>46120</v>
      </c>
      <c r="D779" s="14" t="s">
        <v>289</v>
      </c>
      <c r="E779" s="15">
        <v>200000</v>
      </c>
      <c r="F779" s="14">
        <v>0.033</v>
      </c>
      <c r="G779" s="18">
        <v>46270</v>
      </c>
      <c r="H779" s="17">
        <f t="shared" si="16"/>
        <v>6600</v>
      </c>
      <c r="I779" s="15" t="s">
        <v>317</v>
      </c>
      <c r="J779" s="15"/>
      <c r="K779" t="s">
        <v>435</v>
      </c>
    </row>
    <row r="780" spans="1:11">
      <c r="B780" s="14">
        <v>262700105</v>
      </c>
      <c r="C780" s="13">
        <v>46120</v>
      </c>
      <c r="D780" s="14" t="s">
        <v>289</v>
      </c>
      <c r="E780" s="15">
        <v>100000</v>
      </c>
      <c r="F780" s="14">
        <v>0.033</v>
      </c>
      <c r="G780" s="18">
        <v>46270</v>
      </c>
      <c r="H780" s="17">
        <f t="shared" si="16"/>
        <v>3300</v>
      </c>
      <c r="I780" s="15" t="s">
        <v>317</v>
      </c>
      <c r="J780" s="15"/>
      <c r="K780" t="s">
        <v>435</v>
      </c>
    </row>
    <row r="781" spans="1:11">
      <c r="B781" s="14">
        <v>262700105</v>
      </c>
      <c r="C781" s="13">
        <v>46120</v>
      </c>
      <c r="D781" s="14" t="s">
        <v>136</v>
      </c>
      <c r="E781" s="15">
        <v>200000</v>
      </c>
      <c r="F781" s="14">
        <v>0.028</v>
      </c>
      <c r="G781" s="18">
        <v>46270</v>
      </c>
      <c r="H781" s="17">
        <f t="shared" si="16"/>
        <v>5600</v>
      </c>
      <c r="I781" s="15" t="s">
        <v>317</v>
      </c>
      <c r="J781" s="15"/>
      <c r="K781" t="s">
        <v>435</v>
      </c>
    </row>
    <row r="782" spans="1:11">
      <c r="B782" s="14">
        <v>262700105</v>
      </c>
      <c r="C782" s="13">
        <v>46120</v>
      </c>
      <c r="D782" s="14" t="s">
        <v>136</v>
      </c>
      <c r="E782" s="15">
        <v>200000</v>
      </c>
      <c r="F782" s="14">
        <v>0.028</v>
      </c>
      <c r="G782" s="18">
        <v>46270</v>
      </c>
      <c r="H782" s="17">
        <f t="shared" si="16"/>
        <v>5600</v>
      </c>
      <c r="I782" s="15" t="s">
        <v>317</v>
      </c>
      <c r="J782" s="15"/>
      <c r="K782" t="s">
        <v>435</v>
      </c>
    </row>
    <row r="783" spans="1:11">
      <c r="B783" s="14">
        <v>262700105</v>
      </c>
      <c r="C783" s="13">
        <v>46120</v>
      </c>
      <c r="D783" s="14" t="s">
        <v>181</v>
      </c>
      <c r="E783" s="15">
        <v>200000</v>
      </c>
      <c r="F783" s="14">
        <v>0.0243</v>
      </c>
      <c r="G783" s="18">
        <v>46270</v>
      </c>
      <c r="H783" s="17">
        <f t="shared" si="16"/>
        <v>4860</v>
      </c>
      <c r="I783" s="15" t="s">
        <v>317</v>
      </c>
      <c r="J783" s="15"/>
      <c r="K783" t="s">
        <v>435</v>
      </c>
    </row>
    <row r="784" spans="1:11">
      <c r="B784" s="14">
        <v>262700105</v>
      </c>
      <c r="C784" s="13">
        <v>46120</v>
      </c>
      <c r="D784" s="14" t="s">
        <v>181</v>
      </c>
      <c r="E784" s="15">
        <v>200000</v>
      </c>
      <c r="F784" s="14">
        <v>0.0243</v>
      </c>
      <c r="G784" s="18">
        <v>46270</v>
      </c>
      <c r="H784" s="17">
        <f t="shared" si="16"/>
        <v>4860</v>
      </c>
      <c r="I784" s="15" t="s">
        <v>317</v>
      </c>
      <c r="J784" s="15"/>
      <c r="K784" t="s">
        <v>435</v>
      </c>
    </row>
    <row r="785" spans="1:11">
      <c r="B785" s="14">
        <v>262700105</v>
      </c>
      <c r="C785" s="13">
        <v>46120</v>
      </c>
      <c r="D785" s="14" t="s">
        <v>181</v>
      </c>
      <c r="E785" s="15">
        <v>200000</v>
      </c>
      <c r="F785" s="14">
        <v>0.0243</v>
      </c>
      <c r="G785" s="18">
        <v>46270</v>
      </c>
      <c r="H785" s="17">
        <f t="shared" si="16"/>
        <v>4860</v>
      </c>
      <c r="I785" s="15" t="s">
        <v>317</v>
      </c>
      <c r="J785" s="15"/>
      <c r="K785" t="s">
        <v>435</v>
      </c>
    </row>
    <row r="786" spans="1:11">
      <c r="B786" s="14">
        <v>262700105</v>
      </c>
      <c r="C786" s="13">
        <v>46120</v>
      </c>
      <c r="D786" s="14" t="s">
        <v>181</v>
      </c>
      <c r="E786" s="15">
        <v>200000</v>
      </c>
      <c r="F786" s="14">
        <v>0.0243</v>
      </c>
      <c r="G786" s="18">
        <v>46270</v>
      </c>
      <c r="H786" s="17">
        <f t="shared" si="16"/>
        <v>4860</v>
      </c>
      <c r="I786" s="15" t="s">
        <v>317</v>
      </c>
      <c r="J786" s="15"/>
      <c r="K786" t="s">
        <v>435</v>
      </c>
    </row>
    <row r="787" spans="1:11">
      <c r="B787" s="14">
        <v>262700105</v>
      </c>
      <c r="C787" s="13">
        <v>46120</v>
      </c>
      <c r="D787" s="14" t="s">
        <v>603</v>
      </c>
      <c r="E787" s="15">
        <v>140000</v>
      </c>
      <c r="F787" s="14">
        <v>0.027</v>
      </c>
      <c r="G787" s="18">
        <v>46270</v>
      </c>
      <c r="H787" s="17">
        <f t="shared" si="16"/>
        <v>3780</v>
      </c>
      <c r="I787" s="15" t="s">
        <v>317</v>
      </c>
      <c r="J787" s="15"/>
      <c r="K787" t="s">
        <v>435</v>
      </c>
    </row>
    <row r="788" spans="1:11">
      <c r="B788" s="14">
        <v>262700105</v>
      </c>
      <c r="C788" s="13">
        <v>46120</v>
      </c>
      <c r="D788" s="14" t="s">
        <v>603</v>
      </c>
      <c r="E788" s="15">
        <v>140000</v>
      </c>
      <c r="F788" s="14">
        <v>0.027</v>
      </c>
      <c r="G788" s="18">
        <v>46270</v>
      </c>
      <c r="H788" s="17">
        <f t="shared" si="16"/>
        <v>3780</v>
      </c>
      <c r="I788" s="15" t="s">
        <v>317</v>
      </c>
      <c r="J788" s="15"/>
      <c r="K788" t="s">
        <v>435</v>
      </c>
    </row>
    <row r="789" spans="1:11">
      <c r="B789" s="14">
        <v>262700105</v>
      </c>
      <c r="C789" s="13">
        <v>46120</v>
      </c>
      <c r="D789" s="14" t="s">
        <v>602</v>
      </c>
      <c r="E789" s="15">
        <v>170000</v>
      </c>
      <c r="F789" s="14">
        <v>0.022</v>
      </c>
      <c r="G789" s="18">
        <v>46270</v>
      </c>
      <c r="H789" s="17">
        <f t="shared" si="16"/>
        <v>3740</v>
      </c>
      <c r="I789" s="15" t="s">
        <v>317</v>
      </c>
      <c r="J789" s="15"/>
      <c r="K789" t="s">
        <v>435</v>
      </c>
    </row>
    <row r="790" spans="1:11">
      <c r="A790" t="s">
        <v>319</v>
      </c>
      <c r="B790" s="8">
        <v>262700136</v>
      </c>
      <c r="C790" s="9">
        <v>46122</v>
      </c>
      <c r="D790" s="8" t="s">
        <v>181</v>
      </c>
      <c r="E790" s="10">
        <v>90000</v>
      </c>
      <c r="F790" s="8">
        <v>0.0243</v>
      </c>
      <c r="G790" s="11">
        <v>46134</v>
      </c>
      <c r="H790" s="12">
        <f t="shared" si="16"/>
        <v>2187</v>
      </c>
      <c r="I790" s="10" t="s">
        <v>10</v>
      </c>
      <c r="J790" s="13">
        <v>46157</v>
      </c>
      <c r="K790" t="s">
        <v>493</v>
      </c>
    </row>
    <row r="791" spans="1:11">
      <c r="A791" t="s">
        <v>319</v>
      </c>
      <c r="B791" s="8">
        <v>262700136</v>
      </c>
      <c r="C791" s="9">
        <v>46122</v>
      </c>
      <c r="D791" s="8" t="s">
        <v>58</v>
      </c>
      <c r="E791" s="10">
        <v>20000</v>
      </c>
      <c r="F791" s="8">
        <v>0.014</v>
      </c>
      <c r="G791" s="11">
        <v>46134</v>
      </c>
      <c r="H791" s="12">
        <f t="shared" si="16"/>
        <v>280</v>
      </c>
      <c r="I791" s="10" t="s">
        <v>10</v>
      </c>
      <c r="J791" s="13">
        <v>46157</v>
      </c>
      <c r="K791" t="s">
        <v>493</v>
      </c>
    </row>
    <row r="792" spans="1:11">
      <c r="A792" t="s">
        <v>319</v>
      </c>
      <c r="B792" s="8">
        <v>262700162</v>
      </c>
      <c r="C792" s="9">
        <v>46126</v>
      </c>
      <c r="D792" s="8" t="s">
        <v>233</v>
      </c>
      <c r="E792" s="10">
        <v>250000</v>
      </c>
      <c r="F792" s="8">
        <v>0.15</v>
      </c>
      <c r="G792" s="11">
        <v>46134</v>
      </c>
      <c r="H792" s="12">
        <f t="shared" si="16"/>
        <v>37500</v>
      </c>
      <c r="I792" s="10" t="s">
        <v>10</v>
      </c>
      <c r="J792" s="13">
        <v>46126</v>
      </c>
      <c r="K792" t="s">
        <v>337</v>
      </c>
    </row>
    <row r="793" spans="1:11">
      <c r="A793" t="s">
        <v>319</v>
      </c>
      <c r="B793" s="8">
        <v>262700162</v>
      </c>
      <c r="C793" s="9">
        <v>46126</v>
      </c>
      <c r="D793" s="8" t="s">
        <v>233</v>
      </c>
      <c r="E793" s="10">
        <v>250000</v>
      </c>
      <c r="F793" s="8">
        <v>0.15</v>
      </c>
      <c r="G793" s="11">
        <v>46178</v>
      </c>
      <c r="H793" s="12">
        <f t="shared" si="16"/>
        <v>37500</v>
      </c>
      <c r="I793" s="10" t="s">
        <v>10</v>
      </c>
      <c r="J793" s="13">
        <v>46126</v>
      </c>
      <c r="K793" t="s">
        <v>337</v>
      </c>
    </row>
    <row r="794" spans="1:11">
      <c r="A794" t="s">
        <v>319</v>
      </c>
      <c r="B794" s="8">
        <v>262700175</v>
      </c>
      <c r="C794" s="9">
        <v>46126</v>
      </c>
      <c r="D794" s="8" t="s">
        <v>70</v>
      </c>
      <c r="E794" s="10">
        <v>20000</v>
      </c>
      <c r="F794" s="8">
        <v>0.028</v>
      </c>
      <c r="G794" s="11">
        <v>46147</v>
      </c>
      <c r="H794" s="12">
        <f t="shared" si="16"/>
        <v>560</v>
      </c>
      <c r="I794" s="10" t="s">
        <v>10</v>
      </c>
      <c r="J794" s="13">
        <v>46132</v>
      </c>
      <c r="K794" t="s">
        <v>391</v>
      </c>
    </row>
    <row r="795" spans="1:11">
      <c r="A795" t="s">
        <v>319</v>
      </c>
      <c r="B795" s="8">
        <v>262700175</v>
      </c>
      <c r="C795" s="9">
        <v>46126</v>
      </c>
      <c r="D795" s="8" t="s">
        <v>70</v>
      </c>
      <c r="E795" s="10">
        <v>20000</v>
      </c>
      <c r="F795" s="8">
        <v>0.028</v>
      </c>
      <c r="G795" s="11">
        <v>46178</v>
      </c>
      <c r="H795" s="12">
        <f t="shared" si="16"/>
        <v>560</v>
      </c>
      <c r="I795" s="10" t="s">
        <v>10</v>
      </c>
      <c r="J795" s="13">
        <v>46132</v>
      </c>
      <c r="K795" t="s">
        <v>391</v>
      </c>
    </row>
    <row r="796" spans="1:11">
      <c r="B796" s="14">
        <v>262700176</v>
      </c>
      <c r="C796" s="13">
        <v>46126</v>
      </c>
      <c r="D796" s="14" t="s">
        <v>70</v>
      </c>
      <c r="E796" s="15">
        <v>20000</v>
      </c>
      <c r="F796" s="14">
        <v>0.028</v>
      </c>
      <c r="G796" s="18">
        <v>46270</v>
      </c>
      <c r="H796" s="17">
        <f t="shared" si="16"/>
        <v>560</v>
      </c>
      <c r="I796" s="15" t="s">
        <v>317</v>
      </c>
      <c r="J796" s="15"/>
      <c r="K796" t="s">
        <v>391</v>
      </c>
    </row>
    <row r="797" spans="1:11">
      <c r="B797" s="14">
        <v>262700202</v>
      </c>
      <c r="C797" s="13">
        <v>46128</v>
      </c>
      <c r="D797" s="14" t="s">
        <v>285</v>
      </c>
      <c r="E797" s="15">
        <v>42000</v>
      </c>
      <c r="F797" s="14">
        <v>0.02</v>
      </c>
      <c r="G797" s="18">
        <v>46270</v>
      </c>
      <c r="H797" s="17">
        <f t="shared" si="16"/>
        <v>840</v>
      </c>
      <c r="I797" s="15" t="s">
        <v>317</v>
      </c>
      <c r="J797" s="15"/>
      <c r="K797" t="s">
        <v>469</v>
      </c>
    </row>
    <row r="798" spans="1:11">
      <c r="B798" s="14">
        <v>262700202</v>
      </c>
      <c r="C798" s="13">
        <v>46128</v>
      </c>
      <c r="D798" s="14" t="s">
        <v>285</v>
      </c>
      <c r="E798" s="15">
        <v>42000</v>
      </c>
      <c r="F798" s="14">
        <v>0.02</v>
      </c>
      <c r="G798" s="18">
        <v>46300</v>
      </c>
      <c r="H798" s="17">
        <f t="shared" si="16"/>
        <v>840</v>
      </c>
      <c r="I798" s="15" t="s">
        <v>317</v>
      </c>
      <c r="J798" s="15"/>
      <c r="K798" t="s">
        <v>469</v>
      </c>
    </row>
    <row r="799" spans="1:11">
      <c r="B799" s="14">
        <v>262700202</v>
      </c>
      <c r="C799" s="13">
        <v>46128</v>
      </c>
      <c r="D799" s="14" t="s">
        <v>286</v>
      </c>
      <c r="E799" s="15">
        <v>42000</v>
      </c>
      <c r="F799" s="14">
        <v>0.0235</v>
      </c>
      <c r="G799" s="18">
        <v>46270</v>
      </c>
      <c r="H799" s="17">
        <f t="shared" si="16"/>
        <v>987</v>
      </c>
      <c r="I799" s="15" t="s">
        <v>317</v>
      </c>
      <c r="J799" s="15"/>
      <c r="K799" t="s">
        <v>469</v>
      </c>
    </row>
    <row r="800" spans="1:11">
      <c r="B800" s="14">
        <v>262700202</v>
      </c>
      <c r="C800" s="13">
        <v>46128</v>
      </c>
      <c r="D800" s="14" t="s">
        <v>465</v>
      </c>
      <c r="E800" s="15">
        <v>42000</v>
      </c>
      <c r="F800" s="14">
        <v>0.018</v>
      </c>
      <c r="G800" s="18">
        <v>46270</v>
      </c>
      <c r="H800" s="17">
        <f t="shared" si="16"/>
        <v>756</v>
      </c>
      <c r="I800" s="15" t="s">
        <v>317</v>
      </c>
      <c r="J800" s="15"/>
      <c r="K800" t="s">
        <v>469</v>
      </c>
    </row>
    <row r="801" spans="1:11">
      <c r="B801" s="14">
        <v>262700202</v>
      </c>
      <c r="C801" s="13">
        <v>46128</v>
      </c>
      <c r="D801" s="14" t="s">
        <v>288</v>
      </c>
      <c r="E801" s="15">
        <v>84000</v>
      </c>
      <c r="F801" s="14">
        <v>0.022</v>
      </c>
      <c r="G801" s="18">
        <v>46270</v>
      </c>
      <c r="H801" s="17">
        <f t="shared" si="16"/>
        <v>1848</v>
      </c>
      <c r="I801" s="15" t="s">
        <v>317</v>
      </c>
      <c r="J801" s="15"/>
      <c r="K801" t="s">
        <v>469</v>
      </c>
    </row>
    <row r="802" spans="1:11">
      <c r="B802" s="14">
        <v>262700202</v>
      </c>
      <c r="C802" s="13">
        <v>46128</v>
      </c>
      <c r="D802" s="14" t="s">
        <v>165</v>
      </c>
      <c r="E802" s="15">
        <v>15000</v>
      </c>
      <c r="F802" s="14">
        <v>0.018</v>
      </c>
      <c r="G802" s="18">
        <v>46270</v>
      </c>
      <c r="H802" s="17">
        <f t="shared" si="16"/>
        <v>270</v>
      </c>
      <c r="I802" s="15" t="s">
        <v>317</v>
      </c>
      <c r="J802" s="15"/>
      <c r="K802" t="s">
        <v>469</v>
      </c>
    </row>
    <row r="803" spans="1:11">
      <c r="B803" s="14">
        <v>262700202</v>
      </c>
      <c r="C803" s="13">
        <v>46128</v>
      </c>
      <c r="D803" s="14" t="s">
        <v>164</v>
      </c>
      <c r="E803" s="15">
        <v>12000</v>
      </c>
      <c r="F803" s="14">
        <v>0.0106</v>
      </c>
      <c r="G803" s="18">
        <v>46270</v>
      </c>
      <c r="H803" s="17">
        <f t="shared" si="16"/>
        <v>127.2</v>
      </c>
      <c r="I803" s="15" t="s">
        <v>317</v>
      </c>
      <c r="J803" s="15"/>
      <c r="K803" t="s">
        <v>469</v>
      </c>
    </row>
    <row r="804" spans="1:11">
      <c r="B804" s="14">
        <v>262700202</v>
      </c>
      <c r="C804" s="13">
        <v>46128</v>
      </c>
      <c r="D804" s="14" t="s">
        <v>622</v>
      </c>
      <c r="E804" s="15">
        <v>18000</v>
      </c>
      <c r="F804" s="14">
        <v>0.018</v>
      </c>
      <c r="G804" s="18">
        <v>46270</v>
      </c>
      <c r="H804" s="17">
        <f t="shared" si="16"/>
        <v>324</v>
      </c>
      <c r="I804" s="15" t="s">
        <v>317</v>
      </c>
      <c r="J804" s="15"/>
      <c r="K804" t="s">
        <v>469</v>
      </c>
    </row>
    <row r="805" spans="1:11">
      <c r="A805" t="s">
        <v>319</v>
      </c>
      <c r="B805" s="8">
        <v>262700244</v>
      </c>
      <c r="C805" s="9">
        <v>46132</v>
      </c>
      <c r="D805" s="8" t="s">
        <v>46</v>
      </c>
      <c r="E805" s="10">
        <v>300000</v>
      </c>
      <c r="F805" s="8">
        <v>0.02</v>
      </c>
      <c r="G805" s="11">
        <v>46134</v>
      </c>
      <c r="H805" s="12">
        <f t="shared" si="16"/>
        <v>6000</v>
      </c>
      <c r="I805" s="10" t="s">
        <v>10</v>
      </c>
      <c r="J805" s="13">
        <v>46139</v>
      </c>
      <c r="K805" t="s">
        <v>377</v>
      </c>
    </row>
    <row r="806" spans="1:11">
      <c r="A806" t="s">
        <v>319</v>
      </c>
      <c r="B806" s="8">
        <v>262700244</v>
      </c>
      <c r="C806" s="9">
        <v>46132</v>
      </c>
      <c r="D806" s="8" t="s">
        <v>46</v>
      </c>
      <c r="E806" s="10">
        <v>300000</v>
      </c>
      <c r="F806" s="8">
        <v>0.02</v>
      </c>
      <c r="G806" s="11">
        <v>46134</v>
      </c>
      <c r="H806" s="12">
        <f t="shared" si="16"/>
        <v>6000</v>
      </c>
      <c r="I806" s="10" t="s">
        <v>10</v>
      </c>
      <c r="J806" s="13">
        <v>46139</v>
      </c>
      <c r="K806" t="s">
        <v>377</v>
      </c>
    </row>
    <row r="807" spans="1:11">
      <c r="A807" t="s">
        <v>319</v>
      </c>
      <c r="B807" s="8">
        <v>262700244</v>
      </c>
      <c r="C807" s="9">
        <v>46132</v>
      </c>
      <c r="D807" s="8" t="s">
        <v>46</v>
      </c>
      <c r="E807" s="10">
        <v>300000</v>
      </c>
      <c r="F807" s="8">
        <v>0.02</v>
      </c>
      <c r="G807" s="11">
        <v>46147</v>
      </c>
      <c r="H807" s="12">
        <f t="shared" si="16"/>
        <v>6000</v>
      </c>
      <c r="I807" s="10" t="s">
        <v>10</v>
      </c>
      <c r="J807" s="13">
        <v>46139</v>
      </c>
      <c r="K807" t="s">
        <v>377</v>
      </c>
    </row>
    <row r="808" spans="1:11">
      <c r="A808" t="s">
        <v>319</v>
      </c>
      <c r="B808" s="8">
        <v>262700244</v>
      </c>
      <c r="C808" s="9">
        <v>46132</v>
      </c>
      <c r="D808" s="8" t="s">
        <v>38</v>
      </c>
      <c r="E808" s="10">
        <v>100000</v>
      </c>
      <c r="F808" s="8">
        <v>0.01</v>
      </c>
      <c r="G808" s="11">
        <v>46134</v>
      </c>
      <c r="H808" s="12">
        <f t="shared" si="16"/>
        <v>1000</v>
      </c>
      <c r="I808" s="10" t="s">
        <v>10</v>
      </c>
      <c r="J808" s="13">
        <v>46139</v>
      </c>
      <c r="K808" t="s">
        <v>377</v>
      </c>
    </row>
    <row r="809" spans="1:11">
      <c r="A809" t="s">
        <v>319</v>
      </c>
      <c r="B809" s="8">
        <v>262700244</v>
      </c>
      <c r="C809" s="9">
        <v>46132</v>
      </c>
      <c r="D809" s="8" t="s">
        <v>38</v>
      </c>
      <c r="E809" s="10">
        <v>100000</v>
      </c>
      <c r="F809" s="8">
        <v>0.01</v>
      </c>
      <c r="G809" s="11">
        <v>46147</v>
      </c>
      <c r="H809" s="12">
        <f t="shared" si="16"/>
        <v>1000</v>
      </c>
      <c r="I809" s="10" t="s">
        <v>10</v>
      </c>
      <c r="J809" s="13">
        <v>46139</v>
      </c>
      <c r="K809" t="s">
        <v>377</v>
      </c>
    </row>
    <row r="810" spans="1:11">
      <c r="A810" t="s">
        <v>319</v>
      </c>
      <c r="B810" s="8">
        <v>262700244</v>
      </c>
      <c r="C810" s="9">
        <v>46132</v>
      </c>
      <c r="D810" s="8" t="s">
        <v>511</v>
      </c>
      <c r="E810" s="10">
        <v>120000</v>
      </c>
      <c r="F810" s="8">
        <v>0.041</v>
      </c>
      <c r="G810" s="11">
        <v>46134</v>
      </c>
      <c r="H810" s="12">
        <f t="shared" si="16"/>
        <v>4920</v>
      </c>
      <c r="I810" s="10" t="s">
        <v>10</v>
      </c>
      <c r="J810" s="13">
        <v>46139</v>
      </c>
      <c r="K810" t="s">
        <v>377</v>
      </c>
    </row>
    <row r="811" spans="1:11">
      <c r="A811" t="s">
        <v>319</v>
      </c>
      <c r="B811" s="8">
        <v>262700244</v>
      </c>
      <c r="C811" s="9">
        <v>46132</v>
      </c>
      <c r="D811" s="8" t="s">
        <v>511</v>
      </c>
      <c r="E811" s="10">
        <v>120000</v>
      </c>
      <c r="F811" s="8">
        <v>0.041</v>
      </c>
      <c r="G811" s="11">
        <v>46147</v>
      </c>
      <c r="H811" s="12">
        <f t="shared" si="16"/>
        <v>4920</v>
      </c>
      <c r="I811" s="10" t="s">
        <v>10</v>
      </c>
      <c r="J811" s="13">
        <v>46139</v>
      </c>
      <c r="K811" t="s">
        <v>377</v>
      </c>
    </row>
    <row r="812" spans="1:11">
      <c r="A812" t="s">
        <v>319</v>
      </c>
      <c r="B812" s="8">
        <v>262700245</v>
      </c>
      <c r="C812" s="9">
        <v>46132</v>
      </c>
      <c r="D812" s="8" t="s">
        <v>487</v>
      </c>
      <c r="E812" s="10">
        <v>580000</v>
      </c>
      <c r="F812" s="8">
        <v>0.015</v>
      </c>
      <c r="G812" s="11">
        <v>46178</v>
      </c>
      <c r="H812" s="12">
        <f t="shared" si="16"/>
        <v>8700</v>
      </c>
      <c r="I812" s="10" t="s">
        <v>10</v>
      </c>
      <c r="J812" s="13">
        <v>46184</v>
      </c>
      <c r="K812" t="s">
        <v>377</v>
      </c>
    </row>
    <row r="813" spans="1:11">
      <c r="A813" t="s">
        <v>319</v>
      </c>
      <c r="B813" s="8">
        <v>262700245</v>
      </c>
      <c r="C813" s="9">
        <v>46132</v>
      </c>
      <c r="D813" s="8" t="s">
        <v>38</v>
      </c>
      <c r="E813" s="10">
        <v>100000</v>
      </c>
      <c r="F813" s="8">
        <v>0.01</v>
      </c>
      <c r="G813" s="11">
        <v>46178</v>
      </c>
      <c r="H813" s="12">
        <f t="shared" si="16"/>
        <v>1000</v>
      </c>
      <c r="I813" s="10" t="s">
        <v>10</v>
      </c>
      <c r="J813" s="13">
        <v>46184</v>
      </c>
      <c r="K813" t="s">
        <v>377</v>
      </c>
    </row>
    <row r="814" spans="1:11">
      <c r="A814" t="s">
        <v>319</v>
      </c>
      <c r="B814" s="8">
        <v>262700249</v>
      </c>
      <c r="C814" s="9">
        <v>46129</v>
      </c>
      <c r="D814" s="8" t="s">
        <v>40</v>
      </c>
      <c r="E814" s="10">
        <v>250000</v>
      </c>
      <c r="F814" s="8">
        <v>0.035</v>
      </c>
      <c r="G814" s="11">
        <v>46178</v>
      </c>
      <c r="H814" s="12">
        <f t="shared" si="16"/>
        <v>8750</v>
      </c>
      <c r="I814" s="10" t="s">
        <v>10</v>
      </c>
      <c r="J814" s="13">
        <v>46162</v>
      </c>
      <c r="K814" t="s">
        <v>365</v>
      </c>
    </row>
    <row r="815" spans="1:11">
      <c r="A815" t="s">
        <v>319</v>
      </c>
      <c r="B815" s="8">
        <v>262700249</v>
      </c>
      <c r="C815" s="9">
        <v>46129</v>
      </c>
      <c r="D815" s="8" t="s">
        <v>40</v>
      </c>
      <c r="E815" s="10">
        <v>250000</v>
      </c>
      <c r="F815" s="8">
        <v>0.035</v>
      </c>
      <c r="G815" s="11">
        <v>46208</v>
      </c>
      <c r="H815" s="12">
        <f t="shared" si="16"/>
        <v>8750</v>
      </c>
      <c r="I815" s="10" t="s">
        <v>10</v>
      </c>
      <c r="J815" s="13">
        <v>46162</v>
      </c>
      <c r="K815" t="s">
        <v>365</v>
      </c>
    </row>
    <row r="816" spans="1:11">
      <c r="A816" t="s">
        <v>319</v>
      </c>
      <c r="B816" s="14">
        <v>262700255</v>
      </c>
      <c r="C816" s="13">
        <v>46133</v>
      </c>
      <c r="D816" s="14" t="s">
        <v>30</v>
      </c>
      <c r="E816" s="15">
        <v>100000</v>
      </c>
      <c r="F816" s="14">
        <v>0.022</v>
      </c>
      <c r="G816" s="18">
        <v>46239</v>
      </c>
      <c r="H816" s="17">
        <f t="shared" si="16"/>
        <v>2200</v>
      </c>
      <c r="I816" s="15" t="s">
        <v>317</v>
      </c>
      <c r="J816" s="15" t="s">
        <v>666</v>
      </c>
      <c r="K816" t="s">
        <v>365</v>
      </c>
    </row>
    <row r="817" spans="1:11">
      <c r="A817" t="s">
        <v>319</v>
      </c>
      <c r="B817" s="14">
        <v>262700255</v>
      </c>
      <c r="C817" s="13">
        <v>46133</v>
      </c>
      <c r="D817" s="14" t="s">
        <v>30</v>
      </c>
      <c r="E817" s="15">
        <v>150000</v>
      </c>
      <c r="F817" s="14">
        <v>0.022</v>
      </c>
      <c r="G817" s="18">
        <v>46239</v>
      </c>
      <c r="H817" s="17">
        <f t="shared" si="16"/>
        <v>3300</v>
      </c>
      <c r="I817" s="15" t="s">
        <v>317</v>
      </c>
      <c r="J817" s="15" t="s">
        <v>666</v>
      </c>
      <c r="K817" t="s">
        <v>365</v>
      </c>
    </row>
    <row r="818" spans="1:11">
      <c r="A818" t="s">
        <v>319</v>
      </c>
      <c r="B818" s="8">
        <v>262700259</v>
      </c>
      <c r="C818" s="9">
        <v>46133</v>
      </c>
      <c r="D818" s="8" t="s">
        <v>540</v>
      </c>
      <c r="E818" s="10">
        <v>20000</v>
      </c>
      <c r="F818" s="8">
        <v>0.0297</v>
      </c>
      <c r="G818" s="11">
        <v>46208</v>
      </c>
      <c r="H818" s="12">
        <f t="shared" si="16"/>
        <v>594</v>
      </c>
      <c r="I818" s="10" t="s">
        <v>10</v>
      </c>
      <c r="J818" s="13">
        <v>46168</v>
      </c>
      <c r="K818" t="s">
        <v>615</v>
      </c>
    </row>
    <row r="819" spans="1:11">
      <c r="A819" t="s">
        <v>319</v>
      </c>
      <c r="B819" s="8">
        <v>262700259</v>
      </c>
      <c r="C819" s="9">
        <v>46133</v>
      </c>
      <c r="D819" s="8" t="s">
        <v>636</v>
      </c>
      <c r="E819" s="10">
        <v>160000</v>
      </c>
      <c r="F819" s="8">
        <v>0.026</v>
      </c>
      <c r="G819" s="11">
        <v>46208</v>
      </c>
      <c r="H819" s="12">
        <f t="shared" si="16"/>
        <v>4160</v>
      </c>
      <c r="I819" s="10" t="s">
        <v>10</v>
      </c>
      <c r="J819" s="13">
        <v>46168</v>
      </c>
      <c r="K819" t="s">
        <v>615</v>
      </c>
    </row>
    <row r="820" spans="1:11">
      <c r="A820" t="s">
        <v>319</v>
      </c>
      <c r="B820" s="8">
        <v>262700259</v>
      </c>
      <c r="C820" s="9">
        <v>46133</v>
      </c>
      <c r="D820" s="8" t="s">
        <v>649</v>
      </c>
      <c r="E820" s="10">
        <v>20000</v>
      </c>
      <c r="F820" s="8">
        <v>0.028</v>
      </c>
      <c r="G820" s="11">
        <v>46208</v>
      </c>
      <c r="H820" s="12">
        <f t="shared" si="16"/>
        <v>560</v>
      </c>
      <c r="I820" s="10" t="s">
        <v>10</v>
      </c>
      <c r="J820" s="13">
        <v>46168</v>
      </c>
      <c r="K820" t="s">
        <v>615</v>
      </c>
    </row>
    <row r="821" spans="1:11">
      <c r="A821" t="s">
        <v>319</v>
      </c>
      <c r="B821" s="8">
        <v>262700260</v>
      </c>
      <c r="C821" s="9">
        <v>46133</v>
      </c>
      <c r="D821" s="8" t="s">
        <v>636</v>
      </c>
      <c r="E821" s="10">
        <v>160000</v>
      </c>
      <c r="F821" s="8">
        <v>0.026</v>
      </c>
      <c r="G821" s="11">
        <v>46178</v>
      </c>
      <c r="H821" s="12">
        <f t="shared" si="16"/>
        <v>4160</v>
      </c>
      <c r="I821" s="10" t="s">
        <v>10</v>
      </c>
      <c r="J821" s="13">
        <v>46146</v>
      </c>
      <c r="K821" t="s">
        <v>615</v>
      </c>
    </row>
    <row r="822" spans="1:11">
      <c r="A822" t="s">
        <v>319</v>
      </c>
      <c r="B822" s="8">
        <v>262700260</v>
      </c>
      <c r="C822" s="9">
        <v>46133</v>
      </c>
      <c r="D822" s="8" t="s">
        <v>649</v>
      </c>
      <c r="E822" s="10">
        <v>40000</v>
      </c>
      <c r="F822" s="8">
        <v>0.028</v>
      </c>
      <c r="G822" s="11">
        <v>46147</v>
      </c>
      <c r="H822" s="12">
        <f t="shared" si="16"/>
        <v>1120</v>
      </c>
      <c r="I822" s="10" t="s">
        <v>10</v>
      </c>
      <c r="J822" s="13">
        <v>46146</v>
      </c>
      <c r="K822" t="s">
        <v>615</v>
      </c>
    </row>
    <row r="823" spans="1:11">
      <c r="A823" t="s">
        <v>319</v>
      </c>
      <c r="B823" s="8">
        <v>262700260</v>
      </c>
      <c r="C823" s="9">
        <v>46133</v>
      </c>
      <c r="D823" s="8" t="s">
        <v>649</v>
      </c>
      <c r="E823" s="10">
        <v>40000</v>
      </c>
      <c r="F823" s="8">
        <v>0.028</v>
      </c>
      <c r="G823" s="11">
        <v>46178</v>
      </c>
      <c r="H823" s="12">
        <f t="shared" ref="H823:H886" si="17">E823*F823</f>
        <v>1120</v>
      </c>
      <c r="I823" s="10" t="s">
        <v>10</v>
      </c>
      <c r="J823" s="13">
        <v>46146</v>
      </c>
      <c r="K823" t="s">
        <v>615</v>
      </c>
    </row>
    <row r="824" spans="1:11">
      <c r="A824" t="s">
        <v>319</v>
      </c>
      <c r="B824" s="8">
        <v>262700268</v>
      </c>
      <c r="C824" s="9">
        <v>46134</v>
      </c>
      <c r="D824" s="8" t="s">
        <v>479</v>
      </c>
      <c r="E824" s="10">
        <v>20000</v>
      </c>
      <c r="F824" s="8">
        <v>0.0315</v>
      </c>
      <c r="G824" s="11">
        <v>46134</v>
      </c>
      <c r="H824" s="12">
        <f t="shared" si="17"/>
        <v>630</v>
      </c>
      <c r="I824" s="10" t="s">
        <v>10</v>
      </c>
      <c r="J824" s="13">
        <v>46139</v>
      </c>
      <c r="K824" t="s">
        <v>519</v>
      </c>
    </row>
    <row r="825" spans="1:11">
      <c r="A825" t="s">
        <v>319</v>
      </c>
      <c r="B825" s="8">
        <v>262700268</v>
      </c>
      <c r="C825" s="9">
        <v>46134</v>
      </c>
      <c r="D825" s="8" t="s">
        <v>479</v>
      </c>
      <c r="E825" s="10">
        <v>20000</v>
      </c>
      <c r="F825" s="8">
        <v>0.0315</v>
      </c>
      <c r="G825" s="11">
        <v>46147</v>
      </c>
      <c r="H825" s="12">
        <f t="shared" si="17"/>
        <v>630</v>
      </c>
      <c r="I825" s="10" t="s">
        <v>10</v>
      </c>
      <c r="J825" s="13">
        <v>46139</v>
      </c>
      <c r="K825" t="s">
        <v>519</v>
      </c>
    </row>
    <row r="826" spans="1:11">
      <c r="A826" t="s">
        <v>319</v>
      </c>
      <c r="B826" s="8">
        <v>262700268</v>
      </c>
      <c r="C826" s="9">
        <v>46134</v>
      </c>
      <c r="D826" s="8" t="s">
        <v>479</v>
      </c>
      <c r="E826" s="10">
        <v>20000</v>
      </c>
      <c r="F826" s="8">
        <v>0.0315</v>
      </c>
      <c r="G826" s="11">
        <v>46164</v>
      </c>
      <c r="H826" s="12">
        <f t="shared" si="17"/>
        <v>630</v>
      </c>
      <c r="I826" s="10" t="s">
        <v>10</v>
      </c>
      <c r="J826" s="13">
        <v>46139</v>
      </c>
      <c r="K826" t="s">
        <v>519</v>
      </c>
    </row>
    <row r="827" spans="1:11">
      <c r="A827" t="s">
        <v>319</v>
      </c>
      <c r="B827" s="8">
        <v>262700268</v>
      </c>
      <c r="C827" s="9">
        <v>46134</v>
      </c>
      <c r="D827" s="8" t="s">
        <v>498</v>
      </c>
      <c r="E827" s="10">
        <v>20000</v>
      </c>
      <c r="F827" s="8">
        <v>0.06</v>
      </c>
      <c r="G827" s="11">
        <v>46147</v>
      </c>
      <c r="H827" s="12">
        <f t="shared" si="17"/>
        <v>1200</v>
      </c>
      <c r="I827" s="10" t="s">
        <v>10</v>
      </c>
      <c r="J827" s="13">
        <v>46139</v>
      </c>
      <c r="K827" t="s">
        <v>519</v>
      </c>
    </row>
    <row r="828" spans="1:11">
      <c r="A828" t="s">
        <v>319</v>
      </c>
      <c r="B828" s="8">
        <v>262700286</v>
      </c>
      <c r="C828" s="9">
        <v>46134</v>
      </c>
      <c r="D828" s="8" t="s">
        <v>404</v>
      </c>
      <c r="E828" s="10">
        <v>100000</v>
      </c>
      <c r="F828" s="8">
        <v>0.06</v>
      </c>
      <c r="G828" s="11">
        <v>46178</v>
      </c>
      <c r="H828" s="12">
        <f t="shared" si="17"/>
        <v>6000</v>
      </c>
      <c r="I828" s="10" t="s">
        <v>10</v>
      </c>
      <c r="J828" s="13">
        <v>46139</v>
      </c>
      <c r="K828" t="s">
        <v>405</v>
      </c>
    </row>
    <row r="829" spans="1:11">
      <c r="A829" t="s">
        <v>319</v>
      </c>
      <c r="B829" s="8">
        <v>262700286</v>
      </c>
      <c r="C829" s="9">
        <v>46134</v>
      </c>
      <c r="D829" s="8" t="s">
        <v>404</v>
      </c>
      <c r="E829" s="10">
        <v>100000</v>
      </c>
      <c r="F829" s="8">
        <v>0.06</v>
      </c>
      <c r="G829" s="11">
        <v>46208</v>
      </c>
      <c r="H829" s="12">
        <f t="shared" si="17"/>
        <v>6000</v>
      </c>
      <c r="I829" s="10" t="s">
        <v>10</v>
      </c>
      <c r="J829" s="13">
        <v>46139</v>
      </c>
      <c r="K829" t="s">
        <v>405</v>
      </c>
    </row>
    <row r="830" spans="1:11">
      <c r="A830" t="s">
        <v>319</v>
      </c>
      <c r="B830" s="14">
        <v>262700287</v>
      </c>
      <c r="C830" s="13">
        <v>46134</v>
      </c>
      <c r="D830" s="14" t="s">
        <v>404</v>
      </c>
      <c r="E830" s="15">
        <v>100000</v>
      </c>
      <c r="F830" s="14">
        <v>0.06</v>
      </c>
      <c r="G830" s="18">
        <v>46239</v>
      </c>
      <c r="H830" s="17">
        <f t="shared" si="17"/>
        <v>6000</v>
      </c>
      <c r="I830" s="15" t="s">
        <v>317</v>
      </c>
      <c r="J830" s="15" t="s">
        <v>666</v>
      </c>
      <c r="K830" t="s">
        <v>405</v>
      </c>
    </row>
    <row r="831" spans="1:11">
      <c r="A831" t="s">
        <v>319</v>
      </c>
      <c r="B831" s="14">
        <v>262700287</v>
      </c>
      <c r="C831" s="13">
        <v>46134</v>
      </c>
      <c r="D831" s="14" t="s">
        <v>404</v>
      </c>
      <c r="E831" s="15">
        <v>100000</v>
      </c>
      <c r="F831" s="14">
        <v>0.06</v>
      </c>
      <c r="G831" s="18">
        <v>46270</v>
      </c>
      <c r="H831" s="17">
        <f t="shared" si="17"/>
        <v>6000</v>
      </c>
      <c r="I831" s="15" t="s">
        <v>317</v>
      </c>
      <c r="J831" s="15" t="s">
        <v>666</v>
      </c>
      <c r="K831" t="s">
        <v>405</v>
      </c>
    </row>
    <row r="832" spans="1:11">
      <c r="B832" s="14">
        <v>262700288</v>
      </c>
      <c r="C832" s="13">
        <v>46134</v>
      </c>
      <c r="D832" s="14" t="s">
        <v>404</v>
      </c>
      <c r="E832" s="15">
        <v>100000</v>
      </c>
      <c r="F832" s="14">
        <v>0.06</v>
      </c>
      <c r="G832" s="18">
        <v>46331</v>
      </c>
      <c r="H832" s="17">
        <f t="shared" si="17"/>
        <v>6000</v>
      </c>
      <c r="I832" s="15" t="s">
        <v>317</v>
      </c>
      <c r="J832" s="15"/>
      <c r="K832" t="s">
        <v>405</v>
      </c>
    </row>
    <row r="833" spans="1:11">
      <c r="A833" t="s">
        <v>319</v>
      </c>
      <c r="B833" s="8">
        <v>262700289</v>
      </c>
      <c r="C833" s="9">
        <v>46132</v>
      </c>
      <c r="D833" s="8" t="s">
        <v>425</v>
      </c>
      <c r="E833" s="10">
        <v>20000</v>
      </c>
      <c r="F833" s="8">
        <v>0.07</v>
      </c>
      <c r="G833" s="11">
        <v>46178</v>
      </c>
      <c r="H833" s="12">
        <f t="shared" si="17"/>
        <v>1400</v>
      </c>
      <c r="I833" s="10" t="s">
        <v>10</v>
      </c>
      <c r="J833" s="13">
        <v>46157</v>
      </c>
      <c r="K833" t="s">
        <v>431</v>
      </c>
    </row>
    <row r="834" spans="1:11">
      <c r="A834" t="s">
        <v>319</v>
      </c>
      <c r="B834" s="8">
        <v>262700289</v>
      </c>
      <c r="C834" s="9">
        <v>46132</v>
      </c>
      <c r="D834" s="8" t="s">
        <v>425</v>
      </c>
      <c r="E834" s="10">
        <v>20000</v>
      </c>
      <c r="F834" s="8">
        <v>0.07</v>
      </c>
      <c r="G834" s="11">
        <v>46208</v>
      </c>
      <c r="H834" s="12">
        <f t="shared" si="17"/>
        <v>1400</v>
      </c>
      <c r="I834" s="10" t="s">
        <v>10</v>
      </c>
      <c r="J834" s="13">
        <v>46157</v>
      </c>
      <c r="K834" t="s">
        <v>431</v>
      </c>
    </row>
    <row r="835" spans="1:11">
      <c r="A835" t="s">
        <v>319</v>
      </c>
      <c r="B835" s="8">
        <v>262700289</v>
      </c>
      <c r="C835" s="9">
        <v>46132</v>
      </c>
      <c r="D835" s="8" t="s">
        <v>625</v>
      </c>
      <c r="E835" s="10">
        <v>200000</v>
      </c>
      <c r="F835" s="8">
        <v>0.032</v>
      </c>
      <c r="G835" s="11">
        <v>46178</v>
      </c>
      <c r="H835" s="12">
        <f t="shared" si="17"/>
        <v>6400</v>
      </c>
      <c r="I835" s="10" t="s">
        <v>10</v>
      </c>
      <c r="J835" s="13">
        <v>46157</v>
      </c>
      <c r="K835" t="s">
        <v>431</v>
      </c>
    </row>
    <row r="836" spans="1:11">
      <c r="A836" t="s">
        <v>319</v>
      </c>
      <c r="B836" s="8">
        <v>262700289</v>
      </c>
      <c r="C836" s="9">
        <v>46132</v>
      </c>
      <c r="D836" s="8" t="s">
        <v>625</v>
      </c>
      <c r="E836" s="10">
        <v>200000</v>
      </c>
      <c r="F836" s="8">
        <v>0.032</v>
      </c>
      <c r="G836" s="11">
        <v>46178</v>
      </c>
      <c r="H836" s="12">
        <f t="shared" si="17"/>
        <v>6400</v>
      </c>
      <c r="I836" s="10" t="s">
        <v>10</v>
      </c>
      <c r="J836" s="13">
        <v>46157</v>
      </c>
      <c r="K836" t="s">
        <v>431</v>
      </c>
    </row>
    <row r="837" spans="1:11">
      <c r="A837" t="s">
        <v>319</v>
      </c>
      <c r="B837" s="8">
        <v>262700289</v>
      </c>
      <c r="C837" s="9">
        <v>46132</v>
      </c>
      <c r="D837" s="8" t="s">
        <v>625</v>
      </c>
      <c r="E837" s="10">
        <v>200000</v>
      </c>
      <c r="F837" s="8">
        <v>0.032</v>
      </c>
      <c r="G837" s="11">
        <v>46178</v>
      </c>
      <c r="H837" s="12">
        <f t="shared" si="17"/>
        <v>6400</v>
      </c>
      <c r="I837" s="10" t="s">
        <v>10</v>
      </c>
      <c r="J837" s="13">
        <v>46157</v>
      </c>
      <c r="K837" t="s">
        <v>431</v>
      </c>
    </row>
    <row r="838" spans="1:11">
      <c r="A838" t="s">
        <v>319</v>
      </c>
      <c r="B838" s="8">
        <v>262700289</v>
      </c>
      <c r="C838" s="9">
        <v>46132</v>
      </c>
      <c r="D838" s="8" t="s">
        <v>625</v>
      </c>
      <c r="E838" s="10">
        <v>200000</v>
      </c>
      <c r="F838" s="8">
        <v>0.032</v>
      </c>
      <c r="G838" s="11">
        <v>46178</v>
      </c>
      <c r="H838" s="12">
        <f t="shared" si="17"/>
        <v>6400</v>
      </c>
      <c r="I838" s="10" t="s">
        <v>10</v>
      </c>
      <c r="J838" s="13">
        <v>46157</v>
      </c>
      <c r="K838" t="s">
        <v>431</v>
      </c>
    </row>
    <row r="839" spans="1:11">
      <c r="A839" t="s">
        <v>319</v>
      </c>
      <c r="B839" s="8">
        <v>262700289</v>
      </c>
      <c r="C839" s="9">
        <v>46132</v>
      </c>
      <c r="D839" s="8" t="s">
        <v>625</v>
      </c>
      <c r="E839" s="10">
        <v>200000</v>
      </c>
      <c r="F839" s="8">
        <v>0.032</v>
      </c>
      <c r="G839" s="11">
        <v>46208</v>
      </c>
      <c r="H839" s="12">
        <f t="shared" si="17"/>
        <v>6400</v>
      </c>
      <c r="I839" s="10" t="s">
        <v>10</v>
      </c>
      <c r="J839" s="13">
        <v>46157</v>
      </c>
      <c r="K839" t="s">
        <v>431</v>
      </c>
    </row>
    <row r="840" spans="1:11">
      <c r="A840" t="s">
        <v>319</v>
      </c>
      <c r="B840" s="8">
        <v>262700289</v>
      </c>
      <c r="C840" s="9">
        <v>46132</v>
      </c>
      <c r="D840" s="8" t="s">
        <v>625</v>
      </c>
      <c r="E840" s="10">
        <v>200000</v>
      </c>
      <c r="F840" s="8">
        <v>0.032</v>
      </c>
      <c r="G840" s="11">
        <v>46208</v>
      </c>
      <c r="H840" s="12">
        <f t="shared" si="17"/>
        <v>6400</v>
      </c>
      <c r="I840" s="10" t="s">
        <v>10</v>
      </c>
      <c r="J840" s="13">
        <v>46157</v>
      </c>
      <c r="K840" t="s">
        <v>431</v>
      </c>
    </row>
    <row r="841" spans="1:11">
      <c r="A841" t="s">
        <v>319</v>
      </c>
      <c r="B841" s="8">
        <v>262700289</v>
      </c>
      <c r="C841" s="9">
        <v>46132</v>
      </c>
      <c r="D841" s="8" t="s">
        <v>625</v>
      </c>
      <c r="E841" s="10">
        <v>200000</v>
      </c>
      <c r="F841" s="8">
        <v>0.032</v>
      </c>
      <c r="G841" s="11">
        <v>46208</v>
      </c>
      <c r="H841" s="12">
        <f t="shared" si="17"/>
        <v>6400</v>
      </c>
      <c r="I841" s="10" t="s">
        <v>10</v>
      </c>
      <c r="J841" s="13">
        <v>46157</v>
      </c>
      <c r="K841" t="s">
        <v>431</v>
      </c>
    </row>
    <row r="842" spans="1:11">
      <c r="A842" t="s">
        <v>319</v>
      </c>
      <c r="B842" s="8">
        <v>262700289</v>
      </c>
      <c r="C842" s="9">
        <v>46132</v>
      </c>
      <c r="D842" s="8" t="s">
        <v>625</v>
      </c>
      <c r="E842" s="10">
        <v>200000</v>
      </c>
      <c r="F842" s="8">
        <v>0.032</v>
      </c>
      <c r="G842" s="11">
        <v>46208</v>
      </c>
      <c r="H842" s="12">
        <f t="shared" si="17"/>
        <v>6400</v>
      </c>
      <c r="I842" s="10" t="s">
        <v>10</v>
      </c>
      <c r="J842" s="13">
        <v>46157</v>
      </c>
      <c r="K842" t="s">
        <v>431</v>
      </c>
    </row>
    <row r="843" spans="1:11">
      <c r="B843" s="14">
        <v>262700290</v>
      </c>
      <c r="C843" s="13">
        <v>46132</v>
      </c>
      <c r="D843" s="14" t="s">
        <v>667</v>
      </c>
      <c r="E843" s="15">
        <v>20000</v>
      </c>
      <c r="F843" s="14">
        <v>0.07</v>
      </c>
      <c r="G843" s="18">
        <v>46270</v>
      </c>
      <c r="H843" s="17">
        <f t="shared" si="17"/>
        <v>1400</v>
      </c>
      <c r="I843" s="15" t="s">
        <v>317</v>
      </c>
      <c r="J843" s="15" t="s">
        <v>666</v>
      </c>
      <c r="K843" t="s">
        <v>431</v>
      </c>
    </row>
    <row r="844" spans="1:11">
      <c r="B844" s="14">
        <v>262700290</v>
      </c>
      <c r="C844" s="13">
        <v>46132</v>
      </c>
      <c r="D844" s="14" t="s">
        <v>625</v>
      </c>
      <c r="E844" s="15">
        <v>200000</v>
      </c>
      <c r="F844" s="14">
        <v>0.032</v>
      </c>
      <c r="G844" s="18">
        <v>46239</v>
      </c>
      <c r="H844" s="17">
        <f t="shared" si="17"/>
        <v>6400</v>
      </c>
      <c r="I844" s="15" t="s">
        <v>317</v>
      </c>
      <c r="J844" s="15" t="s">
        <v>666</v>
      </c>
      <c r="K844" t="s">
        <v>431</v>
      </c>
    </row>
    <row r="845" spans="1:11">
      <c r="B845" s="14">
        <v>262700290</v>
      </c>
      <c r="C845" s="13">
        <v>46132</v>
      </c>
      <c r="D845" s="14" t="s">
        <v>625</v>
      </c>
      <c r="E845" s="15">
        <v>200000</v>
      </c>
      <c r="F845" s="14">
        <v>0.032</v>
      </c>
      <c r="G845" s="18">
        <v>46239</v>
      </c>
      <c r="H845" s="17">
        <f t="shared" si="17"/>
        <v>6400</v>
      </c>
      <c r="I845" s="15" t="s">
        <v>317</v>
      </c>
      <c r="J845" s="15" t="s">
        <v>666</v>
      </c>
      <c r="K845" t="s">
        <v>431</v>
      </c>
    </row>
    <row r="846" spans="1:11">
      <c r="B846" s="14">
        <v>262700290</v>
      </c>
      <c r="C846" s="13">
        <v>46132</v>
      </c>
      <c r="D846" s="14" t="s">
        <v>625</v>
      </c>
      <c r="E846" s="15">
        <v>200000</v>
      </c>
      <c r="F846" s="14">
        <v>0.032</v>
      </c>
      <c r="G846" s="18">
        <v>46239</v>
      </c>
      <c r="H846" s="17">
        <f t="shared" si="17"/>
        <v>6400</v>
      </c>
      <c r="I846" s="15" t="s">
        <v>317</v>
      </c>
      <c r="J846" s="15" t="s">
        <v>666</v>
      </c>
      <c r="K846" t="s">
        <v>431</v>
      </c>
    </row>
    <row r="847" spans="1:11">
      <c r="B847" s="14">
        <v>262700290</v>
      </c>
      <c r="C847" s="13">
        <v>46132</v>
      </c>
      <c r="D847" s="14" t="s">
        <v>625</v>
      </c>
      <c r="E847" s="15">
        <v>150000</v>
      </c>
      <c r="F847" s="14">
        <v>0.032</v>
      </c>
      <c r="G847" s="18">
        <v>46239</v>
      </c>
      <c r="H847" s="17">
        <f t="shared" si="17"/>
        <v>4800</v>
      </c>
      <c r="I847" s="15" t="s">
        <v>317</v>
      </c>
      <c r="J847" s="15" t="s">
        <v>666</v>
      </c>
      <c r="K847" t="s">
        <v>431</v>
      </c>
    </row>
    <row r="848" spans="1:11">
      <c r="B848" s="14">
        <v>262700290</v>
      </c>
      <c r="C848" s="13">
        <v>46132</v>
      </c>
      <c r="D848" s="14" t="s">
        <v>625</v>
      </c>
      <c r="E848" s="15">
        <v>200000</v>
      </c>
      <c r="F848" s="14">
        <v>0.032</v>
      </c>
      <c r="G848" s="18">
        <v>46270</v>
      </c>
      <c r="H848" s="17">
        <f t="shared" si="17"/>
        <v>6400</v>
      </c>
      <c r="I848" s="15" t="s">
        <v>317</v>
      </c>
      <c r="J848" s="15" t="s">
        <v>666</v>
      </c>
      <c r="K848" t="s">
        <v>431</v>
      </c>
    </row>
    <row r="849" spans="1:11">
      <c r="B849" s="14">
        <v>262700290</v>
      </c>
      <c r="C849" s="13">
        <v>46132</v>
      </c>
      <c r="D849" s="14" t="s">
        <v>625</v>
      </c>
      <c r="E849" s="15">
        <v>200000</v>
      </c>
      <c r="F849" s="14">
        <v>0.032</v>
      </c>
      <c r="G849" s="18">
        <v>46270</v>
      </c>
      <c r="H849" s="17">
        <f t="shared" si="17"/>
        <v>6400</v>
      </c>
      <c r="I849" s="15" t="s">
        <v>317</v>
      </c>
      <c r="J849" s="15" t="s">
        <v>666</v>
      </c>
      <c r="K849" t="s">
        <v>431</v>
      </c>
    </row>
    <row r="850" spans="1:11">
      <c r="B850" s="14">
        <v>262700290</v>
      </c>
      <c r="C850" s="13">
        <v>46132</v>
      </c>
      <c r="D850" s="14" t="s">
        <v>625</v>
      </c>
      <c r="E850" s="15">
        <v>200000</v>
      </c>
      <c r="F850" s="14">
        <v>0.032</v>
      </c>
      <c r="G850" s="18">
        <v>46270</v>
      </c>
      <c r="H850" s="17">
        <f t="shared" si="17"/>
        <v>6400</v>
      </c>
      <c r="I850" s="15" t="s">
        <v>317</v>
      </c>
      <c r="J850" s="15" t="s">
        <v>666</v>
      </c>
      <c r="K850" t="s">
        <v>431</v>
      </c>
    </row>
    <row r="851" spans="1:11">
      <c r="B851" s="14">
        <v>262700290</v>
      </c>
      <c r="C851" s="13">
        <v>46132</v>
      </c>
      <c r="D851" s="14" t="s">
        <v>625</v>
      </c>
      <c r="E851" s="15">
        <v>150000</v>
      </c>
      <c r="F851" s="14">
        <v>0.032</v>
      </c>
      <c r="G851" s="18">
        <v>46270</v>
      </c>
      <c r="H851" s="17">
        <f t="shared" si="17"/>
        <v>4800</v>
      </c>
      <c r="I851" s="15" t="s">
        <v>317</v>
      </c>
      <c r="J851" s="15" t="s">
        <v>666</v>
      </c>
      <c r="K851" t="s">
        <v>431</v>
      </c>
    </row>
    <row r="852" spans="1:11">
      <c r="B852" s="14">
        <v>262700291</v>
      </c>
      <c r="C852" s="13">
        <v>46132</v>
      </c>
      <c r="D852" s="14" t="s">
        <v>667</v>
      </c>
      <c r="E852" s="15">
        <v>20000</v>
      </c>
      <c r="F852" s="14">
        <v>0.07</v>
      </c>
      <c r="G852" s="18">
        <v>46331</v>
      </c>
      <c r="H852" s="17">
        <f t="shared" si="17"/>
        <v>1400</v>
      </c>
      <c r="I852" s="15" t="s">
        <v>317</v>
      </c>
      <c r="J852" s="15"/>
      <c r="K852" t="s">
        <v>431</v>
      </c>
    </row>
    <row r="853" spans="1:11">
      <c r="B853" s="14">
        <v>262700291</v>
      </c>
      <c r="C853" s="13">
        <v>46132</v>
      </c>
      <c r="D853" s="14" t="s">
        <v>625</v>
      </c>
      <c r="E853" s="15">
        <v>200000</v>
      </c>
      <c r="F853" s="14">
        <v>0.032</v>
      </c>
      <c r="G853" s="18">
        <v>46300</v>
      </c>
      <c r="H853" s="17">
        <f t="shared" si="17"/>
        <v>6400</v>
      </c>
      <c r="I853" s="15" t="s">
        <v>317</v>
      </c>
      <c r="J853" s="15"/>
      <c r="K853" t="s">
        <v>431</v>
      </c>
    </row>
    <row r="854" spans="1:11">
      <c r="B854" s="14">
        <v>262700291</v>
      </c>
      <c r="C854" s="13">
        <v>46132</v>
      </c>
      <c r="D854" s="14" t="s">
        <v>625</v>
      </c>
      <c r="E854" s="15">
        <v>200000</v>
      </c>
      <c r="F854" s="14">
        <v>0.032</v>
      </c>
      <c r="G854" s="18">
        <v>46300</v>
      </c>
      <c r="H854" s="17">
        <f t="shared" si="17"/>
        <v>6400</v>
      </c>
      <c r="I854" s="15" t="s">
        <v>317</v>
      </c>
      <c r="J854" s="15"/>
      <c r="K854" t="s">
        <v>431</v>
      </c>
    </row>
    <row r="855" spans="1:11">
      <c r="B855" s="14">
        <v>262700291</v>
      </c>
      <c r="C855" s="13">
        <v>46132</v>
      </c>
      <c r="D855" s="14" t="s">
        <v>625</v>
      </c>
      <c r="E855" s="15">
        <v>200000</v>
      </c>
      <c r="F855" s="14">
        <v>0.032</v>
      </c>
      <c r="G855" s="18">
        <v>46300</v>
      </c>
      <c r="H855" s="17">
        <f t="shared" si="17"/>
        <v>6400</v>
      </c>
      <c r="I855" s="15" t="s">
        <v>317</v>
      </c>
      <c r="J855" s="15"/>
      <c r="K855" t="s">
        <v>431</v>
      </c>
    </row>
    <row r="856" spans="1:11">
      <c r="B856" s="14">
        <v>262700291</v>
      </c>
      <c r="C856" s="13">
        <v>46132</v>
      </c>
      <c r="D856" s="14" t="s">
        <v>625</v>
      </c>
      <c r="E856" s="15">
        <v>200000</v>
      </c>
      <c r="F856" s="14">
        <v>0.032</v>
      </c>
      <c r="G856" s="18">
        <v>46331</v>
      </c>
      <c r="H856" s="17">
        <f t="shared" si="17"/>
        <v>6400</v>
      </c>
      <c r="I856" s="15" t="s">
        <v>317</v>
      </c>
      <c r="J856" s="15"/>
      <c r="K856" t="s">
        <v>431</v>
      </c>
    </row>
    <row r="857" spans="1:11">
      <c r="B857" s="14">
        <v>262700291</v>
      </c>
      <c r="C857" s="13">
        <v>46132</v>
      </c>
      <c r="D857" s="14" t="s">
        <v>625</v>
      </c>
      <c r="E857" s="15">
        <v>200000</v>
      </c>
      <c r="F857" s="14">
        <v>0.032</v>
      </c>
      <c r="G857" s="18">
        <v>46331</v>
      </c>
      <c r="H857" s="17">
        <f t="shared" si="17"/>
        <v>6400</v>
      </c>
      <c r="I857" s="15" t="s">
        <v>317</v>
      </c>
      <c r="J857" s="15"/>
      <c r="K857" t="s">
        <v>431</v>
      </c>
    </row>
    <row r="858" spans="1:11">
      <c r="B858" s="14">
        <v>262700291</v>
      </c>
      <c r="C858" s="13">
        <v>46132</v>
      </c>
      <c r="D858" s="14" t="s">
        <v>625</v>
      </c>
      <c r="E858" s="15">
        <v>200000</v>
      </c>
      <c r="F858" s="14">
        <v>0.032</v>
      </c>
      <c r="G858" s="18">
        <v>46331</v>
      </c>
      <c r="H858" s="17">
        <f t="shared" si="17"/>
        <v>6400</v>
      </c>
      <c r="I858" s="15" t="s">
        <v>317</v>
      </c>
      <c r="J858" s="15"/>
      <c r="K858" t="s">
        <v>431</v>
      </c>
    </row>
    <row r="859" spans="1:11">
      <c r="A859" t="s">
        <v>319</v>
      </c>
      <c r="B859" s="8">
        <v>262700387</v>
      </c>
      <c r="C859" s="9">
        <v>46139</v>
      </c>
      <c r="D859" s="8" t="s">
        <v>246</v>
      </c>
      <c r="E859" s="10">
        <v>20000</v>
      </c>
      <c r="F859" s="8">
        <v>0.07</v>
      </c>
      <c r="G859" s="11">
        <v>46147</v>
      </c>
      <c r="H859" s="12">
        <f t="shared" si="17"/>
        <v>1400</v>
      </c>
      <c r="I859" s="10" t="s">
        <v>10</v>
      </c>
      <c r="J859" s="13">
        <v>46146</v>
      </c>
    </row>
    <row r="860" spans="1:11">
      <c r="A860" t="s">
        <v>319</v>
      </c>
      <c r="B860" s="8">
        <v>262700387</v>
      </c>
      <c r="C860" s="9">
        <v>46139</v>
      </c>
      <c r="D860" s="8" t="s">
        <v>246</v>
      </c>
      <c r="E860" s="10">
        <v>20000</v>
      </c>
      <c r="F860" s="8">
        <v>0.07</v>
      </c>
      <c r="G860" s="11">
        <v>46178</v>
      </c>
      <c r="H860" s="12">
        <f t="shared" si="17"/>
        <v>1400</v>
      </c>
      <c r="I860" s="10" t="s">
        <v>10</v>
      </c>
      <c r="J860" s="13">
        <v>46146</v>
      </c>
    </row>
    <row r="861" spans="1:11">
      <c r="A861" t="s">
        <v>319</v>
      </c>
      <c r="B861" s="8">
        <v>262700387</v>
      </c>
      <c r="C861" s="9">
        <v>46139</v>
      </c>
      <c r="D861" s="8" t="s">
        <v>40</v>
      </c>
      <c r="E861" s="10">
        <v>240000</v>
      </c>
      <c r="F861" s="8">
        <v>0.035</v>
      </c>
      <c r="G861" s="11">
        <v>46178</v>
      </c>
      <c r="H861" s="12">
        <f t="shared" si="17"/>
        <v>8400</v>
      </c>
      <c r="I861" s="10" t="s">
        <v>10</v>
      </c>
      <c r="J861" s="13">
        <v>46157</v>
      </c>
    </row>
    <row r="862" spans="1:11">
      <c r="A862" t="s">
        <v>319</v>
      </c>
      <c r="B862" s="8">
        <v>262700387</v>
      </c>
      <c r="C862" s="9">
        <v>46139</v>
      </c>
      <c r="D862" s="8" t="s">
        <v>39</v>
      </c>
      <c r="E862" s="10">
        <v>500000</v>
      </c>
      <c r="F862" s="8">
        <v>0.022</v>
      </c>
      <c r="G862" s="11">
        <v>46178</v>
      </c>
      <c r="H862" s="12">
        <f t="shared" si="17"/>
        <v>11000</v>
      </c>
      <c r="I862" s="10" t="s">
        <v>10</v>
      </c>
      <c r="J862" s="13">
        <v>46146</v>
      </c>
    </row>
    <row r="863" spans="1:11">
      <c r="A863" t="s">
        <v>319</v>
      </c>
      <c r="B863" s="8">
        <v>262700387</v>
      </c>
      <c r="C863" s="9">
        <v>46139</v>
      </c>
      <c r="D863" s="8" t="s">
        <v>39</v>
      </c>
      <c r="E863" s="10">
        <v>100000</v>
      </c>
      <c r="F863" s="8">
        <v>0.022</v>
      </c>
      <c r="G863" s="11">
        <v>46178</v>
      </c>
      <c r="H863" s="12">
        <f t="shared" si="17"/>
        <v>2200</v>
      </c>
      <c r="I863" s="10" t="s">
        <v>10</v>
      </c>
      <c r="J863" s="13">
        <v>46146</v>
      </c>
    </row>
    <row r="864" spans="1:11">
      <c r="A864" t="s">
        <v>319</v>
      </c>
      <c r="B864" s="8">
        <v>262700387</v>
      </c>
      <c r="C864" s="9">
        <v>46139</v>
      </c>
      <c r="D864" s="8" t="s">
        <v>39</v>
      </c>
      <c r="E864" s="10">
        <v>500000</v>
      </c>
      <c r="F864" s="8">
        <v>0.022</v>
      </c>
      <c r="G864" s="11">
        <v>46208</v>
      </c>
      <c r="H864" s="12">
        <f t="shared" si="17"/>
        <v>11000</v>
      </c>
      <c r="I864" s="10" t="s">
        <v>10</v>
      </c>
      <c r="J864" s="13">
        <v>46146</v>
      </c>
    </row>
    <row r="865" spans="1:11">
      <c r="A865" t="s">
        <v>319</v>
      </c>
      <c r="B865" s="8">
        <v>262700387</v>
      </c>
      <c r="C865" s="9">
        <v>46139</v>
      </c>
      <c r="D865" s="8" t="s">
        <v>39</v>
      </c>
      <c r="E865" s="10">
        <v>100000</v>
      </c>
      <c r="F865" s="8">
        <v>0.022</v>
      </c>
      <c r="G865" s="11">
        <v>46208</v>
      </c>
      <c r="H865" s="12">
        <f t="shared" si="17"/>
        <v>2200</v>
      </c>
      <c r="I865" s="10" t="s">
        <v>10</v>
      </c>
      <c r="J865" s="13">
        <v>46146</v>
      </c>
    </row>
    <row r="866" spans="1:11">
      <c r="B866" s="14">
        <v>262700424</v>
      </c>
      <c r="C866" s="13">
        <v>46139</v>
      </c>
      <c r="D866" s="14" t="s">
        <v>625</v>
      </c>
      <c r="E866" s="15">
        <v>200000</v>
      </c>
      <c r="F866" s="14">
        <v>0.032</v>
      </c>
      <c r="G866" s="18">
        <v>46331</v>
      </c>
      <c r="H866" s="17">
        <f t="shared" si="17"/>
        <v>6400</v>
      </c>
      <c r="I866" s="15" t="s">
        <v>317</v>
      </c>
      <c r="J866" s="15"/>
      <c r="K866" t="s">
        <v>486</v>
      </c>
    </row>
    <row r="867" spans="1:11">
      <c r="B867" s="14">
        <v>262700425</v>
      </c>
      <c r="C867" s="13">
        <v>46139</v>
      </c>
      <c r="D867" s="14" t="s">
        <v>630</v>
      </c>
      <c r="E867" s="15">
        <v>20000</v>
      </c>
      <c r="F867" s="14">
        <v>0.035</v>
      </c>
      <c r="G867" s="18">
        <v>46270</v>
      </c>
      <c r="H867" s="17">
        <f t="shared" si="17"/>
        <v>700</v>
      </c>
      <c r="I867" s="15" t="s">
        <v>317</v>
      </c>
      <c r="J867" s="15"/>
      <c r="K867" t="s">
        <v>486</v>
      </c>
    </row>
    <row r="868" spans="1:11">
      <c r="B868" s="14">
        <v>262700425</v>
      </c>
      <c r="C868" s="13">
        <v>46139</v>
      </c>
      <c r="D868" s="14" t="s">
        <v>479</v>
      </c>
      <c r="E868" s="15">
        <v>20000</v>
      </c>
      <c r="F868" s="14">
        <v>0.033</v>
      </c>
      <c r="G868" s="18">
        <v>46270</v>
      </c>
      <c r="H868" s="17">
        <f t="shared" si="17"/>
        <v>660</v>
      </c>
      <c r="I868" s="15" t="s">
        <v>317</v>
      </c>
      <c r="J868" s="15"/>
      <c r="K868" t="s">
        <v>486</v>
      </c>
    </row>
    <row r="869" spans="1:11">
      <c r="B869" s="14">
        <v>262700425</v>
      </c>
      <c r="C869" s="13">
        <v>46139</v>
      </c>
      <c r="D869" s="14" t="s">
        <v>625</v>
      </c>
      <c r="E869" s="15">
        <v>200000</v>
      </c>
      <c r="F869" s="14">
        <v>0.032</v>
      </c>
      <c r="G869" s="18">
        <v>46270</v>
      </c>
      <c r="H869" s="17">
        <f t="shared" si="17"/>
        <v>6400</v>
      </c>
      <c r="I869" s="15" t="s">
        <v>317</v>
      </c>
      <c r="J869" s="15"/>
      <c r="K869" t="s">
        <v>486</v>
      </c>
    </row>
    <row r="870" spans="1:11">
      <c r="B870" s="14">
        <v>262700425</v>
      </c>
      <c r="C870" s="13">
        <v>46139</v>
      </c>
      <c r="D870" s="14" t="s">
        <v>625</v>
      </c>
      <c r="E870" s="15">
        <v>200000</v>
      </c>
      <c r="F870" s="14">
        <v>0.032</v>
      </c>
      <c r="G870" s="18">
        <v>46300</v>
      </c>
      <c r="H870" s="17">
        <f t="shared" si="17"/>
        <v>6400</v>
      </c>
      <c r="I870" s="15" t="s">
        <v>317</v>
      </c>
      <c r="J870" s="15"/>
      <c r="K870" t="s">
        <v>486</v>
      </c>
    </row>
    <row r="871" spans="1:11">
      <c r="A871" t="s">
        <v>319</v>
      </c>
      <c r="B871" s="8">
        <v>262700426</v>
      </c>
      <c r="C871" s="9">
        <v>46139</v>
      </c>
      <c r="D871" s="8" t="s">
        <v>625</v>
      </c>
      <c r="E871" s="10">
        <v>200000</v>
      </c>
      <c r="F871" s="8">
        <v>0.032</v>
      </c>
      <c r="G871" s="11">
        <v>46208</v>
      </c>
      <c r="H871" s="12">
        <f t="shared" si="17"/>
        <v>6400</v>
      </c>
      <c r="I871" s="10" t="s">
        <v>10</v>
      </c>
      <c r="J871" s="13">
        <v>46184</v>
      </c>
      <c r="K871" t="s">
        <v>486</v>
      </c>
    </row>
    <row r="872" spans="1:11">
      <c r="A872" t="s">
        <v>319</v>
      </c>
      <c r="B872" s="8">
        <v>262700426</v>
      </c>
      <c r="C872" s="9">
        <v>46139</v>
      </c>
      <c r="D872" s="8" t="s">
        <v>625</v>
      </c>
      <c r="E872" s="10">
        <v>200000</v>
      </c>
      <c r="F872" s="8">
        <v>0.032</v>
      </c>
      <c r="G872" s="11">
        <v>46239</v>
      </c>
      <c r="H872" s="12">
        <f t="shared" si="17"/>
        <v>6400</v>
      </c>
      <c r="I872" s="10" t="s">
        <v>10</v>
      </c>
      <c r="J872" s="13">
        <v>46184</v>
      </c>
      <c r="K872" t="s">
        <v>486</v>
      </c>
    </row>
    <row r="873" spans="1:11">
      <c r="A873" t="s">
        <v>319</v>
      </c>
      <c r="B873" s="8">
        <v>262700429</v>
      </c>
      <c r="C873" s="9">
        <v>46136</v>
      </c>
      <c r="D873" s="8" t="s">
        <v>58</v>
      </c>
      <c r="E873" s="10">
        <v>20000</v>
      </c>
      <c r="F873" s="8">
        <v>0.014</v>
      </c>
      <c r="G873" s="11">
        <v>46147</v>
      </c>
      <c r="H873" s="12">
        <f t="shared" si="17"/>
        <v>280</v>
      </c>
      <c r="I873" s="10" t="s">
        <v>10</v>
      </c>
      <c r="J873" s="13">
        <v>46157</v>
      </c>
      <c r="K873" t="s">
        <v>493</v>
      </c>
    </row>
    <row r="874" spans="1:11">
      <c r="A874" t="s">
        <v>319</v>
      </c>
      <c r="B874" s="8">
        <v>262700430</v>
      </c>
      <c r="C874" s="9">
        <v>46137</v>
      </c>
      <c r="D874" s="8" t="s">
        <v>108</v>
      </c>
      <c r="E874" s="10">
        <v>20000</v>
      </c>
      <c r="F874" s="8">
        <v>0.04</v>
      </c>
      <c r="G874" s="11">
        <v>46208</v>
      </c>
      <c r="H874" s="12">
        <f t="shared" si="17"/>
        <v>800</v>
      </c>
      <c r="I874" s="10" t="s">
        <v>10</v>
      </c>
      <c r="J874" s="13">
        <v>46184</v>
      </c>
      <c r="K874" t="s">
        <v>615</v>
      </c>
    </row>
    <row r="875" spans="1:11">
      <c r="A875" t="s">
        <v>319</v>
      </c>
      <c r="B875" s="8">
        <v>262700430</v>
      </c>
      <c r="C875" s="9">
        <v>46137</v>
      </c>
      <c r="D875" s="8" t="s">
        <v>108</v>
      </c>
      <c r="E875" s="10">
        <v>20000</v>
      </c>
      <c r="F875" s="8">
        <v>0.04</v>
      </c>
      <c r="G875" s="11">
        <v>46239</v>
      </c>
      <c r="H875" s="12">
        <f t="shared" si="17"/>
        <v>800</v>
      </c>
      <c r="I875" s="10" t="s">
        <v>10</v>
      </c>
      <c r="J875" s="13">
        <v>46184</v>
      </c>
      <c r="K875" t="s">
        <v>615</v>
      </c>
    </row>
    <row r="876" spans="1:11">
      <c r="A876" t="s">
        <v>319</v>
      </c>
      <c r="B876" s="8">
        <v>262700430</v>
      </c>
      <c r="C876" s="9">
        <v>46137</v>
      </c>
      <c r="D876" s="8" t="s">
        <v>282</v>
      </c>
      <c r="E876" s="10">
        <v>40000</v>
      </c>
      <c r="F876" s="8">
        <v>0.0304</v>
      </c>
      <c r="G876" s="11">
        <v>46208</v>
      </c>
      <c r="H876" s="12">
        <f t="shared" si="17"/>
        <v>1216</v>
      </c>
      <c r="I876" s="10" t="s">
        <v>10</v>
      </c>
      <c r="J876" s="13">
        <v>46191</v>
      </c>
      <c r="K876" t="s">
        <v>615</v>
      </c>
    </row>
    <row r="877" spans="1:11">
      <c r="A877" t="s">
        <v>319</v>
      </c>
      <c r="B877" s="8">
        <v>262700430</v>
      </c>
      <c r="C877" s="9">
        <v>46137</v>
      </c>
      <c r="D877" s="8" t="s">
        <v>282</v>
      </c>
      <c r="E877" s="10">
        <v>40000</v>
      </c>
      <c r="F877" s="8">
        <v>0.0304</v>
      </c>
      <c r="G877" s="11">
        <v>46239</v>
      </c>
      <c r="H877" s="12">
        <f t="shared" si="17"/>
        <v>1216</v>
      </c>
      <c r="I877" s="10" t="s">
        <v>10</v>
      </c>
      <c r="J877" s="13">
        <v>46191</v>
      </c>
      <c r="K877" t="s">
        <v>615</v>
      </c>
    </row>
    <row r="878" spans="1:11">
      <c r="B878" s="14">
        <v>262700431</v>
      </c>
      <c r="C878" s="13">
        <v>46137</v>
      </c>
      <c r="D878" s="14" t="s">
        <v>108</v>
      </c>
      <c r="E878" s="15">
        <v>20000</v>
      </c>
      <c r="F878" s="14">
        <v>0.04</v>
      </c>
      <c r="G878" s="18">
        <v>46270</v>
      </c>
      <c r="H878" s="17">
        <f t="shared" si="17"/>
        <v>800</v>
      </c>
      <c r="I878" s="15" t="s">
        <v>317</v>
      </c>
      <c r="J878" s="15"/>
      <c r="K878" t="s">
        <v>615</v>
      </c>
    </row>
    <row r="879" spans="1:11">
      <c r="B879" s="14">
        <v>262700431</v>
      </c>
      <c r="C879" s="13">
        <v>46137</v>
      </c>
      <c r="D879" s="14" t="s">
        <v>108</v>
      </c>
      <c r="E879" s="15">
        <v>20000</v>
      </c>
      <c r="F879" s="14">
        <v>0.04</v>
      </c>
      <c r="G879" s="18">
        <v>46300</v>
      </c>
      <c r="H879" s="17">
        <f t="shared" si="17"/>
        <v>800</v>
      </c>
      <c r="I879" s="15" t="s">
        <v>317</v>
      </c>
      <c r="J879" s="15"/>
      <c r="K879" t="s">
        <v>615</v>
      </c>
    </row>
    <row r="880" spans="1:11">
      <c r="B880" s="14">
        <v>262700431</v>
      </c>
      <c r="C880" s="13">
        <v>46137</v>
      </c>
      <c r="D880" s="14" t="s">
        <v>127</v>
      </c>
      <c r="E880" s="15">
        <v>200000</v>
      </c>
      <c r="F880" s="14">
        <v>0.03</v>
      </c>
      <c r="G880" s="18">
        <v>46270</v>
      </c>
      <c r="H880" s="17">
        <f t="shared" si="17"/>
        <v>6000</v>
      </c>
      <c r="I880" s="15" t="s">
        <v>317</v>
      </c>
      <c r="J880" s="15"/>
      <c r="K880" t="s">
        <v>615</v>
      </c>
    </row>
    <row r="881" spans="2:11">
      <c r="B881" s="14">
        <v>262700431</v>
      </c>
      <c r="C881" s="13">
        <v>46137</v>
      </c>
      <c r="D881" s="14" t="s">
        <v>127</v>
      </c>
      <c r="E881" s="15">
        <v>50000</v>
      </c>
      <c r="F881" s="14">
        <v>0.03</v>
      </c>
      <c r="G881" s="18">
        <v>46270</v>
      </c>
      <c r="H881" s="17">
        <f t="shared" si="17"/>
        <v>1500</v>
      </c>
      <c r="I881" s="15" t="s">
        <v>317</v>
      </c>
      <c r="J881" s="15"/>
      <c r="K881" t="s">
        <v>615</v>
      </c>
    </row>
    <row r="882" spans="2:11">
      <c r="B882" s="14">
        <v>262700431</v>
      </c>
      <c r="C882" s="13">
        <v>46137</v>
      </c>
      <c r="D882" s="14" t="s">
        <v>127</v>
      </c>
      <c r="E882" s="15">
        <v>200000</v>
      </c>
      <c r="F882" s="14">
        <v>0.03</v>
      </c>
      <c r="G882" s="18">
        <v>46300</v>
      </c>
      <c r="H882" s="17">
        <f t="shared" si="17"/>
        <v>6000</v>
      </c>
      <c r="I882" s="15" t="s">
        <v>317</v>
      </c>
      <c r="J882" s="15"/>
      <c r="K882" t="s">
        <v>615</v>
      </c>
    </row>
    <row r="883" spans="2:11">
      <c r="B883" s="14">
        <v>262700431</v>
      </c>
      <c r="C883" s="13">
        <v>46137</v>
      </c>
      <c r="D883" s="14" t="s">
        <v>127</v>
      </c>
      <c r="E883" s="15">
        <v>50000</v>
      </c>
      <c r="F883" s="14">
        <v>0.03</v>
      </c>
      <c r="G883" s="18">
        <v>46300</v>
      </c>
      <c r="H883" s="17">
        <f t="shared" si="17"/>
        <v>1500</v>
      </c>
      <c r="I883" s="15" t="s">
        <v>317</v>
      </c>
      <c r="J883" s="15"/>
      <c r="K883" t="s">
        <v>615</v>
      </c>
    </row>
    <row r="884" spans="2:11">
      <c r="B884" s="14">
        <v>262700431</v>
      </c>
      <c r="C884" s="13">
        <v>46137</v>
      </c>
      <c r="D884" s="14" t="s">
        <v>128</v>
      </c>
      <c r="E884" s="15">
        <v>200000</v>
      </c>
      <c r="F884" s="14">
        <v>0.025</v>
      </c>
      <c r="G884" s="18">
        <v>46300</v>
      </c>
      <c r="H884" s="17">
        <f t="shared" si="17"/>
        <v>5000</v>
      </c>
      <c r="I884" s="15" t="s">
        <v>317</v>
      </c>
      <c r="J884" s="15"/>
      <c r="K884" t="s">
        <v>615</v>
      </c>
    </row>
    <row r="885" spans="2:11">
      <c r="B885" s="14">
        <v>262700431</v>
      </c>
      <c r="C885" s="13">
        <v>46137</v>
      </c>
      <c r="D885" s="14" t="s">
        <v>282</v>
      </c>
      <c r="E885" s="15">
        <v>40000</v>
      </c>
      <c r="F885" s="14">
        <v>0.0304</v>
      </c>
      <c r="G885" s="18">
        <v>46270</v>
      </c>
      <c r="H885" s="17">
        <f t="shared" si="17"/>
        <v>1216</v>
      </c>
      <c r="I885" s="15" t="s">
        <v>317</v>
      </c>
      <c r="J885" s="15"/>
      <c r="K885" t="s">
        <v>615</v>
      </c>
    </row>
    <row r="886" spans="2:11">
      <c r="B886" s="14">
        <v>262700431</v>
      </c>
      <c r="C886" s="13">
        <v>46137</v>
      </c>
      <c r="D886" s="14" t="s">
        <v>282</v>
      </c>
      <c r="E886" s="15">
        <v>40000</v>
      </c>
      <c r="F886" s="14">
        <v>0.0304</v>
      </c>
      <c r="G886" s="18">
        <v>46300</v>
      </c>
      <c r="H886" s="17">
        <f t="shared" si="17"/>
        <v>1216</v>
      </c>
      <c r="I886" s="15" t="s">
        <v>317</v>
      </c>
      <c r="J886" s="15"/>
      <c r="K886" t="s">
        <v>615</v>
      </c>
    </row>
    <row r="887" spans="2:11">
      <c r="B887" s="14">
        <v>262700431</v>
      </c>
      <c r="C887" s="13">
        <v>46137</v>
      </c>
      <c r="D887" s="14" t="s">
        <v>581</v>
      </c>
      <c r="E887" s="15">
        <v>200000</v>
      </c>
      <c r="F887" s="14">
        <v>0.023</v>
      </c>
      <c r="G887" s="18">
        <v>46300</v>
      </c>
      <c r="H887" s="17">
        <f t="shared" ref="H887:H950" si="18">E887*F887</f>
        <v>4600</v>
      </c>
      <c r="I887" s="15" t="s">
        <v>317</v>
      </c>
      <c r="J887" s="15"/>
      <c r="K887" t="s">
        <v>615</v>
      </c>
    </row>
    <row r="888" spans="2:11">
      <c r="B888" s="14">
        <v>262700431</v>
      </c>
      <c r="C888" s="13">
        <v>46137</v>
      </c>
      <c r="D888" s="14" t="s">
        <v>636</v>
      </c>
      <c r="E888" s="15">
        <v>140000</v>
      </c>
      <c r="F888" s="14">
        <v>0.026</v>
      </c>
      <c r="G888" s="18">
        <v>46270</v>
      </c>
      <c r="H888" s="17">
        <f t="shared" si="18"/>
        <v>3640</v>
      </c>
      <c r="I888" s="15" t="s">
        <v>317</v>
      </c>
      <c r="J888" s="15"/>
      <c r="K888" t="s">
        <v>615</v>
      </c>
    </row>
    <row r="889" spans="2:11">
      <c r="B889" s="14">
        <v>262700431</v>
      </c>
      <c r="C889" s="13">
        <v>46137</v>
      </c>
      <c r="D889" s="14" t="s">
        <v>636</v>
      </c>
      <c r="E889" s="15">
        <v>140000</v>
      </c>
      <c r="F889" s="14">
        <v>0.026</v>
      </c>
      <c r="G889" s="18">
        <v>46300</v>
      </c>
      <c r="H889" s="17">
        <f t="shared" si="18"/>
        <v>3640</v>
      </c>
      <c r="I889" s="15" t="s">
        <v>317</v>
      </c>
      <c r="J889" s="15"/>
      <c r="K889" t="s">
        <v>615</v>
      </c>
    </row>
    <row r="890" spans="2:11">
      <c r="B890" s="14">
        <v>262700431</v>
      </c>
      <c r="C890" s="13">
        <v>46137</v>
      </c>
      <c r="D890" s="14" t="s">
        <v>609</v>
      </c>
      <c r="E890" s="15">
        <v>140000</v>
      </c>
      <c r="F890" s="14">
        <v>0.03</v>
      </c>
      <c r="G890" s="18">
        <v>46270</v>
      </c>
      <c r="H890" s="17">
        <f t="shared" si="18"/>
        <v>4200</v>
      </c>
      <c r="I890" s="15" t="s">
        <v>317</v>
      </c>
      <c r="J890" s="15"/>
      <c r="K890" t="s">
        <v>615</v>
      </c>
    </row>
    <row r="891" spans="2:11">
      <c r="B891" s="14">
        <v>262700431</v>
      </c>
      <c r="C891" s="13">
        <v>46137</v>
      </c>
      <c r="D891" s="14" t="s">
        <v>609</v>
      </c>
      <c r="E891" s="15">
        <v>140000</v>
      </c>
      <c r="F891" s="14">
        <v>0.03</v>
      </c>
      <c r="G891" s="18">
        <v>46300</v>
      </c>
      <c r="H891" s="17">
        <f t="shared" si="18"/>
        <v>4200</v>
      </c>
      <c r="I891" s="15" t="s">
        <v>317</v>
      </c>
      <c r="J891" s="15"/>
      <c r="K891" t="s">
        <v>615</v>
      </c>
    </row>
    <row r="892" spans="2:11">
      <c r="B892" s="14">
        <v>262700432</v>
      </c>
      <c r="C892" s="13">
        <v>46137</v>
      </c>
      <c r="D892" s="14" t="s">
        <v>108</v>
      </c>
      <c r="E892" s="15">
        <v>20000</v>
      </c>
      <c r="F892" s="14">
        <v>0.04</v>
      </c>
      <c r="G892" s="18">
        <v>46331</v>
      </c>
      <c r="H892" s="17">
        <f t="shared" si="18"/>
        <v>800</v>
      </c>
      <c r="I892" s="15" t="s">
        <v>317</v>
      </c>
      <c r="J892" s="15"/>
      <c r="K892" t="s">
        <v>615</v>
      </c>
    </row>
    <row r="893" spans="2:11">
      <c r="B893" s="14">
        <v>262700432</v>
      </c>
      <c r="C893" s="13">
        <v>46137</v>
      </c>
      <c r="D893" s="14" t="s">
        <v>127</v>
      </c>
      <c r="E893" s="15">
        <v>200000</v>
      </c>
      <c r="F893" s="14">
        <v>0.03</v>
      </c>
      <c r="G893" s="18">
        <v>46331</v>
      </c>
      <c r="H893" s="17">
        <f t="shared" si="18"/>
        <v>6000</v>
      </c>
      <c r="I893" s="15" t="s">
        <v>317</v>
      </c>
      <c r="J893" s="15"/>
      <c r="K893" t="s">
        <v>615</v>
      </c>
    </row>
    <row r="894" spans="2:11">
      <c r="B894" s="14">
        <v>262700432</v>
      </c>
      <c r="C894" s="13">
        <v>46137</v>
      </c>
      <c r="D894" s="14" t="s">
        <v>127</v>
      </c>
      <c r="E894" s="15">
        <v>50000</v>
      </c>
      <c r="F894" s="14">
        <v>0.03</v>
      </c>
      <c r="G894" s="18">
        <v>46331</v>
      </c>
      <c r="H894" s="17">
        <f t="shared" si="18"/>
        <v>1500</v>
      </c>
      <c r="I894" s="15" t="s">
        <v>317</v>
      </c>
      <c r="J894" s="15"/>
      <c r="K894" t="s">
        <v>615</v>
      </c>
    </row>
    <row r="895" spans="2:11">
      <c r="B895" s="14">
        <v>262700432</v>
      </c>
      <c r="C895" s="13">
        <v>46137</v>
      </c>
      <c r="D895" s="14" t="s">
        <v>128</v>
      </c>
      <c r="E895" s="15">
        <v>200000</v>
      </c>
      <c r="F895" s="14">
        <v>0.025</v>
      </c>
      <c r="G895" s="18">
        <v>46331</v>
      </c>
      <c r="H895" s="17">
        <f t="shared" si="18"/>
        <v>5000</v>
      </c>
      <c r="I895" s="15" t="s">
        <v>317</v>
      </c>
      <c r="J895" s="15"/>
      <c r="K895" t="s">
        <v>615</v>
      </c>
    </row>
    <row r="896" spans="2:11">
      <c r="B896" s="14">
        <v>262700432</v>
      </c>
      <c r="C896" s="13">
        <v>46137</v>
      </c>
      <c r="D896" s="14" t="s">
        <v>282</v>
      </c>
      <c r="E896" s="15">
        <v>40000</v>
      </c>
      <c r="F896" s="14">
        <v>0.0304</v>
      </c>
      <c r="G896" s="18">
        <v>46331</v>
      </c>
      <c r="H896" s="17">
        <f t="shared" si="18"/>
        <v>1216</v>
      </c>
      <c r="I896" s="15" t="s">
        <v>317</v>
      </c>
      <c r="J896" s="15"/>
      <c r="K896" t="s">
        <v>615</v>
      </c>
    </row>
    <row r="897" spans="1:11">
      <c r="B897" s="14">
        <v>262700432</v>
      </c>
      <c r="C897" s="13">
        <v>46137</v>
      </c>
      <c r="D897" s="14" t="s">
        <v>581</v>
      </c>
      <c r="E897" s="15">
        <v>200000</v>
      </c>
      <c r="F897" s="14">
        <v>0.023</v>
      </c>
      <c r="G897" s="18">
        <v>46331</v>
      </c>
      <c r="H897" s="17">
        <f t="shared" si="18"/>
        <v>4600</v>
      </c>
      <c r="I897" s="15" t="s">
        <v>317</v>
      </c>
      <c r="J897" s="15"/>
      <c r="K897" t="s">
        <v>615</v>
      </c>
    </row>
    <row r="898" spans="1:11">
      <c r="B898" s="14">
        <v>262700432</v>
      </c>
      <c r="C898" s="13">
        <v>46137</v>
      </c>
      <c r="D898" s="14" t="s">
        <v>636</v>
      </c>
      <c r="E898" s="15">
        <v>140000</v>
      </c>
      <c r="F898" s="14">
        <v>0.026</v>
      </c>
      <c r="G898" s="18">
        <v>46331</v>
      </c>
      <c r="H898" s="17">
        <f t="shared" si="18"/>
        <v>3640</v>
      </c>
      <c r="I898" s="15" t="s">
        <v>317</v>
      </c>
      <c r="J898" s="15"/>
      <c r="K898" t="s">
        <v>615</v>
      </c>
    </row>
    <row r="899" spans="1:11">
      <c r="B899" s="14">
        <v>262700432</v>
      </c>
      <c r="C899" s="13">
        <v>46137</v>
      </c>
      <c r="D899" s="14" t="s">
        <v>609</v>
      </c>
      <c r="E899" s="15">
        <v>140000</v>
      </c>
      <c r="F899" s="14">
        <v>0.03</v>
      </c>
      <c r="G899" s="18">
        <v>46331</v>
      </c>
      <c r="H899" s="17">
        <f t="shared" si="18"/>
        <v>4200</v>
      </c>
      <c r="I899" s="15" t="s">
        <v>317</v>
      </c>
      <c r="J899" s="15"/>
      <c r="K899" t="s">
        <v>615</v>
      </c>
    </row>
    <row r="900" spans="1:11">
      <c r="B900" s="14">
        <v>262700432</v>
      </c>
      <c r="C900" s="13">
        <v>46137</v>
      </c>
      <c r="D900" s="14" t="s">
        <v>540</v>
      </c>
      <c r="E900" s="15">
        <v>20000</v>
      </c>
      <c r="F900" s="14">
        <v>0.0297</v>
      </c>
      <c r="G900" s="18">
        <v>46331</v>
      </c>
      <c r="H900" s="17">
        <f t="shared" si="18"/>
        <v>594</v>
      </c>
      <c r="I900" s="15" t="s">
        <v>317</v>
      </c>
      <c r="J900" s="15"/>
      <c r="K900" t="s">
        <v>615</v>
      </c>
    </row>
    <row r="901" spans="1:11">
      <c r="B901" s="14">
        <v>262700432</v>
      </c>
      <c r="C901" s="13">
        <v>46137</v>
      </c>
      <c r="D901" s="14" t="s">
        <v>612</v>
      </c>
      <c r="E901" s="15">
        <v>4000</v>
      </c>
      <c r="F901" s="14">
        <v>0.028</v>
      </c>
      <c r="G901" s="18">
        <v>46270</v>
      </c>
      <c r="H901" s="17">
        <f t="shared" si="18"/>
        <v>112</v>
      </c>
      <c r="I901" s="15" t="s">
        <v>317</v>
      </c>
      <c r="J901" s="15"/>
      <c r="K901" t="s">
        <v>615</v>
      </c>
    </row>
    <row r="902" spans="1:11">
      <c r="A902" t="s">
        <v>319</v>
      </c>
      <c r="B902" s="8">
        <v>262700434</v>
      </c>
      <c r="C902" s="9">
        <v>46139</v>
      </c>
      <c r="D902" s="8" t="s">
        <v>630</v>
      </c>
      <c r="E902" s="10">
        <v>30000</v>
      </c>
      <c r="F902" s="8">
        <v>0.035</v>
      </c>
      <c r="G902" s="11">
        <v>46147</v>
      </c>
      <c r="H902" s="12">
        <f t="shared" si="18"/>
        <v>1050</v>
      </c>
      <c r="I902" s="10" t="s">
        <v>10</v>
      </c>
      <c r="J902" s="13">
        <v>46162</v>
      </c>
      <c r="K902" t="s">
        <v>486</v>
      </c>
    </row>
    <row r="903" spans="1:11">
      <c r="A903" t="s">
        <v>319</v>
      </c>
      <c r="B903" s="8">
        <v>262700434</v>
      </c>
      <c r="C903" s="9">
        <v>46139</v>
      </c>
      <c r="D903" s="8" t="s">
        <v>653</v>
      </c>
      <c r="E903" s="10">
        <v>30000</v>
      </c>
      <c r="F903" s="8">
        <v>0.033</v>
      </c>
      <c r="G903" s="11">
        <v>46147</v>
      </c>
      <c r="H903" s="12">
        <f t="shared" si="18"/>
        <v>990</v>
      </c>
      <c r="I903" s="10" t="s">
        <v>10</v>
      </c>
      <c r="J903" s="13">
        <v>46162</v>
      </c>
      <c r="K903" t="s">
        <v>486</v>
      </c>
    </row>
    <row r="904" spans="1:11">
      <c r="A904" t="s">
        <v>319</v>
      </c>
      <c r="B904" s="8">
        <v>262700434</v>
      </c>
      <c r="C904" s="9">
        <v>46139</v>
      </c>
      <c r="D904" s="8" t="s">
        <v>625</v>
      </c>
      <c r="E904" s="10">
        <v>200000</v>
      </c>
      <c r="F904" s="8">
        <v>0.032</v>
      </c>
      <c r="G904" s="11">
        <v>46147</v>
      </c>
      <c r="H904" s="12">
        <f t="shared" si="18"/>
        <v>6400</v>
      </c>
      <c r="I904" s="10" t="s">
        <v>10</v>
      </c>
      <c r="J904" s="13">
        <v>46157</v>
      </c>
      <c r="K904" t="s">
        <v>486</v>
      </c>
    </row>
    <row r="905" spans="1:11">
      <c r="A905" t="s">
        <v>319</v>
      </c>
      <c r="B905" s="8">
        <v>262700434</v>
      </c>
      <c r="C905" s="9">
        <v>46139</v>
      </c>
      <c r="D905" s="8" t="s">
        <v>625</v>
      </c>
      <c r="E905" s="10">
        <v>20000</v>
      </c>
      <c r="F905" s="8">
        <v>0.032</v>
      </c>
      <c r="G905" s="11">
        <v>46147</v>
      </c>
      <c r="H905" s="12">
        <f t="shared" si="18"/>
        <v>640</v>
      </c>
      <c r="I905" s="10" t="s">
        <v>10</v>
      </c>
      <c r="J905" s="13">
        <v>46157</v>
      </c>
      <c r="K905" t="s">
        <v>486</v>
      </c>
    </row>
    <row r="906" spans="1:11">
      <c r="A906" t="s">
        <v>319</v>
      </c>
      <c r="B906" s="8">
        <v>262700434</v>
      </c>
      <c r="C906" s="9">
        <v>46139</v>
      </c>
      <c r="D906" s="8" t="s">
        <v>625</v>
      </c>
      <c r="E906" s="10">
        <v>200000</v>
      </c>
      <c r="F906" s="8">
        <v>0.032</v>
      </c>
      <c r="G906" s="11">
        <v>46178</v>
      </c>
      <c r="H906" s="12">
        <f t="shared" si="18"/>
        <v>6400</v>
      </c>
      <c r="I906" s="10" t="s">
        <v>10</v>
      </c>
      <c r="J906" s="13">
        <v>46157</v>
      </c>
      <c r="K906" t="s">
        <v>486</v>
      </c>
    </row>
    <row r="907" spans="1:11">
      <c r="A907" t="s">
        <v>319</v>
      </c>
      <c r="B907" s="8">
        <v>262700435</v>
      </c>
      <c r="C907" s="9">
        <v>46140</v>
      </c>
      <c r="D907" s="8" t="s">
        <v>48</v>
      </c>
      <c r="E907" s="10">
        <v>96000</v>
      </c>
      <c r="F907" s="8">
        <v>0.017</v>
      </c>
      <c r="G907" s="11">
        <v>46147</v>
      </c>
      <c r="H907" s="12">
        <f t="shared" si="18"/>
        <v>1632</v>
      </c>
      <c r="I907" s="10" t="s">
        <v>10</v>
      </c>
      <c r="J907" s="13">
        <v>46157</v>
      </c>
      <c r="K907" t="s">
        <v>534</v>
      </c>
    </row>
    <row r="908" spans="1:11">
      <c r="A908" t="s">
        <v>319</v>
      </c>
      <c r="B908" s="8">
        <v>262700435</v>
      </c>
      <c r="C908" s="9">
        <v>46140</v>
      </c>
      <c r="D908" s="8" t="s">
        <v>38</v>
      </c>
      <c r="E908" s="10">
        <v>200000</v>
      </c>
      <c r="F908" s="8">
        <v>0.01</v>
      </c>
      <c r="G908" s="11">
        <v>46208</v>
      </c>
      <c r="H908" s="12">
        <f t="shared" si="18"/>
        <v>2000</v>
      </c>
      <c r="I908" s="10" t="s">
        <v>10</v>
      </c>
      <c r="J908" s="13">
        <v>46142</v>
      </c>
      <c r="K908" t="s">
        <v>534</v>
      </c>
    </row>
    <row r="909" spans="1:11">
      <c r="A909" t="s">
        <v>319</v>
      </c>
      <c r="B909" s="8">
        <v>262700436</v>
      </c>
      <c r="C909" s="9">
        <v>46140</v>
      </c>
      <c r="D909" s="8" t="s">
        <v>38</v>
      </c>
      <c r="E909" s="10">
        <v>200000</v>
      </c>
      <c r="F909" s="8">
        <v>0.01</v>
      </c>
      <c r="G909" s="11">
        <v>46178</v>
      </c>
      <c r="H909" s="12">
        <f t="shared" si="18"/>
        <v>2000</v>
      </c>
      <c r="I909" s="10" t="s">
        <v>10</v>
      </c>
      <c r="J909" s="13">
        <v>46157</v>
      </c>
      <c r="K909" t="s">
        <v>499</v>
      </c>
    </row>
    <row r="910" spans="1:11">
      <c r="A910" t="s">
        <v>319</v>
      </c>
      <c r="B910" s="8">
        <v>262700436</v>
      </c>
      <c r="C910" s="9">
        <v>46140</v>
      </c>
      <c r="D910" s="8" t="s">
        <v>163</v>
      </c>
      <c r="E910" s="10">
        <v>208000</v>
      </c>
      <c r="F910" s="8">
        <v>0.0025</v>
      </c>
      <c r="G910" s="11">
        <v>46208</v>
      </c>
      <c r="H910" s="12">
        <f t="shared" si="18"/>
        <v>520</v>
      </c>
      <c r="I910" s="10" t="s">
        <v>10</v>
      </c>
      <c r="J910" s="13">
        <v>46157</v>
      </c>
      <c r="K910" t="s">
        <v>499</v>
      </c>
    </row>
    <row r="911" spans="1:11">
      <c r="A911" t="s">
        <v>319</v>
      </c>
      <c r="B911" s="8">
        <v>262700436</v>
      </c>
      <c r="C911" s="9">
        <v>46140</v>
      </c>
      <c r="D911" s="8" t="s">
        <v>47</v>
      </c>
      <c r="E911" s="10">
        <v>300000</v>
      </c>
      <c r="F911" s="8">
        <v>0.022</v>
      </c>
      <c r="G911" s="11">
        <v>46147</v>
      </c>
      <c r="H911" s="12">
        <f t="shared" si="18"/>
        <v>6600</v>
      </c>
      <c r="I911" s="10" t="s">
        <v>10</v>
      </c>
      <c r="J911" s="13">
        <v>46161</v>
      </c>
      <c r="K911" t="s">
        <v>499</v>
      </c>
    </row>
    <row r="912" spans="1:11">
      <c r="A912" t="s">
        <v>319</v>
      </c>
      <c r="B912" s="8">
        <v>262700437</v>
      </c>
      <c r="C912" s="9">
        <v>46140</v>
      </c>
      <c r="D912" s="8" t="s">
        <v>38</v>
      </c>
      <c r="E912" s="10">
        <v>200000</v>
      </c>
      <c r="F912" s="8">
        <v>0.01</v>
      </c>
      <c r="G912" s="11">
        <v>46147</v>
      </c>
      <c r="H912" s="12">
        <f t="shared" si="18"/>
        <v>2000</v>
      </c>
      <c r="I912" s="10" t="s">
        <v>10</v>
      </c>
      <c r="J912" s="13">
        <v>46184</v>
      </c>
      <c r="K912" t="s">
        <v>536</v>
      </c>
    </row>
    <row r="913" spans="1:11">
      <c r="A913" t="s">
        <v>319</v>
      </c>
      <c r="B913" s="8">
        <v>262700437</v>
      </c>
      <c r="C913" s="9">
        <v>46140</v>
      </c>
      <c r="D913" s="8" t="s">
        <v>163</v>
      </c>
      <c r="E913" s="10">
        <v>208000</v>
      </c>
      <c r="F913" s="8">
        <v>0.0025</v>
      </c>
      <c r="G913" s="11">
        <v>46239</v>
      </c>
      <c r="H913" s="12">
        <f t="shared" si="18"/>
        <v>520</v>
      </c>
      <c r="I913" s="10" t="s">
        <v>10</v>
      </c>
      <c r="J913" s="13">
        <v>46184</v>
      </c>
      <c r="K913" t="s">
        <v>536</v>
      </c>
    </row>
    <row r="914" spans="1:11">
      <c r="A914" t="s">
        <v>319</v>
      </c>
      <c r="B914" s="8">
        <v>262700538</v>
      </c>
      <c r="C914" s="9">
        <v>46142</v>
      </c>
      <c r="D914" s="8" t="s">
        <v>36</v>
      </c>
      <c r="E914" s="10">
        <v>102000</v>
      </c>
      <c r="F914" s="8">
        <v>0.00656</v>
      </c>
      <c r="G914" s="11">
        <v>46147</v>
      </c>
      <c r="H914" s="12">
        <f t="shared" si="18"/>
        <v>669.12</v>
      </c>
      <c r="I914" s="10" t="s">
        <v>10</v>
      </c>
      <c r="J914" s="13">
        <v>46162</v>
      </c>
      <c r="K914" t="s">
        <v>467</v>
      </c>
    </row>
    <row r="915" spans="1:11">
      <c r="A915" t="s">
        <v>319</v>
      </c>
      <c r="B915" s="8">
        <v>262700538</v>
      </c>
      <c r="C915" s="9">
        <v>46142</v>
      </c>
      <c r="D915" s="8" t="s">
        <v>36</v>
      </c>
      <c r="E915" s="10">
        <v>99000</v>
      </c>
      <c r="F915" s="8">
        <v>0.00656</v>
      </c>
      <c r="G915" s="11">
        <v>46147</v>
      </c>
      <c r="H915" s="12">
        <f t="shared" si="18"/>
        <v>649.44</v>
      </c>
      <c r="I915" s="10" t="s">
        <v>10</v>
      </c>
      <c r="J915" s="13">
        <v>46162</v>
      </c>
      <c r="K915" t="s">
        <v>467</v>
      </c>
    </row>
    <row r="916" spans="1:11">
      <c r="A916" t="s">
        <v>319</v>
      </c>
      <c r="B916" s="8">
        <v>262700538</v>
      </c>
      <c r="C916" s="9">
        <v>46142</v>
      </c>
      <c r="D916" s="8" t="s">
        <v>36</v>
      </c>
      <c r="E916" s="10">
        <v>102000</v>
      </c>
      <c r="F916" s="8">
        <v>0.00656</v>
      </c>
      <c r="G916" s="11">
        <v>46178</v>
      </c>
      <c r="H916" s="12">
        <f t="shared" si="18"/>
        <v>669.12</v>
      </c>
      <c r="I916" s="10" t="s">
        <v>10</v>
      </c>
      <c r="J916" s="13">
        <v>46162</v>
      </c>
      <c r="K916" t="s">
        <v>467</v>
      </c>
    </row>
    <row r="917" spans="1:11">
      <c r="A917" t="s">
        <v>319</v>
      </c>
      <c r="B917" s="8">
        <v>262700538</v>
      </c>
      <c r="C917" s="9">
        <v>46142</v>
      </c>
      <c r="D917" s="8" t="s">
        <v>34</v>
      </c>
      <c r="E917" s="10">
        <v>120000</v>
      </c>
      <c r="F917" s="8">
        <v>0.0368</v>
      </c>
      <c r="G917" s="11">
        <v>46147</v>
      </c>
      <c r="H917" s="12">
        <f t="shared" si="18"/>
        <v>4416</v>
      </c>
      <c r="I917" s="10" t="s">
        <v>10</v>
      </c>
      <c r="J917" s="13">
        <v>46162</v>
      </c>
      <c r="K917" t="s">
        <v>467</v>
      </c>
    </row>
    <row r="918" spans="1:11">
      <c r="A918" t="s">
        <v>319</v>
      </c>
      <c r="B918" s="8">
        <v>262700538</v>
      </c>
      <c r="C918" s="9">
        <v>46142</v>
      </c>
      <c r="D918" s="8" t="s">
        <v>34</v>
      </c>
      <c r="E918" s="10">
        <v>60000</v>
      </c>
      <c r="F918" s="8">
        <v>0.0368</v>
      </c>
      <c r="G918" s="11">
        <v>46178</v>
      </c>
      <c r="H918" s="12">
        <f t="shared" si="18"/>
        <v>2208</v>
      </c>
      <c r="I918" s="10" t="s">
        <v>10</v>
      </c>
      <c r="J918" s="13">
        <v>46162</v>
      </c>
      <c r="K918" t="s">
        <v>467</v>
      </c>
    </row>
    <row r="919" spans="1:11">
      <c r="A919" t="s">
        <v>319</v>
      </c>
      <c r="B919" s="8">
        <v>262700539</v>
      </c>
      <c r="C919" s="9">
        <v>46142</v>
      </c>
      <c r="D919" s="8" t="s">
        <v>36</v>
      </c>
      <c r="E919" s="10">
        <v>99000</v>
      </c>
      <c r="F919" s="8">
        <v>0.00656</v>
      </c>
      <c r="G919" s="11">
        <v>46208</v>
      </c>
      <c r="H919" s="12">
        <f t="shared" si="18"/>
        <v>649.44</v>
      </c>
      <c r="I919" s="10" t="s">
        <v>10</v>
      </c>
      <c r="J919" s="13">
        <v>46191</v>
      </c>
      <c r="K919" t="s">
        <v>467</v>
      </c>
    </row>
    <row r="920" spans="1:11">
      <c r="A920" t="s">
        <v>319</v>
      </c>
      <c r="B920" s="8">
        <v>262700539</v>
      </c>
      <c r="C920" s="9">
        <v>46142</v>
      </c>
      <c r="D920" s="8" t="s">
        <v>36</v>
      </c>
      <c r="E920" s="10">
        <v>99000</v>
      </c>
      <c r="F920" s="8">
        <v>0.00656</v>
      </c>
      <c r="G920" s="11">
        <v>46239</v>
      </c>
      <c r="H920" s="12">
        <f t="shared" si="18"/>
        <v>649.44</v>
      </c>
      <c r="I920" s="10" t="s">
        <v>10</v>
      </c>
      <c r="J920" s="13">
        <v>46191</v>
      </c>
      <c r="K920" t="s">
        <v>467</v>
      </c>
    </row>
    <row r="921" spans="1:11">
      <c r="A921" t="s">
        <v>319</v>
      </c>
      <c r="B921" s="8">
        <v>262700539</v>
      </c>
      <c r="C921" s="9">
        <v>46142</v>
      </c>
      <c r="D921" s="8" t="s">
        <v>34</v>
      </c>
      <c r="E921" s="10">
        <v>60000</v>
      </c>
      <c r="F921" s="8">
        <v>0.0368</v>
      </c>
      <c r="G921" s="11">
        <v>46208</v>
      </c>
      <c r="H921" s="12">
        <f t="shared" si="18"/>
        <v>2208</v>
      </c>
      <c r="I921" s="10" t="s">
        <v>10</v>
      </c>
      <c r="J921" s="13">
        <v>46191</v>
      </c>
      <c r="K921" t="s">
        <v>467</v>
      </c>
    </row>
    <row r="922" spans="1:11">
      <c r="A922" t="s">
        <v>319</v>
      </c>
      <c r="B922" s="8">
        <v>262700539</v>
      </c>
      <c r="C922" s="9">
        <v>46142</v>
      </c>
      <c r="D922" s="8" t="s">
        <v>34</v>
      </c>
      <c r="E922" s="10">
        <v>56000</v>
      </c>
      <c r="F922" s="8">
        <v>0.0368</v>
      </c>
      <c r="G922" s="11">
        <v>46239</v>
      </c>
      <c r="H922" s="12">
        <f t="shared" si="18"/>
        <v>2060.8</v>
      </c>
      <c r="I922" s="10" t="s">
        <v>10</v>
      </c>
      <c r="J922" s="13">
        <v>46191</v>
      </c>
      <c r="K922" t="s">
        <v>467</v>
      </c>
    </row>
    <row r="923" spans="1:11">
      <c r="A923" t="s">
        <v>319</v>
      </c>
      <c r="B923" s="8">
        <v>262700576</v>
      </c>
      <c r="C923" s="9">
        <v>46146</v>
      </c>
      <c r="D923" s="8" t="s">
        <v>220</v>
      </c>
      <c r="E923" s="10">
        <v>150000</v>
      </c>
      <c r="F923" s="8">
        <v>0.0115</v>
      </c>
      <c r="G923" s="11">
        <v>46147</v>
      </c>
      <c r="H923" s="12">
        <f t="shared" si="18"/>
        <v>1725</v>
      </c>
      <c r="I923" s="10" t="s">
        <v>10</v>
      </c>
      <c r="J923" s="13">
        <v>46157</v>
      </c>
      <c r="K923" t="s">
        <v>337</v>
      </c>
    </row>
    <row r="924" spans="1:11">
      <c r="A924" t="s">
        <v>319</v>
      </c>
      <c r="B924" s="8">
        <v>262700598</v>
      </c>
      <c r="C924" s="9">
        <v>46147</v>
      </c>
      <c r="D924" s="8" t="s">
        <v>588</v>
      </c>
      <c r="E924" s="10">
        <v>100000</v>
      </c>
      <c r="F924" s="8">
        <v>0.063</v>
      </c>
      <c r="G924" s="11">
        <v>46164</v>
      </c>
      <c r="H924" s="12">
        <f t="shared" si="18"/>
        <v>6300</v>
      </c>
      <c r="I924" s="10" t="s">
        <v>10</v>
      </c>
      <c r="J924" s="13">
        <v>46157</v>
      </c>
      <c r="K924" t="s">
        <v>377</v>
      </c>
    </row>
    <row r="925" spans="1:11">
      <c r="A925" t="s">
        <v>319</v>
      </c>
      <c r="B925" s="8">
        <v>262700598</v>
      </c>
      <c r="C925" s="9">
        <v>46147</v>
      </c>
      <c r="D925" s="8" t="s">
        <v>588</v>
      </c>
      <c r="E925" s="10">
        <v>50000</v>
      </c>
      <c r="F925" s="8">
        <v>0.063</v>
      </c>
      <c r="G925" s="11">
        <v>46178</v>
      </c>
      <c r="H925" s="12">
        <f t="shared" si="18"/>
        <v>3150</v>
      </c>
      <c r="I925" s="10" t="s">
        <v>10</v>
      </c>
      <c r="J925" s="13">
        <v>46157</v>
      </c>
      <c r="K925" t="s">
        <v>377</v>
      </c>
    </row>
    <row r="926" spans="1:11">
      <c r="A926" t="s">
        <v>319</v>
      </c>
      <c r="B926" s="8">
        <v>262700600</v>
      </c>
      <c r="C926" s="9">
        <v>46147</v>
      </c>
      <c r="D926" s="8" t="s">
        <v>11</v>
      </c>
      <c r="E926" s="10">
        <v>40000</v>
      </c>
      <c r="F926" s="8">
        <v>0.032</v>
      </c>
      <c r="G926" s="11">
        <v>46239</v>
      </c>
      <c r="H926" s="12">
        <f t="shared" si="18"/>
        <v>1280</v>
      </c>
      <c r="I926" s="10" t="s">
        <v>10</v>
      </c>
      <c r="J926" s="13">
        <v>46191</v>
      </c>
    </row>
    <row r="927" spans="1:11">
      <c r="A927" t="s">
        <v>319</v>
      </c>
      <c r="B927" s="8">
        <v>262700600</v>
      </c>
      <c r="C927" s="9">
        <v>46147</v>
      </c>
      <c r="D927" s="8" t="s">
        <v>11</v>
      </c>
      <c r="E927" s="10">
        <v>40000</v>
      </c>
      <c r="F927" s="8">
        <v>0.032</v>
      </c>
      <c r="G927" s="11">
        <v>46270</v>
      </c>
      <c r="H927" s="12">
        <f t="shared" si="18"/>
        <v>1280</v>
      </c>
      <c r="I927" s="10" t="s">
        <v>10</v>
      </c>
      <c r="J927" s="13">
        <v>46191</v>
      </c>
    </row>
    <row r="928" spans="1:11">
      <c r="B928" s="14">
        <v>262700601</v>
      </c>
      <c r="C928" s="13">
        <v>46147</v>
      </c>
      <c r="D928" s="14" t="s">
        <v>11</v>
      </c>
      <c r="E928" s="15">
        <v>40000</v>
      </c>
      <c r="F928" s="14">
        <v>0.032</v>
      </c>
      <c r="G928" s="18">
        <v>46300</v>
      </c>
      <c r="H928" s="17">
        <f t="shared" si="18"/>
        <v>1280</v>
      </c>
      <c r="I928" s="15" t="s">
        <v>317</v>
      </c>
      <c r="J928" s="15"/>
    </row>
    <row r="929" spans="1:11">
      <c r="B929" s="14">
        <v>262700601</v>
      </c>
      <c r="C929" s="13">
        <v>46147</v>
      </c>
      <c r="D929" s="14" t="s">
        <v>11</v>
      </c>
      <c r="E929" s="15">
        <v>40000</v>
      </c>
      <c r="F929" s="14">
        <v>0.032</v>
      </c>
      <c r="G929" s="18">
        <v>46331</v>
      </c>
      <c r="H929" s="17">
        <f t="shared" si="18"/>
        <v>1280</v>
      </c>
      <c r="I929" s="15" t="s">
        <v>317</v>
      </c>
      <c r="J929" s="15"/>
    </row>
    <row r="930" spans="1:11">
      <c r="A930" t="s">
        <v>319</v>
      </c>
      <c r="B930" s="8">
        <v>262700615</v>
      </c>
      <c r="C930" s="9">
        <v>46147</v>
      </c>
      <c r="D930" s="8" t="s">
        <v>45</v>
      </c>
      <c r="E930" s="10">
        <v>60000</v>
      </c>
      <c r="F930" s="8">
        <v>0.024</v>
      </c>
      <c r="G930" s="11">
        <v>46178</v>
      </c>
      <c r="H930" s="12">
        <f t="shared" si="18"/>
        <v>1440</v>
      </c>
      <c r="I930" s="10" t="s">
        <v>10</v>
      </c>
      <c r="J930" s="13">
        <v>46184</v>
      </c>
      <c r="K930" t="s">
        <v>337</v>
      </c>
    </row>
    <row r="931" spans="1:11">
      <c r="A931" t="s">
        <v>319</v>
      </c>
      <c r="B931" s="8">
        <v>262700723</v>
      </c>
      <c r="C931" s="9">
        <v>46148</v>
      </c>
      <c r="D931" s="8" t="s">
        <v>78</v>
      </c>
      <c r="E931" s="10">
        <v>200000</v>
      </c>
      <c r="F931" s="8">
        <v>0.016</v>
      </c>
      <c r="G931" s="11">
        <v>46208</v>
      </c>
      <c r="H931" s="12">
        <f t="shared" si="18"/>
        <v>3200</v>
      </c>
      <c r="I931" s="10" t="s">
        <v>10</v>
      </c>
      <c r="J931" s="13">
        <v>46191</v>
      </c>
      <c r="K931" t="s">
        <v>628</v>
      </c>
    </row>
    <row r="932" spans="1:11">
      <c r="A932" t="s">
        <v>319</v>
      </c>
      <c r="B932" s="8">
        <v>262700723</v>
      </c>
      <c r="C932" s="9">
        <v>46148</v>
      </c>
      <c r="D932" s="8" t="s">
        <v>78</v>
      </c>
      <c r="E932" s="10">
        <v>200000</v>
      </c>
      <c r="F932" s="8">
        <v>0.016</v>
      </c>
      <c r="G932" s="11">
        <v>46239</v>
      </c>
      <c r="H932" s="12">
        <f t="shared" si="18"/>
        <v>3200</v>
      </c>
      <c r="I932" s="10" t="s">
        <v>10</v>
      </c>
      <c r="J932" s="13">
        <v>46191</v>
      </c>
      <c r="K932" t="s">
        <v>628</v>
      </c>
    </row>
    <row r="933" spans="1:11">
      <c r="A933" t="s">
        <v>319</v>
      </c>
      <c r="B933" s="8">
        <v>262700723</v>
      </c>
      <c r="C933" s="9">
        <v>46148</v>
      </c>
      <c r="D933" s="8" t="s">
        <v>11</v>
      </c>
      <c r="E933" s="10">
        <v>200000</v>
      </c>
      <c r="F933" s="8">
        <v>0.032</v>
      </c>
      <c r="G933" s="11">
        <v>46208</v>
      </c>
      <c r="H933" s="12">
        <f t="shared" si="18"/>
        <v>6400</v>
      </c>
      <c r="I933" s="10" t="s">
        <v>10</v>
      </c>
      <c r="J933" s="13">
        <v>46191</v>
      </c>
      <c r="K933" t="s">
        <v>628</v>
      </c>
    </row>
    <row r="934" spans="1:11">
      <c r="A934" t="s">
        <v>319</v>
      </c>
      <c r="B934" s="8">
        <v>262700723</v>
      </c>
      <c r="C934" s="9">
        <v>46148</v>
      </c>
      <c r="D934" s="8" t="s">
        <v>11</v>
      </c>
      <c r="E934" s="10">
        <v>180000</v>
      </c>
      <c r="F934" s="8">
        <v>0.032</v>
      </c>
      <c r="G934" s="11">
        <v>46239</v>
      </c>
      <c r="H934" s="12">
        <f t="shared" si="18"/>
        <v>5760</v>
      </c>
      <c r="I934" s="10" t="s">
        <v>10</v>
      </c>
      <c r="J934" s="13">
        <v>46191</v>
      </c>
      <c r="K934" t="s">
        <v>628</v>
      </c>
    </row>
    <row r="935" spans="1:11">
      <c r="A935" t="s">
        <v>319</v>
      </c>
      <c r="B935" s="8">
        <v>262700723</v>
      </c>
      <c r="C935" s="9">
        <v>46148</v>
      </c>
      <c r="D935" s="8" t="s">
        <v>33</v>
      </c>
      <c r="E935" s="10">
        <v>84000</v>
      </c>
      <c r="F935" s="8">
        <v>0.018</v>
      </c>
      <c r="G935" s="11">
        <v>46208</v>
      </c>
      <c r="H935" s="12">
        <f t="shared" si="18"/>
        <v>1512</v>
      </c>
      <c r="I935" s="10" t="s">
        <v>10</v>
      </c>
      <c r="J935" s="13">
        <v>46191</v>
      </c>
      <c r="K935" t="s">
        <v>628</v>
      </c>
    </row>
    <row r="936" spans="1:11">
      <c r="A936" t="s">
        <v>319</v>
      </c>
      <c r="B936" s="8">
        <v>262700723</v>
      </c>
      <c r="C936" s="9">
        <v>46148</v>
      </c>
      <c r="D936" s="8" t="s">
        <v>33</v>
      </c>
      <c r="E936" s="10">
        <v>84000</v>
      </c>
      <c r="F936" s="8">
        <v>0.018</v>
      </c>
      <c r="G936" s="11">
        <v>46239</v>
      </c>
      <c r="H936" s="12">
        <f t="shared" si="18"/>
        <v>1512</v>
      </c>
      <c r="I936" s="10" t="s">
        <v>10</v>
      </c>
      <c r="J936" s="13">
        <v>46191</v>
      </c>
      <c r="K936" t="s">
        <v>628</v>
      </c>
    </row>
    <row r="937" spans="1:11">
      <c r="A937" t="s">
        <v>319</v>
      </c>
      <c r="B937" s="8">
        <v>262700723</v>
      </c>
      <c r="C937" s="9">
        <v>46148</v>
      </c>
      <c r="D937" s="8" t="s">
        <v>282</v>
      </c>
      <c r="E937" s="10">
        <v>200000</v>
      </c>
      <c r="F937" s="8">
        <v>0.0304</v>
      </c>
      <c r="G937" s="11">
        <v>46239</v>
      </c>
      <c r="H937" s="12">
        <f t="shared" si="18"/>
        <v>6080</v>
      </c>
      <c r="I937" s="10" t="s">
        <v>10</v>
      </c>
      <c r="J937" s="13">
        <v>46191</v>
      </c>
      <c r="K937" t="s">
        <v>628</v>
      </c>
    </row>
    <row r="938" spans="1:11">
      <c r="B938" s="14">
        <v>262700724</v>
      </c>
      <c r="C938" s="13">
        <v>46148</v>
      </c>
      <c r="D938" s="14" t="s">
        <v>282</v>
      </c>
      <c r="E938" s="15">
        <v>200000</v>
      </c>
      <c r="F938" s="14">
        <v>0.0304</v>
      </c>
      <c r="G938" s="18">
        <v>46270</v>
      </c>
      <c r="H938" s="17">
        <f t="shared" si="18"/>
        <v>6080</v>
      </c>
      <c r="I938" s="15" t="s">
        <v>317</v>
      </c>
      <c r="J938" s="15"/>
      <c r="K938" t="s">
        <v>628</v>
      </c>
    </row>
    <row r="939" spans="1:11">
      <c r="B939" s="14">
        <v>262700724</v>
      </c>
      <c r="C939" s="13">
        <v>46148</v>
      </c>
      <c r="D939" s="14" t="s">
        <v>78</v>
      </c>
      <c r="E939" s="15">
        <v>200000</v>
      </c>
      <c r="F939" s="14">
        <v>0.016</v>
      </c>
      <c r="G939" s="18">
        <v>46270</v>
      </c>
      <c r="H939" s="17">
        <f t="shared" si="18"/>
        <v>3200</v>
      </c>
      <c r="I939" s="15" t="s">
        <v>317</v>
      </c>
      <c r="J939" s="15"/>
      <c r="K939" t="s">
        <v>628</v>
      </c>
    </row>
    <row r="940" spans="1:11">
      <c r="B940" s="14">
        <v>262700724</v>
      </c>
      <c r="C940" s="13">
        <v>46148</v>
      </c>
      <c r="D940" s="14" t="s">
        <v>11</v>
      </c>
      <c r="E940" s="15">
        <v>180000</v>
      </c>
      <c r="F940" s="14">
        <v>0.032</v>
      </c>
      <c r="G940" s="18">
        <v>46270</v>
      </c>
      <c r="H940" s="17">
        <f t="shared" si="18"/>
        <v>5760</v>
      </c>
      <c r="I940" s="15" t="s">
        <v>317</v>
      </c>
      <c r="J940" s="15"/>
      <c r="K940" t="s">
        <v>628</v>
      </c>
    </row>
    <row r="941" spans="1:11">
      <c r="B941" s="14">
        <v>262700724</v>
      </c>
      <c r="C941" s="13">
        <v>46148</v>
      </c>
      <c r="D941" s="14" t="s">
        <v>33</v>
      </c>
      <c r="E941" s="15">
        <v>84000</v>
      </c>
      <c r="F941" s="14">
        <v>0.018</v>
      </c>
      <c r="G941" s="18">
        <v>46270</v>
      </c>
      <c r="H941" s="17">
        <f t="shared" si="18"/>
        <v>1512</v>
      </c>
      <c r="I941" s="15" t="s">
        <v>317</v>
      </c>
      <c r="J941" s="15"/>
      <c r="K941" t="s">
        <v>628</v>
      </c>
    </row>
    <row r="942" spans="1:11">
      <c r="B942" s="14">
        <v>262700735</v>
      </c>
      <c r="C942" s="13">
        <v>46150</v>
      </c>
      <c r="D942" s="14" t="s">
        <v>654</v>
      </c>
      <c r="E942" s="15">
        <v>4000</v>
      </c>
      <c r="F942" s="14">
        <v>0.05</v>
      </c>
      <c r="G942" s="16">
        <v>46164</v>
      </c>
      <c r="H942" s="17">
        <f t="shared" si="18"/>
        <v>200</v>
      </c>
      <c r="I942" s="15" t="s">
        <v>51</v>
      </c>
      <c r="J942" s="15"/>
      <c r="K942" t="s">
        <v>380</v>
      </c>
    </row>
    <row r="943" spans="1:11">
      <c r="A943" t="s">
        <v>319</v>
      </c>
      <c r="B943" s="8">
        <v>262700784</v>
      </c>
      <c r="C943" s="9">
        <v>46153</v>
      </c>
      <c r="D943" s="8" t="s">
        <v>616</v>
      </c>
      <c r="E943" s="10">
        <v>100000</v>
      </c>
      <c r="F943" s="8">
        <v>0.06</v>
      </c>
      <c r="G943" s="11">
        <v>46164</v>
      </c>
      <c r="H943" s="12">
        <f t="shared" si="18"/>
        <v>6000</v>
      </c>
      <c r="I943" s="10" t="s">
        <v>10</v>
      </c>
      <c r="J943" s="13">
        <v>46157</v>
      </c>
      <c r="K943" t="s">
        <v>377</v>
      </c>
    </row>
    <row r="944" spans="1:11">
      <c r="A944" t="s">
        <v>319</v>
      </c>
      <c r="B944" s="8">
        <v>262700784</v>
      </c>
      <c r="C944" s="9">
        <v>46153</v>
      </c>
      <c r="D944" s="8" t="s">
        <v>616</v>
      </c>
      <c r="E944" s="10">
        <v>50000</v>
      </c>
      <c r="F944" s="8">
        <v>0.06</v>
      </c>
      <c r="G944" s="11">
        <v>46178</v>
      </c>
      <c r="H944" s="12">
        <f t="shared" si="18"/>
        <v>3000</v>
      </c>
      <c r="I944" s="10" t="s">
        <v>10</v>
      </c>
      <c r="J944" s="13">
        <v>46157</v>
      </c>
      <c r="K944" t="s">
        <v>377</v>
      </c>
    </row>
    <row r="945" spans="1:11">
      <c r="A945" t="s">
        <v>319</v>
      </c>
      <c r="B945" s="8">
        <v>262700784</v>
      </c>
      <c r="C945" s="9">
        <v>46153</v>
      </c>
      <c r="D945" s="8" t="s">
        <v>509</v>
      </c>
      <c r="E945" s="10">
        <v>25000</v>
      </c>
      <c r="F945" s="8">
        <v>0.16</v>
      </c>
      <c r="G945" s="11">
        <v>46178</v>
      </c>
      <c r="H945" s="12">
        <f t="shared" si="18"/>
        <v>4000</v>
      </c>
      <c r="I945" s="10" t="s">
        <v>10</v>
      </c>
      <c r="J945" s="13">
        <v>46162</v>
      </c>
      <c r="K945" t="s">
        <v>377</v>
      </c>
    </row>
    <row r="946" spans="1:11">
      <c r="A946" t="s">
        <v>319</v>
      </c>
      <c r="B946" s="8">
        <v>262700784</v>
      </c>
      <c r="C946" s="9">
        <v>46153</v>
      </c>
      <c r="D946" s="8" t="s">
        <v>511</v>
      </c>
      <c r="E946" s="10">
        <v>120000</v>
      </c>
      <c r="F946" s="8">
        <v>0.041</v>
      </c>
      <c r="G946" s="11">
        <v>46178</v>
      </c>
      <c r="H946" s="12">
        <f t="shared" si="18"/>
        <v>4920</v>
      </c>
      <c r="I946" s="10" t="s">
        <v>10</v>
      </c>
      <c r="J946" s="13">
        <v>46157</v>
      </c>
      <c r="K946" t="s">
        <v>377</v>
      </c>
    </row>
    <row r="947" spans="1:11">
      <c r="A947" t="s">
        <v>319</v>
      </c>
      <c r="B947" s="8">
        <v>262700785</v>
      </c>
      <c r="C947" s="9">
        <v>46153</v>
      </c>
      <c r="D947" s="8" t="s">
        <v>626</v>
      </c>
      <c r="E947" s="10">
        <v>20000</v>
      </c>
      <c r="F947" s="8">
        <v>0.0224</v>
      </c>
      <c r="G947" s="11">
        <v>46208</v>
      </c>
      <c r="H947" s="12">
        <f t="shared" si="18"/>
        <v>448</v>
      </c>
      <c r="I947" s="10" t="s">
        <v>10</v>
      </c>
      <c r="J947" s="13">
        <v>46191</v>
      </c>
      <c r="K947" t="s">
        <v>377</v>
      </c>
    </row>
    <row r="948" spans="1:11">
      <c r="A948" t="s">
        <v>319</v>
      </c>
      <c r="B948" s="8">
        <v>262700785</v>
      </c>
      <c r="C948" s="9">
        <v>46153</v>
      </c>
      <c r="D948" s="8" t="s">
        <v>38</v>
      </c>
      <c r="E948" s="10">
        <v>100000</v>
      </c>
      <c r="F948" s="8">
        <v>0.01</v>
      </c>
      <c r="G948" s="11">
        <v>46208</v>
      </c>
      <c r="H948" s="12">
        <f t="shared" si="18"/>
        <v>1000</v>
      </c>
      <c r="I948" s="10" t="s">
        <v>10</v>
      </c>
      <c r="J948" s="13">
        <v>46184</v>
      </c>
      <c r="K948" t="s">
        <v>377</v>
      </c>
    </row>
    <row r="949" spans="1:11">
      <c r="A949" t="s">
        <v>319</v>
      </c>
      <c r="B949" s="8">
        <v>262700803</v>
      </c>
      <c r="C949" s="9">
        <v>46149</v>
      </c>
      <c r="D949" s="8" t="s">
        <v>242</v>
      </c>
      <c r="E949" s="10">
        <v>40000</v>
      </c>
      <c r="F949" s="8">
        <v>0.043</v>
      </c>
      <c r="G949" s="11">
        <v>46208</v>
      </c>
      <c r="H949" s="12">
        <f t="shared" si="18"/>
        <v>1720</v>
      </c>
      <c r="I949" s="10" t="s">
        <v>10</v>
      </c>
      <c r="J949" s="13">
        <v>46157</v>
      </c>
      <c r="K949" t="s">
        <v>491</v>
      </c>
    </row>
    <row r="950" spans="1:11">
      <c r="A950" t="s">
        <v>319</v>
      </c>
      <c r="B950" s="8">
        <v>262700803</v>
      </c>
      <c r="C950" s="9">
        <v>46149</v>
      </c>
      <c r="D950" s="8" t="s">
        <v>512</v>
      </c>
      <c r="E950" s="10">
        <v>100000</v>
      </c>
      <c r="F950" s="8">
        <v>0.031</v>
      </c>
      <c r="G950" s="11">
        <v>46178</v>
      </c>
      <c r="H950" s="12">
        <f t="shared" si="18"/>
        <v>3100</v>
      </c>
      <c r="I950" s="10" t="s">
        <v>10</v>
      </c>
      <c r="J950" s="13">
        <v>46157</v>
      </c>
      <c r="K950" t="s">
        <v>491</v>
      </c>
    </row>
    <row r="951" spans="1:11">
      <c r="A951" t="s">
        <v>319</v>
      </c>
      <c r="B951" s="8">
        <v>262700810</v>
      </c>
      <c r="C951" s="9">
        <v>46153</v>
      </c>
      <c r="D951" s="8" t="s">
        <v>179</v>
      </c>
      <c r="E951" s="10">
        <v>300000</v>
      </c>
      <c r="F951" s="8">
        <v>0.065</v>
      </c>
      <c r="G951" s="11">
        <v>46164</v>
      </c>
      <c r="H951" s="12">
        <f t="shared" ref="H951:H1014" si="19">E951*F951</f>
        <v>19500</v>
      </c>
      <c r="I951" s="10" t="s">
        <v>10</v>
      </c>
      <c r="J951" s="13">
        <v>46171</v>
      </c>
      <c r="K951" t="s">
        <v>337</v>
      </c>
    </row>
    <row r="952" spans="1:11">
      <c r="A952" t="s">
        <v>319</v>
      </c>
      <c r="B952" s="8">
        <v>262700810</v>
      </c>
      <c r="C952" s="9">
        <v>46153</v>
      </c>
      <c r="D952" s="8" t="s">
        <v>179</v>
      </c>
      <c r="E952" s="10">
        <v>300000</v>
      </c>
      <c r="F952" s="8">
        <v>0.065</v>
      </c>
      <c r="G952" s="11">
        <v>46178</v>
      </c>
      <c r="H952" s="12">
        <f t="shared" si="19"/>
        <v>19500</v>
      </c>
      <c r="I952" s="10" t="s">
        <v>10</v>
      </c>
      <c r="J952" s="13">
        <v>46171</v>
      </c>
      <c r="K952" t="s">
        <v>337</v>
      </c>
    </row>
    <row r="953" spans="1:11">
      <c r="A953" t="s">
        <v>319</v>
      </c>
      <c r="B953" s="8">
        <v>262700810</v>
      </c>
      <c r="C953" s="9">
        <v>46153</v>
      </c>
      <c r="D953" s="8" t="s">
        <v>40</v>
      </c>
      <c r="E953" s="10">
        <v>300000</v>
      </c>
      <c r="F953" s="8">
        <v>0.035</v>
      </c>
      <c r="G953" s="11">
        <v>46164</v>
      </c>
      <c r="H953" s="12">
        <f t="shared" si="19"/>
        <v>10500</v>
      </c>
      <c r="I953" s="10" t="s">
        <v>10</v>
      </c>
      <c r="J953" s="13">
        <v>46171</v>
      </c>
      <c r="K953" t="s">
        <v>337</v>
      </c>
    </row>
    <row r="954" spans="1:11">
      <c r="A954" t="s">
        <v>319</v>
      </c>
      <c r="B954" s="8">
        <v>262700810</v>
      </c>
      <c r="C954" s="9">
        <v>46153</v>
      </c>
      <c r="D954" s="8" t="s">
        <v>40</v>
      </c>
      <c r="E954" s="10">
        <v>300000</v>
      </c>
      <c r="F954" s="8">
        <v>0.035</v>
      </c>
      <c r="G954" s="11">
        <v>46178</v>
      </c>
      <c r="H954" s="12">
        <f t="shared" si="19"/>
        <v>10500</v>
      </c>
      <c r="I954" s="10" t="s">
        <v>10</v>
      </c>
      <c r="J954" s="13">
        <v>46171</v>
      </c>
      <c r="K954" t="s">
        <v>337</v>
      </c>
    </row>
    <row r="955" spans="1:11">
      <c r="A955" t="s">
        <v>319</v>
      </c>
      <c r="B955" s="8">
        <v>262700810</v>
      </c>
      <c r="C955" s="9">
        <v>46153</v>
      </c>
      <c r="D955" s="8" t="s">
        <v>45</v>
      </c>
      <c r="E955" s="10">
        <v>100000</v>
      </c>
      <c r="F955" s="8">
        <v>0.024</v>
      </c>
      <c r="G955" s="11">
        <v>46164</v>
      </c>
      <c r="H955" s="12">
        <f t="shared" si="19"/>
        <v>2400</v>
      </c>
      <c r="I955" s="10" t="s">
        <v>10</v>
      </c>
      <c r="J955" s="13">
        <v>46163</v>
      </c>
      <c r="K955" t="s">
        <v>337</v>
      </c>
    </row>
    <row r="956" spans="1:11">
      <c r="A956" t="s">
        <v>319</v>
      </c>
      <c r="B956" s="8">
        <v>262700810</v>
      </c>
      <c r="C956" s="9">
        <v>46153</v>
      </c>
      <c r="D956" s="8" t="s">
        <v>45</v>
      </c>
      <c r="E956" s="10">
        <v>100000</v>
      </c>
      <c r="F956" s="8">
        <v>0.024</v>
      </c>
      <c r="G956" s="11">
        <v>46178</v>
      </c>
      <c r="H956" s="12">
        <f t="shared" si="19"/>
        <v>2400</v>
      </c>
      <c r="I956" s="10" t="s">
        <v>10</v>
      </c>
      <c r="J956" s="13">
        <v>46163</v>
      </c>
      <c r="K956" t="s">
        <v>337</v>
      </c>
    </row>
    <row r="957" spans="1:11">
      <c r="A957" t="s">
        <v>319</v>
      </c>
      <c r="B957" s="8">
        <v>262700810</v>
      </c>
      <c r="C957" s="9">
        <v>46153</v>
      </c>
      <c r="D957" s="8" t="s">
        <v>39</v>
      </c>
      <c r="E957" s="10">
        <v>300000</v>
      </c>
      <c r="F957" s="8">
        <v>0.022</v>
      </c>
      <c r="G957" s="11">
        <v>46164</v>
      </c>
      <c r="H957" s="12">
        <f t="shared" si="19"/>
        <v>6600</v>
      </c>
      <c r="I957" s="10" t="s">
        <v>10</v>
      </c>
      <c r="J957" s="13">
        <v>46163</v>
      </c>
      <c r="K957" t="s">
        <v>337</v>
      </c>
    </row>
    <row r="958" spans="1:11">
      <c r="A958" t="s">
        <v>319</v>
      </c>
      <c r="B958" s="8">
        <v>262700810</v>
      </c>
      <c r="C958" s="9">
        <v>46153</v>
      </c>
      <c r="D958" s="8" t="s">
        <v>39</v>
      </c>
      <c r="E958" s="10">
        <v>300000</v>
      </c>
      <c r="F958" s="8">
        <v>0.022</v>
      </c>
      <c r="G958" s="11">
        <v>46164</v>
      </c>
      <c r="H958" s="12">
        <f t="shared" si="19"/>
        <v>6600</v>
      </c>
      <c r="I958" s="10" t="s">
        <v>10</v>
      </c>
      <c r="J958" s="13">
        <v>46163</v>
      </c>
      <c r="K958" t="s">
        <v>337</v>
      </c>
    </row>
    <row r="959" spans="1:11">
      <c r="A959" t="s">
        <v>319</v>
      </c>
      <c r="B959" s="8">
        <v>262700810</v>
      </c>
      <c r="C959" s="9">
        <v>46153</v>
      </c>
      <c r="D959" s="8" t="s">
        <v>39</v>
      </c>
      <c r="E959" s="10">
        <v>300000</v>
      </c>
      <c r="F959" s="8">
        <v>0.022</v>
      </c>
      <c r="G959" s="11">
        <v>46178</v>
      </c>
      <c r="H959" s="12">
        <f t="shared" si="19"/>
        <v>6600</v>
      </c>
      <c r="I959" s="10" t="s">
        <v>10</v>
      </c>
      <c r="J959" s="13">
        <v>46163</v>
      </c>
      <c r="K959" t="s">
        <v>337</v>
      </c>
    </row>
    <row r="960" spans="1:11">
      <c r="A960" t="s">
        <v>319</v>
      </c>
      <c r="B960" s="8">
        <v>262700810</v>
      </c>
      <c r="C960" s="9">
        <v>46153</v>
      </c>
      <c r="D960" s="8" t="s">
        <v>39</v>
      </c>
      <c r="E960" s="10">
        <v>300000</v>
      </c>
      <c r="F960" s="8">
        <v>0.022</v>
      </c>
      <c r="G960" s="11">
        <v>46178</v>
      </c>
      <c r="H960" s="12">
        <f t="shared" si="19"/>
        <v>6600</v>
      </c>
      <c r="I960" s="10" t="s">
        <v>10</v>
      </c>
      <c r="J960" s="13">
        <v>46163</v>
      </c>
      <c r="K960" t="s">
        <v>337</v>
      </c>
    </row>
    <row r="961" spans="1:11">
      <c r="A961" t="s">
        <v>319</v>
      </c>
      <c r="B961" s="8">
        <v>262700811</v>
      </c>
      <c r="C961" s="9">
        <v>46153</v>
      </c>
      <c r="D961" s="8" t="s">
        <v>179</v>
      </c>
      <c r="E961" s="10">
        <v>300000</v>
      </c>
      <c r="F961" s="8">
        <v>0.065</v>
      </c>
      <c r="G961" s="11">
        <v>46208</v>
      </c>
      <c r="H961" s="12">
        <f t="shared" si="19"/>
        <v>19500</v>
      </c>
      <c r="I961" s="10" t="s">
        <v>10</v>
      </c>
      <c r="J961" s="13">
        <v>46171</v>
      </c>
      <c r="K961" t="s">
        <v>337</v>
      </c>
    </row>
    <row r="962" spans="1:11">
      <c r="A962" t="s">
        <v>319</v>
      </c>
      <c r="B962" s="8">
        <v>262700811</v>
      </c>
      <c r="C962" s="9">
        <v>46153</v>
      </c>
      <c r="D962" s="8" t="s">
        <v>179</v>
      </c>
      <c r="E962" s="10">
        <v>300000</v>
      </c>
      <c r="F962" s="8">
        <v>0.065</v>
      </c>
      <c r="G962" s="11">
        <v>46239</v>
      </c>
      <c r="H962" s="12">
        <f t="shared" si="19"/>
        <v>19500</v>
      </c>
      <c r="I962" s="10" t="s">
        <v>10</v>
      </c>
      <c r="J962" s="13">
        <v>46171</v>
      </c>
      <c r="K962" t="s">
        <v>337</v>
      </c>
    </row>
    <row r="963" spans="1:11">
      <c r="A963" t="s">
        <v>319</v>
      </c>
      <c r="B963" s="8">
        <v>262700811</v>
      </c>
      <c r="C963" s="9">
        <v>46153</v>
      </c>
      <c r="D963" s="8" t="s">
        <v>45</v>
      </c>
      <c r="E963" s="10">
        <v>100000</v>
      </c>
      <c r="F963" s="8">
        <v>0.024</v>
      </c>
      <c r="G963" s="11">
        <v>46208</v>
      </c>
      <c r="H963" s="12">
        <f t="shared" si="19"/>
        <v>2400</v>
      </c>
      <c r="I963" s="10" t="s">
        <v>10</v>
      </c>
      <c r="J963" s="13">
        <v>46163</v>
      </c>
      <c r="K963" t="s">
        <v>337</v>
      </c>
    </row>
    <row r="964" spans="1:11">
      <c r="A964" t="s">
        <v>319</v>
      </c>
      <c r="B964" s="8">
        <v>262700811</v>
      </c>
      <c r="C964" s="9">
        <v>46153</v>
      </c>
      <c r="D964" s="8" t="s">
        <v>39</v>
      </c>
      <c r="E964" s="10">
        <v>300000</v>
      </c>
      <c r="F964" s="8">
        <v>0.022</v>
      </c>
      <c r="G964" s="11">
        <v>46208</v>
      </c>
      <c r="H964" s="12">
        <f t="shared" si="19"/>
        <v>6600</v>
      </c>
      <c r="I964" s="10" t="s">
        <v>10</v>
      </c>
      <c r="J964" s="13">
        <v>46163</v>
      </c>
      <c r="K964" t="s">
        <v>337</v>
      </c>
    </row>
    <row r="965" spans="1:11">
      <c r="A965" t="s">
        <v>319</v>
      </c>
      <c r="B965" s="8">
        <v>262700811</v>
      </c>
      <c r="C965" s="9">
        <v>46153</v>
      </c>
      <c r="D965" s="8" t="s">
        <v>39</v>
      </c>
      <c r="E965" s="10">
        <v>300000</v>
      </c>
      <c r="F965" s="8">
        <v>0.022</v>
      </c>
      <c r="G965" s="11">
        <v>46208</v>
      </c>
      <c r="H965" s="12">
        <f t="shared" si="19"/>
        <v>6600</v>
      </c>
      <c r="I965" s="10" t="s">
        <v>10</v>
      </c>
      <c r="J965" s="13">
        <v>46163</v>
      </c>
      <c r="K965" t="s">
        <v>337</v>
      </c>
    </row>
    <row r="966" spans="1:11">
      <c r="A966" t="s">
        <v>319</v>
      </c>
      <c r="B966" s="8">
        <v>262700812</v>
      </c>
      <c r="C966" s="9">
        <v>46153</v>
      </c>
      <c r="D966" s="8" t="s">
        <v>30</v>
      </c>
      <c r="E966" s="10">
        <v>50000</v>
      </c>
      <c r="F966" s="8">
        <v>0.022</v>
      </c>
      <c r="G966" s="11">
        <v>46164</v>
      </c>
      <c r="H966" s="12">
        <f t="shared" si="19"/>
        <v>1100</v>
      </c>
      <c r="I966" s="10" t="s">
        <v>10</v>
      </c>
      <c r="J966" s="13">
        <v>46162</v>
      </c>
      <c r="K966" t="s">
        <v>378</v>
      </c>
    </row>
    <row r="967" spans="1:11">
      <c r="A967" t="s">
        <v>319</v>
      </c>
      <c r="B967" s="8">
        <v>262700834</v>
      </c>
      <c r="C967" s="9">
        <v>46154</v>
      </c>
      <c r="D967" s="8" t="s">
        <v>16</v>
      </c>
      <c r="E967" s="10">
        <v>20000</v>
      </c>
      <c r="F967" s="8">
        <v>0.0292</v>
      </c>
      <c r="G967" s="11">
        <v>46164</v>
      </c>
      <c r="H967" s="12">
        <f t="shared" si="19"/>
        <v>584</v>
      </c>
      <c r="I967" s="10" t="s">
        <v>10</v>
      </c>
      <c r="J967" s="13">
        <v>46184</v>
      </c>
      <c r="K967" s="26" t="s">
        <v>571</v>
      </c>
    </row>
    <row r="968" spans="1:11">
      <c r="A968" t="s">
        <v>319</v>
      </c>
      <c r="B968" s="8">
        <v>262700834</v>
      </c>
      <c r="C968" s="9">
        <v>46154</v>
      </c>
      <c r="D968" s="8" t="s">
        <v>142</v>
      </c>
      <c r="E968" s="10">
        <v>21000</v>
      </c>
      <c r="F968" s="8">
        <v>0.024</v>
      </c>
      <c r="G968" s="11">
        <v>46164</v>
      </c>
      <c r="H968" s="12">
        <f t="shared" si="19"/>
        <v>504</v>
      </c>
      <c r="I968" s="10" t="s">
        <v>10</v>
      </c>
      <c r="J968" s="13">
        <v>46184</v>
      </c>
      <c r="K968" s="26" t="s">
        <v>571</v>
      </c>
    </row>
    <row r="969" spans="1:11">
      <c r="B969" s="14">
        <v>262700942</v>
      </c>
      <c r="C969" s="13">
        <v>46157</v>
      </c>
      <c r="D969" s="14" t="s">
        <v>285</v>
      </c>
      <c r="E969" s="15">
        <v>30000</v>
      </c>
      <c r="F969" s="14">
        <v>0.02</v>
      </c>
      <c r="G969" s="18">
        <v>46331</v>
      </c>
      <c r="H969" s="17">
        <f t="shared" si="19"/>
        <v>600</v>
      </c>
      <c r="I969" s="15" t="s">
        <v>317</v>
      </c>
      <c r="J969" s="15"/>
      <c r="K969" t="s">
        <v>469</v>
      </c>
    </row>
    <row r="970" spans="1:11">
      <c r="B970" s="14">
        <v>262700942</v>
      </c>
      <c r="C970" s="13">
        <v>46157</v>
      </c>
      <c r="D970" s="14" t="s">
        <v>286</v>
      </c>
      <c r="E970" s="15">
        <v>30000</v>
      </c>
      <c r="F970" s="14">
        <v>0.0235</v>
      </c>
      <c r="G970" s="18">
        <v>46300</v>
      </c>
      <c r="H970" s="17">
        <f t="shared" si="19"/>
        <v>705</v>
      </c>
      <c r="I970" s="15" t="s">
        <v>317</v>
      </c>
      <c r="J970" s="15"/>
      <c r="K970" t="s">
        <v>469</v>
      </c>
    </row>
    <row r="971" spans="1:11">
      <c r="B971" s="14">
        <v>262700942</v>
      </c>
      <c r="C971" s="13">
        <v>46157</v>
      </c>
      <c r="D971" s="14" t="s">
        <v>286</v>
      </c>
      <c r="E971" s="15">
        <v>30000</v>
      </c>
      <c r="F971" s="14">
        <v>0.0235</v>
      </c>
      <c r="G971" s="18">
        <v>46331</v>
      </c>
      <c r="H971" s="17">
        <f t="shared" si="19"/>
        <v>705</v>
      </c>
      <c r="I971" s="15" t="s">
        <v>317</v>
      </c>
      <c r="J971" s="15"/>
      <c r="K971" t="s">
        <v>469</v>
      </c>
    </row>
    <row r="972" spans="1:11">
      <c r="B972" s="14">
        <v>262700942</v>
      </c>
      <c r="C972" s="13">
        <v>46157</v>
      </c>
      <c r="D972" s="14" t="s">
        <v>465</v>
      </c>
      <c r="E972" s="15">
        <v>30000</v>
      </c>
      <c r="F972" s="14">
        <v>0.018</v>
      </c>
      <c r="G972" s="18">
        <v>46300</v>
      </c>
      <c r="H972" s="17">
        <f t="shared" si="19"/>
        <v>540</v>
      </c>
      <c r="I972" s="15" t="s">
        <v>317</v>
      </c>
      <c r="J972" s="15"/>
      <c r="K972" t="s">
        <v>469</v>
      </c>
    </row>
    <row r="973" spans="1:11">
      <c r="B973" s="14">
        <v>262700942</v>
      </c>
      <c r="C973" s="13">
        <v>46157</v>
      </c>
      <c r="D973" s="14" t="s">
        <v>465</v>
      </c>
      <c r="E973" s="15">
        <v>30000</v>
      </c>
      <c r="F973" s="14">
        <v>0.018</v>
      </c>
      <c r="G973" s="18">
        <v>46331</v>
      </c>
      <c r="H973" s="17">
        <f t="shared" si="19"/>
        <v>540</v>
      </c>
      <c r="I973" s="15" t="s">
        <v>317</v>
      </c>
      <c r="J973" s="15"/>
      <c r="K973" t="s">
        <v>469</v>
      </c>
    </row>
    <row r="974" spans="1:11">
      <c r="B974" s="14">
        <v>262700942</v>
      </c>
      <c r="C974" s="13">
        <v>46157</v>
      </c>
      <c r="D974" s="14" t="s">
        <v>288</v>
      </c>
      <c r="E974" s="15">
        <v>36000</v>
      </c>
      <c r="F974" s="14">
        <v>0.022</v>
      </c>
      <c r="G974" s="18">
        <v>46300</v>
      </c>
      <c r="H974" s="17">
        <f t="shared" si="19"/>
        <v>792</v>
      </c>
      <c r="I974" s="15" t="s">
        <v>317</v>
      </c>
      <c r="J974" s="15"/>
      <c r="K974" t="s">
        <v>469</v>
      </c>
    </row>
    <row r="975" spans="1:11">
      <c r="B975" s="14">
        <v>262700942</v>
      </c>
      <c r="C975" s="13">
        <v>46157</v>
      </c>
      <c r="D975" s="14" t="s">
        <v>288</v>
      </c>
      <c r="E975" s="15">
        <v>36000</v>
      </c>
      <c r="F975" s="14">
        <v>0.022</v>
      </c>
      <c r="G975" s="18">
        <v>46331</v>
      </c>
      <c r="H975" s="17">
        <f t="shared" si="19"/>
        <v>792</v>
      </c>
      <c r="I975" s="15" t="s">
        <v>317</v>
      </c>
      <c r="J975" s="15"/>
      <c r="K975" t="s">
        <v>469</v>
      </c>
    </row>
    <row r="976" spans="1:11">
      <c r="B976" s="14">
        <v>262700946</v>
      </c>
      <c r="C976" s="13">
        <v>46157</v>
      </c>
      <c r="D976" s="14" t="s">
        <v>285</v>
      </c>
      <c r="E976" s="15">
        <v>30000</v>
      </c>
      <c r="F976" s="14">
        <v>0.02</v>
      </c>
      <c r="G976" s="18">
        <v>46361</v>
      </c>
      <c r="H976" s="17">
        <f t="shared" si="19"/>
        <v>600</v>
      </c>
      <c r="I976" s="15" t="s">
        <v>317</v>
      </c>
      <c r="J976" s="15"/>
      <c r="K976" t="s">
        <v>469</v>
      </c>
    </row>
    <row r="977" spans="1:11">
      <c r="B977" s="14">
        <v>262700946</v>
      </c>
      <c r="C977" s="13">
        <v>46157</v>
      </c>
      <c r="D977" s="14" t="s">
        <v>286</v>
      </c>
      <c r="E977" s="15">
        <v>30000</v>
      </c>
      <c r="F977" s="14">
        <v>0.0235</v>
      </c>
      <c r="G977" s="18">
        <v>46361</v>
      </c>
      <c r="H977" s="17">
        <f t="shared" si="19"/>
        <v>705</v>
      </c>
      <c r="I977" s="15" t="s">
        <v>317</v>
      </c>
      <c r="J977" s="15"/>
      <c r="K977" t="s">
        <v>469</v>
      </c>
    </row>
    <row r="978" spans="1:11">
      <c r="B978" s="14">
        <v>262700946</v>
      </c>
      <c r="C978" s="13">
        <v>46157</v>
      </c>
      <c r="D978" s="14" t="s">
        <v>465</v>
      </c>
      <c r="E978" s="15">
        <v>30000</v>
      </c>
      <c r="F978" s="14">
        <v>0.018</v>
      </c>
      <c r="G978" s="18">
        <v>46361</v>
      </c>
      <c r="H978" s="17">
        <f t="shared" si="19"/>
        <v>540</v>
      </c>
      <c r="I978" s="15" t="s">
        <v>317</v>
      </c>
      <c r="J978" s="15"/>
      <c r="K978" t="s">
        <v>469</v>
      </c>
    </row>
    <row r="979" spans="1:11">
      <c r="B979" s="14">
        <v>262700946</v>
      </c>
      <c r="C979" s="13">
        <v>46157</v>
      </c>
      <c r="D979" s="14" t="s">
        <v>288</v>
      </c>
      <c r="E979" s="15">
        <v>48000</v>
      </c>
      <c r="F979" s="14">
        <v>0.022</v>
      </c>
      <c r="G979" s="18">
        <v>46361</v>
      </c>
      <c r="H979" s="17">
        <f t="shared" si="19"/>
        <v>1056</v>
      </c>
      <c r="I979" s="15" t="s">
        <v>317</v>
      </c>
      <c r="J979" s="15"/>
      <c r="K979" t="s">
        <v>469</v>
      </c>
    </row>
    <row r="980" spans="1:11">
      <c r="A980" t="s">
        <v>319</v>
      </c>
      <c r="B980" s="8">
        <v>262700951</v>
      </c>
      <c r="C980" s="9">
        <v>46157</v>
      </c>
      <c r="D980" s="8" t="s">
        <v>625</v>
      </c>
      <c r="E980" s="10">
        <v>200000</v>
      </c>
      <c r="F980" s="8">
        <v>0.032</v>
      </c>
      <c r="G980" s="11">
        <v>46208</v>
      </c>
      <c r="H980" s="12">
        <f t="shared" si="19"/>
        <v>6400</v>
      </c>
      <c r="I980" s="10" t="s">
        <v>10</v>
      </c>
      <c r="J980" s="13">
        <v>46184</v>
      </c>
      <c r="K980" t="s">
        <v>642</v>
      </c>
    </row>
    <row r="981" spans="1:11">
      <c r="A981" t="s">
        <v>319</v>
      </c>
      <c r="B981" s="8">
        <v>262700951</v>
      </c>
      <c r="C981" s="9">
        <v>46157</v>
      </c>
      <c r="D981" s="8" t="s">
        <v>625</v>
      </c>
      <c r="E981" s="10">
        <v>200000</v>
      </c>
      <c r="F981" s="8">
        <v>0.032</v>
      </c>
      <c r="G981" s="11">
        <v>46208</v>
      </c>
      <c r="H981" s="12">
        <f t="shared" si="19"/>
        <v>6400</v>
      </c>
      <c r="I981" s="10" t="s">
        <v>10</v>
      </c>
      <c r="J981" s="13">
        <v>46184</v>
      </c>
      <c r="K981" t="s">
        <v>642</v>
      </c>
    </row>
    <row r="982" spans="1:11">
      <c r="A982" t="s">
        <v>319</v>
      </c>
      <c r="B982" s="8">
        <v>262700951</v>
      </c>
      <c r="C982" s="9">
        <v>46157</v>
      </c>
      <c r="D982" s="8" t="s">
        <v>625</v>
      </c>
      <c r="E982" s="10">
        <v>200000</v>
      </c>
      <c r="F982" s="8">
        <v>0.032</v>
      </c>
      <c r="G982" s="11">
        <v>46208</v>
      </c>
      <c r="H982" s="12">
        <f t="shared" si="19"/>
        <v>6400</v>
      </c>
      <c r="I982" s="10" t="s">
        <v>10</v>
      </c>
      <c r="J982" s="13">
        <v>46184</v>
      </c>
      <c r="K982" t="s">
        <v>642</v>
      </c>
    </row>
    <row r="983" spans="1:11">
      <c r="A983" t="s">
        <v>319</v>
      </c>
      <c r="B983" s="8">
        <v>262700951</v>
      </c>
      <c r="C983" s="9">
        <v>46157</v>
      </c>
      <c r="D983" s="8" t="s">
        <v>625</v>
      </c>
      <c r="E983" s="10">
        <v>100000</v>
      </c>
      <c r="F983" s="8">
        <v>0.032</v>
      </c>
      <c r="G983" s="11">
        <v>46208</v>
      </c>
      <c r="H983" s="12">
        <f t="shared" si="19"/>
        <v>3200</v>
      </c>
      <c r="I983" s="10" t="s">
        <v>10</v>
      </c>
      <c r="J983" s="13">
        <v>46184</v>
      </c>
      <c r="K983" t="s">
        <v>642</v>
      </c>
    </row>
    <row r="984" spans="1:11">
      <c r="A984" t="s">
        <v>319</v>
      </c>
      <c r="B984" s="8">
        <v>262700951</v>
      </c>
      <c r="C984" s="9">
        <v>46157</v>
      </c>
      <c r="D984" s="8" t="s">
        <v>625</v>
      </c>
      <c r="E984" s="10">
        <v>200000</v>
      </c>
      <c r="F984" s="8">
        <v>0.032</v>
      </c>
      <c r="G984" s="11">
        <v>46239</v>
      </c>
      <c r="H984" s="12">
        <f t="shared" si="19"/>
        <v>6400</v>
      </c>
      <c r="I984" s="10" t="s">
        <v>10</v>
      </c>
      <c r="J984" s="13">
        <v>46184</v>
      </c>
      <c r="K984" t="s">
        <v>642</v>
      </c>
    </row>
    <row r="985" spans="1:11">
      <c r="A985" t="s">
        <v>319</v>
      </c>
      <c r="B985" s="8">
        <v>262700951</v>
      </c>
      <c r="C985" s="9">
        <v>46157</v>
      </c>
      <c r="D985" s="8" t="s">
        <v>625</v>
      </c>
      <c r="E985" s="10">
        <v>200000</v>
      </c>
      <c r="F985" s="8">
        <v>0.032</v>
      </c>
      <c r="G985" s="11">
        <v>46239</v>
      </c>
      <c r="H985" s="12">
        <f t="shared" si="19"/>
        <v>6400</v>
      </c>
      <c r="I985" s="10" t="s">
        <v>10</v>
      </c>
      <c r="J985" s="13">
        <v>46184</v>
      </c>
      <c r="K985" t="s">
        <v>642</v>
      </c>
    </row>
    <row r="986" spans="1:11">
      <c r="A986" t="s">
        <v>319</v>
      </c>
      <c r="B986" s="8">
        <v>262700951</v>
      </c>
      <c r="C986" s="9">
        <v>46157</v>
      </c>
      <c r="D986" s="8" t="s">
        <v>625</v>
      </c>
      <c r="E986" s="10">
        <v>200000</v>
      </c>
      <c r="F986" s="8">
        <v>0.032</v>
      </c>
      <c r="G986" s="11">
        <v>46239</v>
      </c>
      <c r="H986" s="12">
        <f t="shared" si="19"/>
        <v>6400</v>
      </c>
      <c r="I986" s="10" t="s">
        <v>10</v>
      </c>
      <c r="J986" s="13">
        <v>46184</v>
      </c>
      <c r="K986" t="s">
        <v>642</v>
      </c>
    </row>
    <row r="987" spans="1:11">
      <c r="A987" t="s">
        <v>319</v>
      </c>
      <c r="B987" s="8">
        <v>262700951</v>
      </c>
      <c r="C987" s="9">
        <v>46157</v>
      </c>
      <c r="D987" s="8" t="s">
        <v>625</v>
      </c>
      <c r="E987" s="10">
        <v>100000</v>
      </c>
      <c r="F987" s="8">
        <v>0.032</v>
      </c>
      <c r="G987" s="11">
        <v>46239</v>
      </c>
      <c r="H987" s="12">
        <f t="shared" si="19"/>
        <v>3200</v>
      </c>
      <c r="I987" s="10" t="s">
        <v>10</v>
      </c>
      <c r="J987" s="13">
        <v>46184</v>
      </c>
      <c r="K987" t="s">
        <v>642</v>
      </c>
    </row>
    <row r="988" spans="1:11">
      <c r="B988" s="14">
        <v>262700952</v>
      </c>
      <c r="C988" s="13">
        <v>46157</v>
      </c>
      <c r="D988" s="14" t="s">
        <v>625</v>
      </c>
      <c r="E988" s="15">
        <v>200000</v>
      </c>
      <c r="F988" s="14">
        <v>0.032</v>
      </c>
      <c r="G988" s="18">
        <v>46270</v>
      </c>
      <c r="H988" s="17">
        <f t="shared" si="19"/>
        <v>6400</v>
      </c>
      <c r="I988" s="15" t="s">
        <v>317</v>
      </c>
      <c r="J988" s="15"/>
      <c r="K988" t="s">
        <v>642</v>
      </c>
    </row>
    <row r="989" spans="1:11">
      <c r="B989" s="14">
        <v>262700952</v>
      </c>
      <c r="C989" s="13">
        <v>46157</v>
      </c>
      <c r="D989" s="14" t="s">
        <v>625</v>
      </c>
      <c r="E989" s="15">
        <v>200000</v>
      </c>
      <c r="F989" s="14">
        <v>0.032</v>
      </c>
      <c r="G989" s="18">
        <v>46270</v>
      </c>
      <c r="H989" s="17">
        <f t="shared" si="19"/>
        <v>6400</v>
      </c>
      <c r="I989" s="15" t="s">
        <v>317</v>
      </c>
      <c r="J989" s="15"/>
      <c r="K989" t="s">
        <v>642</v>
      </c>
    </row>
    <row r="990" spans="1:11">
      <c r="B990" s="14">
        <v>262700952</v>
      </c>
      <c r="C990" s="13">
        <v>46157</v>
      </c>
      <c r="D990" s="14" t="s">
        <v>625</v>
      </c>
      <c r="E990" s="15">
        <v>200000</v>
      </c>
      <c r="F990" s="14">
        <v>0.032</v>
      </c>
      <c r="G990" s="18">
        <v>46270</v>
      </c>
      <c r="H990" s="17">
        <f t="shared" si="19"/>
        <v>6400</v>
      </c>
      <c r="I990" s="15" t="s">
        <v>317</v>
      </c>
      <c r="J990" s="15"/>
      <c r="K990" t="s">
        <v>642</v>
      </c>
    </row>
    <row r="991" spans="1:11">
      <c r="B991" s="14">
        <v>262700952</v>
      </c>
      <c r="C991" s="13">
        <v>46157</v>
      </c>
      <c r="D991" s="14" t="s">
        <v>625</v>
      </c>
      <c r="E991" s="15">
        <v>100000</v>
      </c>
      <c r="F991" s="14">
        <v>0.032</v>
      </c>
      <c r="G991" s="18">
        <v>46270</v>
      </c>
      <c r="H991" s="17">
        <f t="shared" si="19"/>
        <v>3200</v>
      </c>
      <c r="I991" s="15" t="s">
        <v>317</v>
      </c>
      <c r="J991" s="15"/>
      <c r="K991" t="s">
        <v>642</v>
      </c>
    </row>
    <row r="992" spans="1:11">
      <c r="A992" t="s">
        <v>319</v>
      </c>
      <c r="B992" s="8">
        <v>262700963</v>
      </c>
      <c r="C992" s="9">
        <v>46157</v>
      </c>
      <c r="D992" s="8" t="s">
        <v>641</v>
      </c>
      <c r="E992" s="10">
        <v>21000</v>
      </c>
      <c r="F992" s="8">
        <v>0.036</v>
      </c>
      <c r="G992" s="11">
        <v>46164</v>
      </c>
      <c r="H992" s="12">
        <f t="shared" si="19"/>
        <v>756</v>
      </c>
      <c r="I992" s="10" t="s">
        <v>10</v>
      </c>
      <c r="J992" s="13">
        <v>46168</v>
      </c>
      <c r="K992" t="s">
        <v>645</v>
      </c>
    </row>
    <row r="993" spans="1:11">
      <c r="A993" t="s">
        <v>319</v>
      </c>
      <c r="B993" s="8">
        <v>262700963</v>
      </c>
      <c r="C993" s="9">
        <v>46157</v>
      </c>
      <c r="D993" s="8" t="s">
        <v>655</v>
      </c>
      <c r="E993" s="10">
        <v>21000</v>
      </c>
      <c r="F993" s="8">
        <v>0.027</v>
      </c>
      <c r="G993" s="11">
        <v>46164</v>
      </c>
      <c r="H993" s="12">
        <f t="shared" si="19"/>
        <v>567</v>
      </c>
      <c r="I993" s="10" t="s">
        <v>10</v>
      </c>
      <c r="J993" s="13">
        <v>46168</v>
      </c>
      <c r="K993" t="s">
        <v>645</v>
      </c>
    </row>
    <row r="994" spans="1:11">
      <c r="A994" t="s">
        <v>319</v>
      </c>
      <c r="B994" s="8">
        <v>262700963</v>
      </c>
      <c r="C994" s="9">
        <v>46157</v>
      </c>
      <c r="D994" s="8" t="s">
        <v>656</v>
      </c>
      <c r="E994" s="10">
        <v>21000</v>
      </c>
      <c r="F994" s="8">
        <v>0.0181</v>
      </c>
      <c r="G994" s="11">
        <v>46164</v>
      </c>
      <c r="H994" s="12">
        <f t="shared" si="19"/>
        <v>380.1</v>
      </c>
      <c r="I994" s="10" t="s">
        <v>10</v>
      </c>
      <c r="J994" s="13">
        <v>46168</v>
      </c>
      <c r="K994" t="s">
        <v>645</v>
      </c>
    </row>
    <row r="995" spans="1:11">
      <c r="A995" t="s">
        <v>319</v>
      </c>
      <c r="B995" s="8">
        <v>262700964</v>
      </c>
      <c r="C995" s="9">
        <v>46157</v>
      </c>
      <c r="D995" s="8" t="s">
        <v>233</v>
      </c>
      <c r="E995" s="10">
        <v>150000</v>
      </c>
      <c r="F995" s="8">
        <v>0.15</v>
      </c>
      <c r="G995" s="11">
        <v>46164</v>
      </c>
      <c r="H995" s="12">
        <f t="shared" si="19"/>
        <v>22500</v>
      </c>
      <c r="I995" s="10" t="s">
        <v>10</v>
      </c>
      <c r="J995" s="13">
        <v>46163</v>
      </c>
      <c r="K995" t="s">
        <v>337</v>
      </c>
    </row>
    <row r="996" spans="1:11">
      <c r="A996" t="s">
        <v>319</v>
      </c>
      <c r="B996" s="8">
        <v>262700964</v>
      </c>
      <c r="C996" s="9">
        <v>46157</v>
      </c>
      <c r="D996" s="8" t="s">
        <v>233</v>
      </c>
      <c r="E996" s="10">
        <v>150000</v>
      </c>
      <c r="F996" s="8">
        <v>0.15</v>
      </c>
      <c r="G996" s="11">
        <v>46178</v>
      </c>
      <c r="H996" s="12">
        <f t="shared" si="19"/>
        <v>22500</v>
      </c>
      <c r="I996" s="10" t="s">
        <v>10</v>
      </c>
      <c r="J996" s="13">
        <v>46163</v>
      </c>
      <c r="K996" t="s">
        <v>337</v>
      </c>
    </row>
    <row r="997" spans="1:11">
      <c r="A997" t="s">
        <v>319</v>
      </c>
      <c r="B997" s="8">
        <v>262700964</v>
      </c>
      <c r="C997" s="9">
        <v>46157</v>
      </c>
      <c r="D997" s="8" t="s">
        <v>610</v>
      </c>
      <c r="E997" s="10">
        <v>100000</v>
      </c>
      <c r="F997" s="8">
        <v>0.033</v>
      </c>
      <c r="G997" s="11">
        <v>46164</v>
      </c>
      <c r="H997" s="12">
        <f t="shared" si="19"/>
        <v>3300</v>
      </c>
      <c r="I997" s="10" t="s">
        <v>10</v>
      </c>
      <c r="J997" s="13">
        <v>46163</v>
      </c>
      <c r="K997" t="s">
        <v>337</v>
      </c>
    </row>
    <row r="998" spans="1:11">
      <c r="A998" t="s">
        <v>319</v>
      </c>
      <c r="B998" s="8">
        <v>262700964</v>
      </c>
      <c r="C998" s="9">
        <v>46157</v>
      </c>
      <c r="D998" s="8" t="s">
        <v>610</v>
      </c>
      <c r="E998" s="10">
        <v>50000</v>
      </c>
      <c r="F998" s="8">
        <v>0.033</v>
      </c>
      <c r="G998" s="11">
        <v>46178</v>
      </c>
      <c r="H998" s="12">
        <f t="shared" si="19"/>
        <v>1650</v>
      </c>
      <c r="I998" s="10" t="s">
        <v>10</v>
      </c>
      <c r="J998" s="13">
        <v>46163</v>
      </c>
      <c r="K998" t="s">
        <v>337</v>
      </c>
    </row>
    <row r="999" spans="1:11">
      <c r="A999" t="s">
        <v>319</v>
      </c>
      <c r="B999" s="8">
        <v>262700964</v>
      </c>
      <c r="C999" s="9">
        <v>46157</v>
      </c>
      <c r="D999" s="8" t="s">
        <v>657</v>
      </c>
      <c r="E999" s="10">
        <v>20000</v>
      </c>
      <c r="F999" s="8">
        <v>0.065</v>
      </c>
      <c r="G999" s="11">
        <v>46164</v>
      </c>
      <c r="H999" s="12">
        <f t="shared" si="19"/>
        <v>1300</v>
      </c>
      <c r="I999" s="10" t="s">
        <v>10</v>
      </c>
      <c r="J999" s="13">
        <v>46163</v>
      </c>
      <c r="K999" t="s">
        <v>337</v>
      </c>
    </row>
    <row r="1000" spans="1:11">
      <c r="A1000" t="s">
        <v>319</v>
      </c>
      <c r="B1000" s="8">
        <v>262700967</v>
      </c>
      <c r="C1000" s="9">
        <v>46160</v>
      </c>
      <c r="D1000" s="8" t="s">
        <v>610</v>
      </c>
      <c r="E1000" s="10">
        <v>50000</v>
      </c>
      <c r="F1000" s="8">
        <v>0.033</v>
      </c>
      <c r="G1000" s="11">
        <v>46225</v>
      </c>
      <c r="H1000" s="12">
        <f t="shared" si="19"/>
        <v>1650</v>
      </c>
      <c r="I1000" s="10" t="s">
        <v>10</v>
      </c>
      <c r="J1000" s="13">
        <v>46168</v>
      </c>
      <c r="K1000" t="s">
        <v>337</v>
      </c>
    </row>
    <row r="1001" spans="1:11">
      <c r="A1001" t="s">
        <v>319</v>
      </c>
      <c r="B1001" s="8">
        <v>262701035</v>
      </c>
      <c r="C1001" s="9">
        <v>46161</v>
      </c>
      <c r="D1001" s="8" t="s">
        <v>31</v>
      </c>
      <c r="E1001" s="10">
        <v>40000</v>
      </c>
      <c r="F1001" s="8">
        <v>0.024</v>
      </c>
      <c r="G1001" s="11">
        <v>46178</v>
      </c>
      <c r="H1001" s="12">
        <f t="shared" si="19"/>
        <v>960</v>
      </c>
      <c r="I1001" s="10" t="s">
        <v>10</v>
      </c>
      <c r="J1001" s="13">
        <v>46191</v>
      </c>
      <c r="K1001" s="26" t="s">
        <v>627</v>
      </c>
    </row>
    <row r="1002" spans="1:11">
      <c r="A1002" t="s">
        <v>319</v>
      </c>
      <c r="B1002" s="8">
        <v>262701035</v>
      </c>
      <c r="C1002" s="9">
        <v>46161</v>
      </c>
      <c r="D1002" s="8" t="s">
        <v>31</v>
      </c>
      <c r="E1002" s="10">
        <v>40000</v>
      </c>
      <c r="F1002" s="8">
        <v>0.024</v>
      </c>
      <c r="G1002" s="11">
        <v>46239</v>
      </c>
      <c r="H1002" s="12">
        <f t="shared" si="19"/>
        <v>960</v>
      </c>
      <c r="I1002" s="10" t="s">
        <v>10</v>
      </c>
      <c r="J1002" s="13">
        <v>46191</v>
      </c>
      <c r="K1002" s="26" t="s">
        <v>627</v>
      </c>
    </row>
    <row r="1003" spans="1:11">
      <c r="A1003" t="s">
        <v>319</v>
      </c>
      <c r="B1003" s="8">
        <v>262701035</v>
      </c>
      <c r="C1003" s="9">
        <v>46161</v>
      </c>
      <c r="D1003" s="8" t="s">
        <v>517</v>
      </c>
      <c r="E1003" s="10">
        <v>60000</v>
      </c>
      <c r="F1003" s="8">
        <v>0.0238</v>
      </c>
      <c r="G1003" s="11">
        <v>46178</v>
      </c>
      <c r="H1003" s="12">
        <f t="shared" si="19"/>
        <v>1428</v>
      </c>
      <c r="I1003" s="10" t="s">
        <v>10</v>
      </c>
      <c r="J1003" s="13">
        <v>46184</v>
      </c>
      <c r="K1003" s="26" t="s">
        <v>627</v>
      </c>
    </row>
    <row r="1004" spans="1:11">
      <c r="A1004" t="s">
        <v>319</v>
      </c>
      <c r="B1004" s="8">
        <v>262701035</v>
      </c>
      <c r="C1004" s="9">
        <v>46161</v>
      </c>
      <c r="D1004" s="8" t="s">
        <v>517</v>
      </c>
      <c r="E1004" s="10">
        <v>60000</v>
      </c>
      <c r="F1004" s="8">
        <v>0.0238</v>
      </c>
      <c r="G1004" s="11">
        <v>46178</v>
      </c>
      <c r="H1004" s="12">
        <f t="shared" si="19"/>
        <v>1428</v>
      </c>
      <c r="I1004" s="10" t="s">
        <v>10</v>
      </c>
      <c r="J1004" s="13">
        <v>46184</v>
      </c>
      <c r="K1004" s="26" t="s">
        <v>627</v>
      </c>
    </row>
    <row r="1005" spans="1:11">
      <c r="A1005" t="s">
        <v>319</v>
      </c>
      <c r="B1005" s="8">
        <v>262701051</v>
      </c>
      <c r="C1005" s="9">
        <v>46161</v>
      </c>
      <c r="D1005" s="8" t="s">
        <v>16</v>
      </c>
      <c r="E1005" s="10">
        <v>80000</v>
      </c>
      <c r="F1005" s="8">
        <v>0.0292</v>
      </c>
      <c r="G1005" s="11">
        <v>46178</v>
      </c>
      <c r="H1005" s="12">
        <f t="shared" si="19"/>
        <v>2336</v>
      </c>
      <c r="I1005" s="10" t="s">
        <v>10</v>
      </c>
      <c r="J1005" s="13">
        <v>46168</v>
      </c>
      <c r="K1005" t="s">
        <v>405</v>
      </c>
    </row>
    <row r="1006" spans="1:11">
      <c r="A1006" t="s">
        <v>319</v>
      </c>
      <c r="B1006" s="8">
        <v>262701051</v>
      </c>
      <c r="C1006" s="9">
        <v>46161</v>
      </c>
      <c r="D1006" s="8" t="s">
        <v>16</v>
      </c>
      <c r="E1006" s="10">
        <v>80000</v>
      </c>
      <c r="F1006" s="8">
        <v>0.0292</v>
      </c>
      <c r="G1006" s="11">
        <v>46178</v>
      </c>
      <c r="H1006" s="12">
        <f t="shared" si="19"/>
        <v>2336</v>
      </c>
      <c r="I1006" s="10" t="s">
        <v>10</v>
      </c>
      <c r="J1006" s="13">
        <v>46168</v>
      </c>
      <c r="K1006" t="s">
        <v>405</v>
      </c>
    </row>
    <row r="1007" spans="1:11">
      <c r="A1007" t="s">
        <v>319</v>
      </c>
      <c r="B1007" s="8">
        <v>262701051</v>
      </c>
      <c r="C1007" s="9">
        <v>46161</v>
      </c>
      <c r="D1007" s="8" t="s">
        <v>16</v>
      </c>
      <c r="E1007" s="10">
        <v>80000</v>
      </c>
      <c r="F1007" s="8">
        <v>0.0292</v>
      </c>
      <c r="G1007" s="11">
        <v>46208</v>
      </c>
      <c r="H1007" s="12">
        <f t="shared" si="19"/>
        <v>2336</v>
      </c>
      <c r="I1007" s="10" t="s">
        <v>10</v>
      </c>
      <c r="J1007" s="13">
        <v>46168</v>
      </c>
      <c r="K1007" t="s">
        <v>405</v>
      </c>
    </row>
    <row r="1008" spans="1:11">
      <c r="A1008" t="s">
        <v>319</v>
      </c>
      <c r="B1008" s="8">
        <v>262701051</v>
      </c>
      <c r="C1008" s="9">
        <v>46161</v>
      </c>
      <c r="D1008" s="8" t="s">
        <v>67</v>
      </c>
      <c r="E1008" s="10">
        <v>60000</v>
      </c>
      <c r="F1008" s="8">
        <v>0.028</v>
      </c>
      <c r="G1008" s="11">
        <v>46178</v>
      </c>
      <c r="H1008" s="12">
        <f t="shared" si="19"/>
        <v>1680</v>
      </c>
      <c r="I1008" s="10" t="s">
        <v>10</v>
      </c>
      <c r="J1008" s="13">
        <v>46168</v>
      </c>
      <c r="K1008" t="s">
        <v>405</v>
      </c>
    </row>
    <row r="1009" spans="1:11">
      <c r="A1009" t="s">
        <v>319</v>
      </c>
      <c r="B1009" s="8">
        <v>262701051</v>
      </c>
      <c r="C1009" s="9">
        <v>46161</v>
      </c>
      <c r="D1009" s="8" t="s">
        <v>104</v>
      </c>
      <c r="E1009" s="10">
        <v>60000</v>
      </c>
      <c r="F1009" s="8">
        <v>0.028</v>
      </c>
      <c r="G1009" s="11">
        <v>46178</v>
      </c>
      <c r="H1009" s="12">
        <f t="shared" si="19"/>
        <v>1680</v>
      </c>
      <c r="I1009" s="10" t="s">
        <v>10</v>
      </c>
      <c r="J1009" s="13">
        <v>46168</v>
      </c>
      <c r="K1009" t="s">
        <v>405</v>
      </c>
    </row>
    <row r="1010" spans="1:11">
      <c r="A1010" t="s">
        <v>319</v>
      </c>
      <c r="B1010" s="8">
        <v>262701059</v>
      </c>
      <c r="C1010" s="9">
        <v>46162</v>
      </c>
      <c r="D1010" s="8" t="s">
        <v>658</v>
      </c>
      <c r="E1010" s="10">
        <v>160000</v>
      </c>
      <c r="F1010" s="8">
        <v>0.11</v>
      </c>
      <c r="G1010" s="11">
        <v>46178</v>
      </c>
      <c r="H1010" s="12">
        <f t="shared" si="19"/>
        <v>17600</v>
      </c>
      <c r="I1010" s="10" t="s">
        <v>10</v>
      </c>
      <c r="J1010" s="13">
        <v>46174</v>
      </c>
      <c r="K1010" t="s">
        <v>491</v>
      </c>
    </row>
    <row r="1011" spans="1:11">
      <c r="A1011" t="s">
        <v>319</v>
      </c>
      <c r="B1011" s="8">
        <v>262701059</v>
      </c>
      <c r="C1011" s="9">
        <v>46162</v>
      </c>
      <c r="D1011" s="8" t="s">
        <v>658</v>
      </c>
      <c r="E1011" s="10">
        <v>100000</v>
      </c>
      <c r="F1011" s="8">
        <v>0.11</v>
      </c>
      <c r="G1011" s="11">
        <v>46208</v>
      </c>
      <c r="H1011" s="12">
        <f t="shared" si="19"/>
        <v>11000</v>
      </c>
      <c r="I1011" s="10" t="s">
        <v>10</v>
      </c>
      <c r="J1011" s="13">
        <v>46174</v>
      </c>
      <c r="K1011" t="s">
        <v>491</v>
      </c>
    </row>
    <row r="1012" spans="1:11">
      <c r="A1012" t="s">
        <v>319</v>
      </c>
      <c r="B1012" s="8">
        <v>262701059</v>
      </c>
      <c r="C1012" s="9">
        <v>46162</v>
      </c>
      <c r="D1012" s="8" t="s">
        <v>658</v>
      </c>
      <c r="E1012" s="10">
        <v>100000</v>
      </c>
      <c r="F1012" s="8">
        <v>0.11</v>
      </c>
      <c r="G1012" s="11">
        <v>46208</v>
      </c>
      <c r="H1012" s="12">
        <f t="shared" si="19"/>
        <v>11000</v>
      </c>
      <c r="I1012" s="10" t="s">
        <v>10</v>
      </c>
      <c r="J1012" s="13">
        <v>46174</v>
      </c>
      <c r="K1012" t="s">
        <v>491</v>
      </c>
    </row>
    <row r="1013" spans="1:11">
      <c r="A1013" t="s">
        <v>319</v>
      </c>
      <c r="B1013" s="8">
        <v>262701059</v>
      </c>
      <c r="C1013" s="9">
        <v>46162</v>
      </c>
      <c r="D1013" s="8" t="s">
        <v>659</v>
      </c>
      <c r="E1013" s="10">
        <v>20000</v>
      </c>
      <c r="F1013" s="8">
        <v>0.0272</v>
      </c>
      <c r="G1013" s="11">
        <v>46178</v>
      </c>
      <c r="H1013" s="12">
        <f t="shared" si="19"/>
        <v>544</v>
      </c>
      <c r="I1013" s="10" t="s">
        <v>10</v>
      </c>
      <c r="J1013" s="13">
        <v>46174</v>
      </c>
      <c r="K1013" t="s">
        <v>491</v>
      </c>
    </row>
    <row r="1014" spans="1:11">
      <c r="A1014" t="s">
        <v>319</v>
      </c>
      <c r="B1014" s="8">
        <v>262701059</v>
      </c>
      <c r="C1014" s="9">
        <v>46162</v>
      </c>
      <c r="D1014" s="8" t="s">
        <v>30</v>
      </c>
      <c r="E1014" s="10">
        <v>30000</v>
      </c>
      <c r="F1014" s="8">
        <v>0.022</v>
      </c>
      <c r="G1014" s="11">
        <v>46178</v>
      </c>
      <c r="H1014" s="12">
        <f t="shared" si="19"/>
        <v>660</v>
      </c>
      <c r="I1014" s="10" t="s">
        <v>10</v>
      </c>
      <c r="J1014" s="13">
        <v>46171</v>
      </c>
      <c r="K1014" t="s">
        <v>491</v>
      </c>
    </row>
    <row r="1015" spans="1:11">
      <c r="A1015" t="s">
        <v>319</v>
      </c>
      <c r="B1015" s="8">
        <v>262701059</v>
      </c>
      <c r="C1015" s="9">
        <v>46162</v>
      </c>
      <c r="D1015" s="8" t="s">
        <v>30</v>
      </c>
      <c r="E1015" s="10">
        <v>30000</v>
      </c>
      <c r="F1015" s="8">
        <v>0.022</v>
      </c>
      <c r="G1015" s="11">
        <v>46208</v>
      </c>
      <c r="H1015" s="12">
        <f t="shared" ref="H1015:H1078" si="20">E1015*F1015</f>
        <v>660</v>
      </c>
      <c r="I1015" s="10" t="s">
        <v>10</v>
      </c>
      <c r="J1015" s="13">
        <v>46171</v>
      </c>
      <c r="K1015" t="s">
        <v>491</v>
      </c>
    </row>
    <row r="1016" spans="1:11">
      <c r="A1016" t="s">
        <v>319</v>
      </c>
      <c r="B1016" s="8">
        <v>262701059</v>
      </c>
      <c r="C1016" s="9">
        <v>46162</v>
      </c>
      <c r="D1016" s="8" t="s">
        <v>30</v>
      </c>
      <c r="E1016" s="10">
        <v>30000</v>
      </c>
      <c r="F1016" s="8">
        <v>0.022</v>
      </c>
      <c r="G1016" s="11">
        <v>46208</v>
      </c>
      <c r="H1016" s="12">
        <f t="shared" si="20"/>
        <v>660</v>
      </c>
      <c r="I1016" s="10" t="s">
        <v>10</v>
      </c>
      <c r="J1016" s="13">
        <v>46171</v>
      </c>
      <c r="K1016" t="s">
        <v>491</v>
      </c>
    </row>
    <row r="1017" spans="1:11">
      <c r="A1017" t="s">
        <v>319</v>
      </c>
      <c r="B1017" s="8">
        <v>262701059</v>
      </c>
      <c r="C1017" s="9">
        <v>46162</v>
      </c>
      <c r="D1017" s="8" t="s">
        <v>11</v>
      </c>
      <c r="E1017" s="10">
        <v>200000</v>
      </c>
      <c r="F1017" s="8">
        <v>0.032</v>
      </c>
      <c r="G1017" s="11">
        <v>46178</v>
      </c>
      <c r="H1017" s="12">
        <f t="shared" si="20"/>
        <v>6400</v>
      </c>
      <c r="I1017" s="10" t="s">
        <v>10</v>
      </c>
      <c r="J1017" s="13">
        <v>46171</v>
      </c>
      <c r="K1017" t="s">
        <v>491</v>
      </c>
    </row>
    <row r="1018" spans="1:11">
      <c r="A1018" t="s">
        <v>319</v>
      </c>
      <c r="B1018" s="8">
        <v>262701059</v>
      </c>
      <c r="C1018" s="9">
        <v>46162</v>
      </c>
      <c r="D1018" s="8" t="s">
        <v>11</v>
      </c>
      <c r="E1018" s="10">
        <v>200000</v>
      </c>
      <c r="F1018" s="8">
        <v>0.032</v>
      </c>
      <c r="G1018" s="11">
        <v>46178</v>
      </c>
      <c r="H1018" s="12">
        <f t="shared" si="20"/>
        <v>6400</v>
      </c>
      <c r="I1018" s="10" t="s">
        <v>10</v>
      </c>
      <c r="J1018" s="13">
        <v>46171</v>
      </c>
      <c r="K1018" t="s">
        <v>491</v>
      </c>
    </row>
    <row r="1019" spans="1:11">
      <c r="A1019" t="s">
        <v>319</v>
      </c>
      <c r="B1019" s="8">
        <v>262701059</v>
      </c>
      <c r="C1019" s="9">
        <v>46162</v>
      </c>
      <c r="D1019" s="8" t="s">
        <v>11</v>
      </c>
      <c r="E1019" s="10">
        <v>100000</v>
      </c>
      <c r="F1019" s="8">
        <v>0.032</v>
      </c>
      <c r="G1019" s="11">
        <v>46178</v>
      </c>
      <c r="H1019" s="12">
        <f t="shared" si="20"/>
        <v>3200</v>
      </c>
      <c r="I1019" s="10" t="s">
        <v>10</v>
      </c>
      <c r="J1019" s="13">
        <v>46171</v>
      </c>
      <c r="K1019" t="s">
        <v>491</v>
      </c>
    </row>
    <row r="1020" spans="1:11">
      <c r="B1020" s="14">
        <v>262701162</v>
      </c>
      <c r="C1020" s="13">
        <v>46168</v>
      </c>
      <c r="D1020" s="14" t="s">
        <v>181</v>
      </c>
      <c r="E1020" s="15">
        <v>200000</v>
      </c>
      <c r="F1020" s="14">
        <v>0.0243</v>
      </c>
      <c r="G1020" s="18">
        <v>46270</v>
      </c>
      <c r="H1020" s="17">
        <f t="shared" si="20"/>
        <v>4860</v>
      </c>
      <c r="I1020" s="15" t="s">
        <v>317</v>
      </c>
      <c r="J1020" s="15" t="s">
        <v>666</v>
      </c>
      <c r="K1020" t="s">
        <v>435</v>
      </c>
    </row>
    <row r="1021" spans="1:11">
      <c r="B1021" s="14">
        <v>262701162</v>
      </c>
      <c r="C1021" s="13">
        <v>46168</v>
      </c>
      <c r="D1021" s="14" t="s">
        <v>181</v>
      </c>
      <c r="E1021" s="15">
        <v>200000</v>
      </c>
      <c r="F1021" s="14">
        <v>0.0243</v>
      </c>
      <c r="G1021" s="18">
        <v>46270</v>
      </c>
      <c r="H1021" s="17">
        <f t="shared" si="20"/>
        <v>4860</v>
      </c>
      <c r="I1021" s="15" t="s">
        <v>317</v>
      </c>
      <c r="J1021" s="15" t="s">
        <v>666</v>
      </c>
      <c r="K1021" t="s">
        <v>435</v>
      </c>
    </row>
    <row r="1022" spans="1:11">
      <c r="B1022" s="14">
        <v>262701162</v>
      </c>
      <c r="C1022" s="13">
        <v>46168</v>
      </c>
      <c r="D1022" s="14" t="s">
        <v>181</v>
      </c>
      <c r="E1022" s="15">
        <v>200000</v>
      </c>
      <c r="F1022" s="14">
        <v>0.0243</v>
      </c>
      <c r="G1022" s="18">
        <v>46270</v>
      </c>
      <c r="H1022" s="17">
        <f t="shared" si="20"/>
        <v>4860</v>
      </c>
      <c r="I1022" s="15" t="s">
        <v>317</v>
      </c>
      <c r="J1022" s="15" t="s">
        <v>666</v>
      </c>
      <c r="K1022" t="s">
        <v>435</v>
      </c>
    </row>
    <row r="1023" spans="1:11">
      <c r="B1023" s="14">
        <v>262701162</v>
      </c>
      <c r="C1023" s="13">
        <v>46168</v>
      </c>
      <c r="D1023" s="14" t="s">
        <v>181</v>
      </c>
      <c r="E1023" s="15">
        <v>200000</v>
      </c>
      <c r="F1023" s="14">
        <v>0.0243</v>
      </c>
      <c r="G1023" s="18">
        <v>46270</v>
      </c>
      <c r="H1023" s="17">
        <f t="shared" si="20"/>
        <v>4860</v>
      </c>
      <c r="I1023" s="15" t="s">
        <v>317</v>
      </c>
      <c r="J1023" s="15" t="s">
        <v>666</v>
      </c>
      <c r="K1023" t="s">
        <v>435</v>
      </c>
    </row>
    <row r="1024" spans="1:11">
      <c r="B1024" s="14">
        <v>262701162</v>
      </c>
      <c r="C1024" s="13">
        <v>46168</v>
      </c>
      <c r="D1024" s="14" t="s">
        <v>603</v>
      </c>
      <c r="E1024" s="15">
        <v>200000</v>
      </c>
      <c r="F1024" s="14">
        <v>0.027</v>
      </c>
      <c r="G1024" s="18">
        <v>46239</v>
      </c>
      <c r="H1024" s="17">
        <f t="shared" si="20"/>
        <v>5400</v>
      </c>
      <c r="I1024" s="15" t="s">
        <v>317</v>
      </c>
      <c r="J1024" s="15" t="s">
        <v>666</v>
      </c>
      <c r="K1024" t="s">
        <v>435</v>
      </c>
    </row>
    <row r="1025" spans="1:11">
      <c r="B1025" s="14">
        <v>262701162</v>
      </c>
      <c r="C1025" s="13">
        <v>46168</v>
      </c>
      <c r="D1025" s="14" t="s">
        <v>603</v>
      </c>
      <c r="E1025" s="15">
        <v>120000</v>
      </c>
      <c r="F1025" s="14">
        <v>0.027</v>
      </c>
      <c r="G1025" s="18">
        <v>46239</v>
      </c>
      <c r="H1025" s="17">
        <f t="shared" si="20"/>
        <v>3240</v>
      </c>
      <c r="I1025" s="15" t="s">
        <v>317</v>
      </c>
      <c r="J1025" s="15" t="s">
        <v>666</v>
      </c>
      <c r="K1025" t="s">
        <v>435</v>
      </c>
    </row>
    <row r="1026" spans="1:11">
      <c r="B1026" s="14">
        <v>262701162</v>
      </c>
      <c r="C1026" s="13">
        <v>46168</v>
      </c>
      <c r="D1026" s="14" t="s">
        <v>603</v>
      </c>
      <c r="E1026" s="15">
        <v>200000</v>
      </c>
      <c r="F1026" s="14">
        <v>0.027</v>
      </c>
      <c r="G1026" s="18">
        <v>46270</v>
      </c>
      <c r="H1026" s="17">
        <f t="shared" si="20"/>
        <v>5400</v>
      </c>
      <c r="I1026" s="15" t="s">
        <v>317</v>
      </c>
      <c r="J1026" s="15" t="s">
        <v>666</v>
      </c>
      <c r="K1026" t="s">
        <v>435</v>
      </c>
    </row>
    <row r="1027" spans="1:11">
      <c r="B1027" s="14">
        <v>262701162</v>
      </c>
      <c r="C1027" s="13">
        <v>46168</v>
      </c>
      <c r="D1027" s="14" t="s">
        <v>603</v>
      </c>
      <c r="E1027" s="15">
        <v>100000</v>
      </c>
      <c r="F1027" s="14">
        <v>0.027</v>
      </c>
      <c r="G1027" s="18">
        <v>46270</v>
      </c>
      <c r="H1027" s="17">
        <f t="shared" si="20"/>
        <v>2700</v>
      </c>
      <c r="I1027" s="15" t="s">
        <v>317</v>
      </c>
      <c r="J1027" s="15" t="s">
        <v>666</v>
      </c>
      <c r="K1027" t="s">
        <v>435</v>
      </c>
    </row>
    <row r="1028" spans="1:11">
      <c r="B1028" s="14">
        <v>262701162</v>
      </c>
      <c r="C1028" s="13">
        <v>46168</v>
      </c>
      <c r="D1028" s="14" t="s">
        <v>602</v>
      </c>
      <c r="E1028" s="15">
        <v>180000</v>
      </c>
      <c r="F1028" s="14">
        <v>0.022</v>
      </c>
      <c r="G1028" s="18">
        <v>46239</v>
      </c>
      <c r="H1028" s="17">
        <f t="shared" si="20"/>
        <v>3960</v>
      </c>
      <c r="I1028" s="15" t="s">
        <v>317</v>
      </c>
      <c r="J1028" s="15" t="s">
        <v>666</v>
      </c>
      <c r="K1028" t="s">
        <v>435</v>
      </c>
    </row>
    <row r="1029" ht="13" customHeight="1" spans="1:11">
      <c r="B1029" s="14">
        <v>262701162</v>
      </c>
      <c r="C1029" s="13">
        <v>46168</v>
      </c>
      <c r="D1029" s="14" t="s">
        <v>602</v>
      </c>
      <c r="E1029" s="15">
        <v>180000</v>
      </c>
      <c r="F1029" s="14">
        <v>0.022</v>
      </c>
      <c r="G1029" s="18">
        <v>46270</v>
      </c>
      <c r="H1029" s="17">
        <f t="shared" si="20"/>
        <v>3960</v>
      </c>
      <c r="I1029" s="15" t="s">
        <v>317</v>
      </c>
      <c r="J1029" s="15" t="s">
        <v>666</v>
      </c>
      <c r="K1029" t="s">
        <v>435</v>
      </c>
    </row>
    <row r="1030" spans="1:11">
      <c r="A1030" t="s">
        <v>319</v>
      </c>
      <c r="B1030" s="8">
        <v>262701168</v>
      </c>
      <c r="C1030" s="9">
        <v>46167</v>
      </c>
      <c r="D1030" s="8" t="s">
        <v>32</v>
      </c>
      <c r="E1030" s="10">
        <v>20000</v>
      </c>
      <c r="F1030" s="8">
        <v>0.014</v>
      </c>
      <c r="G1030" s="11">
        <v>46178</v>
      </c>
      <c r="H1030" s="12">
        <f t="shared" si="20"/>
        <v>280</v>
      </c>
      <c r="I1030" s="10" t="s">
        <v>10</v>
      </c>
      <c r="J1030" s="13">
        <v>46191</v>
      </c>
      <c r="K1030" t="s">
        <v>435</v>
      </c>
    </row>
    <row r="1031" spans="1:11">
      <c r="A1031" t="s">
        <v>319</v>
      </c>
      <c r="B1031" s="8">
        <v>262701168</v>
      </c>
      <c r="C1031" s="9">
        <v>46167</v>
      </c>
      <c r="D1031" s="8" t="s">
        <v>32</v>
      </c>
      <c r="E1031" s="10">
        <v>20000</v>
      </c>
      <c r="F1031" s="8">
        <v>0.014</v>
      </c>
      <c r="G1031" s="11">
        <v>46208</v>
      </c>
      <c r="H1031" s="12">
        <f t="shared" si="20"/>
        <v>280</v>
      </c>
      <c r="I1031" s="10" t="s">
        <v>10</v>
      </c>
      <c r="J1031" s="13">
        <v>46191</v>
      </c>
      <c r="K1031" t="s">
        <v>435</v>
      </c>
    </row>
    <row r="1032" spans="1:11">
      <c r="A1032" t="s">
        <v>319</v>
      </c>
      <c r="B1032" s="8">
        <v>262701168</v>
      </c>
      <c r="C1032" s="9">
        <v>46167</v>
      </c>
      <c r="D1032" s="8" t="s">
        <v>652</v>
      </c>
      <c r="E1032" s="10">
        <v>20000</v>
      </c>
      <c r="F1032" s="8">
        <v>0.028</v>
      </c>
      <c r="G1032" s="11">
        <v>46208</v>
      </c>
      <c r="H1032" s="12">
        <f t="shared" si="20"/>
        <v>560</v>
      </c>
      <c r="I1032" s="10" t="s">
        <v>10</v>
      </c>
      <c r="J1032" s="13">
        <v>46184</v>
      </c>
      <c r="K1032" t="s">
        <v>435</v>
      </c>
    </row>
    <row r="1033" spans="1:11">
      <c r="A1033" t="s">
        <v>319</v>
      </c>
      <c r="B1033" s="14">
        <v>262701169</v>
      </c>
      <c r="C1033" s="13">
        <v>46168</v>
      </c>
      <c r="D1033" s="14" t="s">
        <v>32</v>
      </c>
      <c r="E1033" s="15">
        <v>20000</v>
      </c>
      <c r="F1033" s="14">
        <v>0.014</v>
      </c>
      <c r="G1033" s="18">
        <v>46270</v>
      </c>
      <c r="H1033" s="17">
        <f t="shared" si="20"/>
        <v>280</v>
      </c>
      <c r="I1033" s="15" t="s">
        <v>317</v>
      </c>
      <c r="J1033" s="15" t="s">
        <v>666</v>
      </c>
      <c r="K1033" t="s">
        <v>435</v>
      </c>
    </row>
    <row r="1034" spans="1:11">
      <c r="A1034" t="s">
        <v>319</v>
      </c>
      <c r="B1034" s="14">
        <v>262701169</v>
      </c>
      <c r="C1034" s="13">
        <v>46168</v>
      </c>
      <c r="D1034" s="14" t="s">
        <v>651</v>
      </c>
      <c r="E1034" s="15">
        <v>50000</v>
      </c>
      <c r="F1034" s="14">
        <v>0.025</v>
      </c>
      <c r="G1034" s="18">
        <v>46239</v>
      </c>
      <c r="H1034" s="17">
        <f t="shared" si="20"/>
        <v>1250</v>
      </c>
      <c r="I1034" s="15" t="s">
        <v>317</v>
      </c>
      <c r="J1034" s="15" t="s">
        <v>666</v>
      </c>
      <c r="K1034" t="s">
        <v>435</v>
      </c>
    </row>
    <row r="1035" spans="1:11">
      <c r="A1035" t="s">
        <v>319</v>
      </c>
      <c r="B1035" s="14">
        <v>262701169</v>
      </c>
      <c r="C1035" s="13">
        <v>46168</v>
      </c>
      <c r="D1035" s="14" t="s">
        <v>651</v>
      </c>
      <c r="E1035" s="15">
        <v>50000</v>
      </c>
      <c r="F1035" s="14">
        <v>0.025</v>
      </c>
      <c r="G1035" s="18">
        <v>46270</v>
      </c>
      <c r="H1035" s="17">
        <f t="shared" si="20"/>
        <v>1250</v>
      </c>
      <c r="I1035" s="15" t="s">
        <v>317</v>
      </c>
      <c r="J1035" s="15" t="s">
        <v>666</v>
      </c>
      <c r="K1035" t="s">
        <v>435</v>
      </c>
    </row>
    <row r="1036" spans="1:11">
      <c r="A1036" t="s">
        <v>319</v>
      </c>
      <c r="B1036" s="14">
        <v>262701169</v>
      </c>
      <c r="C1036" s="13">
        <v>46168</v>
      </c>
      <c r="D1036" s="27" t="s">
        <v>650</v>
      </c>
      <c r="E1036" s="15">
        <v>20000</v>
      </c>
      <c r="F1036" s="14">
        <v>0.0255</v>
      </c>
      <c r="G1036" s="18">
        <v>46239</v>
      </c>
      <c r="H1036" s="17">
        <f t="shared" si="20"/>
        <v>510</v>
      </c>
      <c r="I1036" s="15" t="s">
        <v>317</v>
      </c>
      <c r="J1036" s="15" t="s">
        <v>666</v>
      </c>
      <c r="K1036" t="s">
        <v>435</v>
      </c>
    </row>
    <row r="1037" spans="1:11">
      <c r="A1037" t="s">
        <v>319</v>
      </c>
      <c r="B1037" s="14">
        <v>262701169</v>
      </c>
      <c r="C1037" s="13">
        <v>46168</v>
      </c>
      <c r="D1037" s="14" t="s">
        <v>652</v>
      </c>
      <c r="E1037" s="15">
        <v>20000</v>
      </c>
      <c r="F1037" s="14">
        <v>0.028</v>
      </c>
      <c r="G1037" s="18">
        <v>46239</v>
      </c>
      <c r="H1037" s="17">
        <f t="shared" si="20"/>
        <v>560</v>
      </c>
      <c r="I1037" s="15" t="s">
        <v>317</v>
      </c>
      <c r="J1037" s="15" t="s">
        <v>666</v>
      </c>
      <c r="K1037" t="s">
        <v>435</v>
      </c>
    </row>
    <row r="1038" spans="1:11">
      <c r="A1038" t="s">
        <v>319</v>
      </c>
      <c r="B1038" s="14">
        <v>262701169</v>
      </c>
      <c r="C1038" s="13">
        <v>46168</v>
      </c>
      <c r="D1038" s="14" t="s">
        <v>652</v>
      </c>
      <c r="E1038" s="15">
        <v>20000</v>
      </c>
      <c r="F1038" s="14">
        <v>0.028</v>
      </c>
      <c r="G1038" s="18">
        <v>46270</v>
      </c>
      <c r="H1038" s="17">
        <f t="shared" si="20"/>
        <v>560</v>
      </c>
      <c r="I1038" s="15" t="s">
        <v>317</v>
      </c>
      <c r="J1038" s="15" t="s">
        <v>666</v>
      </c>
      <c r="K1038" t="s">
        <v>435</v>
      </c>
    </row>
    <row r="1039" spans="1:11">
      <c r="A1039" t="s">
        <v>319</v>
      </c>
      <c r="B1039" s="14">
        <v>262701169</v>
      </c>
      <c r="C1039" s="13">
        <v>46168</v>
      </c>
      <c r="D1039" s="14" t="s">
        <v>181</v>
      </c>
      <c r="E1039" s="15">
        <v>200000</v>
      </c>
      <c r="F1039" s="14">
        <v>0.0243</v>
      </c>
      <c r="G1039" s="18">
        <v>46239</v>
      </c>
      <c r="H1039" s="17">
        <f t="shared" si="20"/>
        <v>4860</v>
      </c>
      <c r="I1039" s="15" t="s">
        <v>317</v>
      </c>
      <c r="J1039" s="15" t="s">
        <v>666</v>
      </c>
      <c r="K1039" t="s">
        <v>435</v>
      </c>
    </row>
    <row r="1040" spans="1:11">
      <c r="A1040" t="s">
        <v>319</v>
      </c>
      <c r="B1040" s="14">
        <v>262701169</v>
      </c>
      <c r="C1040" s="13">
        <v>46168</v>
      </c>
      <c r="D1040" s="14" t="s">
        <v>181</v>
      </c>
      <c r="E1040" s="15">
        <v>200000</v>
      </c>
      <c r="F1040" s="14">
        <v>0.0243</v>
      </c>
      <c r="G1040" s="18">
        <v>46239</v>
      </c>
      <c r="H1040" s="17">
        <f t="shared" si="20"/>
        <v>4860</v>
      </c>
      <c r="I1040" s="15" t="s">
        <v>317</v>
      </c>
      <c r="J1040" s="15" t="s">
        <v>666</v>
      </c>
      <c r="K1040" t="s">
        <v>435</v>
      </c>
    </row>
    <row r="1041" spans="1:11">
      <c r="A1041" t="s">
        <v>319</v>
      </c>
      <c r="B1041" s="14">
        <v>262701169</v>
      </c>
      <c r="C1041" s="13">
        <v>46168</v>
      </c>
      <c r="D1041" s="14" t="s">
        <v>181</v>
      </c>
      <c r="E1041" s="15">
        <v>200000</v>
      </c>
      <c r="F1041" s="14">
        <v>0.0243</v>
      </c>
      <c r="G1041" s="18">
        <v>46239</v>
      </c>
      <c r="H1041" s="17">
        <f t="shared" si="20"/>
        <v>4860</v>
      </c>
      <c r="I1041" s="15" t="s">
        <v>317</v>
      </c>
      <c r="J1041" s="15" t="s">
        <v>666</v>
      </c>
      <c r="K1041" t="s">
        <v>435</v>
      </c>
    </row>
    <row r="1042" spans="1:11">
      <c r="A1042" t="s">
        <v>319</v>
      </c>
      <c r="B1042" s="14">
        <v>262701169</v>
      </c>
      <c r="C1042" s="13">
        <v>46168</v>
      </c>
      <c r="D1042" s="14" t="s">
        <v>181</v>
      </c>
      <c r="E1042" s="15">
        <v>200000</v>
      </c>
      <c r="F1042" s="14">
        <v>0.0243</v>
      </c>
      <c r="G1042" s="18">
        <v>46239</v>
      </c>
      <c r="H1042" s="17">
        <f t="shared" si="20"/>
        <v>4860</v>
      </c>
      <c r="I1042" s="15" t="s">
        <v>317</v>
      </c>
      <c r="J1042" s="15" t="s">
        <v>666</v>
      </c>
      <c r="K1042" t="s">
        <v>435</v>
      </c>
    </row>
    <row r="1043" spans="1:11">
      <c r="B1043" s="14">
        <v>262701179</v>
      </c>
      <c r="C1043" s="13">
        <v>46168</v>
      </c>
      <c r="D1043" s="14" t="s">
        <v>32</v>
      </c>
      <c r="E1043" s="15">
        <v>20000</v>
      </c>
      <c r="F1043" s="14">
        <v>0.014</v>
      </c>
      <c r="G1043" s="18">
        <v>46331</v>
      </c>
      <c r="H1043" s="17">
        <f t="shared" si="20"/>
        <v>280</v>
      </c>
      <c r="I1043" s="15" t="s">
        <v>317</v>
      </c>
      <c r="J1043" s="15"/>
      <c r="K1043" t="s">
        <v>435</v>
      </c>
    </row>
    <row r="1044" spans="1:11">
      <c r="B1044" s="14">
        <v>262701179</v>
      </c>
      <c r="C1044" s="13">
        <v>46168</v>
      </c>
      <c r="D1044" s="14" t="s">
        <v>651</v>
      </c>
      <c r="E1044" s="15">
        <v>50000</v>
      </c>
      <c r="F1044" s="14">
        <v>0.025</v>
      </c>
      <c r="G1044" s="18">
        <v>46331</v>
      </c>
      <c r="H1044" s="17">
        <f t="shared" si="20"/>
        <v>1250</v>
      </c>
      <c r="I1044" s="15" t="s">
        <v>317</v>
      </c>
      <c r="J1044" s="15"/>
      <c r="K1044" t="s">
        <v>435</v>
      </c>
    </row>
    <row r="1045" spans="1:11">
      <c r="B1045" s="14">
        <v>262701179</v>
      </c>
      <c r="C1045" s="13">
        <v>46168</v>
      </c>
      <c r="D1045" s="14" t="s">
        <v>651</v>
      </c>
      <c r="E1045" s="15">
        <v>50000</v>
      </c>
      <c r="F1045" s="14">
        <v>0.025</v>
      </c>
      <c r="G1045" s="18">
        <v>46361</v>
      </c>
      <c r="H1045" s="17">
        <f t="shared" si="20"/>
        <v>1250</v>
      </c>
      <c r="I1045" s="15" t="s">
        <v>317</v>
      </c>
      <c r="J1045" s="15"/>
      <c r="K1045" t="s">
        <v>435</v>
      </c>
    </row>
    <row r="1046" spans="1:11">
      <c r="B1046" s="14">
        <v>262701179</v>
      </c>
      <c r="C1046" s="13">
        <v>46168</v>
      </c>
      <c r="D1046" s="14" t="s">
        <v>650</v>
      </c>
      <c r="E1046" s="15">
        <v>20000</v>
      </c>
      <c r="F1046" s="14">
        <v>0.0255</v>
      </c>
      <c r="G1046" s="18">
        <v>46331</v>
      </c>
      <c r="H1046" s="17">
        <f t="shared" si="20"/>
        <v>510</v>
      </c>
      <c r="I1046" s="15" t="s">
        <v>317</v>
      </c>
      <c r="J1046" s="15"/>
      <c r="K1046" t="s">
        <v>435</v>
      </c>
    </row>
    <row r="1047" spans="1:11">
      <c r="B1047" s="14">
        <v>262701179</v>
      </c>
      <c r="C1047" s="13">
        <v>46168</v>
      </c>
      <c r="D1047" s="14" t="s">
        <v>652</v>
      </c>
      <c r="E1047" s="15">
        <v>20000</v>
      </c>
      <c r="F1047" s="14">
        <v>0.028</v>
      </c>
      <c r="G1047" s="18">
        <v>46331</v>
      </c>
      <c r="H1047" s="17">
        <f t="shared" si="20"/>
        <v>560</v>
      </c>
      <c r="I1047" s="15" t="s">
        <v>317</v>
      </c>
      <c r="J1047" s="15"/>
      <c r="K1047" t="s">
        <v>435</v>
      </c>
    </row>
    <row r="1048" spans="1:11">
      <c r="B1048" s="14">
        <v>262701179</v>
      </c>
      <c r="C1048" s="13">
        <v>46168</v>
      </c>
      <c r="D1048" s="14" t="s">
        <v>181</v>
      </c>
      <c r="E1048" s="15">
        <v>200000</v>
      </c>
      <c r="F1048" s="14">
        <v>0.0243</v>
      </c>
      <c r="G1048" s="18">
        <v>46331</v>
      </c>
      <c r="H1048" s="17">
        <f t="shared" si="20"/>
        <v>4860</v>
      </c>
      <c r="I1048" s="15" t="s">
        <v>317</v>
      </c>
      <c r="J1048" s="15"/>
      <c r="K1048" t="s">
        <v>435</v>
      </c>
    </row>
    <row r="1049" spans="1:11">
      <c r="B1049" s="14">
        <v>262701179</v>
      </c>
      <c r="C1049" s="13">
        <v>46168</v>
      </c>
      <c r="D1049" s="14" t="s">
        <v>181</v>
      </c>
      <c r="E1049" s="15">
        <v>200000</v>
      </c>
      <c r="F1049" s="14">
        <v>0.0243</v>
      </c>
      <c r="G1049" s="18">
        <v>46331</v>
      </c>
      <c r="H1049" s="17">
        <f t="shared" si="20"/>
        <v>4860</v>
      </c>
      <c r="I1049" s="15" t="s">
        <v>317</v>
      </c>
      <c r="J1049" s="15"/>
      <c r="K1049" t="s">
        <v>435</v>
      </c>
    </row>
    <row r="1050" spans="1:11">
      <c r="B1050" s="14">
        <v>262701179</v>
      </c>
      <c r="C1050" s="13">
        <v>46168</v>
      </c>
      <c r="D1050" s="14" t="s">
        <v>181</v>
      </c>
      <c r="E1050" s="15">
        <v>200000</v>
      </c>
      <c r="F1050" s="14">
        <v>0.0243</v>
      </c>
      <c r="G1050" s="18">
        <v>46331</v>
      </c>
      <c r="H1050" s="17">
        <f t="shared" si="20"/>
        <v>4860</v>
      </c>
      <c r="I1050" s="15" t="s">
        <v>317</v>
      </c>
      <c r="J1050" s="15"/>
      <c r="K1050" t="s">
        <v>435</v>
      </c>
    </row>
    <row r="1051" spans="1:11">
      <c r="B1051" s="14">
        <v>262701179</v>
      </c>
      <c r="C1051" s="13">
        <v>46168</v>
      </c>
      <c r="D1051" s="14" t="s">
        <v>181</v>
      </c>
      <c r="E1051" s="15">
        <v>200000</v>
      </c>
      <c r="F1051" s="14">
        <v>0.0243</v>
      </c>
      <c r="G1051" s="18">
        <v>46331</v>
      </c>
      <c r="H1051" s="17">
        <f t="shared" si="20"/>
        <v>4860</v>
      </c>
      <c r="I1051" s="15" t="s">
        <v>317</v>
      </c>
      <c r="J1051" s="15"/>
      <c r="K1051" t="s">
        <v>435</v>
      </c>
    </row>
    <row r="1052" spans="1:11">
      <c r="B1052" s="14">
        <v>262701179</v>
      </c>
      <c r="C1052" s="13">
        <v>46168</v>
      </c>
      <c r="D1052" s="14" t="s">
        <v>181</v>
      </c>
      <c r="E1052" s="15">
        <v>200000</v>
      </c>
      <c r="F1052" s="14">
        <v>0.0243</v>
      </c>
      <c r="G1052" s="18">
        <v>46331</v>
      </c>
      <c r="H1052" s="17">
        <f t="shared" si="20"/>
        <v>4860</v>
      </c>
      <c r="I1052" s="15" t="s">
        <v>317</v>
      </c>
      <c r="J1052" s="15"/>
      <c r="K1052" t="s">
        <v>435</v>
      </c>
    </row>
    <row r="1053" spans="1:11">
      <c r="A1053" t="s">
        <v>319</v>
      </c>
      <c r="B1053" s="8">
        <v>262701180</v>
      </c>
      <c r="C1053" s="9">
        <v>46167</v>
      </c>
      <c r="D1053" s="8" t="s">
        <v>181</v>
      </c>
      <c r="E1053" s="10">
        <v>24000</v>
      </c>
      <c r="F1053" s="8">
        <v>0.0243</v>
      </c>
      <c r="G1053" s="11">
        <v>46178</v>
      </c>
      <c r="H1053" s="12">
        <f t="shared" si="20"/>
        <v>583.2</v>
      </c>
      <c r="I1053" s="10" t="s">
        <v>10</v>
      </c>
      <c r="J1053" s="13">
        <v>46191</v>
      </c>
      <c r="K1053" t="s">
        <v>627</v>
      </c>
    </row>
    <row r="1054" spans="1:11">
      <c r="A1054" t="s">
        <v>319</v>
      </c>
      <c r="B1054" s="8">
        <v>262701181</v>
      </c>
      <c r="C1054" s="9">
        <v>46167</v>
      </c>
      <c r="D1054" s="8" t="s">
        <v>315</v>
      </c>
      <c r="E1054" s="10">
        <v>30000</v>
      </c>
      <c r="F1054" s="8">
        <v>0.0522</v>
      </c>
      <c r="G1054" s="11">
        <v>46178</v>
      </c>
      <c r="H1054" s="12">
        <f t="shared" si="20"/>
        <v>1566</v>
      </c>
      <c r="I1054" s="10" t="s">
        <v>10</v>
      </c>
      <c r="J1054" s="13">
        <v>46191</v>
      </c>
      <c r="K1054" t="s">
        <v>467</v>
      </c>
    </row>
    <row r="1055" spans="1:11">
      <c r="B1055" s="14">
        <v>262701224</v>
      </c>
      <c r="C1055" s="13">
        <v>46168</v>
      </c>
      <c r="D1055" s="14" t="s">
        <v>181</v>
      </c>
      <c r="E1055" s="15">
        <v>200000</v>
      </c>
      <c r="F1055" s="14">
        <v>0.0243</v>
      </c>
      <c r="G1055" s="18">
        <v>46361</v>
      </c>
      <c r="H1055" s="17">
        <f t="shared" si="20"/>
        <v>4860</v>
      </c>
      <c r="I1055" s="15" t="s">
        <v>317</v>
      </c>
      <c r="J1055" s="15"/>
      <c r="K1055" t="s">
        <v>435</v>
      </c>
    </row>
    <row r="1056" spans="1:11">
      <c r="B1056" s="14">
        <v>262701224</v>
      </c>
      <c r="C1056" s="13">
        <v>46168</v>
      </c>
      <c r="D1056" s="14" t="s">
        <v>181</v>
      </c>
      <c r="E1056" s="15">
        <v>200000</v>
      </c>
      <c r="F1056" s="14">
        <v>0.0243</v>
      </c>
      <c r="G1056" s="18">
        <v>46361</v>
      </c>
      <c r="H1056" s="17">
        <f t="shared" si="20"/>
        <v>4860</v>
      </c>
      <c r="I1056" s="15" t="s">
        <v>317</v>
      </c>
      <c r="J1056" s="15"/>
      <c r="K1056" t="s">
        <v>435</v>
      </c>
    </row>
    <row r="1057" spans="1:11">
      <c r="B1057" s="14">
        <v>262701224</v>
      </c>
      <c r="C1057" s="13">
        <v>46168</v>
      </c>
      <c r="D1057" s="14" t="s">
        <v>603</v>
      </c>
      <c r="E1057" s="15">
        <v>200000</v>
      </c>
      <c r="F1057" s="14">
        <v>0.027</v>
      </c>
      <c r="G1057" s="18">
        <v>46331</v>
      </c>
      <c r="H1057" s="17">
        <f t="shared" si="20"/>
        <v>5400</v>
      </c>
      <c r="I1057" s="15" t="s">
        <v>317</v>
      </c>
      <c r="J1057" s="15"/>
      <c r="K1057" t="s">
        <v>435</v>
      </c>
    </row>
    <row r="1058" spans="1:11">
      <c r="B1058" s="14">
        <v>262701224</v>
      </c>
      <c r="C1058" s="13">
        <v>46168</v>
      </c>
      <c r="D1058" s="14" t="s">
        <v>603</v>
      </c>
      <c r="E1058" s="15">
        <v>100000</v>
      </c>
      <c r="F1058" s="14">
        <v>0.027</v>
      </c>
      <c r="G1058" s="18">
        <v>46331</v>
      </c>
      <c r="H1058" s="17">
        <f t="shared" si="20"/>
        <v>2700</v>
      </c>
      <c r="I1058" s="15" t="s">
        <v>317</v>
      </c>
      <c r="J1058" s="15"/>
      <c r="K1058" t="s">
        <v>435</v>
      </c>
    </row>
    <row r="1059" spans="1:11">
      <c r="B1059" s="14">
        <v>262701224</v>
      </c>
      <c r="C1059" s="13">
        <v>46168</v>
      </c>
      <c r="D1059" s="14" t="s">
        <v>603</v>
      </c>
      <c r="E1059" s="15">
        <v>200000</v>
      </c>
      <c r="F1059" s="14">
        <v>0.027</v>
      </c>
      <c r="G1059" s="18">
        <v>46361</v>
      </c>
      <c r="H1059" s="17">
        <f t="shared" si="20"/>
        <v>5400</v>
      </c>
      <c r="I1059" s="15" t="s">
        <v>317</v>
      </c>
      <c r="J1059" s="15"/>
      <c r="K1059" t="s">
        <v>435</v>
      </c>
    </row>
    <row r="1060" spans="1:11">
      <c r="B1060" s="14">
        <v>262701224</v>
      </c>
      <c r="C1060" s="13">
        <v>46168</v>
      </c>
      <c r="D1060" s="14" t="s">
        <v>603</v>
      </c>
      <c r="E1060" s="15">
        <v>100000</v>
      </c>
      <c r="F1060" s="14">
        <v>0.027</v>
      </c>
      <c r="G1060" s="18">
        <v>46361</v>
      </c>
      <c r="H1060" s="17">
        <f t="shared" si="20"/>
        <v>2700</v>
      </c>
      <c r="I1060" s="15" t="s">
        <v>317</v>
      </c>
      <c r="J1060" s="15"/>
      <c r="K1060" t="s">
        <v>435</v>
      </c>
    </row>
    <row r="1061" spans="1:11">
      <c r="B1061" s="14">
        <v>262701224</v>
      </c>
      <c r="C1061" s="13">
        <v>46168</v>
      </c>
      <c r="D1061" s="14" t="s">
        <v>602</v>
      </c>
      <c r="E1061" s="15">
        <v>180000</v>
      </c>
      <c r="F1061" s="14">
        <v>0.022</v>
      </c>
      <c r="G1061" s="18">
        <v>46331</v>
      </c>
      <c r="H1061" s="17">
        <f t="shared" si="20"/>
        <v>3960</v>
      </c>
      <c r="I1061" s="15" t="s">
        <v>317</v>
      </c>
      <c r="J1061" s="15"/>
      <c r="K1061" t="s">
        <v>435</v>
      </c>
    </row>
    <row r="1062" spans="1:11">
      <c r="B1062" s="14">
        <v>262701224</v>
      </c>
      <c r="C1062" s="13">
        <v>46168</v>
      </c>
      <c r="D1062" s="14" t="s">
        <v>602</v>
      </c>
      <c r="E1062" s="15">
        <v>180000</v>
      </c>
      <c r="F1062" s="14">
        <v>0.022</v>
      </c>
      <c r="G1062" s="18">
        <v>46361</v>
      </c>
      <c r="H1062" s="17">
        <f t="shared" si="20"/>
        <v>3960</v>
      </c>
      <c r="I1062" s="15" t="s">
        <v>317</v>
      </c>
      <c r="J1062" s="15"/>
      <c r="K1062" t="s">
        <v>435</v>
      </c>
    </row>
    <row r="1063" spans="1:11">
      <c r="A1063" t="s">
        <v>319</v>
      </c>
      <c r="B1063" s="8">
        <v>262701235</v>
      </c>
      <c r="C1063" s="9">
        <v>46169</v>
      </c>
      <c r="D1063" s="8" t="s">
        <v>16</v>
      </c>
      <c r="E1063" s="10">
        <v>190000</v>
      </c>
      <c r="F1063" s="8">
        <v>0.0292</v>
      </c>
      <c r="G1063" s="11">
        <v>46208</v>
      </c>
      <c r="H1063" s="12">
        <f t="shared" si="20"/>
        <v>5548</v>
      </c>
      <c r="I1063" s="10" t="s">
        <v>10</v>
      </c>
      <c r="J1063" s="13">
        <v>46174</v>
      </c>
      <c r="K1063" t="s">
        <v>405</v>
      </c>
    </row>
    <row r="1064" spans="1:11">
      <c r="A1064" t="s">
        <v>319</v>
      </c>
      <c r="B1064" s="8">
        <v>262701235</v>
      </c>
      <c r="C1064" s="9">
        <v>46169</v>
      </c>
      <c r="D1064" s="8" t="s">
        <v>16</v>
      </c>
      <c r="E1064" s="10">
        <v>190000</v>
      </c>
      <c r="F1064" s="8">
        <v>0.0292</v>
      </c>
      <c r="G1064" s="11">
        <v>46208</v>
      </c>
      <c r="H1064" s="12">
        <f t="shared" si="20"/>
        <v>5548</v>
      </c>
      <c r="I1064" s="10" t="s">
        <v>10</v>
      </c>
      <c r="J1064" s="13">
        <v>46174</v>
      </c>
      <c r="K1064" t="s">
        <v>405</v>
      </c>
    </row>
    <row r="1065" spans="1:11">
      <c r="A1065" t="s">
        <v>319</v>
      </c>
      <c r="B1065" s="8">
        <v>262701235</v>
      </c>
      <c r="C1065" s="9">
        <v>46169</v>
      </c>
      <c r="D1065" s="8" t="s">
        <v>16</v>
      </c>
      <c r="E1065" s="10">
        <v>22000</v>
      </c>
      <c r="F1065" s="8">
        <v>0.0292</v>
      </c>
      <c r="G1065" s="11">
        <v>46208</v>
      </c>
      <c r="H1065" s="12">
        <f t="shared" si="20"/>
        <v>642.4</v>
      </c>
      <c r="I1065" s="10" t="s">
        <v>10</v>
      </c>
      <c r="J1065" s="13">
        <v>46174</v>
      </c>
      <c r="K1065" t="s">
        <v>405</v>
      </c>
    </row>
    <row r="1066" spans="1:11">
      <c r="A1066" t="s">
        <v>319</v>
      </c>
      <c r="B1066" s="8">
        <v>262701235</v>
      </c>
      <c r="C1066" s="9">
        <v>46169</v>
      </c>
      <c r="D1066" s="8" t="s">
        <v>16</v>
      </c>
      <c r="E1066" s="10">
        <v>200000</v>
      </c>
      <c r="F1066" s="8">
        <v>0.0292</v>
      </c>
      <c r="G1066" s="11">
        <v>46239</v>
      </c>
      <c r="H1066" s="12">
        <f t="shared" si="20"/>
        <v>5840</v>
      </c>
      <c r="I1066" s="10" t="s">
        <v>10</v>
      </c>
      <c r="J1066" s="13">
        <v>46174</v>
      </c>
      <c r="K1066" t="s">
        <v>405</v>
      </c>
    </row>
    <row r="1067" spans="1:11">
      <c r="A1067" t="s">
        <v>319</v>
      </c>
      <c r="B1067" s="8">
        <v>262701235</v>
      </c>
      <c r="C1067" s="9">
        <v>46169</v>
      </c>
      <c r="D1067" s="8" t="s">
        <v>16</v>
      </c>
      <c r="E1067" s="10">
        <v>100000</v>
      </c>
      <c r="F1067" s="8">
        <v>0.0292</v>
      </c>
      <c r="G1067" s="11">
        <v>46239</v>
      </c>
      <c r="H1067" s="12">
        <f t="shared" si="20"/>
        <v>2920</v>
      </c>
      <c r="I1067" s="10" t="s">
        <v>10</v>
      </c>
      <c r="J1067" s="13">
        <v>46174</v>
      </c>
      <c r="K1067" t="s">
        <v>405</v>
      </c>
    </row>
    <row r="1068" spans="1:11">
      <c r="A1068" t="s">
        <v>319</v>
      </c>
      <c r="B1068" s="8">
        <v>262701235</v>
      </c>
      <c r="C1068" s="9">
        <v>46169</v>
      </c>
      <c r="D1068" s="8" t="s">
        <v>104</v>
      </c>
      <c r="E1068" s="10">
        <v>200000</v>
      </c>
      <c r="F1068" s="8">
        <v>0.028</v>
      </c>
      <c r="G1068" s="11">
        <v>46239</v>
      </c>
      <c r="H1068" s="12">
        <f t="shared" si="20"/>
        <v>5600</v>
      </c>
      <c r="I1068" s="10" t="s">
        <v>10</v>
      </c>
      <c r="J1068" s="13">
        <v>46174</v>
      </c>
      <c r="K1068" t="s">
        <v>405</v>
      </c>
    </row>
    <row r="1069" spans="1:11">
      <c r="A1069" t="s">
        <v>319</v>
      </c>
      <c r="B1069" s="8">
        <v>262701235</v>
      </c>
      <c r="C1069" s="9">
        <v>46169</v>
      </c>
      <c r="D1069" s="8" t="s">
        <v>104</v>
      </c>
      <c r="E1069" s="10">
        <v>100000</v>
      </c>
      <c r="F1069" s="8">
        <v>0.028</v>
      </c>
      <c r="G1069" s="11">
        <v>46239</v>
      </c>
      <c r="H1069" s="12">
        <f t="shared" si="20"/>
        <v>2800</v>
      </c>
      <c r="I1069" s="10" t="s">
        <v>10</v>
      </c>
      <c r="J1069" s="13">
        <v>46174</v>
      </c>
      <c r="K1069" t="s">
        <v>405</v>
      </c>
    </row>
    <row r="1070" spans="1:11">
      <c r="A1070" t="s">
        <v>319</v>
      </c>
      <c r="B1070" s="8">
        <v>262701235</v>
      </c>
      <c r="C1070" s="9">
        <v>46169</v>
      </c>
      <c r="D1070" s="8" t="s">
        <v>67</v>
      </c>
      <c r="E1070" s="10">
        <v>160000</v>
      </c>
      <c r="F1070" s="8">
        <v>0.028</v>
      </c>
      <c r="G1070" s="11">
        <v>46208</v>
      </c>
      <c r="H1070" s="12">
        <f t="shared" si="20"/>
        <v>4480</v>
      </c>
      <c r="I1070" s="10" t="s">
        <v>10</v>
      </c>
      <c r="J1070" s="13">
        <v>46174</v>
      </c>
      <c r="K1070" t="s">
        <v>405</v>
      </c>
    </row>
    <row r="1071" spans="1:11">
      <c r="A1071" t="s">
        <v>319</v>
      </c>
      <c r="B1071" s="8">
        <v>262701235</v>
      </c>
      <c r="C1071" s="9">
        <v>46169</v>
      </c>
      <c r="D1071" s="8" t="s">
        <v>67</v>
      </c>
      <c r="E1071" s="10">
        <v>90000</v>
      </c>
      <c r="F1071" s="8">
        <v>0.028</v>
      </c>
      <c r="G1071" s="11">
        <v>46239</v>
      </c>
      <c r="H1071" s="12">
        <f t="shared" si="20"/>
        <v>2520</v>
      </c>
      <c r="I1071" s="10" t="s">
        <v>10</v>
      </c>
      <c r="J1071" s="13">
        <v>46174</v>
      </c>
      <c r="K1071" t="s">
        <v>405</v>
      </c>
    </row>
    <row r="1072" spans="1:11">
      <c r="A1072" t="s">
        <v>319</v>
      </c>
      <c r="B1072" s="8">
        <v>262701235</v>
      </c>
      <c r="C1072" s="9">
        <v>46169</v>
      </c>
      <c r="D1072" s="8" t="s">
        <v>517</v>
      </c>
      <c r="E1072" s="10">
        <v>134000</v>
      </c>
      <c r="F1072" s="8">
        <v>0.0238</v>
      </c>
      <c r="G1072" s="11">
        <v>46208</v>
      </c>
      <c r="H1072" s="12">
        <f t="shared" si="20"/>
        <v>3189.2</v>
      </c>
      <c r="I1072" s="10" t="s">
        <v>10</v>
      </c>
      <c r="J1072" s="13">
        <v>46174</v>
      </c>
      <c r="K1072" t="s">
        <v>405</v>
      </c>
    </row>
    <row r="1073" spans="1:11">
      <c r="A1073" t="s">
        <v>319</v>
      </c>
      <c r="B1073" s="8">
        <v>262701235</v>
      </c>
      <c r="C1073" s="9">
        <v>46169</v>
      </c>
      <c r="D1073" s="8" t="s">
        <v>517</v>
      </c>
      <c r="E1073" s="10">
        <v>132000</v>
      </c>
      <c r="F1073" s="8">
        <v>0.0238</v>
      </c>
      <c r="G1073" s="11">
        <v>46239</v>
      </c>
      <c r="H1073" s="12">
        <f t="shared" si="20"/>
        <v>3141.6</v>
      </c>
      <c r="I1073" s="10" t="s">
        <v>10</v>
      </c>
      <c r="J1073" s="13">
        <v>46174</v>
      </c>
      <c r="K1073" t="s">
        <v>405</v>
      </c>
    </row>
    <row r="1074" spans="1:11">
      <c r="B1074" s="14">
        <v>262701236</v>
      </c>
      <c r="C1074" s="13">
        <v>46169</v>
      </c>
      <c r="D1074" s="14" t="s">
        <v>16</v>
      </c>
      <c r="E1074" s="15">
        <v>200000</v>
      </c>
      <c r="F1074" s="14">
        <v>0.0292</v>
      </c>
      <c r="G1074" s="18">
        <v>46270</v>
      </c>
      <c r="H1074" s="17">
        <f t="shared" si="20"/>
        <v>5840</v>
      </c>
      <c r="I1074" s="15" t="s">
        <v>317</v>
      </c>
      <c r="J1074" s="15"/>
      <c r="K1074" t="s">
        <v>405</v>
      </c>
    </row>
    <row r="1075" spans="1:11">
      <c r="B1075" s="14">
        <v>262701236</v>
      </c>
      <c r="C1075" s="13">
        <v>46169</v>
      </c>
      <c r="D1075" s="14" t="s">
        <v>16</v>
      </c>
      <c r="E1075" s="15">
        <v>48000</v>
      </c>
      <c r="F1075" s="14">
        <v>0.0292</v>
      </c>
      <c r="G1075" s="18">
        <v>46270</v>
      </c>
      <c r="H1075" s="17">
        <f t="shared" si="20"/>
        <v>1401.6</v>
      </c>
      <c r="I1075" s="15" t="s">
        <v>317</v>
      </c>
      <c r="J1075" s="15"/>
      <c r="K1075" t="s">
        <v>405</v>
      </c>
    </row>
    <row r="1076" spans="1:11">
      <c r="B1076" s="14">
        <v>262701236</v>
      </c>
      <c r="C1076" s="13">
        <v>46169</v>
      </c>
      <c r="D1076" s="14" t="s">
        <v>16</v>
      </c>
      <c r="E1076" s="15">
        <v>200000</v>
      </c>
      <c r="F1076" s="14">
        <v>0.0292</v>
      </c>
      <c r="G1076" s="18">
        <v>46300</v>
      </c>
      <c r="H1076" s="17">
        <f t="shared" si="20"/>
        <v>5840</v>
      </c>
      <c r="I1076" s="15" t="s">
        <v>317</v>
      </c>
      <c r="J1076" s="15"/>
      <c r="K1076" t="s">
        <v>405</v>
      </c>
    </row>
    <row r="1077" spans="1:11">
      <c r="B1077" s="14">
        <v>262701236</v>
      </c>
      <c r="C1077" s="13">
        <v>46169</v>
      </c>
      <c r="D1077" s="14" t="s">
        <v>16</v>
      </c>
      <c r="E1077" s="15">
        <v>30000</v>
      </c>
      <c r="F1077" s="14">
        <v>0.0292</v>
      </c>
      <c r="G1077" s="18">
        <v>46300</v>
      </c>
      <c r="H1077" s="17">
        <f t="shared" si="20"/>
        <v>876</v>
      </c>
      <c r="I1077" s="15" t="s">
        <v>317</v>
      </c>
      <c r="J1077" s="15"/>
      <c r="K1077" t="s">
        <v>405</v>
      </c>
    </row>
    <row r="1078" spans="1:11">
      <c r="B1078" s="14">
        <v>262701236</v>
      </c>
      <c r="C1078" s="13">
        <v>46169</v>
      </c>
      <c r="D1078" s="14" t="s">
        <v>103</v>
      </c>
      <c r="E1078" s="15">
        <v>80000</v>
      </c>
      <c r="F1078" s="14">
        <v>0.028</v>
      </c>
      <c r="G1078" s="18">
        <v>46270</v>
      </c>
      <c r="H1078" s="17">
        <f t="shared" si="20"/>
        <v>2240</v>
      </c>
      <c r="I1078" s="15" t="s">
        <v>317</v>
      </c>
      <c r="J1078" s="15"/>
      <c r="K1078" t="s">
        <v>405</v>
      </c>
    </row>
    <row r="1079" spans="1:11">
      <c r="B1079" s="14">
        <v>262701236</v>
      </c>
      <c r="C1079" s="13">
        <v>46169</v>
      </c>
      <c r="D1079" s="14" t="s">
        <v>103</v>
      </c>
      <c r="E1079" s="15">
        <v>80000</v>
      </c>
      <c r="F1079" s="14">
        <v>0.028</v>
      </c>
      <c r="G1079" s="18">
        <v>46300</v>
      </c>
      <c r="H1079" s="17">
        <f t="shared" ref="H1079:H1141" si="21">E1079*F1079</f>
        <v>2240</v>
      </c>
      <c r="I1079" s="15" t="s">
        <v>317</v>
      </c>
      <c r="J1079" s="15"/>
      <c r="K1079" t="s">
        <v>405</v>
      </c>
    </row>
    <row r="1080" spans="1:11">
      <c r="B1080" s="14">
        <v>262701236</v>
      </c>
      <c r="C1080" s="13">
        <v>46169</v>
      </c>
      <c r="D1080" s="14" t="s">
        <v>104</v>
      </c>
      <c r="E1080" s="15">
        <v>120000</v>
      </c>
      <c r="F1080" s="14">
        <v>0.028</v>
      </c>
      <c r="G1080" s="18">
        <v>46270</v>
      </c>
      <c r="H1080" s="17">
        <f t="shared" si="21"/>
        <v>3360</v>
      </c>
      <c r="I1080" s="15" t="s">
        <v>317</v>
      </c>
      <c r="J1080" s="15"/>
      <c r="K1080" t="s">
        <v>405</v>
      </c>
    </row>
    <row r="1081" spans="1:11">
      <c r="B1081" s="14">
        <v>262701236</v>
      </c>
      <c r="C1081" s="13">
        <v>46169</v>
      </c>
      <c r="D1081" s="14" t="s">
        <v>104</v>
      </c>
      <c r="E1081" s="15">
        <v>90000</v>
      </c>
      <c r="F1081" s="14">
        <v>0.028</v>
      </c>
      <c r="G1081" s="18">
        <v>46300</v>
      </c>
      <c r="H1081" s="17">
        <f t="shared" si="21"/>
        <v>2520</v>
      </c>
      <c r="I1081" s="15" t="s">
        <v>317</v>
      </c>
      <c r="J1081" s="15"/>
      <c r="K1081" t="s">
        <v>405</v>
      </c>
    </row>
    <row r="1082" spans="1:11">
      <c r="B1082" s="14">
        <v>262701236</v>
      </c>
      <c r="C1082" s="13">
        <v>46169</v>
      </c>
      <c r="D1082" s="14" t="s">
        <v>67</v>
      </c>
      <c r="E1082" s="15">
        <v>120000</v>
      </c>
      <c r="F1082" s="14">
        <v>0.028</v>
      </c>
      <c r="G1082" s="18">
        <v>46270</v>
      </c>
      <c r="H1082" s="17">
        <f t="shared" si="21"/>
        <v>3360</v>
      </c>
      <c r="I1082" s="15" t="s">
        <v>317</v>
      </c>
      <c r="J1082" s="15"/>
      <c r="K1082" t="s">
        <v>405</v>
      </c>
    </row>
    <row r="1083" spans="1:11">
      <c r="B1083" s="14">
        <v>262701236</v>
      </c>
      <c r="C1083" s="13">
        <v>46169</v>
      </c>
      <c r="D1083" s="14" t="s">
        <v>67</v>
      </c>
      <c r="E1083" s="15">
        <v>102000</v>
      </c>
      <c r="F1083" s="14">
        <v>0.028</v>
      </c>
      <c r="G1083" s="18">
        <v>46300</v>
      </c>
      <c r="H1083" s="17">
        <f t="shared" si="21"/>
        <v>2856</v>
      </c>
      <c r="I1083" s="15" t="s">
        <v>317</v>
      </c>
      <c r="J1083" s="15"/>
      <c r="K1083" t="s">
        <v>405</v>
      </c>
    </row>
    <row r="1084" spans="1:11">
      <c r="B1084" s="14">
        <v>262701236</v>
      </c>
      <c r="C1084" s="13">
        <v>46169</v>
      </c>
      <c r="D1084" s="14" t="s">
        <v>36</v>
      </c>
      <c r="E1084" s="15">
        <v>144000</v>
      </c>
      <c r="F1084" s="14">
        <v>0.00656</v>
      </c>
      <c r="G1084" s="18">
        <v>46270</v>
      </c>
      <c r="H1084" s="17">
        <f t="shared" si="21"/>
        <v>944.64</v>
      </c>
      <c r="I1084" s="15" t="s">
        <v>317</v>
      </c>
      <c r="J1084" s="15"/>
      <c r="K1084" t="s">
        <v>405</v>
      </c>
    </row>
    <row r="1085" spans="1:11">
      <c r="B1085" s="14">
        <v>262701236</v>
      </c>
      <c r="C1085" s="13">
        <v>46169</v>
      </c>
      <c r="D1085" s="14" t="s">
        <v>36</v>
      </c>
      <c r="E1085" s="15">
        <v>159000</v>
      </c>
      <c r="F1085" s="14">
        <v>0.00656</v>
      </c>
      <c r="G1085" s="18">
        <v>46300</v>
      </c>
      <c r="H1085" s="17">
        <f t="shared" si="21"/>
        <v>1043.04</v>
      </c>
      <c r="I1085" s="15" t="s">
        <v>317</v>
      </c>
      <c r="J1085" s="15"/>
      <c r="K1085" t="s">
        <v>405</v>
      </c>
    </row>
    <row r="1086" spans="1:11">
      <c r="B1086" s="14">
        <v>262701236</v>
      </c>
      <c r="C1086" s="13">
        <v>46169</v>
      </c>
      <c r="D1086" s="14" t="s">
        <v>517</v>
      </c>
      <c r="E1086" s="15">
        <v>142000</v>
      </c>
      <c r="F1086" s="14">
        <v>0.0238</v>
      </c>
      <c r="G1086" s="18">
        <v>46270</v>
      </c>
      <c r="H1086" s="17">
        <f t="shared" si="21"/>
        <v>3379.6</v>
      </c>
      <c r="I1086" s="15" t="s">
        <v>317</v>
      </c>
      <c r="J1086" s="15"/>
      <c r="K1086" t="s">
        <v>405</v>
      </c>
    </row>
    <row r="1087" spans="1:11">
      <c r="B1087" s="14">
        <v>262701236</v>
      </c>
      <c r="C1087" s="13">
        <v>46169</v>
      </c>
      <c r="D1087" s="14" t="s">
        <v>517</v>
      </c>
      <c r="E1087" s="15">
        <v>146000</v>
      </c>
      <c r="F1087" s="14">
        <v>0.0238</v>
      </c>
      <c r="G1087" s="18">
        <v>46300</v>
      </c>
      <c r="H1087" s="17">
        <f t="shared" si="21"/>
        <v>3474.8</v>
      </c>
      <c r="I1087" s="15" t="s">
        <v>317</v>
      </c>
      <c r="J1087" s="15"/>
      <c r="K1087" t="s">
        <v>405</v>
      </c>
    </row>
    <row r="1088" spans="1:11">
      <c r="B1088" s="14">
        <v>262701239</v>
      </c>
      <c r="C1088" s="13">
        <v>46169</v>
      </c>
      <c r="D1088" s="14" t="s">
        <v>16</v>
      </c>
      <c r="E1088" s="15">
        <v>200000</v>
      </c>
      <c r="F1088" s="14">
        <v>0.0292</v>
      </c>
      <c r="G1088" s="18">
        <v>46331</v>
      </c>
      <c r="H1088" s="17">
        <f t="shared" si="21"/>
        <v>5840</v>
      </c>
      <c r="I1088" s="15" t="s">
        <v>317</v>
      </c>
      <c r="J1088" s="15"/>
      <c r="K1088" t="s">
        <v>405</v>
      </c>
    </row>
    <row r="1089" spans="1:11">
      <c r="B1089" s="14">
        <v>262701239</v>
      </c>
      <c r="C1089" s="13">
        <v>46169</v>
      </c>
      <c r="D1089" s="14" t="s">
        <v>16</v>
      </c>
      <c r="E1089" s="15">
        <v>46000</v>
      </c>
      <c r="F1089" s="14">
        <v>0.0292</v>
      </c>
      <c r="G1089" s="18">
        <v>46331</v>
      </c>
      <c r="H1089" s="17">
        <f t="shared" si="21"/>
        <v>1343.2</v>
      </c>
      <c r="I1089" s="15" t="s">
        <v>317</v>
      </c>
      <c r="J1089" s="15"/>
      <c r="K1089" t="s">
        <v>405</v>
      </c>
    </row>
    <row r="1090" spans="1:11">
      <c r="B1090" s="14">
        <v>262701239</v>
      </c>
      <c r="C1090" s="13">
        <v>46169</v>
      </c>
      <c r="D1090" s="14" t="s">
        <v>103</v>
      </c>
      <c r="E1090" s="15">
        <v>80000</v>
      </c>
      <c r="F1090" s="14">
        <v>0.028</v>
      </c>
      <c r="G1090" s="18">
        <v>46331</v>
      </c>
      <c r="H1090" s="17">
        <f t="shared" si="21"/>
        <v>2240</v>
      </c>
      <c r="I1090" s="15" t="s">
        <v>317</v>
      </c>
      <c r="J1090" s="15"/>
      <c r="K1090" t="s">
        <v>405</v>
      </c>
    </row>
    <row r="1091" spans="1:11">
      <c r="B1091" s="14">
        <v>262701239</v>
      </c>
      <c r="C1091" s="13">
        <v>46169</v>
      </c>
      <c r="D1091" s="14" t="s">
        <v>104</v>
      </c>
      <c r="E1091" s="15">
        <v>90000</v>
      </c>
      <c r="F1091" s="14">
        <v>0.028</v>
      </c>
      <c r="G1091" s="18">
        <v>46331</v>
      </c>
      <c r="H1091" s="17">
        <f t="shared" si="21"/>
        <v>2520</v>
      </c>
      <c r="I1091" s="15" t="s">
        <v>317</v>
      </c>
      <c r="J1091" s="15"/>
      <c r="K1091" t="s">
        <v>405</v>
      </c>
    </row>
    <row r="1092" spans="1:11">
      <c r="B1092" s="14">
        <v>262701239</v>
      </c>
      <c r="C1092" s="13">
        <v>46169</v>
      </c>
      <c r="D1092" s="14" t="s">
        <v>67</v>
      </c>
      <c r="E1092" s="15">
        <v>102000</v>
      </c>
      <c r="F1092" s="14">
        <v>0.028</v>
      </c>
      <c r="G1092" s="18">
        <v>46331</v>
      </c>
      <c r="H1092" s="17">
        <f t="shared" si="21"/>
        <v>2856</v>
      </c>
      <c r="I1092" s="15" t="s">
        <v>317</v>
      </c>
      <c r="J1092" s="15"/>
      <c r="K1092" t="s">
        <v>405</v>
      </c>
    </row>
    <row r="1093" spans="1:11">
      <c r="B1093" s="14">
        <v>262701239</v>
      </c>
      <c r="C1093" s="13">
        <v>46169</v>
      </c>
      <c r="D1093" s="14" t="s">
        <v>36</v>
      </c>
      <c r="E1093" s="15">
        <v>195000</v>
      </c>
      <c r="F1093" s="14">
        <v>0.00656</v>
      </c>
      <c r="G1093" s="18">
        <v>46331</v>
      </c>
      <c r="H1093" s="17">
        <f t="shared" si="21"/>
        <v>1279.2</v>
      </c>
      <c r="I1093" s="15" t="s">
        <v>317</v>
      </c>
      <c r="J1093" s="15"/>
      <c r="K1093" t="s">
        <v>405</v>
      </c>
    </row>
    <row r="1094" spans="1:11">
      <c r="B1094" s="14">
        <v>262701239</v>
      </c>
      <c r="C1094" s="13">
        <v>46169</v>
      </c>
      <c r="D1094" s="14" t="s">
        <v>517</v>
      </c>
      <c r="E1094" s="15">
        <v>140000</v>
      </c>
      <c r="F1094" s="14">
        <v>0.0238</v>
      </c>
      <c r="G1094" s="18">
        <v>46331</v>
      </c>
      <c r="H1094" s="17">
        <f t="shared" si="21"/>
        <v>3332</v>
      </c>
      <c r="I1094" s="15" t="s">
        <v>317</v>
      </c>
      <c r="J1094" s="15"/>
      <c r="K1094" t="s">
        <v>405</v>
      </c>
    </row>
    <row r="1095" spans="1:11">
      <c r="A1095" t="s">
        <v>319</v>
      </c>
      <c r="B1095" s="8">
        <v>262701242</v>
      </c>
      <c r="C1095" s="9">
        <v>46170</v>
      </c>
      <c r="D1095" s="8" t="s">
        <v>38</v>
      </c>
      <c r="E1095" s="10">
        <v>60000</v>
      </c>
      <c r="F1095" s="8">
        <v>0.01</v>
      </c>
      <c r="G1095" s="11">
        <v>46178</v>
      </c>
      <c r="H1095" s="12">
        <f t="shared" si="21"/>
        <v>600</v>
      </c>
      <c r="I1095" s="10" t="s">
        <v>10</v>
      </c>
      <c r="J1095" s="13">
        <v>46174</v>
      </c>
      <c r="K1095" t="s">
        <v>460</v>
      </c>
    </row>
    <row r="1096" spans="1:11">
      <c r="A1096" t="s">
        <v>319</v>
      </c>
      <c r="B1096" s="8">
        <v>262701242</v>
      </c>
      <c r="C1096" s="9">
        <v>46170</v>
      </c>
      <c r="D1096" s="8" t="s">
        <v>38</v>
      </c>
      <c r="E1096" s="10">
        <v>60000</v>
      </c>
      <c r="F1096" s="8">
        <v>0.01</v>
      </c>
      <c r="G1096" s="11">
        <v>46208</v>
      </c>
      <c r="H1096" s="12">
        <f t="shared" si="21"/>
        <v>600</v>
      </c>
      <c r="I1096" s="10" t="s">
        <v>10</v>
      </c>
      <c r="J1096" s="13">
        <v>46174</v>
      </c>
      <c r="K1096" t="s">
        <v>460</v>
      </c>
    </row>
    <row r="1097" spans="1:11">
      <c r="A1097" t="s">
        <v>319</v>
      </c>
      <c r="B1097" s="8">
        <v>262701242</v>
      </c>
      <c r="C1097" s="9">
        <v>46170</v>
      </c>
      <c r="D1097" s="8" t="s">
        <v>46</v>
      </c>
      <c r="E1097" s="10">
        <v>28000</v>
      </c>
      <c r="F1097" s="8">
        <v>0.02</v>
      </c>
      <c r="G1097" s="11">
        <v>46178</v>
      </c>
      <c r="H1097" s="12">
        <f t="shared" si="21"/>
        <v>560</v>
      </c>
      <c r="I1097" s="10" t="s">
        <v>10</v>
      </c>
      <c r="J1097" s="13">
        <v>46174</v>
      </c>
      <c r="K1097" t="s">
        <v>460</v>
      </c>
    </row>
    <row r="1098" spans="1:11">
      <c r="A1098" t="s">
        <v>319</v>
      </c>
      <c r="B1098" s="8">
        <v>262701243</v>
      </c>
      <c r="C1098" s="9">
        <v>46170</v>
      </c>
      <c r="D1098" s="8" t="s">
        <v>38</v>
      </c>
      <c r="E1098" s="10">
        <v>60000</v>
      </c>
      <c r="F1098" s="8">
        <v>0.01</v>
      </c>
      <c r="G1098" s="11">
        <v>46239</v>
      </c>
      <c r="H1098" s="12">
        <f t="shared" si="21"/>
        <v>600</v>
      </c>
      <c r="I1098" s="10" t="s">
        <v>10</v>
      </c>
      <c r="J1098" s="13">
        <v>46174</v>
      </c>
      <c r="K1098" t="s">
        <v>460</v>
      </c>
    </row>
    <row r="1099" spans="1:11">
      <c r="A1099" t="s">
        <v>319</v>
      </c>
      <c r="B1099" s="8">
        <v>262701243</v>
      </c>
      <c r="C1099" s="9">
        <v>46170</v>
      </c>
      <c r="D1099" s="8" t="s">
        <v>38</v>
      </c>
      <c r="E1099" s="10">
        <v>60000</v>
      </c>
      <c r="F1099" s="8">
        <v>0.01</v>
      </c>
      <c r="G1099" s="11">
        <v>46270</v>
      </c>
      <c r="H1099" s="12">
        <f t="shared" si="21"/>
        <v>600</v>
      </c>
      <c r="I1099" s="10" t="s">
        <v>10</v>
      </c>
      <c r="J1099" s="13">
        <v>46174</v>
      </c>
      <c r="K1099" t="s">
        <v>460</v>
      </c>
    </row>
    <row r="1100" spans="1:11">
      <c r="A1100" t="s">
        <v>319</v>
      </c>
      <c r="B1100" s="8">
        <v>262701243</v>
      </c>
      <c r="C1100" s="9">
        <v>46170</v>
      </c>
      <c r="D1100" s="8" t="s">
        <v>40</v>
      </c>
      <c r="E1100" s="10">
        <v>50000</v>
      </c>
      <c r="F1100" s="8">
        <v>0.035</v>
      </c>
      <c r="G1100" s="11">
        <v>46239</v>
      </c>
      <c r="H1100" s="12">
        <f t="shared" si="21"/>
        <v>1750</v>
      </c>
      <c r="I1100" s="10" t="s">
        <v>10</v>
      </c>
      <c r="J1100" s="13">
        <v>46184</v>
      </c>
      <c r="K1100" t="s">
        <v>460</v>
      </c>
    </row>
    <row r="1101" spans="1:11">
      <c r="A1101" t="s">
        <v>319</v>
      </c>
      <c r="B1101" s="8">
        <v>262701243</v>
      </c>
      <c r="C1101" s="9">
        <v>46170</v>
      </c>
      <c r="D1101" s="8" t="s">
        <v>45</v>
      </c>
      <c r="E1101" s="10">
        <v>32000</v>
      </c>
      <c r="F1101" s="8">
        <v>0.024</v>
      </c>
      <c r="G1101" s="11">
        <v>46239</v>
      </c>
      <c r="H1101" s="12">
        <f t="shared" si="21"/>
        <v>768</v>
      </c>
      <c r="I1101" s="10" t="s">
        <v>10</v>
      </c>
      <c r="J1101" s="13">
        <v>46174</v>
      </c>
      <c r="K1101" t="s">
        <v>460</v>
      </c>
    </row>
    <row r="1102" spans="1:11">
      <c r="A1102" t="s">
        <v>319</v>
      </c>
      <c r="B1102" s="8">
        <v>262701246</v>
      </c>
      <c r="C1102" s="9">
        <v>46170</v>
      </c>
      <c r="D1102" s="8" t="s">
        <v>67</v>
      </c>
      <c r="E1102" s="10">
        <v>40000</v>
      </c>
      <c r="F1102" s="8">
        <v>0.028</v>
      </c>
      <c r="G1102" s="11">
        <v>46178</v>
      </c>
      <c r="H1102" s="12">
        <f t="shared" si="21"/>
        <v>1120</v>
      </c>
      <c r="I1102" s="10" t="s">
        <v>10</v>
      </c>
      <c r="J1102" s="13">
        <v>46174</v>
      </c>
      <c r="K1102" t="s">
        <v>405</v>
      </c>
    </row>
    <row r="1103" spans="1:11">
      <c r="A1103" t="s">
        <v>319</v>
      </c>
      <c r="B1103" s="8">
        <v>262701246</v>
      </c>
      <c r="C1103" s="9">
        <v>46170</v>
      </c>
      <c r="D1103" s="8" t="s">
        <v>67</v>
      </c>
      <c r="E1103" s="10">
        <v>40000</v>
      </c>
      <c r="F1103" s="8">
        <v>0.028</v>
      </c>
      <c r="G1103" s="11">
        <v>46239</v>
      </c>
      <c r="H1103" s="12">
        <f t="shared" si="21"/>
        <v>1120</v>
      </c>
      <c r="I1103" s="10" t="s">
        <v>10</v>
      </c>
      <c r="J1103" s="13">
        <v>46174</v>
      </c>
      <c r="K1103" t="s">
        <v>405</v>
      </c>
    </row>
    <row r="1104" spans="1:11">
      <c r="A1104" t="s">
        <v>319</v>
      </c>
      <c r="B1104" s="8">
        <v>262701246</v>
      </c>
      <c r="C1104" s="9">
        <v>46170</v>
      </c>
      <c r="D1104" s="8" t="s">
        <v>104</v>
      </c>
      <c r="E1104" s="10">
        <v>40000</v>
      </c>
      <c r="F1104" s="8">
        <v>0.028</v>
      </c>
      <c r="G1104" s="11">
        <v>46178</v>
      </c>
      <c r="H1104" s="12">
        <f t="shared" si="21"/>
        <v>1120</v>
      </c>
      <c r="I1104" s="10" t="s">
        <v>10</v>
      </c>
      <c r="J1104" s="13">
        <v>46174</v>
      </c>
      <c r="K1104" t="s">
        <v>405</v>
      </c>
    </row>
    <row r="1105" spans="1:11">
      <c r="A1105" t="s">
        <v>319</v>
      </c>
      <c r="B1105" s="8">
        <v>262701246</v>
      </c>
      <c r="C1105" s="9">
        <v>46170</v>
      </c>
      <c r="D1105" s="8" t="s">
        <v>104</v>
      </c>
      <c r="E1105" s="10">
        <v>40000</v>
      </c>
      <c r="F1105" s="8">
        <v>0.028</v>
      </c>
      <c r="G1105" s="11">
        <v>46239</v>
      </c>
      <c r="H1105" s="12">
        <f t="shared" si="21"/>
        <v>1120</v>
      </c>
      <c r="I1105" s="10" t="s">
        <v>10</v>
      </c>
      <c r="J1105" s="13">
        <v>46174</v>
      </c>
      <c r="K1105" t="s">
        <v>405</v>
      </c>
    </row>
    <row r="1106" spans="1:11">
      <c r="B1106" s="14">
        <v>262701303</v>
      </c>
      <c r="C1106" s="13">
        <v>46170</v>
      </c>
      <c r="D1106" s="14" t="s">
        <v>30</v>
      </c>
      <c r="E1106" s="15">
        <v>20000</v>
      </c>
      <c r="F1106" s="14">
        <v>0.022</v>
      </c>
      <c r="G1106" s="18">
        <v>46270</v>
      </c>
      <c r="H1106" s="17">
        <f t="shared" si="21"/>
        <v>440</v>
      </c>
      <c r="I1106" s="15" t="s">
        <v>317</v>
      </c>
      <c r="J1106" s="15"/>
      <c r="K1106" t="s">
        <v>431</v>
      </c>
    </row>
    <row r="1107" spans="1:11">
      <c r="B1107" s="14">
        <v>262701303</v>
      </c>
      <c r="C1107" s="13">
        <v>46170</v>
      </c>
      <c r="D1107" s="14" t="s">
        <v>30</v>
      </c>
      <c r="E1107" s="15">
        <v>20000</v>
      </c>
      <c r="F1107" s="14">
        <v>0.022</v>
      </c>
      <c r="G1107" s="18">
        <v>46300</v>
      </c>
      <c r="H1107" s="17">
        <f t="shared" si="21"/>
        <v>440</v>
      </c>
      <c r="I1107" s="15" t="s">
        <v>317</v>
      </c>
      <c r="J1107" s="15"/>
      <c r="K1107" t="s">
        <v>431</v>
      </c>
    </row>
    <row r="1108" spans="1:11">
      <c r="A1108" s="19" t="s">
        <v>668</v>
      </c>
      <c r="B1108" s="14">
        <v>262701350</v>
      </c>
      <c r="C1108" s="13">
        <v>46175</v>
      </c>
      <c r="D1108" s="14" t="s">
        <v>181</v>
      </c>
      <c r="E1108" s="15">
        <v>200000</v>
      </c>
      <c r="F1108" s="14">
        <v>0.0243</v>
      </c>
      <c r="G1108" s="18">
        <v>46270</v>
      </c>
      <c r="H1108" s="17">
        <f t="shared" si="21"/>
        <v>4860</v>
      </c>
      <c r="I1108" s="15" t="s">
        <v>317</v>
      </c>
      <c r="J1108" s="15" t="s">
        <v>669</v>
      </c>
      <c r="K1108" t="s">
        <v>439</v>
      </c>
    </row>
    <row r="1109" spans="1:11">
      <c r="A1109" s="19" t="s">
        <v>668</v>
      </c>
      <c r="B1109" s="14">
        <v>262701350</v>
      </c>
      <c r="C1109" s="13">
        <v>46175</v>
      </c>
      <c r="D1109" s="14" t="s">
        <v>181</v>
      </c>
      <c r="E1109" s="15">
        <v>200000</v>
      </c>
      <c r="F1109" s="14">
        <v>0.0243</v>
      </c>
      <c r="G1109" s="18">
        <v>46270</v>
      </c>
      <c r="H1109" s="17">
        <f t="shared" si="21"/>
        <v>4860</v>
      </c>
      <c r="I1109" s="15" t="s">
        <v>317</v>
      </c>
      <c r="J1109" s="15" t="s">
        <v>669</v>
      </c>
      <c r="K1109" t="s">
        <v>439</v>
      </c>
    </row>
    <row r="1110" spans="1:11">
      <c r="A1110" t="s">
        <v>319</v>
      </c>
      <c r="B1110" s="14">
        <v>262701358</v>
      </c>
      <c r="C1110" s="13">
        <v>46176</v>
      </c>
      <c r="D1110" s="14" t="s">
        <v>637</v>
      </c>
      <c r="E1110" s="15">
        <v>20000</v>
      </c>
      <c r="F1110" s="14">
        <v>0.032</v>
      </c>
      <c r="G1110" s="16">
        <v>46178</v>
      </c>
      <c r="H1110" s="17">
        <f t="shared" si="21"/>
        <v>640</v>
      </c>
      <c r="I1110" s="15" t="s">
        <v>317</v>
      </c>
      <c r="J1110" s="15"/>
      <c r="K1110" t="s">
        <v>638</v>
      </c>
    </row>
    <row r="1111" spans="1:11">
      <c r="A1111" t="s">
        <v>319</v>
      </c>
      <c r="B1111" s="14">
        <v>262701358</v>
      </c>
      <c r="C1111" s="13">
        <v>46176</v>
      </c>
      <c r="D1111" s="14" t="s">
        <v>524</v>
      </c>
      <c r="E1111" s="15">
        <v>20000</v>
      </c>
      <c r="F1111" s="14">
        <v>0.0385</v>
      </c>
      <c r="G1111" s="16">
        <v>46178</v>
      </c>
      <c r="H1111" s="17">
        <f t="shared" si="21"/>
        <v>770</v>
      </c>
      <c r="I1111" s="15" t="s">
        <v>317</v>
      </c>
      <c r="J1111" s="15"/>
      <c r="K1111" t="s">
        <v>638</v>
      </c>
    </row>
    <row r="1112" spans="1:11">
      <c r="A1112" t="s">
        <v>319</v>
      </c>
      <c r="B1112" s="8">
        <v>262701358</v>
      </c>
      <c r="C1112" s="9">
        <v>46176</v>
      </c>
      <c r="D1112" s="8" t="s">
        <v>626</v>
      </c>
      <c r="E1112" s="10">
        <v>20000</v>
      </c>
      <c r="F1112" s="8">
        <v>0.0224</v>
      </c>
      <c r="G1112" s="11">
        <v>46178</v>
      </c>
      <c r="H1112" s="12">
        <f t="shared" si="21"/>
        <v>448</v>
      </c>
      <c r="I1112" s="10" t="s">
        <v>10</v>
      </c>
      <c r="J1112" s="13">
        <v>46191</v>
      </c>
      <c r="K1112" t="s">
        <v>638</v>
      </c>
    </row>
    <row r="1113" spans="1:11">
      <c r="A1113" t="s">
        <v>319</v>
      </c>
      <c r="B1113" s="8">
        <v>262701405</v>
      </c>
      <c r="C1113" s="9">
        <v>46178</v>
      </c>
      <c r="D1113" s="8" t="s">
        <v>38</v>
      </c>
      <c r="E1113" s="10">
        <v>80000</v>
      </c>
      <c r="F1113" s="8">
        <v>0.01</v>
      </c>
      <c r="G1113" s="11">
        <v>46195</v>
      </c>
      <c r="H1113" s="12">
        <f t="shared" si="21"/>
        <v>800</v>
      </c>
      <c r="I1113" s="10" t="s">
        <v>10</v>
      </c>
      <c r="J1113" s="13">
        <v>46184</v>
      </c>
      <c r="K1113" t="s">
        <v>488</v>
      </c>
    </row>
    <row r="1114" spans="1:11">
      <c r="A1114" t="s">
        <v>319</v>
      </c>
      <c r="B1114" s="8">
        <v>262701407</v>
      </c>
      <c r="C1114" s="9">
        <v>46178</v>
      </c>
      <c r="D1114" s="8" t="s">
        <v>181</v>
      </c>
      <c r="E1114" s="10">
        <v>110000</v>
      </c>
      <c r="F1114" s="8">
        <v>0.0243</v>
      </c>
      <c r="G1114" s="11">
        <v>46195</v>
      </c>
      <c r="H1114" s="12">
        <f t="shared" si="21"/>
        <v>2673</v>
      </c>
      <c r="I1114" s="10" t="s">
        <v>10</v>
      </c>
      <c r="J1114" s="13">
        <v>46191</v>
      </c>
      <c r="K1114" t="s">
        <v>493</v>
      </c>
    </row>
    <row r="1115" spans="1:11">
      <c r="A1115" t="s">
        <v>319</v>
      </c>
      <c r="B1115" s="14">
        <v>262701429</v>
      </c>
      <c r="C1115" s="13">
        <v>46181</v>
      </c>
      <c r="D1115" s="14" t="s">
        <v>661</v>
      </c>
      <c r="E1115" s="15">
        <v>10000</v>
      </c>
      <c r="F1115" s="14">
        <v>0.035</v>
      </c>
      <c r="G1115" s="16">
        <v>46195</v>
      </c>
      <c r="H1115" s="17">
        <f t="shared" si="21"/>
        <v>350</v>
      </c>
      <c r="I1115" s="15" t="s">
        <v>51</v>
      </c>
      <c r="J1115" s="15"/>
      <c r="K1115" t="s">
        <v>488</v>
      </c>
    </row>
    <row r="1116" spans="1:11">
      <c r="A1116" t="s">
        <v>319</v>
      </c>
      <c r="B1116" s="8">
        <v>262701439</v>
      </c>
      <c r="C1116" s="9">
        <v>46182</v>
      </c>
      <c r="D1116" s="8" t="s">
        <v>318</v>
      </c>
      <c r="E1116" s="10">
        <v>20000</v>
      </c>
      <c r="F1116" s="8">
        <v>0.042</v>
      </c>
      <c r="G1116" s="11">
        <v>46195</v>
      </c>
      <c r="H1116" s="12">
        <f t="shared" si="21"/>
        <v>840</v>
      </c>
      <c r="I1116" s="10" t="s">
        <v>10</v>
      </c>
      <c r="J1116" s="13">
        <v>46184</v>
      </c>
      <c r="K1116" t="s">
        <v>627</v>
      </c>
    </row>
    <row r="1117" spans="1:11">
      <c r="A1117" s="19" t="s">
        <v>319</v>
      </c>
      <c r="B1117" s="14">
        <v>262701487</v>
      </c>
      <c r="C1117" s="13">
        <v>46184</v>
      </c>
      <c r="D1117" s="14" t="s">
        <v>47</v>
      </c>
      <c r="E1117" s="15">
        <v>136000</v>
      </c>
      <c r="F1117" s="14">
        <v>0.022</v>
      </c>
      <c r="G1117" s="18">
        <v>46195</v>
      </c>
      <c r="H1117" s="17">
        <f t="shared" si="21"/>
        <v>2992</v>
      </c>
      <c r="I1117" s="15" t="s">
        <v>317</v>
      </c>
      <c r="J1117" s="15"/>
      <c r="K1117" t="s">
        <v>662</v>
      </c>
    </row>
    <row r="1118" spans="1:11">
      <c r="A1118" t="s">
        <v>319</v>
      </c>
      <c r="B1118" s="20">
        <v>262701535</v>
      </c>
      <c r="C1118" s="21">
        <v>46185</v>
      </c>
      <c r="D1118" s="20" t="s">
        <v>557</v>
      </c>
      <c r="E1118" s="22">
        <v>70000</v>
      </c>
      <c r="F1118" s="20">
        <v>0.026</v>
      </c>
      <c r="G1118" s="28">
        <v>46239</v>
      </c>
      <c r="H1118" s="24">
        <f t="shared" si="21"/>
        <v>1820</v>
      </c>
      <c r="I1118" s="22" t="s">
        <v>65</v>
      </c>
      <c r="J1118" s="15" t="s">
        <v>670</v>
      </c>
      <c r="K1118" t="s">
        <v>377</v>
      </c>
    </row>
    <row r="1119" spans="1:11">
      <c r="A1119" t="s">
        <v>319</v>
      </c>
      <c r="B1119" s="20">
        <v>262701535</v>
      </c>
      <c r="C1119" s="21">
        <v>46185</v>
      </c>
      <c r="D1119" s="20" t="s">
        <v>557</v>
      </c>
      <c r="E1119" s="22">
        <v>70000</v>
      </c>
      <c r="F1119" s="20">
        <v>0.026</v>
      </c>
      <c r="G1119" s="28">
        <v>46270</v>
      </c>
      <c r="H1119" s="24">
        <f t="shared" si="21"/>
        <v>1820</v>
      </c>
      <c r="I1119" s="22" t="s">
        <v>65</v>
      </c>
      <c r="J1119" s="15" t="s">
        <v>670</v>
      </c>
      <c r="K1119" t="s">
        <v>377</v>
      </c>
    </row>
    <row r="1120" spans="1:11">
      <c r="A1120" t="s">
        <v>319</v>
      </c>
      <c r="B1120" s="20">
        <v>262701535</v>
      </c>
      <c r="C1120" s="21">
        <v>46185</v>
      </c>
      <c r="D1120" s="20" t="s">
        <v>623</v>
      </c>
      <c r="E1120" s="22">
        <v>70000</v>
      </c>
      <c r="F1120" s="20">
        <v>0.07</v>
      </c>
      <c r="G1120" s="28">
        <v>46270</v>
      </c>
      <c r="H1120" s="24">
        <f t="shared" si="21"/>
        <v>4900</v>
      </c>
      <c r="I1120" s="22" t="s">
        <v>10</v>
      </c>
      <c r="J1120" s="15"/>
      <c r="K1120" t="s">
        <v>377</v>
      </c>
    </row>
    <row r="1121" spans="1:11">
      <c r="A1121" t="s">
        <v>319</v>
      </c>
      <c r="B1121" s="14">
        <v>262701535</v>
      </c>
      <c r="C1121" s="13">
        <v>46185</v>
      </c>
      <c r="D1121" s="14" t="s">
        <v>40</v>
      </c>
      <c r="E1121" s="15">
        <v>80000</v>
      </c>
      <c r="F1121" s="14">
        <v>0.035</v>
      </c>
      <c r="G1121" s="16">
        <v>46239</v>
      </c>
      <c r="H1121" s="17">
        <f t="shared" si="21"/>
        <v>2800</v>
      </c>
      <c r="I1121" s="15" t="s">
        <v>317</v>
      </c>
      <c r="J1121" s="15"/>
      <c r="K1121" t="s">
        <v>377</v>
      </c>
    </row>
    <row r="1122" spans="1:11">
      <c r="A1122" t="s">
        <v>319</v>
      </c>
      <c r="B1122" s="20">
        <v>262701535</v>
      </c>
      <c r="C1122" s="21">
        <v>46185</v>
      </c>
      <c r="D1122" s="20" t="s">
        <v>511</v>
      </c>
      <c r="E1122" s="22">
        <v>128000</v>
      </c>
      <c r="F1122" s="20">
        <v>0.041</v>
      </c>
      <c r="G1122" s="28">
        <v>46239</v>
      </c>
      <c r="H1122" s="24">
        <f t="shared" si="21"/>
        <v>5248</v>
      </c>
      <c r="I1122" s="22" t="s">
        <v>10</v>
      </c>
      <c r="J1122" s="15" t="s">
        <v>670</v>
      </c>
      <c r="K1122" t="s">
        <v>377</v>
      </c>
    </row>
    <row r="1123" spans="1:11">
      <c r="A1123" t="s">
        <v>319</v>
      </c>
      <c r="B1123" s="20">
        <v>262701535</v>
      </c>
      <c r="C1123" s="21">
        <v>46185</v>
      </c>
      <c r="D1123" s="20" t="s">
        <v>38</v>
      </c>
      <c r="E1123" s="22">
        <v>132000</v>
      </c>
      <c r="F1123" s="20">
        <v>0.01</v>
      </c>
      <c r="G1123" s="28">
        <v>46239</v>
      </c>
      <c r="H1123" s="24">
        <f t="shared" si="21"/>
        <v>1320</v>
      </c>
      <c r="I1123" s="22" t="s">
        <v>10</v>
      </c>
      <c r="J1123" s="15" t="s">
        <v>670</v>
      </c>
      <c r="K1123" t="s">
        <v>377</v>
      </c>
    </row>
    <row r="1124" spans="1:11">
      <c r="A1124" t="s">
        <v>319</v>
      </c>
      <c r="B1124" s="8">
        <v>262701536</v>
      </c>
      <c r="C1124" s="9">
        <v>46185</v>
      </c>
      <c r="D1124" s="8" t="s">
        <v>623</v>
      </c>
      <c r="E1124" s="10">
        <v>70000</v>
      </c>
      <c r="F1124" s="8">
        <v>0.07</v>
      </c>
      <c r="G1124" s="11">
        <v>46300</v>
      </c>
      <c r="H1124" s="12">
        <f t="shared" si="21"/>
        <v>4900</v>
      </c>
      <c r="I1124" s="10" t="s">
        <v>65</v>
      </c>
      <c r="J1124" s="15" t="s">
        <v>671</v>
      </c>
      <c r="K1124" t="s">
        <v>377</v>
      </c>
    </row>
    <row r="1125" spans="1:11">
      <c r="A1125" t="s">
        <v>319</v>
      </c>
      <c r="B1125" s="14">
        <v>262701549</v>
      </c>
      <c r="C1125" s="13">
        <v>46188</v>
      </c>
      <c r="D1125" s="14" t="s">
        <v>179</v>
      </c>
      <c r="E1125" s="15">
        <v>400000</v>
      </c>
      <c r="F1125" s="14">
        <v>0.065</v>
      </c>
      <c r="G1125" s="16">
        <v>46208</v>
      </c>
      <c r="H1125" s="17">
        <f t="shared" si="21"/>
        <v>26000</v>
      </c>
      <c r="I1125" s="15" t="s">
        <v>317</v>
      </c>
      <c r="J1125" s="15"/>
      <c r="K1125" t="s">
        <v>337</v>
      </c>
    </row>
    <row r="1126" spans="1:11">
      <c r="A1126" t="s">
        <v>319</v>
      </c>
      <c r="B1126" s="14">
        <v>262701549</v>
      </c>
      <c r="C1126" s="13">
        <v>46188</v>
      </c>
      <c r="D1126" s="14" t="s">
        <v>179</v>
      </c>
      <c r="E1126" s="15">
        <v>400000</v>
      </c>
      <c r="F1126" s="14">
        <v>0.065</v>
      </c>
      <c r="G1126" s="16">
        <v>46239</v>
      </c>
      <c r="H1126" s="17">
        <f t="shared" si="21"/>
        <v>26000</v>
      </c>
      <c r="I1126" s="15" t="s">
        <v>317</v>
      </c>
      <c r="J1126" s="15"/>
      <c r="K1126" t="s">
        <v>337</v>
      </c>
    </row>
    <row r="1127" spans="1:11">
      <c r="A1127" s="19" t="s">
        <v>319</v>
      </c>
      <c r="B1127" s="20">
        <v>262701552</v>
      </c>
      <c r="C1127" s="21">
        <v>46188</v>
      </c>
      <c r="D1127" s="29" t="s">
        <v>672</v>
      </c>
      <c r="E1127" s="22">
        <v>20000</v>
      </c>
      <c r="F1127" s="20">
        <v>0.025</v>
      </c>
      <c r="G1127" s="23">
        <v>46195</v>
      </c>
      <c r="H1127" s="24">
        <f t="shared" si="21"/>
        <v>500</v>
      </c>
      <c r="I1127" s="22" t="s">
        <v>10</v>
      </c>
      <c r="J1127" s="15" t="s">
        <v>673</v>
      </c>
      <c r="K1127" t="s">
        <v>664</v>
      </c>
    </row>
    <row r="1128" spans="1:11">
      <c r="A1128" s="19" t="s">
        <v>319</v>
      </c>
      <c r="B1128" s="20">
        <v>262701552</v>
      </c>
      <c r="C1128" s="21">
        <v>46188</v>
      </c>
      <c r="D1128" s="29" t="s">
        <v>665</v>
      </c>
      <c r="E1128" s="22">
        <v>20000</v>
      </c>
      <c r="F1128" s="20">
        <v>0.0135</v>
      </c>
      <c r="G1128" s="23">
        <v>46195</v>
      </c>
      <c r="H1128" s="24">
        <f t="shared" si="21"/>
        <v>270</v>
      </c>
      <c r="I1128" s="22" t="s">
        <v>10</v>
      </c>
      <c r="J1128" s="15" t="s">
        <v>673</v>
      </c>
      <c r="K1128" t="s">
        <v>664</v>
      </c>
    </row>
    <row r="1129" spans="1:11">
      <c r="A1129" t="s">
        <v>319</v>
      </c>
      <c r="B1129" s="14">
        <v>262701561</v>
      </c>
      <c r="C1129" s="13">
        <v>46188</v>
      </c>
      <c r="D1129" s="14" t="s">
        <v>179</v>
      </c>
      <c r="E1129" s="15">
        <v>360000</v>
      </c>
      <c r="F1129" s="14">
        <v>0.065</v>
      </c>
      <c r="G1129" s="16">
        <v>46208</v>
      </c>
      <c r="H1129" s="17">
        <f t="shared" si="21"/>
        <v>23400</v>
      </c>
      <c r="I1129" s="15" t="s">
        <v>317</v>
      </c>
      <c r="J1129" s="15"/>
      <c r="K1129" t="s">
        <v>486</v>
      </c>
    </row>
    <row r="1130" spans="1:11">
      <c r="A1130" t="s">
        <v>319</v>
      </c>
      <c r="B1130" s="14">
        <v>262701561</v>
      </c>
      <c r="C1130" s="13">
        <v>46188</v>
      </c>
      <c r="D1130" s="14" t="s">
        <v>179</v>
      </c>
      <c r="E1130" s="15">
        <v>360000</v>
      </c>
      <c r="F1130" s="14">
        <v>0.065</v>
      </c>
      <c r="G1130" s="16">
        <v>46239</v>
      </c>
      <c r="H1130" s="17">
        <f t="shared" si="21"/>
        <v>23400</v>
      </c>
      <c r="I1130" s="15" t="s">
        <v>317</v>
      </c>
      <c r="J1130" s="15"/>
      <c r="K1130" t="s">
        <v>486</v>
      </c>
    </row>
    <row r="1131" spans="1:11">
      <c r="B1131" s="14">
        <v>262701578</v>
      </c>
      <c r="C1131" s="13">
        <v>46189</v>
      </c>
      <c r="D1131" s="14" t="s">
        <v>40</v>
      </c>
      <c r="E1131" s="15">
        <v>250000</v>
      </c>
      <c r="F1131" s="14">
        <v>0.035</v>
      </c>
      <c r="G1131" s="18">
        <v>46331</v>
      </c>
      <c r="H1131" s="17">
        <f t="shared" si="21"/>
        <v>8750</v>
      </c>
      <c r="I1131" s="15" t="s">
        <v>317</v>
      </c>
      <c r="J1131" s="15"/>
      <c r="K1131" t="s">
        <v>337</v>
      </c>
    </row>
    <row r="1132" spans="1:11">
      <c r="B1132" s="14">
        <v>262701578</v>
      </c>
      <c r="C1132" s="13">
        <v>46189</v>
      </c>
      <c r="D1132" s="14" t="s">
        <v>246</v>
      </c>
      <c r="E1132" s="15">
        <v>20000</v>
      </c>
      <c r="F1132" s="14">
        <v>0.07</v>
      </c>
      <c r="G1132" s="18">
        <v>46331</v>
      </c>
      <c r="H1132" s="17">
        <f t="shared" si="21"/>
        <v>1400</v>
      </c>
      <c r="I1132" s="15" t="s">
        <v>317</v>
      </c>
      <c r="J1132" s="15"/>
      <c r="K1132" t="s">
        <v>337</v>
      </c>
    </row>
    <row r="1133" spans="1:11">
      <c r="A1133" t="s">
        <v>319</v>
      </c>
      <c r="B1133" s="8">
        <v>262701582</v>
      </c>
      <c r="C1133" s="9">
        <v>46189</v>
      </c>
      <c r="D1133" s="8" t="s">
        <v>233</v>
      </c>
      <c r="E1133" s="10">
        <v>200000</v>
      </c>
      <c r="F1133" s="8">
        <v>0.15</v>
      </c>
      <c r="G1133" s="11">
        <v>46270</v>
      </c>
      <c r="H1133" s="12">
        <f t="shared" si="21"/>
        <v>30000</v>
      </c>
      <c r="I1133" s="10" t="s">
        <v>10</v>
      </c>
      <c r="J1133" s="15" t="s">
        <v>671</v>
      </c>
      <c r="K1133" t="s">
        <v>337</v>
      </c>
    </row>
    <row r="1134" spans="1:11">
      <c r="A1134" t="s">
        <v>319</v>
      </c>
      <c r="B1134" s="8">
        <v>262701582</v>
      </c>
      <c r="C1134" s="9">
        <v>46189</v>
      </c>
      <c r="D1134" s="8" t="s">
        <v>233</v>
      </c>
      <c r="E1134" s="10">
        <v>200000</v>
      </c>
      <c r="F1134" s="8">
        <v>0.15</v>
      </c>
      <c r="G1134" s="11">
        <v>46300</v>
      </c>
      <c r="H1134" s="12">
        <f t="shared" si="21"/>
        <v>30000</v>
      </c>
      <c r="I1134" s="10" t="s">
        <v>10</v>
      </c>
      <c r="J1134" s="15" t="s">
        <v>671</v>
      </c>
      <c r="K1134" t="s">
        <v>337</v>
      </c>
    </row>
    <row r="1135" spans="1:11">
      <c r="A1135" s="19" t="s">
        <v>319</v>
      </c>
      <c r="B1135" s="20">
        <v>262701585</v>
      </c>
      <c r="C1135" s="21">
        <v>46189</v>
      </c>
      <c r="D1135" s="20" t="s">
        <v>45</v>
      </c>
      <c r="E1135" s="22">
        <v>300000</v>
      </c>
      <c r="F1135" s="20">
        <v>0.024</v>
      </c>
      <c r="G1135" s="23">
        <v>46208</v>
      </c>
      <c r="H1135" s="24">
        <f t="shared" si="21"/>
        <v>7200</v>
      </c>
      <c r="I1135" s="22" t="s">
        <v>10</v>
      </c>
      <c r="J1135" s="15" t="s">
        <v>674</v>
      </c>
      <c r="K1135" t="s">
        <v>499</v>
      </c>
    </row>
    <row r="1136" spans="1:11">
      <c r="A1136" s="19" t="s">
        <v>319</v>
      </c>
      <c r="B1136" s="20">
        <v>262701585</v>
      </c>
      <c r="C1136" s="21">
        <v>46189</v>
      </c>
      <c r="D1136" s="20" t="s">
        <v>45</v>
      </c>
      <c r="E1136" s="22">
        <v>300000</v>
      </c>
      <c r="F1136" s="20">
        <v>0.024</v>
      </c>
      <c r="G1136" s="23">
        <v>46225</v>
      </c>
      <c r="H1136" s="24">
        <f t="shared" si="21"/>
        <v>7200</v>
      </c>
      <c r="I1136" s="22" t="s">
        <v>10</v>
      </c>
      <c r="J1136" s="15" t="s">
        <v>675</v>
      </c>
      <c r="K1136" t="s">
        <v>499</v>
      </c>
    </row>
    <row r="1137" spans="1:11">
      <c r="A1137" s="19" t="s">
        <v>319</v>
      </c>
      <c r="B1137" s="20">
        <v>262701595</v>
      </c>
      <c r="C1137" s="21">
        <v>46189</v>
      </c>
      <c r="D1137" s="20" t="s">
        <v>45</v>
      </c>
      <c r="E1137" s="22">
        <v>300000</v>
      </c>
      <c r="F1137" s="20">
        <v>0.024</v>
      </c>
      <c r="G1137" s="23">
        <v>46208</v>
      </c>
      <c r="H1137" s="24">
        <f t="shared" si="21"/>
        <v>7200</v>
      </c>
      <c r="I1137" s="22" t="s">
        <v>10</v>
      </c>
      <c r="J1137" s="15" t="s">
        <v>675</v>
      </c>
      <c r="K1137" t="s">
        <v>534</v>
      </c>
    </row>
    <row r="1138" spans="1:11">
      <c r="A1138" s="19" t="s">
        <v>319</v>
      </c>
      <c r="B1138" s="20">
        <v>262701595</v>
      </c>
      <c r="C1138" s="21">
        <v>46189</v>
      </c>
      <c r="D1138" s="20" t="s">
        <v>45</v>
      </c>
      <c r="E1138" s="22">
        <v>300000</v>
      </c>
      <c r="F1138" s="20">
        <v>0.024</v>
      </c>
      <c r="G1138" s="23">
        <v>46225</v>
      </c>
      <c r="H1138" s="24">
        <f t="shared" si="21"/>
        <v>7200</v>
      </c>
      <c r="I1138" s="22" t="s">
        <v>10</v>
      </c>
      <c r="J1138" s="15" t="s">
        <v>675</v>
      </c>
      <c r="K1138" t="s">
        <v>534</v>
      </c>
    </row>
    <row r="1139" spans="1:11">
      <c r="A1139" s="19" t="s">
        <v>319</v>
      </c>
      <c r="B1139" s="20">
        <v>262701595</v>
      </c>
      <c r="C1139" s="21">
        <v>46189</v>
      </c>
      <c r="D1139" s="20" t="s">
        <v>48</v>
      </c>
      <c r="E1139" s="22">
        <v>200000</v>
      </c>
      <c r="F1139" s="20">
        <v>0.017</v>
      </c>
      <c r="G1139" s="23">
        <v>46208</v>
      </c>
      <c r="H1139" s="24">
        <f t="shared" si="21"/>
        <v>3400</v>
      </c>
      <c r="I1139" s="22" t="s">
        <v>10</v>
      </c>
      <c r="J1139" s="15" t="s">
        <v>675</v>
      </c>
      <c r="K1139" t="s">
        <v>534</v>
      </c>
    </row>
    <row r="1140" spans="1:11">
      <c r="A1140" s="19" t="s">
        <v>319</v>
      </c>
      <c r="B1140" s="20">
        <v>262701595</v>
      </c>
      <c r="C1140" s="21">
        <v>46189</v>
      </c>
      <c r="D1140" s="20" t="s">
        <v>48</v>
      </c>
      <c r="E1140" s="22">
        <v>200000</v>
      </c>
      <c r="F1140" s="20">
        <v>0.017</v>
      </c>
      <c r="G1140" s="23">
        <v>46225</v>
      </c>
      <c r="H1140" s="24">
        <f t="shared" si="21"/>
        <v>3400</v>
      </c>
      <c r="I1140" s="22" t="s">
        <v>10</v>
      </c>
      <c r="J1140" s="15" t="s">
        <v>675</v>
      </c>
      <c r="K1140" t="s">
        <v>534</v>
      </c>
    </row>
    <row r="1141" spans="1:11">
      <c r="A1141" s="19" t="s">
        <v>319</v>
      </c>
      <c r="B1141" s="20">
        <v>262701598</v>
      </c>
      <c r="C1141" s="21">
        <v>46190</v>
      </c>
      <c r="D1141" s="20" t="s">
        <v>163</v>
      </c>
      <c r="E1141" s="22">
        <v>208000</v>
      </c>
      <c r="F1141" s="20">
        <v>0.0025</v>
      </c>
      <c r="G1141" s="23">
        <v>46208</v>
      </c>
      <c r="H1141" s="24">
        <f t="shared" si="21"/>
        <v>520</v>
      </c>
      <c r="I1141" s="22" t="s">
        <v>10</v>
      </c>
      <c r="J1141" s="15" t="s">
        <v>673</v>
      </c>
      <c r="K1141" t="s">
        <v>499</v>
      </c>
    </row>
    <row r="1142" spans="1:11">
      <c r="A1142" s="19" t="s">
        <v>319</v>
      </c>
      <c r="B1142" s="20">
        <v>262701598</v>
      </c>
      <c r="C1142" s="21">
        <v>46190</v>
      </c>
      <c r="D1142" s="20" t="s">
        <v>163</v>
      </c>
      <c r="E1142" s="22">
        <v>208000</v>
      </c>
      <c r="F1142" s="20">
        <v>0.0025</v>
      </c>
      <c r="G1142" s="23">
        <v>46225</v>
      </c>
      <c r="H1142" s="24">
        <f t="shared" ref="H1142:H1171" si="22">E1142*F1142</f>
        <v>520</v>
      </c>
      <c r="I1142" s="22" t="s">
        <v>10</v>
      </c>
      <c r="J1142" s="15" t="s">
        <v>673</v>
      </c>
      <c r="K1142" t="s">
        <v>499</v>
      </c>
    </row>
    <row r="1143" spans="1:11">
      <c r="A1143" s="19" t="s">
        <v>319</v>
      </c>
      <c r="B1143" s="20">
        <v>262701598</v>
      </c>
      <c r="C1143" s="21">
        <v>46190</v>
      </c>
      <c r="D1143" s="20" t="s">
        <v>163</v>
      </c>
      <c r="E1143" s="22">
        <v>192000</v>
      </c>
      <c r="F1143" s="20">
        <v>0.0025</v>
      </c>
      <c r="G1143" s="23">
        <v>46239</v>
      </c>
      <c r="H1143" s="24">
        <f t="shared" si="22"/>
        <v>480</v>
      </c>
      <c r="I1143" s="22" t="s">
        <v>10</v>
      </c>
      <c r="J1143" s="15" t="s">
        <v>673</v>
      </c>
      <c r="K1143" t="s">
        <v>499</v>
      </c>
    </row>
    <row r="1144" spans="1:11">
      <c r="A1144" t="s">
        <v>319</v>
      </c>
      <c r="B1144" s="8">
        <v>262701599</v>
      </c>
      <c r="C1144" s="9">
        <v>46189</v>
      </c>
      <c r="D1144" s="8" t="s">
        <v>105</v>
      </c>
      <c r="E1144" s="10">
        <v>32000</v>
      </c>
      <c r="F1144" s="8">
        <v>0.18</v>
      </c>
      <c r="G1144" s="11">
        <v>46208</v>
      </c>
      <c r="H1144" s="12">
        <f t="shared" si="22"/>
        <v>5760</v>
      </c>
      <c r="I1144" s="10" t="s">
        <v>10</v>
      </c>
      <c r="J1144" s="15" t="s">
        <v>676</v>
      </c>
      <c r="K1144" t="s">
        <v>377</v>
      </c>
    </row>
    <row r="1145" spans="1:11">
      <c r="B1145" s="14">
        <v>262701603</v>
      </c>
      <c r="C1145" s="13">
        <v>46190</v>
      </c>
      <c r="D1145" s="14" t="s">
        <v>220</v>
      </c>
      <c r="E1145" s="15">
        <v>50000</v>
      </c>
      <c r="F1145" s="14">
        <v>0.0115</v>
      </c>
      <c r="G1145" s="18">
        <v>46270</v>
      </c>
      <c r="H1145" s="17">
        <f t="shared" si="22"/>
        <v>575</v>
      </c>
      <c r="I1145" s="15" t="s">
        <v>317</v>
      </c>
      <c r="J1145" s="15"/>
      <c r="K1145" t="s">
        <v>337</v>
      </c>
    </row>
    <row r="1146" spans="1:11">
      <c r="B1146" s="14">
        <v>262701603</v>
      </c>
      <c r="C1146" s="13">
        <v>46190</v>
      </c>
      <c r="D1146" s="14" t="s">
        <v>220</v>
      </c>
      <c r="E1146" s="15">
        <v>50000</v>
      </c>
      <c r="F1146" s="14">
        <v>0.0115</v>
      </c>
      <c r="G1146" s="18">
        <v>46300</v>
      </c>
      <c r="H1146" s="17">
        <f t="shared" si="22"/>
        <v>575</v>
      </c>
      <c r="I1146" s="15" t="s">
        <v>317</v>
      </c>
      <c r="J1146" s="15"/>
      <c r="K1146" t="s">
        <v>337</v>
      </c>
    </row>
    <row r="1147" spans="1:11">
      <c r="B1147" s="14">
        <v>262701604</v>
      </c>
      <c r="C1147" s="13">
        <v>46190</v>
      </c>
      <c r="D1147" s="14" t="s">
        <v>246</v>
      </c>
      <c r="E1147" s="15">
        <v>20000</v>
      </c>
      <c r="F1147" s="14">
        <v>0.07</v>
      </c>
      <c r="G1147" s="18">
        <v>46300</v>
      </c>
      <c r="H1147" s="17">
        <f t="shared" si="22"/>
        <v>1400</v>
      </c>
      <c r="I1147" s="15" t="s">
        <v>317</v>
      </c>
      <c r="J1147" s="15"/>
      <c r="K1147" t="s">
        <v>337</v>
      </c>
    </row>
    <row r="1148" spans="1:11">
      <c r="B1148" s="14">
        <v>262701604</v>
      </c>
      <c r="C1148" s="13">
        <v>46190</v>
      </c>
      <c r="D1148" s="14" t="s">
        <v>40</v>
      </c>
      <c r="E1148" s="15">
        <v>250000</v>
      </c>
      <c r="F1148" s="14">
        <v>0.035</v>
      </c>
      <c r="G1148" s="18">
        <v>46300</v>
      </c>
      <c r="H1148" s="17">
        <f t="shared" si="22"/>
        <v>8750</v>
      </c>
      <c r="I1148" s="15" t="s">
        <v>317</v>
      </c>
      <c r="J1148" s="15"/>
      <c r="K1148" t="s">
        <v>337</v>
      </c>
    </row>
    <row r="1149" s="2" customFormat="1" spans="1:11">
      <c r="A1149" s="30" t="s">
        <v>319</v>
      </c>
      <c r="B1149" s="20">
        <v>262701644</v>
      </c>
      <c r="C1149" s="31" t="s">
        <v>677</v>
      </c>
      <c r="D1149" s="20" t="s">
        <v>256</v>
      </c>
      <c r="E1149" s="32">
        <v>20000</v>
      </c>
      <c r="F1149" s="20">
        <v>0.0292</v>
      </c>
      <c r="G1149" s="23">
        <v>46195</v>
      </c>
      <c r="H1149" s="24">
        <f t="shared" si="22"/>
        <v>584</v>
      </c>
      <c r="I1149" s="32" t="s">
        <v>10</v>
      </c>
      <c r="J1149" s="33" t="s">
        <v>673</v>
      </c>
      <c r="K1149" s="30" t="s">
        <v>571</v>
      </c>
    </row>
    <row r="1150" spans="1:11">
      <c r="A1150" s="19" t="s">
        <v>319</v>
      </c>
      <c r="B1150" s="14">
        <v>262701671</v>
      </c>
      <c r="C1150" s="13">
        <v>46192</v>
      </c>
      <c r="D1150" s="14" t="s">
        <v>315</v>
      </c>
      <c r="E1150" s="15">
        <v>20000</v>
      </c>
      <c r="F1150" s="14">
        <v>0.0522</v>
      </c>
      <c r="G1150" s="18">
        <v>46208</v>
      </c>
      <c r="H1150" s="17">
        <f t="shared" si="22"/>
        <v>1044</v>
      </c>
      <c r="I1150" s="15" t="s">
        <v>317</v>
      </c>
      <c r="J1150" s="15"/>
      <c r="K1150" t="s">
        <v>467</v>
      </c>
    </row>
    <row r="1151" spans="1:11">
      <c r="A1151" s="19" t="s">
        <v>319</v>
      </c>
      <c r="B1151" s="14">
        <v>262701671</v>
      </c>
      <c r="C1151" s="13">
        <v>46192</v>
      </c>
      <c r="D1151" s="14" t="s">
        <v>315</v>
      </c>
      <c r="E1151" s="15">
        <v>20000</v>
      </c>
      <c r="F1151" s="14">
        <v>0.0522</v>
      </c>
      <c r="G1151" s="18">
        <v>46239</v>
      </c>
      <c r="H1151" s="17">
        <f t="shared" si="22"/>
        <v>1044</v>
      </c>
      <c r="I1151" s="15" t="s">
        <v>317</v>
      </c>
      <c r="J1151" s="15"/>
      <c r="K1151" t="s">
        <v>467</v>
      </c>
    </row>
    <row r="1152" spans="1:11">
      <c r="B1152" s="14">
        <v>262701672</v>
      </c>
      <c r="C1152" s="13">
        <v>46192</v>
      </c>
      <c r="D1152" s="14" t="s">
        <v>315</v>
      </c>
      <c r="E1152" s="15">
        <v>20000</v>
      </c>
      <c r="F1152" s="14">
        <v>0.0522</v>
      </c>
      <c r="G1152" s="18">
        <v>46300</v>
      </c>
      <c r="H1152" s="17">
        <f t="shared" si="22"/>
        <v>1044</v>
      </c>
      <c r="I1152" s="15" t="s">
        <v>317</v>
      </c>
      <c r="J1152" s="15"/>
      <c r="K1152" t="s">
        <v>467</v>
      </c>
    </row>
    <row r="1153" s="2" customFormat="1" spans="1:11">
      <c r="A1153" s="2" t="s">
        <v>319</v>
      </c>
      <c r="B1153" s="14">
        <v>262701680</v>
      </c>
      <c r="C1153" s="34">
        <v>46192</v>
      </c>
      <c r="D1153" s="27" t="s">
        <v>619</v>
      </c>
      <c r="E1153" s="33">
        <v>20000</v>
      </c>
      <c r="F1153" s="14">
        <v>0.025</v>
      </c>
      <c r="G1153" s="16">
        <v>46208</v>
      </c>
      <c r="H1153" s="17">
        <f t="shared" si="22"/>
        <v>500</v>
      </c>
      <c r="I1153" s="33" t="s">
        <v>317</v>
      </c>
      <c r="J1153" s="33"/>
      <c r="K1153" s="2" t="s">
        <v>378</v>
      </c>
    </row>
    <row r="1154" s="2" customFormat="1" spans="1:11">
      <c r="A1154" s="2" t="s">
        <v>319</v>
      </c>
      <c r="B1154" s="14">
        <v>262701680</v>
      </c>
      <c r="C1154" s="34">
        <v>46192</v>
      </c>
      <c r="D1154" s="14" t="s">
        <v>618</v>
      </c>
      <c r="E1154" s="33">
        <v>20000</v>
      </c>
      <c r="F1154" s="14">
        <v>0.03</v>
      </c>
      <c r="G1154" s="16">
        <v>46208</v>
      </c>
      <c r="H1154" s="17">
        <f t="shared" si="22"/>
        <v>600</v>
      </c>
      <c r="I1154" s="33" t="s">
        <v>317</v>
      </c>
      <c r="J1154" s="33"/>
      <c r="K1154" s="2" t="s">
        <v>378</v>
      </c>
    </row>
    <row r="1155" spans="1:11">
      <c r="A1155" s="19" t="s">
        <v>319</v>
      </c>
      <c r="B1155" s="14">
        <v>262701698</v>
      </c>
      <c r="C1155" s="13">
        <v>46195</v>
      </c>
      <c r="D1155" s="14" t="s">
        <v>40</v>
      </c>
      <c r="E1155" s="15">
        <v>40000</v>
      </c>
      <c r="F1155" s="14">
        <v>0.035</v>
      </c>
      <c r="G1155" s="18">
        <v>46208</v>
      </c>
      <c r="H1155" s="17">
        <f t="shared" si="22"/>
        <v>1400</v>
      </c>
      <c r="I1155" s="15" t="s">
        <v>317</v>
      </c>
      <c r="J1155" s="15"/>
      <c r="K1155" t="s">
        <v>460</v>
      </c>
    </row>
    <row r="1156" spans="1:11">
      <c r="A1156" s="19" t="s">
        <v>319</v>
      </c>
      <c r="B1156" s="14">
        <v>262701698</v>
      </c>
      <c r="C1156" s="13">
        <v>46195</v>
      </c>
      <c r="D1156" s="14" t="s">
        <v>40</v>
      </c>
      <c r="E1156" s="15">
        <v>40000</v>
      </c>
      <c r="F1156" s="14">
        <v>0.035</v>
      </c>
      <c r="G1156" s="18">
        <v>46239</v>
      </c>
      <c r="H1156" s="17">
        <f t="shared" si="22"/>
        <v>1400</v>
      </c>
      <c r="I1156" s="15" t="s">
        <v>317</v>
      </c>
      <c r="J1156" s="15"/>
      <c r="K1156" t="s">
        <v>460</v>
      </c>
    </row>
    <row r="1157" spans="1:11">
      <c r="A1157" s="19" t="s">
        <v>319</v>
      </c>
      <c r="B1157" s="20">
        <v>262701698</v>
      </c>
      <c r="C1157" s="21">
        <v>46195</v>
      </c>
      <c r="D1157" s="20" t="s">
        <v>45</v>
      </c>
      <c r="E1157" s="22">
        <v>32000</v>
      </c>
      <c r="F1157" s="20">
        <v>0.024</v>
      </c>
      <c r="G1157" s="23">
        <v>46208</v>
      </c>
      <c r="H1157" s="24">
        <f t="shared" si="22"/>
        <v>768</v>
      </c>
      <c r="I1157" s="22" t="s">
        <v>10</v>
      </c>
      <c r="J1157" s="15" t="s">
        <v>673</v>
      </c>
      <c r="K1157" t="s">
        <v>460</v>
      </c>
    </row>
    <row r="1158" spans="1:11">
      <c r="A1158" s="19" t="s">
        <v>319</v>
      </c>
      <c r="B1158" s="20">
        <v>262701698</v>
      </c>
      <c r="C1158" s="21">
        <v>46195</v>
      </c>
      <c r="D1158" s="20" t="s">
        <v>45</v>
      </c>
      <c r="E1158" s="22">
        <v>28000</v>
      </c>
      <c r="F1158" s="20">
        <v>0.024</v>
      </c>
      <c r="G1158" s="23">
        <v>46239</v>
      </c>
      <c r="H1158" s="24">
        <f t="shared" si="22"/>
        <v>672</v>
      </c>
      <c r="I1158" s="22" t="s">
        <v>10</v>
      </c>
      <c r="J1158" s="15" t="s">
        <v>673</v>
      </c>
      <c r="K1158" t="s">
        <v>460</v>
      </c>
    </row>
    <row r="1159" spans="1:11">
      <c r="A1159" s="19" t="s">
        <v>319</v>
      </c>
      <c r="B1159" s="20">
        <v>262701698</v>
      </c>
      <c r="C1159" s="21">
        <v>46195</v>
      </c>
      <c r="D1159" s="20" t="s">
        <v>38</v>
      </c>
      <c r="E1159" s="22">
        <v>104000</v>
      </c>
      <c r="F1159" s="20">
        <v>0.01</v>
      </c>
      <c r="G1159" s="23">
        <v>46208</v>
      </c>
      <c r="H1159" s="24">
        <f t="shared" si="22"/>
        <v>1040</v>
      </c>
      <c r="I1159" s="22" t="s">
        <v>10</v>
      </c>
      <c r="J1159" s="15" t="s">
        <v>673</v>
      </c>
      <c r="K1159" t="s">
        <v>460</v>
      </c>
    </row>
    <row r="1160" spans="1:11">
      <c r="A1160" s="19" t="s">
        <v>319</v>
      </c>
      <c r="B1160" s="20">
        <v>262701698</v>
      </c>
      <c r="C1160" s="21">
        <v>46195</v>
      </c>
      <c r="D1160" s="20" t="s">
        <v>38</v>
      </c>
      <c r="E1160" s="22">
        <v>96000</v>
      </c>
      <c r="F1160" s="20">
        <v>0.01</v>
      </c>
      <c r="G1160" s="23">
        <v>46239</v>
      </c>
      <c r="H1160" s="24">
        <f t="shared" si="22"/>
        <v>960</v>
      </c>
      <c r="I1160" s="22" t="s">
        <v>10</v>
      </c>
      <c r="J1160" s="15" t="s">
        <v>673</v>
      </c>
      <c r="K1160" t="s">
        <v>460</v>
      </c>
    </row>
    <row r="1161" spans="1:11">
      <c r="B1161" s="14">
        <v>262701700</v>
      </c>
      <c r="C1161" s="13">
        <v>46195</v>
      </c>
      <c r="D1161" s="14" t="s">
        <v>40</v>
      </c>
      <c r="E1161" s="15">
        <v>40000</v>
      </c>
      <c r="F1161" s="14">
        <v>0.035</v>
      </c>
      <c r="G1161" s="18">
        <v>46270</v>
      </c>
      <c r="H1161" s="17">
        <f t="shared" si="22"/>
        <v>1400</v>
      </c>
      <c r="I1161" s="15" t="s">
        <v>317</v>
      </c>
      <c r="J1161" s="15"/>
      <c r="K1161" t="s">
        <v>460</v>
      </c>
    </row>
    <row r="1162" spans="1:11">
      <c r="B1162" s="14">
        <v>262701700</v>
      </c>
      <c r="C1162" s="13">
        <v>46195</v>
      </c>
      <c r="D1162" s="14" t="s">
        <v>38</v>
      </c>
      <c r="E1162" s="15">
        <v>104000</v>
      </c>
      <c r="F1162" s="14">
        <v>0.01</v>
      </c>
      <c r="G1162" s="18">
        <v>46270</v>
      </c>
      <c r="H1162" s="17">
        <f t="shared" si="22"/>
        <v>1040</v>
      </c>
      <c r="I1162" s="15" t="s">
        <v>317</v>
      </c>
      <c r="J1162" s="15"/>
      <c r="K1162" t="s">
        <v>460</v>
      </c>
    </row>
    <row r="1163" spans="1:11">
      <c r="B1163" s="14">
        <v>262701700</v>
      </c>
      <c r="C1163" s="13">
        <v>46195</v>
      </c>
      <c r="D1163" s="14" t="s">
        <v>38</v>
      </c>
      <c r="E1163" s="15">
        <v>96000</v>
      </c>
      <c r="F1163" s="14">
        <v>0.01</v>
      </c>
      <c r="G1163" s="18">
        <v>46270</v>
      </c>
      <c r="H1163" s="17">
        <f t="shared" si="22"/>
        <v>960</v>
      </c>
      <c r="I1163" s="15" t="s">
        <v>317</v>
      </c>
      <c r="J1163" s="15"/>
      <c r="K1163" t="s">
        <v>460</v>
      </c>
    </row>
    <row r="1164" spans="1:11">
      <c r="A1164" s="19" t="s">
        <v>319</v>
      </c>
      <c r="B1164" s="14">
        <v>262701701</v>
      </c>
      <c r="C1164" s="13">
        <v>46195</v>
      </c>
      <c r="D1164" s="14" t="s">
        <v>46</v>
      </c>
      <c r="E1164" s="15">
        <v>100000</v>
      </c>
      <c r="F1164" s="14">
        <v>0.022</v>
      </c>
      <c r="G1164" s="18">
        <v>46208</v>
      </c>
      <c r="H1164" s="17">
        <f t="shared" ref="H1164:H1169" si="23">E1164*F1164</f>
        <v>2200</v>
      </c>
      <c r="I1164" s="15" t="s">
        <v>317</v>
      </c>
      <c r="J1164" s="15"/>
      <c r="K1164" t="s">
        <v>460</v>
      </c>
    </row>
    <row r="1165" spans="1:11">
      <c r="A1165" s="19" t="s">
        <v>319</v>
      </c>
      <c r="B1165" s="14">
        <v>262701701</v>
      </c>
      <c r="C1165" s="13">
        <v>46195</v>
      </c>
      <c r="D1165" s="14" t="s">
        <v>46</v>
      </c>
      <c r="E1165" s="15">
        <v>50000</v>
      </c>
      <c r="F1165" s="14">
        <v>0.022</v>
      </c>
      <c r="G1165" s="18">
        <v>46239</v>
      </c>
      <c r="H1165" s="17">
        <f t="shared" si="23"/>
        <v>1100</v>
      </c>
      <c r="I1165" s="15" t="s">
        <v>317</v>
      </c>
      <c r="J1165" s="15"/>
      <c r="K1165" t="s">
        <v>460</v>
      </c>
    </row>
    <row r="1166" spans="1:11">
      <c r="B1166" s="14">
        <v>262701703</v>
      </c>
      <c r="C1166" s="13">
        <v>46195</v>
      </c>
      <c r="D1166" s="14" t="s">
        <v>46</v>
      </c>
      <c r="E1166" s="15">
        <v>50000</v>
      </c>
      <c r="F1166" s="14">
        <v>0.022</v>
      </c>
      <c r="G1166" s="18">
        <v>46270</v>
      </c>
      <c r="H1166" s="17">
        <f t="shared" si="23"/>
        <v>1100</v>
      </c>
      <c r="I1166" s="15" t="s">
        <v>317</v>
      </c>
      <c r="J1166" s="15"/>
      <c r="K1166" t="s">
        <v>460</v>
      </c>
    </row>
    <row r="1167" spans="1:11">
      <c r="B1167" s="14">
        <v>262701741</v>
      </c>
      <c r="C1167" s="13" t="s">
        <v>678</v>
      </c>
      <c r="D1167" s="14" t="s">
        <v>649</v>
      </c>
      <c r="E1167" s="15">
        <v>50000</v>
      </c>
      <c r="F1167" s="14">
        <v>0.028</v>
      </c>
      <c r="G1167" s="18">
        <v>46270</v>
      </c>
      <c r="H1167" s="17">
        <f t="shared" si="23"/>
        <v>1400</v>
      </c>
      <c r="I1167" s="15" t="s">
        <v>317</v>
      </c>
      <c r="J1167" s="15"/>
      <c r="K1167" t="s">
        <v>679</v>
      </c>
    </row>
    <row r="1168" spans="1:11">
      <c r="A1168" t="s">
        <v>319</v>
      </c>
      <c r="B1168" s="14">
        <v>262701768</v>
      </c>
      <c r="C1168" s="13" t="s">
        <v>670</v>
      </c>
      <c r="D1168" t="s">
        <v>12</v>
      </c>
      <c r="E1168" s="15">
        <v>20000</v>
      </c>
      <c r="F1168" s="14">
        <v>0.06</v>
      </c>
      <c r="G1168" s="18">
        <v>46239</v>
      </c>
      <c r="H1168" s="17">
        <f t="shared" si="23"/>
        <v>1200</v>
      </c>
      <c r="I1168" s="15" t="s">
        <v>317</v>
      </c>
      <c r="J1168" s="15" t="s">
        <v>666</v>
      </c>
      <c r="K1168" t="s">
        <v>680</v>
      </c>
    </row>
    <row r="1169" spans="1:11">
      <c r="A1169" t="s">
        <v>319</v>
      </c>
      <c r="B1169" s="14">
        <v>262701768</v>
      </c>
      <c r="C1169" s="13" t="s">
        <v>670</v>
      </c>
      <c r="D1169" t="s">
        <v>12</v>
      </c>
      <c r="E1169" s="15">
        <v>20000</v>
      </c>
      <c r="F1169" s="14">
        <v>0.06</v>
      </c>
      <c r="G1169" s="18">
        <v>46270</v>
      </c>
      <c r="H1169" s="17">
        <f t="shared" si="23"/>
        <v>1200</v>
      </c>
      <c r="I1169" s="15" t="s">
        <v>317</v>
      </c>
      <c r="J1169" s="15" t="s">
        <v>666</v>
      </c>
      <c r="K1169" t="s">
        <v>680</v>
      </c>
    </row>
    <row r="1170" spans="1:11">
      <c r="B1170" s="35">
        <v>262701769</v>
      </c>
      <c r="C1170" s="13" t="s">
        <v>670</v>
      </c>
      <c r="D1170" t="s">
        <v>12</v>
      </c>
      <c r="E1170" s="36">
        <v>20000</v>
      </c>
      <c r="F1170" s="35">
        <v>0.06</v>
      </c>
      <c r="G1170" s="18">
        <v>46300</v>
      </c>
      <c r="H1170" s="37">
        <f t="shared" si="22"/>
        <v>1200</v>
      </c>
      <c r="I1170" s="15" t="s">
        <v>317</v>
      </c>
      <c r="K1170" t="s">
        <v>680</v>
      </c>
    </row>
    <row r="1171" spans="1:11">
      <c r="A1171" t="s">
        <v>319</v>
      </c>
      <c r="B1171" s="35">
        <v>262701794</v>
      </c>
      <c r="C1171" s="19" t="s">
        <v>670</v>
      </c>
      <c r="D1171" s="19" t="s">
        <v>604</v>
      </c>
      <c r="E1171" s="19">
        <v>500000</v>
      </c>
      <c r="F1171" s="35">
        <v>0.015</v>
      </c>
      <c r="G1171" s="18">
        <v>46239</v>
      </c>
      <c r="H1171" s="37">
        <f t="shared" si="22"/>
        <v>7500</v>
      </c>
      <c r="I1171" s="15" t="s">
        <v>317</v>
      </c>
      <c r="J1171" s="15" t="s">
        <v>666</v>
      </c>
      <c r="K1171" t="s">
        <v>680</v>
      </c>
    </row>
    <row r="1172" spans="1:11">
      <c r="A1172" t="s">
        <v>319</v>
      </c>
      <c r="B1172" s="35">
        <v>262701794</v>
      </c>
      <c r="C1172" s="19" t="s">
        <v>670</v>
      </c>
      <c r="D1172" s="19" t="s">
        <v>604</v>
      </c>
      <c r="E1172" s="19">
        <v>300000</v>
      </c>
      <c r="F1172" s="35">
        <v>0.015</v>
      </c>
      <c r="G1172" s="18">
        <v>46270</v>
      </c>
      <c r="H1172" s="37">
        <f t="shared" ref="H1172:H1185" si="24">E1172*F1172</f>
        <v>4500</v>
      </c>
      <c r="I1172" s="15" t="s">
        <v>317</v>
      </c>
      <c r="J1172" s="15" t="s">
        <v>666</v>
      </c>
      <c r="K1172" t="s">
        <v>680</v>
      </c>
    </row>
    <row r="1173" spans="1:11">
      <c r="B1173" s="35">
        <v>262701795</v>
      </c>
      <c r="C1173" s="19" t="s">
        <v>670</v>
      </c>
      <c r="D1173" s="19" t="s">
        <v>604</v>
      </c>
      <c r="E1173" s="19">
        <v>300000</v>
      </c>
      <c r="F1173" s="35">
        <v>0.015</v>
      </c>
      <c r="G1173" s="18">
        <v>46300</v>
      </c>
      <c r="H1173" s="37">
        <f t="shared" si="24"/>
        <v>4500</v>
      </c>
      <c r="I1173" s="15" t="s">
        <v>317</v>
      </c>
      <c r="K1173" t="s">
        <v>680</v>
      </c>
    </row>
    <row r="1174" spans="1:11">
      <c r="B1174" s="35">
        <v>262701795</v>
      </c>
      <c r="C1174" s="19" t="s">
        <v>670</v>
      </c>
      <c r="D1174" s="19" t="s">
        <v>604</v>
      </c>
      <c r="E1174" s="19">
        <v>300000</v>
      </c>
      <c r="F1174" s="35">
        <v>0.015</v>
      </c>
      <c r="G1174" s="18">
        <v>46331</v>
      </c>
      <c r="H1174" s="37">
        <f t="shared" si="24"/>
        <v>4500</v>
      </c>
      <c r="I1174" s="15" t="s">
        <v>317</v>
      </c>
      <c r="K1174" t="s">
        <v>680</v>
      </c>
    </row>
    <row r="1175" spans="1:11">
      <c r="B1175" s="35">
        <v>262701796</v>
      </c>
      <c r="C1175" s="19" t="s">
        <v>670</v>
      </c>
      <c r="D1175" s="19" t="s">
        <v>604</v>
      </c>
      <c r="E1175" s="19">
        <v>200000</v>
      </c>
      <c r="F1175" s="35">
        <v>0.015</v>
      </c>
      <c r="G1175" s="18">
        <v>46361</v>
      </c>
      <c r="H1175" s="37">
        <f t="shared" si="24"/>
        <v>3000</v>
      </c>
      <c r="I1175" s="15" t="s">
        <v>317</v>
      </c>
      <c r="K1175" t="s">
        <v>680</v>
      </c>
    </row>
    <row r="1176" spans="1:11">
      <c r="B1176" s="35">
        <v>262701796</v>
      </c>
      <c r="C1176" s="19" t="s">
        <v>670</v>
      </c>
      <c r="D1176" s="19" t="s">
        <v>604</v>
      </c>
      <c r="E1176" s="19">
        <v>200000</v>
      </c>
      <c r="F1176" s="35">
        <v>0.015</v>
      </c>
      <c r="G1176" s="18">
        <v>46392</v>
      </c>
      <c r="H1176" s="37">
        <f t="shared" si="24"/>
        <v>3000</v>
      </c>
      <c r="I1176" s="15" t="s">
        <v>317</v>
      </c>
      <c r="K1176" t="s">
        <v>680</v>
      </c>
    </row>
    <row r="1177" spans="1:11">
      <c r="B1177" s="19">
        <v>262701798</v>
      </c>
      <c r="C1177" s="19" t="s">
        <v>670</v>
      </c>
      <c r="D1177" s="19" t="s">
        <v>355</v>
      </c>
      <c r="E1177" s="19">
        <v>50000</v>
      </c>
      <c r="F1177" s="35">
        <v>0.007</v>
      </c>
      <c r="G1177" s="18">
        <v>46208</v>
      </c>
      <c r="H1177" s="37">
        <f t="shared" si="24"/>
        <v>350</v>
      </c>
      <c r="I1177" s="15" t="s">
        <v>317</v>
      </c>
      <c r="J1177" t="s">
        <v>325</v>
      </c>
      <c r="K1177" s="19" t="s">
        <v>681</v>
      </c>
    </row>
    <row r="1178" spans="1:11">
      <c r="B1178" s="38">
        <v>262701798</v>
      </c>
      <c r="C1178" s="19" t="s">
        <v>670</v>
      </c>
      <c r="D1178" s="19" t="s">
        <v>355</v>
      </c>
      <c r="E1178" s="19">
        <v>50000</v>
      </c>
      <c r="F1178" s="35">
        <v>0.007</v>
      </c>
      <c r="G1178" s="18">
        <v>46208</v>
      </c>
      <c r="H1178" s="37">
        <f t="shared" si="24"/>
        <v>350</v>
      </c>
      <c r="I1178" s="15" t="s">
        <v>317</v>
      </c>
      <c r="J1178" t="s">
        <v>325</v>
      </c>
      <c r="K1178" s="19" t="s">
        <v>681</v>
      </c>
    </row>
    <row r="1179" spans="1:11">
      <c r="B1179" s="38">
        <v>262701798</v>
      </c>
      <c r="C1179" s="19" t="s">
        <v>670</v>
      </c>
      <c r="D1179" s="19" t="s">
        <v>355</v>
      </c>
      <c r="E1179" s="19">
        <v>50000</v>
      </c>
      <c r="F1179" s="35">
        <v>0.007</v>
      </c>
      <c r="G1179" s="18">
        <v>46239</v>
      </c>
      <c r="H1179" s="37">
        <f t="shared" si="24"/>
        <v>350</v>
      </c>
      <c r="I1179" s="15" t="s">
        <v>317</v>
      </c>
      <c r="J1179" t="s">
        <v>325</v>
      </c>
      <c r="K1179" s="19" t="s">
        <v>681</v>
      </c>
    </row>
    <row r="1180" spans="1:11">
      <c r="B1180" s="38">
        <v>262701798</v>
      </c>
      <c r="C1180" s="19" t="s">
        <v>670</v>
      </c>
      <c r="D1180" s="19" t="s">
        <v>356</v>
      </c>
      <c r="E1180" s="19">
        <v>50000</v>
      </c>
      <c r="F1180" s="35">
        <v>0.007</v>
      </c>
      <c r="G1180" s="18">
        <v>46208</v>
      </c>
      <c r="H1180" s="37">
        <f t="shared" si="24"/>
        <v>350</v>
      </c>
      <c r="I1180" s="15" t="s">
        <v>317</v>
      </c>
      <c r="J1180" t="s">
        <v>325</v>
      </c>
      <c r="K1180" s="19" t="s">
        <v>681</v>
      </c>
    </row>
    <row r="1181" spans="1:11">
      <c r="B1181" s="38">
        <v>262701798</v>
      </c>
      <c r="C1181" s="19" t="s">
        <v>670</v>
      </c>
      <c r="D1181" s="19" t="s">
        <v>356</v>
      </c>
      <c r="E1181" s="19">
        <v>50000</v>
      </c>
      <c r="F1181" s="35">
        <v>0.007</v>
      </c>
      <c r="G1181" s="18">
        <v>46208</v>
      </c>
      <c r="H1181" s="37">
        <f t="shared" si="24"/>
        <v>350</v>
      </c>
      <c r="I1181" s="15" t="s">
        <v>317</v>
      </c>
      <c r="J1181" t="s">
        <v>325</v>
      </c>
      <c r="K1181" s="19" t="s">
        <v>681</v>
      </c>
    </row>
    <row r="1182" spans="1:11">
      <c r="B1182" s="38">
        <v>262701798</v>
      </c>
      <c r="C1182" s="19" t="s">
        <v>670</v>
      </c>
      <c r="D1182" s="19" t="s">
        <v>356</v>
      </c>
      <c r="E1182" s="19">
        <v>50000</v>
      </c>
      <c r="F1182" s="35">
        <v>0.007</v>
      </c>
      <c r="G1182" s="18">
        <v>46239</v>
      </c>
      <c r="H1182" s="37">
        <f t="shared" si="24"/>
        <v>350</v>
      </c>
      <c r="I1182" s="15" t="s">
        <v>317</v>
      </c>
      <c r="J1182" t="s">
        <v>325</v>
      </c>
      <c r="K1182" s="19" t="s">
        <v>681</v>
      </c>
    </row>
    <row r="1183" spans="1:11">
      <c r="B1183" s="38">
        <v>262701799</v>
      </c>
      <c r="C1183" s="19" t="s">
        <v>670</v>
      </c>
      <c r="D1183" s="19" t="s">
        <v>355</v>
      </c>
      <c r="E1183" s="19">
        <v>50000</v>
      </c>
      <c r="F1183" s="35">
        <v>0.007</v>
      </c>
      <c r="G1183" s="18">
        <v>46270</v>
      </c>
      <c r="H1183" s="37">
        <f t="shared" si="24"/>
        <v>350</v>
      </c>
      <c r="I1183" s="15" t="s">
        <v>317</v>
      </c>
      <c r="J1183" t="s">
        <v>325</v>
      </c>
      <c r="K1183" s="19" t="s">
        <v>681</v>
      </c>
    </row>
    <row r="1184" spans="1:11">
      <c r="B1184" s="38">
        <v>262701799</v>
      </c>
      <c r="C1184" s="19" t="s">
        <v>670</v>
      </c>
      <c r="D1184" s="19" t="s">
        <v>356</v>
      </c>
      <c r="E1184" s="19">
        <v>50000</v>
      </c>
      <c r="F1184" s="35">
        <v>0.007</v>
      </c>
      <c r="G1184" s="18">
        <v>46270</v>
      </c>
      <c r="H1184" s="37">
        <f t="shared" si="24"/>
        <v>350</v>
      </c>
      <c r="I1184" s="15" t="s">
        <v>317</v>
      </c>
      <c r="J1184" t="s">
        <v>325</v>
      </c>
      <c r="K1184" s="19" t="s">
        <v>681</v>
      </c>
    </row>
    <row r="1185" spans="2:11">
      <c r="B1185" s="38">
        <v>262701856</v>
      </c>
      <c r="C1185" s="19" t="s">
        <v>675</v>
      </c>
      <c r="D1185" s="19" t="s">
        <v>30</v>
      </c>
      <c r="E1185" s="19">
        <v>200000</v>
      </c>
      <c r="F1185" s="35">
        <v>0.022</v>
      </c>
      <c r="G1185" s="18">
        <v>46270</v>
      </c>
      <c r="H1185" s="37">
        <f t="shared" si="24"/>
        <v>4400</v>
      </c>
      <c r="I1185" s="19" t="s">
        <v>317</v>
      </c>
      <c r="K1185" s="19" t="s">
        <v>680</v>
      </c>
    </row>
    <row r="1186" spans="2:11">
      <c r="B1186" s="38">
        <v>262701856</v>
      </c>
      <c r="C1186" s="19" t="s">
        <v>675</v>
      </c>
      <c r="D1186" s="19" t="s">
        <v>30</v>
      </c>
      <c r="E1186" s="19">
        <v>200000</v>
      </c>
      <c r="F1186" s="35">
        <v>0.022</v>
      </c>
      <c r="G1186" s="18">
        <v>46270</v>
      </c>
      <c r="H1186" s="37">
        <f t="shared" ref="H1186:H1210" si="25">E1186*F1186</f>
        <v>4400</v>
      </c>
      <c r="I1186" s="19" t="s">
        <v>317</v>
      </c>
      <c r="K1186" s="19" t="s">
        <v>680</v>
      </c>
    </row>
    <row r="1187" spans="2:11">
      <c r="B1187" s="38">
        <v>262701856</v>
      </c>
      <c r="C1187" s="19" t="s">
        <v>675</v>
      </c>
      <c r="D1187" s="19" t="s">
        <v>30</v>
      </c>
      <c r="E1187" s="19">
        <v>200000</v>
      </c>
      <c r="F1187" s="35">
        <v>0.022</v>
      </c>
      <c r="G1187" s="18">
        <v>46270</v>
      </c>
      <c r="H1187" s="37">
        <f t="shared" si="25"/>
        <v>4400</v>
      </c>
      <c r="I1187" s="19" t="s">
        <v>317</v>
      </c>
      <c r="K1187" s="19" t="s">
        <v>680</v>
      </c>
    </row>
    <row r="1188" spans="2:11">
      <c r="B1188" s="38">
        <v>262701856</v>
      </c>
      <c r="C1188" s="19" t="s">
        <v>675</v>
      </c>
      <c r="D1188" s="19" t="s">
        <v>30</v>
      </c>
      <c r="E1188" s="19">
        <v>200000</v>
      </c>
      <c r="F1188" s="35">
        <v>0.022</v>
      </c>
      <c r="G1188" s="18">
        <v>46270</v>
      </c>
      <c r="H1188" s="37">
        <f t="shared" si="25"/>
        <v>4400</v>
      </c>
      <c r="I1188" s="19" t="s">
        <v>317</v>
      </c>
      <c r="K1188" s="19" t="s">
        <v>680</v>
      </c>
    </row>
    <row r="1189" spans="2:11">
      <c r="B1189" s="38">
        <v>262701856</v>
      </c>
      <c r="C1189" s="19" t="s">
        <v>675</v>
      </c>
      <c r="D1189" s="19" t="s">
        <v>30</v>
      </c>
      <c r="E1189" s="19">
        <v>200000</v>
      </c>
      <c r="F1189" s="35">
        <v>0.022</v>
      </c>
      <c r="G1189" s="18">
        <v>46270</v>
      </c>
      <c r="H1189" s="37">
        <f t="shared" si="25"/>
        <v>4400</v>
      </c>
      <c r="I1189" s="19" t="s">
        <v>317</v>
      </c>
      <c r="K1189" s="19" t="s">
        <v>680</v>
      </c>
    </row>
    <row r="1190" spans="2:11">
      <c r="B1190" s="38">
        <v>262701856</v>
      </c>
      <c r="C1190" s="19" t="s">
        <v>675</v>
      </c>
      <c r="D1190" s="19" t="s">
        <v>30</v>
      </c>
      <c r="E1190" s="19">
        <v>200000</v>
      </c>
      <c r="F1190" s="35">
        <v>0.022</v>
      </c>
      <c r="G1190" s="18">
        <v>46300</v>
      </c>
      <c r="H1190" s="37">
        <f t="shared" si="25"/>
        <v>4400</v>
      </c>
      <c r="I1190" s="19" t="s">
        <v>317</v>
      </c>
      <c r="K1190" s="19" t="s">
        <v>680</v>
      </c>
    </row>
    <row r="1191" spans="2:11">
      <c r="B1191" s="38">
        <v>262701856</v>
      </c>
      <c r="C1191" s="19" t="s">
        <v>675</v>
      </c>
      <c r="D1191" s="19" t="s">
        <v>30</v>
      </c>
      <c r="E1191" s="19">
        <v>200000</v>
      </c>
      <c r="F1191" s="35">
        <v>0.022</v>
      </c>
      <c r="G1191" s="18">
        <v>46300</v>
      </c>
      <c r="H1191" s="37">
        <f t="shared" si="25"/>
        <v>4400</v>
      </c>
      <c r="I1191" s="19" t="s">
        <v>317</v>
      </c>
      <c r="K1191" s="19" t="s">
        <v>680</v>
      </c>
    </row>
    <row r="1192" spans="2:11">
      <c r="B1192" s="38">
        <v>262701856</v>
      </c>
      <c r="C1192" s="19" t="s">
        <v>675</v>
      </c>
      <c r="D1192" s="19" t="s">
        <v>30</v>
      </c>
      <c r="E1192" s="19">
        <v>200000</v>
      </c>
      <c r="F1192" s="35">
        <v>0.022</v>
      </c>
      <c r="G1192" s="18">
        <v>46300</v>
      </c>
      <c r="H1192" s="37">
        <f t="shared" si="25"/>
        <v>4400</v>
      </c>
      <c r="I1192" s="19" t="s">
        <v>317</v>
      </c>
      <c r="K1192" s="19" t="s">
        <v>680</v>
      </c>
    </row>
    <row r="1193" spans="2:11">
      <c r="B1193" s="38">
        <v>262701856</v>
      </c>
      <c r="C1193" s="19" t="s">
        <v>675</v>
      </c>
      <c r="D1193" s="19" t="s">
        <v>30</v>
      </c>
      <c r="E1193" s="19">
        <v>200000</v>
      </c>
      <c r="F1193" s="35">
        <v>0.022</v>
      </c>
      <c r="G1193" s="18">
        <v>46300</v>
      </c>
      <c r="H1193" s="37">
        <f t="shared" si="25"/>
        <v>4400</v>
      </c>
      <c r="I1193" s="19" t="s">
        <v>317</v>
      </c>
      <c r="K1193" s="19" t="s">
        <v>680</v>
      </c>
    </row>
    <row r="1194" spans="2:11">
      <c r="B1194" s="38">
        <v>262701856</v>
      </c>
      <c r="C1194" s="19" t="s">
        <v>675</v>
      </c>
      <c r="D1194" s="19" t="s">
        <v>30</v>
      </c>
      <c r="E1194" s="19">
        <v>200000</v>
      </c>
      <c r="F1194" s="35">
        <v>0.022</v>
      </c>
      <c r="G1194" s="18">
        <v>46300</v>
      </c>
      <c r="H1194" s="37">
        <f t="shared" si="25"/>
        <v>4400</v>
      </c>
      <c r="I1194" s="19" t="s">
        <v>317</v>
      </c>
      <c r="K1194" s="19" t="s">
        <v>680</v>
      </c>
    </row>
    <row r="1195" spans="2:11">
      <c r="B1195" s="38">
        <v>262701865</v>
      </c>
      <c r="C1195" s="19" t="s">
        <v>675</v>
      </c>
      <c r="D1195" s="19" t="s">
        <v>30</v>
      </c>
      <c r="E1195" s="19">
        <v>200000</v>
      </c>
      <c r="F1195" s="35">
        <v>0.022</v>
      </c>
      <c r="G1195" s="3">
        <v>46331</v>
      </c>
      <c r="H1195" s="37">
        <f t="shared" si="25"/>
        <v>4400</v>
      </c>
      <c r="I1195" s="19" t="s">
        <v>317</v>
      </c>
      <c r="K1195" s="19" t="s">
        <v>680</v>
      </c>
    </row>
    <row r="1196" spans="2:11">
      <c r="B1196" s="38">
        <v>262701865</v>
      </c>
      <c r="C1196" s="19" t="s">
        <v>675</v>
      </c>
      <c r="D1196" s="19" t="s">
        <v>30</v>
      </c>
      <c r="E1196" s="19">
        <v>200000</v>
      </c>
      <c r="F1196" s="35">
        <v>0.022</v>
      </c>
      <c r="G1196" s="3">
        <v>46331</v>
      </c>
      <c r="H1196" s="37">
        <f t="shared" si="25"/>
        <v>4400</v>
      </c>
      <c r="I1196" s="19" t="s">
        <v>317</v>
      </c>
      <c r="K1196" s="19" t="s">
        <v>680</v>
      </c>
    </row>
    <row r="1197" spans="2:11">
      <c r="B1197" s="38">
        <v>262701865</v>
      </c>
      <c r="C1197" s="19" t="s">
        <v>675</v>
      </c>
      <c r="D1197" s="19" t="s">
        <v>30</v>
      </c>
      <c r="E1197" s="19">
        <v>200000</v>
      </c>
      <c r="F1197" s="35">
        <v>0.022</v>
      </c>
      <c r="G1197" s="3">
        <v>46331</v>
      </c>
      <c r="H1197" s="37">
        <f t="shared" si="25"/>
        <v>4400</v>
      </c>
      <c r="I1197" s="19" t="s">
        <v>317</v>
      </c>
      <c r="K1197" s="19" t="s">
        <v>680</v>
      </c>
    </row>
    <row r="1198" spans="2:11">
      <c r="B1198" s="38">
        <v>262701865</v>
      </c>
      <c r="C1198" s="19" t="s">
        <v>675</v>
      </c>
      <c r="D1198" s="19" t="s">
        <v>30</v>
      </c>
      <c r="E1198" s="19">
        <v>200000</v>
      </c>
      <c r="F1198" s="35">
        <v>0.022</v>
      </c>
      <c r="G1198" s="3">
        <v>46331</v>
      </c>
      <c r="H1198" s="37">
        <f t="shared" si="25"/>
        <v>4400</v>
      </c>
      <c r="I1198" s="19" t="s">
        <v>317</v>
      </c>
      <c r="K1198" s="19" t="s">
        <v>680</v>
      </c>
    </row>
    <row r="1199" spans="2:11">
      <c r="B1199" s="38">
        <v>262701865</v>
      </c>
      <c r="C1199" s="19" t="s">
        <v>675</v>
      </c>
      <c r="D1199" s="19" t="s">
        <v>30</v>
      </c>
      <c r="E1199" s="19">
        <v>200000</v>
      </c>
      <c r="F1199" s="35">
        <v>0.022</v>
      </c>
      <c r="G1199" s="3">
        <v>46331</v>
      </c>
      <c r="H1199" s="37">
        <f t="shared" si="25"/>
        <v>4400</v>
      </c>
      <c r="I1199" s="19" t="s">
        <v>317</v>
      </c>
      <c r="K1199" s="19" t="s">
        <v>680</v>
      </c>
    </row>
    <row r="1200" spans="2:11">
      <c r="B1200" s="38">
        <v>262701865</v>
      </c>
      <c r="C1200" s="19" t="s">
        <v>675</v>
      </c>
      <c r="D1200" s="19" t="s">
        <v>30</v>
      </c>
      <c r="E1200" s="19">
        <v>200000</v>
      </c>
      <c r="F1200" s="35">
        <v>0.022</v>
      </c>
      <c r="G1200" s="3">
        <v>46361</v>
      </c>
      <c r="H1200" s="37">
        <f t="shared" si="25"/>
        <v>4400</v>
      </c>
      <c r="I1200" s="19" t="s">
        <v>317</v>
      </c>
      <c r="K1200" s="19" t="s">
        <v>680</v>
      </c>
    </row>
    <row r="1201" spans="2:11">
      <c r="B1201" s="38">
        <v>262701865</v>
      </c>
      <c r="C1201" s="19" t="s">
        <v>675</v>
      </c>
      <c r="D1201" s="19" t="s">
        <v>30</v>
      </c>
      <c r="E1201" s="19">
        <v>200000</v>
      </c>
      <c r="F1201" s="35">
        <v>0.022</v>
      </c>
      <c r="G1201" s="3">
        <v>46361</v>
      </c>
      <c r="H1201" s="37">
        <f t="shared" si="25"/>
        <v>4400</v>
      </c>
      <c r="I1201" s="19" t="s">
        <v>317</v>
      </c>
      <c r="K1201" s="19" t="s">
        <v>680</v>
      </c>
    </row>
    <row r="1202" spans="2:11">
      <c r="B1202" s="38">
        <v>262701865</v>
      </c>
      <c r="C1202" s="19" t="s">
        <v>675</v>
      </c>
      <c r="D1202" s="19" t="s">
        <v>30</v>
      </c>
      <c r="E1202" s="19">
        <v>200000</v>
      </c>
      <c r="F1202" s="35">
        <v>0.022</v>
      </c>
      <c r="G1202" s="3">
        <v>46361</v>
      </c>
      <c r="H1202" s="37">
        <f t="shared" si="25"/>
        <v>4400</v>
      </c>
      <c r="I1202" s="19" t="s">
        <v>317</v>
      </c>
      <c r="K1202" s="19" t="s">
        <v>680</v>
      </c>
    </row>
    <row r="1203" spans="2:11">
      <c r="B1203" s="38">
        <v>262701865</v>
      </c>
      <c r="C1203" s="19" t="s">
        <v>675</v>
      </c>
      <c r="D1203" s="19" t="s">
        <v>30</v>
      </c>
      <c r="E1203" s="19">
        <v>200000</v>
      </c>
      <c r="F1203" s="35">
        <v>0.022</v>
      </c>
      <c r="G1203" s="3">
        <v>46361</v>
      </c>
      <c r="H1203" s="37">
        <f t="shared" si="25"/>
        <v>4400</v>
      </c>
      <c r="I1203" s="19" t="s">
        <v>317</v>
      </c>
      <c r="K1203" s="19" t="s">
        <v>680</v>
      </c>
    </row>
    <row r="1204" spans="2:11">
      <c r="B1204" s="38">
        <v>262701865</v>
      </c>
      <c r="C1204" s="19" t="s">
        <v>675</v>
      </c>
      <c r="D1204" s="19" t="s">
        <v>30</v>
      </c>
      <c r="E1204" s="19">
        <v>200000</v>
      </c>
      <c r="F1204" s="35">
        <v>0.022</v>
      </c>
      <c r="G1204" s="3">
        <v>46361</v>
      </c>
      <c r="H1204" s="37">
        <f t="shared" si="25"/>
        <v>4400</v>
      </c>
      <c r="I1204" s="19" t="s">
        <v>317</v>
      </c>
      <c r="K1204" s="19" t="s">
        <v>680</v>
      </c>
    </row>
    <row r="1205" spans="2:11">
      <c r="B1205" s="38">
        <v>262701871</v>
      </c>
      <c r="C1205" s="19" t="s">
        <v>682</v>
      </c>
      <c r="D1205" s="19" t="s">
        <v>25</v>
      </c>
      <c r="E1205" s="19">
        <v>20000</v>
      </c>
      <c r="F1205" s="35">
        <v>0.016</v>
      </c>
      <c r="G1205" s="3">
        <v>46239</v>
      </c>
      <c r="H1205" s="37">
        <f t="shared" si="25"/>
        <v>320</v>
      </c>
      <c r="I1205" s="19" t="s">
        <v>317</v>
      </c>
      <c r="K1205" s="19" t="s">
        <v>683</v>
      </c>
    </row>
    <row r="1206" spans="2:11">
      <c r="B1206" s="38">
        <v>262701871</v>
      </c>
      <c r="C1206" s="19" t="s">
        <v>682</v>
      </c>
      <c r="D1206" s="19" t="s">
        <v>25</v>
      </c>
      <c r="E1206" s="39">
        <v>20000</v>
      </c>
      <c r="F1206" s="35">
        <v>0.016</v>
      </c>
      <c r="G1206" s="3">
        <v>46270</v>
      </c>
      <c r="H1206" s="37">
        <f t="shared" si="25"/>
        <v>320</v>
      </c>
      <c r="I1206" s="19" t="s">
        <v>317</v>
      </c>
      <c r="K1206" s="19" t="s">
        <v>683</v>
      </c>
    </row>
    <row r="1207" spans="2:11">
      <c r="B1207" s="38">
        <v>262701871</v>
      </c>
      <c r="C1207" s="19" t="s">
        <v>682</v>
      </c>
      <c r="D1207" s="19" t="s">
        <v>684</v>
      </c>
      <c r="E1207" s="39">
        <v>120000</v>
      </c>
      <c r="F1207" s="35">
        <v>0.03</v>
      </c>
      <c r="G1207" s="3">
        <v>46270</v>
      </c>
      <c r="H1207" s="37">
        <f t="shared" si="25"/>
        <v>3600</v>
      </c>
      <c r="I1207" s="19" t="s">
        <v>317</v>
      </c>
      <c r="K1207" s="19" t="s">
        <v>683</v>
      </c>
    </row>
    <row r="1208" spans="2:11">
      <c r="B1208" s="38">
        <v>262701871</v>
      </c>
      <c r="C1208" s="19" t="s">
        <v>682</v>
      </c>
      <c r="D1208" s="19" t="s">
        <v>387</v>
      </c>
      <c r="E1208" s="39">
        <v>120000</v>
      </c>
      <c r="F1208" s="35">
        <v>0.025</v>
      </c>
      <c r="G1208" s="3">
        <v>46270</v>
      </c>
      <c r="H1208" s="37">
        <f t="shared" si="25"/>
        <v>3000</v>
      </c>
      <c r="I1208" s="19" t="s">
        <v>317</v>
      </c>
      <c r="K1208" s="19" t="s">
        <v>683</v>
      </c>
    </row>
    <row r="1209" spans="2:11">
      <c r="B1209" s="38">
        <v>262701871</v>
      </c>
      <c r="C1209" s="19" t="s">
        <v>682</v>
      </c>
      <c r="D1209" s="19" t="s">
        <v>516</v>
      </c>
      <c r="E1209" s="39">
        <v>150000</v>
      </c>
      <c r="F1209" s="35">
        <v>0.032</v>
      </c>
      <c r="G1209" s="3">
        <v>46270</v>
      </c>
      <c r="H1209" s="37">
        <f t="shared" si="25"/>
        <v>4800</v>
      </c>
      <c r="I1209" s="19" t="s">
        <v>317</v>
      </c>
      <c r="K1209" s="19" t="s">
        <v>683</v>
      </c>
    </row>
    <row r="1210" spans="2:11">
      <c r="B1210" s="38">
        <v>262701871</v>
      </c>
      <c r="C1210" s="19" t="s">
        <v>682</v>
      </c>
      <c r="D1210" s="19" t="s">
        <v>540</v>
      </c>
      <c r="E1210" s="39">
        <v>20000</v>
      </c>
      <c r="F1210" s="35">
        <v>0.0297</v>
      </c>
      <c r="G1210" s="3">
        <v>46270</v>
      </c>
      <c r="H1210" s="37">
        <f t="shared" si="25"/>
        <v>594</v>
      </c>
      <c r="I1210" s="19" t="s">
        <v>317</v>
      </c>
      <c r="K1210" s="19" t="s">
        <v>683</v>
      </c>
    </row>
    <row r="1211" spans="2:11">
      <c r="B1211" s="38">
        <v>262701871</v>
      </c>
      <c r="C1211" s="19" t="s">
        <v>682</v>
      </c>
      <c r="D1211" s="19" t="s">
        <v>636</v>
      </c>
      <c r="E1211" s="39">
        <v>300000</v>
      </c>
      <c r="F1211" s="35">
        <v>0.026</v>
      </c>
      <c r="G1211" s="3">
        <v>46239</v>
      </c>
      <c r="H1211" s="37">
        <f t="shared" ref="H1211:H1244" si="26">E1211*F1211</f>
        <v>7800</v>
      </c>
      <c r="I1211" s="19" t="s">
        <v>317</v>
      </c>
      <c r="K1211" s="19" t="s">
        <v>683</v>
      </c>
    </row>
    <row r="1212" spans="2:11">
      <c r="B1212" s="38">
        <v>262701871</v>
      </c>
      <c r="C1212" s="19" t="s">
        <v>682</v>
      </c>
      <c r="D1212" s="19" t="s">
        <v>636</v>
      </c>
      <c r="E1212" s="39">
        <v>300000</v>
      </c>
      <c r="F1212" s="35">
        <v>0.026</v>
      </c>
      <c r="G1212" s="3">
        <v>46270</v>
      </c>
      <c r="H1212" s="37">
        <f t="shared" si="26"/>
        <v>7800</v>
      </c>
      <c r="I1212" s="19" t="s">
        <v>317</v>
      </c>
      <c r="K1212" s="19" t="s">
        <v>683</v>
      </c>
    </row>
    <row r="1213" spans="2:11">
      <c r="B1213" s="38">
        <v>262701871</v>
      </c>
      <c r="C1213" s="19" t="s">
        <v>682</v>
      </c>
      <c r="D1213" s="19" t="s">
        <v>550</v>
      </c>
      <c r="E1213" s="39">
        <v>150000</v>
      </c>
      <c r="F1213" s="35">
        <v>0.028</v>
      </c>
      <c r="G1213" s="3">
        <v>46239</v>
      </c>
      <c r="H1213" s="37">
        <f t="shared" si="26"/>
        <v>4200</v>
      </c>
      <c r="I1213" s="19" t="s">
        <v>317</v>
      </c>
      <c r="K1213" s="19" t="s">
        <v>683</v>
      </c>
    </row>
    <row r="1214" spans="2:11">
      <c r="B1214" s="38">
        <v>262701871</v>
      </c>
      <c r="C1214" s="19" t="s">
        <v>682</v>
      </c>
      <c r="D1214" s="19" t="s">
        <v>550</v>
      </c>
      <c r="E1214" s="39">
        <v>150000</v>
      </c>
      <c r="F1214" s="35">
        <v>0.028</v>
      </c>
      <c r="G1214" s="3">
        <v>46270</v>
      </c>
      <c r="H1214" s="37">
        <f t="shared" si="26"/>
        <v>4200</v>
      </c>
      <c r="I1214" s="19" t="s">
        <v>317</v>
      </c>
      <c r="K1214" s="19" t="s">
        <v>683</v>
      </c>
    </row>
    <row r="1215" spans="2:11">
      <c r="B1215" s="38">
        <v>262701872</v>
      </c>
      <c r="C1215" s="19" t="s">
        <v>682</v>
      </c>
      <c r="D1215" s="19" t="s">
        <v>25</v>
      </c>
      <c r="E1215" s="39">
        <v>20000</v>
      </c>
      <c r="F1215" s="35">
        <v>0.016</v>
      </c>
      <c r="G1215" s="3">
        <v>46300</v>
      </c>
      <c r="H1215" s="37">
        <f t="shared" si="26"/>
        <v>320</v>
      </c>
      <c r="I1215" s="19" t="s">
        <v>317</v>
      </c>
      <c r="K1215" s="19" t="s">
        <v>683</v>
      </c>
    </row>
    <row r="1216" spans="2:11">
      <c r="B1216" s="38">
        <v>262701872</v>
      </c>
      <c r="C1216" s="19" t="s">
        <v>682</v>
      </c>
      <c r="D1216" t="s">
        <v>25</v>
      </c>
      <c r="E1216" s="39">
        <v>20000</v>
      </c>
      <c r="F1216" s="35">
        <v>0.016</v>
      </c>
      <c r="G1216" s="3">
        <v>46331</v>
      </c>
      <c r="H1216" s="37">
        <f t="shared" si="26"/>
        <v>320</v>
      </c>
      <c r="I1216" s="19" t="s">
        <v>317</v>
      </c>
      <c r="K1216" s="19" t="s">
        <v>683</v>
      </c>
    </row>
    <row r="1217" spans="2:11">
      <c r="B1217" s="38">
        <v>262701872</v>
      </c>
      <c r="C1217" s="19" t="s">
        <v>682</v>
      </c>
      <c r="D1217" s="19" t="s">
        <v>386</v>
      </c>
      <c r="E1217" s="39">
        <v>120000</v>
      </c>
      <c r="F1217" s="35">
        <v>0.03</v>
      </c>
      <c r="G1217" s="3">
        <v>46300</v>
      </c>
      <c r="H1217" s="37">
        <f t="shared" si="26"/>
        <v>3600</v>
      </c>
      <c r="I1217" s="19" t="s">
        <v>317</v>
      </c>
      <c r="K1217" s="19" t="s">
        <v>683</v>
      </c>
    </row>
    <row r="1218" spans="2:11">
      <c r="B1218" s="38">
        <v>262701872</v>
      </c>
      <c r="C1218" s="19" t="s">
        <v>682</v>
      </c>
      <c r="D1218" s="19" t="s">
        <v>386</v>
      </c>
      <c r="E1218" s="39">
        <v>120000</v>
      </c>
      <c r="F1218" s="35">
        <v>0.03</v>
      </c>
      <c r="G1218" s="3">
        <v>46331</v>
      </c>
      <c r="H1218" s="37">
        <f t="shared" si="26"/>
        <v>3600</v>
      </c>
      <c r="I1218" s="19" t="s">
        <v>317</v>
      </c>
      <c r="K1218" s="19" t="s">
        <v>683</v>
      </c>
    </row>
    <row r="1219" spans="2:11">
      <c r="B1219" s="38">
        <v>262701872</v>
      </c>
      <c r="C1219" s="19" t="s">
        <v>682</v>
      </c>
      <c r="D1219" s="19" t="s">
        <v>387</v>
      </c>
      <c r="E1219" s="39">
        <v>120000</v>
      </c>
      <c r="F1219" s="35">
        <v>0.025</v>
      </c>
      <c r="G1219" s="3">
        <v>46300</v>
      </c>
      <c r="H1219" s="37">
        <f t="shared" si="26"/>
        <v>3000</v>
      </c>
      <c r="I1219" s="19" t="s">
        <v>317</v>
      </c>
      <c r="K1219" s="19" t="s">
        <v>683</v>
      </c>
    </row>
    <row r="1220" spans="2:11">
      <c r="B1220" s="38">
        <v>262701872</v>
      </c>
      <c r="C1220" s="19" t="s">
        <v>682</v>
      </c>
      <c r="D1220" s="19" t="s">
        <v>387</v>
      </c>
      <c r="E1220" s="39">
        <v>120000</v>
      </c>
      <c r="F1220" s="35">
        <v>0.025</v>
      </c>
      <c r="G1220" s="3">
        <v>46331</v>
      </c>
      <c r="H1220" s="37">
        <f t="shared" si="26"/>
        <v>3000</v>
      </c>
      <c r="I1220" s="19" t="s">
        <v>317</v>
      </c>
      <c r="K1220" s="19" t="s">
        <v>683</v>
      </c>
    </row>
    <row r="1221" spans="2:11">
      <c r="B1221" s="38">
        <v>262701872</v>
      </c>
      <c r="C1221" s="19" t="s">
        <v>682</v>
      </c>
      <c r="D1221" s="19" t="s">
        <v>516</v>
      </c>
      <c r="E1221" s="39">
        <v>150000</v>
      </c>
      <c r="F1221" s="35">
        <v>0.032</v>
      </c>
      <c r="G1221" s="3">
        <v>46300</v>
      </c>
      <c r="H1221" s="37">
        <f t="shared" si="26"/>
        <v>4800</v>
      </c>
      <c r="I1221" s="19" t="s">
        <v>317</v>
      </c>
      <c r="K1221" s="19" t="s">
        <v>683</v>
      </c>
    </row>
    <row r="1222" spans="2:11">
      <c r="B1222" s="38">
        <v>262701872</v>
      </c>
      <c r="C1222" s="19" t="s">
        <v>682</v>
      </c>
      <c r="D1222" s="19" t="s">
        <v>516</v>
      </c>
      <c r="E1222" s="39">
        <v>150000</v>
      </c>
      <c r="F1222" s="35">
        <v>0.032</v>
      </c>
      <c r="G1222" s="3">
        <v>46331</v>
      </c>
      <c r="H1222" s="37">
        <f t="shared" si="26"/>
        <v>4800</v>
      </c>
      <c r="I1222" s="19" t="s">
        <v>317</v>
      </c>
      <c r="K1222" s="19" t="s">
        <v>683</v>
      </c>
    </row>
    <row r="1223" spans="2:11">
      <c r="B1223" s="38">
        <v>262701872</v>
      </c>
      <c r="C1223" s="19" t="s">
        <v>682</v>
      </c>
      <c r="D1223" s="19" t="s">
        <v>540</v>
      </c>
      <c r="E1223" s="39">
        <v>20000</v>
      </c>
      <c r="F1223" s="35">
        <v>0.0297</v>
      </c>
      <c r="G1223" s="3">
        <v>46300</v>
      </c>
      <c r="H1223" s="37">
        <f t="shared" si="26"/>
        <v>594</v>
      </c>
      <c r="I1223" s="19" t="s">
        <v>317</v>
      </c>
      <c r="K1223" s="19" t="s">
        <v>683</v>
      </c>
    </row>
    <row r="1224" spans="2:11">
      <c r="B1224" s="38">
        <v>262701872</v>
      </c>
      <c r="C1224" s="19" t="s">
        <v>682</v>
      </c>
      <c r="D1224" s="19" t="s">
        <v>636</v>
      </c>
      <c r="E1224" s="39">
        <v>300000</v>
      </c>
      <c r="F1224" s="35">
        <v>0.026</v>
      </c>
      <c r="G1224" s="3">
        <v>46300</v>
      </c>
      <c r="H1224" s="37">
        <f t="shared" si="26"/>
        <v>7800</v>
      </c>
      <c r="I1224" s="19" t="s">
        <v>317</v>
      </c>
      <c r="K1224" s="19" t="s">
        <v>683</v>
      </c>
    </row>
    <row r="1225" spans="2:11">
      <c r="B1225" s="38">
        <v>262701872</v>
      </c>
      <c r="C1225" s="19" t="s">
        <v>685</v>
      </c>
      <c r="D1225" s="19" t="s">
        <v>550</v>
      </c>
      <c r="E1225" s="39">
        <v>150000</v>
      </c>
      <c r="F1225" s="35">
        <v>0.028</v>
      </c>
      <c r="G1225" s="3">
        <v>46300</v>
      </c>
      <c r="H1225" s="37">
        <f t="shared" si="26"/>
        <v>4200</v>
      </c>
      <c r="I1225" s="19" t="s">
        <v>317</v>
      </c>
      <c r="K1225" s="19" t="s">
        <v>683</v>
      </c>
    </row>
    <row r="1226" spans="2:11">
      <c r="B1226" s="38">
        <v>262701872</v>
      </c>
      <c r="C1226" s="19" t="s">
        <v>686</v>
      </c>
      <c r="D1226" s="19" t="s">
        <v>581</v>
      </c>
      <c r="E1226" s="39">
        <v>250000</v>
      </c>
      <c r="F1226" s="35">
        <v>0.023</v>
      </c>
      <c r="G1226" s="3">
        <v>46300</v>
      </c>
      <c r="H1226" s="37">
        <f t="shared" si="26"/>
        <v>5750</v>
      </c>
      <c r="I1226" s="19" t="s">
        <v>317</v>
      </c>
      <c r="K1226" s="19" t="s">
        <v>683</v>
      </c>
    </row>
    <row r="1227" spans="2:11">
      <c r="B1227" s="38">
        <v>262701872</v>
      </c>
      <c r="C1227" s="19" t="s">
        <v>686</v>
      </c>
      <c r="D1227" s="19" t="s">
        <v>581</v>
      </c>
      <c r="E1227" s="39">
        <v>250000</v>
      </c>
      <c r="F1227" s="35">
        <v>0.023</v>
      </c>
      <c r="G1227" s="3">
        <v>46331</v>
      </c>
      <c r="H1227" s="37">
        <f t="shared" si="26"/>
        <v>5750</v>
      </c>
      <c r="I1227" s="19" t="s">
        <v>317</v>
      </c>
      <c r="K1227" s="19" t="s">
        <v>683</v>
      </c>
    </row>
    <row r="1228" spans="2:11">
      <c r="B1228" s="38">
        <v>262701872</v>
      </c>
      <c r="C1228" s="19" t="s">
        <v>686</v>
      </c>
      <c r="D1228" s="19" t="s">
        <v>609</v>
      </c>
      <c r="E1228" s="39">
        <v>150000</v>
      </c>
      <c r="F1228" s="35">
        <v>0.03</v>
      </c>
      <c r="G1228" s="3">
        <v>46331</v>
      </c>
      <c r="H1228" s="37">
        <f t="shared" si="26"/>
        <v>4500</v>
      </c>
      <c r="I1228" s="19" t="s">
        <v>317</v>
      </c>
      <c r="K1228" s="19" t="s">
        <v>683</v>
      </c>
    </row>
    <row r="1229" spans="2:11">
      <c r="B1229" s="38">
        <v>262701873</v>
      </c>
      <c r="C1229" s="19" t="s">
        <v>686</v>
      </c>
      <c r="D1229" s="19" t="s">
        <v>25</v>
      </c>
      <c r="E1229" s="39">
        <v>20000</v>
      </c>
      <c r="F1229" s="35">
        <v>0.016</v>
      </c>
      <c r="G1229" s="3">
        <v>46361</v>
      </c>
      <c r="H1229" s="37">
        <f t="shared" si="26"/>
        <v>320</v>
      </c>
      <c r="I1229" s="19" t="s">
        <v>317</v>
      </c>
      <c r="K1229" s="19" t="s">
        <v>683</v>
      </c>
    </row>
    <row r="1230" spans="2:11">
      <c r="B1230" s="38">
        <v>262701873</v>
      </c>
      <c r="C1230" s="19" t="s">
        <v>686</v>
      </c>
      <c r="D1230" s="19" t="s">
        <v>687</v>
      </c>
      <c r="E1230" s="39">
        <v>120000</v>
      </c>
      <c r="F1230" s="35">
        <v>0.03</v>
      </c>
      <c r="G1230" s="3">
        <v>46361</v>
      </c>
      <c r="H1230" s="37">
        <f t="shared" si="26"/>
        <v>3600</v>
      </c>
      <c r="I1230" s="19" t="s">
        <v>317</v>
      </c>
      <c r="K1230" s="19" t="s">
        <v>683</v>
      </c>
    </row>
    <row r="1231" spans="2:11">
      <c r="B1231" s="38">
        <v>262701873</v>
      </c>
      <c r="C1231" s="19" t="s">
        <v>686</v>
      </c>
      <c r="D1231" s="19" t="s">
        <v>387</v>
      </c>
      <c r="E1231" s="39">
        <v>120000</v>
      </c>
      <c r="F1231" s="35">
        <v>0.025</v>
      </c>
      <c r="G1231" s="3">
        <v>46361</v>
      </c>
      <c r="H1231" s="37">
        <f t="shared" si="26"/>
        <v>3000</v>
      </c>
      <c r="I1231" s="19" t="s">
        <v>317</v>
      </c>
      <c r="K1231" s="19" t="s">
        <v>683</v>
      </c>
    </row>
    <row r="1232" spans="2:11">
      <c r="B1232" s="38">
        <v>262701873</v>
      </c>
      <c r="C1232" s="19" t="s">
        <v>686</v>
      </c>
      <c r="D1232" s="19" t="s">
        <v>516</v>
      </c>
      <c r="E1232" s="39">
        <v>150000</v>
      </c>
      <c r="F1232" s="35">
        <v>0.032</v>
      </c>
      <c r="G1232" s="3">
        <v>46361</v>
      </c>
      <c r="H1232" s="37">
        <f t="shared" si="26"/>
        <v>4800</v>
      </c>
      <c r="I1232" s="19" t="s">
        <v>317</v>
      </c>
      <c r="K1232" s="19" t="s">
        <v>683</v>
      </c>
    </row>
    <row r="1233" spans="1:11">
      <c r="B1233" s="38">
        <v>262701873</v>
      </c>
      <c r="C1233" s="19" t="s">
        <v>688</v>
      </c>
      <c r="D1233" s="19" t="s">
        <v>581</v>
      </c>
      <c r="E1233" s="39">
        <v>250000</v>
      </c>
      <c r="F1233" s="35">
        <v>0.023</v>
      </c>
      <c r="G1233" s="3">
        <v>46361</v>
      </c>
      <c r="H1233" s="37">
        <f t="shared" si="26"/>
        <v>5750</v>
      </c>
      <c r="I1233" s="19" t="s">
        <v>317</v>
      </c>
      <c r="K1233" s="19" t="s">
        <v>683</v>
      </c>
    </row>
    <row r="1234" spans="1:11">
      <c r="B1234" s="38">
        <v>262701873</v>
      </c>
      <c r="C1234" s="19" t="s">
        <v>688</v>
      </c>
      <c r="D1234" s="19" t="s">
        <v>609</v>
      </c>
      <c r="E1234" s="39">
        <v>150000</v>
      </c>
      <c r="F1234" s="35">
        <v>0.03</v>
      </c>
      <c r="G1234" s="3">
        <v>46361</v>
      </c>
      <c r="H1234" s="37">
        <f t="shared" si="26"/>
        <v>4500</v>
      </c>
      <c r="I1234" s="19" t="s">
        <v>317</v>
      </c>
      <c r="K1234" s="19" t="s">
        <v>683</v>
      </c>
    </row>
    <row r="1235" spans="1:11">
      <c r="A1235" s="19" t="s">
        <v>319</v>
      </c>
      <c r="B1235" s="40">
        <v>262701878</v>
      </c>
      <c r="C1235" s="29" t="s">
        <v>682</v>
      </c>
      <c r="D1235" s="29" t="s">
        <v>689</v>
      </c>
      <c r="E1235" s="41">
        <v>60000</v>
      </c>
      <c r="F1235" s="42">
        <v>0.0125</v>
      </c>
      <c r="G1235" s="43">
        <v>46208</v>
      </c>
      <c r="H1235" s="44">
        <f t="shared" si="26"/>
        <v>750</v>
      </c>
      <c r="I1235" s="29" t="s">
        <v>10</v>
      </c>
      <c r="J1235" s="45">
        <v>46029</v>
      </c>
      <c r="K1235" s="19" t="s">
        <v>690</v>
      </c>
    </row>
    <row r="1236" spans="1:11">
      <c r="A1236" s="19" t="s">
        <v>319</v>
      </c>
      <c r="B1236" s="40">
        <v>262701878</v>
      </c>
      <c r="C1236" s="29" t="s">
        <v>682</v>
      </c>
      <c r="D1236" s="29" t="s">
        <v>689</v>
      </c>
      <c r="E1236" s="41">
        <v>56000</v>
      </c>
      <c r="F1236" s="42">
        <v>0.0125</v>
      </c>
      <c r="G1236" s="43">
        <v>46239</v>
      </c>
      <c r="H1236" s="44">
        <f t="shared" si="26"/>
        <v>700</v>
      </c>
      <c r="I1236" s="29" t="s">
        <v>10</v>
      </c>
      <c r="J1236" s="45">
        <v>46029</v>
      </c>
      <c r="K1236" s="19" t="s">
        <v>690</v>
      </c>
    </row>
    <row r="1237" s="2" customFormat="1" spans="1:11">
      <c r="A1237" s="30" t="s">
        <v>319</v>
      </c>
      <c r="B1237" s="40">
        <v>262701878</v>
      </c>
      <c r="C1237" s="29" t="s">
        <v>682</v>
      </c>
      <c r="D1237" s="46" t="s">
        <v>691</v>
      </c>
      <c r="E1237" s="40">
        <v>50000</v>
      </c>
      <c r="F1237" s="42">
        <v>0.0116</v>
      </c>
      <c r="G1237" s="43">
        <v>46208</v>
      </c>
      <c r="H1237" s="44">
        <f t="shared" si="26"/>
        <v>580</v>
      </c>
      <c r="I1237" s="29" t="s">
        <v>10</v>
      </c>
      <c r="J1237" s="45">
        <v>46029</v>
      </c>
      <c r="K1237" s="19" t="s">
        <v>690</v>
      </c>
    </row>
    <row r="1238" spans="1:11">
      <c r="A1238" s="19" t="s">
        <v>319</v>
      </c>
      <c r="B1238" s="40">
        <v>262701878</v>
      </c>
      <c r="C1238" s="29" t="s">
        <v>682</v>
      </c>
      <c r="D1238" s="29" t="s">
        <v>692</v>
      </c>
      <c r="E1238" s="29">
        <v>50000</v>
      </c>
      <c r="F1238" s="42">
        <v>0.0116</v>
      </c>
      <c r="G1238" s="43">
        <v>46239</v>
      </c>
      <c r="H1238" s="44">
        <f t="shared" si="26"/>
        <v>580</v>
      </c>
      <c r="I1238" s="29" t="s">
        <v>10</v>
      </c>
      <c r="J1238" s="45">
        <v>46029</v>
      </c>
      <c r="K1238" s="19" t="s">
        <v>690</v>
      </c>
    </row>
    <row r="1239" spans="1:11">
      <c r="B1239" s="38">
        <v>262701882</v>
      </c>
      <c r="C1239" s="19" t="s">
        <v>682</v>
      </c>
      <c r="D1239" s="19" t="s">
        <v>693</v>
      </c>
      <c r="E1239" s="19">
        <v>200000</v>
      </c>
      <c r="F1239" s="35">
        <v>0.032</v>
      </c>
      <c r="G1239" s="3">
        <v>46300</v>
      </c>
      <c r="H1239" s="37">
        <f t="shared" si="26"/>
        <v>6400</v>
      </c>
      <c r="I1239" s="19" t="s">
        <v>317</v>
      </c>
      <c r="K1239" s="19" t="s">
        <v>642</v>
      </c>
    </row>
    <row r="1240" spans="1:11">
      <c r="B1240" s="38">
        <v>262701882</v>
      </c>
      <c r="C1240" s="19" t="s">
        <v>682</v>
      </c>
      <c r="D1240" s="19" t="s">
        <v>693</v>
      </c>
      <c r="E1240" s="19">
        <v>200000</v>
      </c>
      <c r="F1240" s="35">
        <v>0.032</v>
      </c>
      <c r="G1240" s="3">
        <v>46300</v>
      </c>
      <c r="H1240" s="37">
        <f t="shared" si="26"/>
        <v>6400</v>
      </c>
      <c r="I1240" s="19" t="s">
        <v>317</v>
      </c>
      <c r="K1240" s="19" t="s">
        <v>642</v>
      </c>
    </row>
    <row r="1241" spans="1:11">
      <c r="B1241" s="38">
        <v>262701882</v>
      </c>
      <c r="C1241" s="19" t="s">
        <v>682</v>
      </c>
      <c r="D1241" s="19" t="s">
        <v>693</v>
      </c>
      <c r="E1241" s="19">
        <v>200000</v>
      </c>
      <c r="F1241" s="35">
        <v>0.032</v>
      </c>
      <c r="G1241" s="3">
        <v>46300</v>
      </c>
      <c r="H1241" s="37">
        <f t="shared" si="26"/>
        <v>6400</v>
      </c>
      <c r="I1241" s="19" t="s">
        <v>317</v>
      </c>
      <c r="K1241" s="19" t="s">
        <v>642</v>
      </c>
    </row>
    <row r="1242" spans="1:11">
      <c r="B1242">
        <v>262700149</v>
      </c>
      <c r="C1242" s="47">
        <v>46180</v>
      </c>
      <c r="D1242" t="s">
        <v>694</v>
      </c>
      <c r="E1242">
        <v>20000</v>
      </c>
      <c r="F1242">
        <v>0.7521</v>
      </c>
      <c r="G1242" s="3">
        <v>46409</v>
      </c>
      <c r="H1242" s="37">
        <f t="shared" si="26"/>
        <v>15042</v>
      </c>
      <c r="I1242" t="s">
        <v>317</v>
      </c>
      <c r="K1242" t="s">
        <v>378</v>
      </c>
    </row>
    <row r="1243" spans="1:11">
      <c r="B1243">
        <v>262701961</v>
      </c>
      <c r="C1243" s="47">
        <v>46180</v>
      </c>
      <c r="D1243" t="s">
        <v>646</v>
      </c>
      <c r="E1243">
        <v>20000</v>
      </c>
      <c r="F1243">
        <v>0.032</v>
      </c>
      <c r="G1243" s="3">
        <v>46225</v>
      </c>
      <c r="H1243" s="37">
        <f t="shared" si="26"/>
        <v>640</v>
      </c>
      <c r="I1243" t="s">
        <v>317</v>
      </c>
      <c r="K1243" t="s">
        <v>695</v>
      </c>
    </row>
    <row r="1244" spans="1:11">
      <c r="A1244" t="s">
        <v>319</v>
      </c>
      <c r="B1244">
        <v>262701961</v>
      </c>
      <c r="C1244" s="47">
        <v>46180</v>
      </c>
      <c r="D1244" t="s">
        <v>97</v>
      </c>
      <c r="E1244">
        <v>20000</v>
      </c>
      <c r="F1244">
        <v>0.065</v>
      </c>
      <c r="G1244" s="3">
        <v>46225</v>
      </c>
      <c r="H1244" s="37">
        <f t="shared" si="26"/>
        <v>1300</v>
      </c>
      <c r="I1244" t="s">
        <v>317</v>
      </c>
      <c r="K1244" t="s">
        <v>378</v>
      </c>
    </row>
    <row r="1245" spans="1:11">
      <c r="B1245">
        <v>262702021</v>
      </c>
      <c r="C1245" s="48">
        <v>46241</v>
      </c>
      <c r="D1245" t="s">
        <v>479</v>
      </c>
      <c r="E1245">
        <v>40000</v>
      </c>
      <c r="F1245" s="49">
        <v>0.0315</v>
      </c>
      <c r="G1245" s="3">
        <v>46225</v>
      </c>
      <c r="H1245" s="37">
        <f>E1245*F1245</f>
        <v>1260</v>
      </c>
      <c r="I1245" t="s">
        <v>317</v>
      </c>
      <c r="K1245" t="s">
        <v>696</v>
      </c>
    </row>
    <row r="1246" spans="1:11">
      <c r="B1246">
        <v>262702021</v>
      </c>
      <c r="C1246" s="48">
        <v>46241</v>
      </c>
      <c r="D1246" t="s">
        <v>479</v>
      </c>
      <c r="E1246">
        <v>20000</v>
      </c>
      <c r="F1246" s="49">
        <v>0.0315</v>
      </c>
      <c r="G1246" s="3">
        <v>46239</v>
      </c>
      <c r="H1246" s="37">
        <f>E1246*F1246</f>
        <v>630</v>
      </c>
      <c r="I1246" t="s">
        <v>317</v>
      </c>
      <c r="K1246" t="s">
        <v>696</v>
      </c>
    </row>
    <row r="1247" spans="1:11">
      <c r="B1247">
        <v>262702021</v>
      </c>
      <c r="C1247" s="48">
        <v>46241</v>
      </c>
      <c r="D1247" t="s">
        <v>479</v>
      </c>
      <c r="E1247">
        <v>20000</v>
      </c>
      <c r="F1247" s="49">
        <v>0.0315</v>
      </c>
      <c r="G1247" s="3">
        <v>46256</v>
      </c>
      <c r="H1247" s="37">
        <f>E1247*F1247</f>
        <v>630</v>
      </c>
      <c r="I1247" t="s">
        <v>317</v>
      </c>
      <c r="K1247" t="s">
        <v>696</v>
      </c>
    </row>
    <row r="1248" spans="1:11">
      <c r="B1248">
        <v>262702021</v>
      </c>
      <c r="C1248" s="48">
        <v>46241</v>
      </c>
      <c r="D1248" t="s">
        <v>479</v>
      </c>
      <c r="E1248">
        <v>40000</v>
      </c>
      <c r="F1248" s="49">
        <v>0.0315</v>
      </c>
      <c r="G1248" s="3">
        <v>46270</v>
      </c>
      <c r="H1248" s="37">
        <f>E1248*F1248</f>
        <v>1260</v>
      </c>
      <c r="I1248" t="s">
        <v>317</v>
      </c>
      <c r="K1248" t="s">
        <v>696</v>
      </c>
    </row>
    <row r="1249" spans="2:11">
      <c r="B1249">
        <v>262702021</v>
      </c>
      <c r="C1249" s="48">
        <v>46241</v>
      </c>
      <c r="D1249" t="s">
        <v>498</v>
      </c>
      <c r="E1249">
        <v>20000</v>
      </c>
      <c r="F1249">
        <v>0.06</v>
      </c>
      <c r="G1249" s="3">
        <v>46239</v>
      </c>
      <c r="H1249" s="37">
        <f>E1249*F1249</f>
        <v>1200</v>
      </c>
      <c r="I1249" t="s">
        <v>317</v>
      </c>
      <c r="K1249" t="s">
        <v>696</v>
      </c>
    </row>
  </sheetData>
  <autoFilter xmlns:etc="http://www.wps.cn/officeDocument/2017/etCustomData" ref="A1:XFD1249" etc:filterBottomFollowUsedRange="0">
    <extLst/>
  </autoFilter>
  <pageMargins left="0.75" right="0.75" top="1" bottom="1" header="0.5" footer="0.5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Swingtel_2021</vt:lpstr>
      <vt:lpstr>Swingtel_2022</vt:lpstr>
      <vt:lpstr>Staunch</vt:lpstr>
      <vt:lpstr>Swingtel_2023</vt:lpstr>
      <vt:lpstr>Swingtel_2024</vt:lpstr>
      <vt:lpstr>Swingtel_2025</vt:lpstr>
      <vt:lpstr>Swingtel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</cp:lastModifiedBy>
  <dcterms:created xsi:type="dcterms:W3CDTF">2021-01-16T05:22:00Z</dcterms:created>
  <dcterms:modified xsi:type="dcterms:W3CDTF">2026-07-09T08:14:31Z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1033-12.1.0.26886</vt:lpwstr>
  </property>
  <property fmtid="{D5CDD505-2E9C-101B-9397-08002B2CF9AE}" pid="3" name="ICV">
    <vt:lpwstr>0AD99A95FE86436199A5D4F43EDCCC63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